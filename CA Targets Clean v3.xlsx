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defaultThemeVersion="202300"/>
  <mc:AlternateContent xmlns:mc="http://schemas.openxmlformats.org/markup-compatibility/2006">
    <mc:Choice Requires="x15">
      <x15ac:absPath xmlns:x15ac="http://schemas.microsoft.com/office/spreadsheetml/2010/11/ac" url="P:\Research\SB - Research\1. Admin\2. Corporate Access\"/>
    </mc:Choice>
  </mc:AlternateContent>
  <xr:revisionPtr revIDLastSave="0" documentId="13_ncr:1_{3A1973D8-41AD-4FC4-850B-F1F72215F46D}" xr6:coauthVersionLast="47" xr6:coauthVersionMax="47" xr10:uidLastSave="{00000000-0000-0000-0000-000000000000}"/>
  <bookViews>
    <workbookView xWindow="-120" yWindow="-120" windowWidth="29040" windowHeight="15720" tabRatio="750" activeTab="2" xr2:uid="{6C6D5D78-8813-43EC-8583-C5E618B07FB2}"/>
  </bookViews>
  <sheets>
    <sheet name="Potential" sheetId="26" r:id="rId1"/>
    <sheet name="SLOTS" sheetId="1" r:id="rId2"/>
    <sheet name="Big 3 Emp" sheetId="2" r:id="rId3"/>
    <sheet name="Backup Slots" sheetId="3" r:id="rId4"/>
    <sheet name="IGT" sheetId="24" r:id="rId5"/>
    <sheet name="LOTTERIES" sheetId="17" r:id="rId6"/>
    <sheet name="Emp Lotteries" sheetId="15" r:id="rId7"/>
    <sheet name="TLC New" sheetId="28" r:id="rId8"/>
    <sheet name="Backup Lotteries" sheetId="16" r:id="rId9"/>
    <sheet name="WAGERING" sheetId="21" r:id="rId10"/>
    <sheet name="Emp Wagering" sheetId="22" r:id="rId11"/>
    <sheet name="SB &amp; Ent Wagering" sheetId="25" r:id="rId12"/>
    <sheet name="Backup Wagering" sheetId="27" r:id="rId13"/>
    <sheet name="Sheet1" sheetId="23" r:id="rId14"/>
    <sheet name="CLUBS LIST" sheetId="7" r:id="rId15"/>
    <sheet name="NSW" sheetId="8" r:id="rId16"/>
    <sheet name="QLD" sheetId="9" r:id="rId17"/>
    <sheet name="VIC" sheetId="10" r:id="rId18"/>
    <sheet name="LOCATIONS" sheetId="11" r:id="rId19"/>
    <sheet name="QLD Trip" sheetId="12" r:id="rId20"/>
    <sheet name="VIC Trip" sheetId="13" r:id="rId21"/>
    <sheet name="CLEAN" sheetId="19" r:id="rId22"/>
  </sheets>
  <definedNames>
    <definedName name="_xlnm._FilterDatabase" localSheetId="15" hidden="1">NSW!$A$3:$G$1065</definedName>
    <definedName name="_xlnm._FilterDatabase" localSheetId="16" hidden="1">QLD!$A$3:$F$3</definedName>
    <definedName name="_xlnm._FilterDatabase" localSheetId="17" hidden="1">VIC!$A$9:$WVQ$9</definedName>
    <definedName name="_xlnm.Print_Area" localSheetId="15">NSW!$A$1:$G$1008</definedName>
    <definedName name="_xlnm.Print_Titles" localSheetId="15">NSW!$1:$3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4" i="2" l="1"/>
  <c r="B53" i="26"/>
  <c r="C325" i="2"/>
  <c r="H325" i="2"/>
  <c r="C326" i="2"/>
  <c r="H326" i="2"/>
  <c r="C327" i="2"/>
  <c r="H327" i="2"/>
  <c r="C328" i="2"/>
  <c r="H328" i="2"/>
  <c r="C329" i="2"/>
  <c r="H329" i="2"/>
  <c r="C373" i="2"/>
  <c r="H373" i="2"/>
  <c r="C374" i="2"/>
  <c r="H374" i="2"/>
  <c r="C375" i="2"/>
  <c r="H375" i="2"/>
  <c r="C376" i="2"/>
  <c r="H376" i="2"/>
  <c r="C377" i="2"/>
  <c r="H377" i="2"/>
  <c r="C378" i="2"/>
  <c r="H378" i="2"/>
  <c r="B56" i="27" l="1"/>
  <c r="B57" i="27"/>
  <c r="B58" i="27"/>
  <c r="B59" i="27"/>
  <c r="B60" i="27"/>
  <c r="B61" i="27"/>
  <c r="B33" i="27"/>
  <c r="B34" i="27"/>
  <c r="B35" i="27"/>
  <c r="B32" i="27"/>
  <c r="C121" i="25"/>
  <c r="G121" i="25"/>
  <c r="K121" i="25"/>
  <c r="P121" i="25"/>
  <c r="C122" i="25"/>
  <c r="G122" i="25"/>
  <c r="K122" i="25"/>
  <c r="P122" i="25"/>
  <c r="C123" i="25"/>
  <c r="G123" i="25"/>
  <c r="K123" i="25"/>
  <c r="P123" i="25"/>
  <c r="C124" i="25"/>
  <c r="G124" i="25"/>
  <c r="K124" i="25"/>
  <c r="P124" i="25"/>
  <c r="C125" i="25"/>
  <c r="G125" i="25"/>
  <c r="K125" i="25"/>
  <c r="P125" i="25"/>
  <c r="C126" i="25"/>
  <c r="G126" i="25"/>
  <c r="K126" i="25"/>
  <c r="P126" i="25"/>
  <c r="C127" i="25"/>
  <c r="G127" i="25"/>
  <c r="K127" i="25"/>
  <c r="P127" i="25"/>
  <c r="C128" i="25"/>
  <c r="G128" i="25"/>
  <c r="K128" i="25"/>
  <c r="P128" i="25"/>
  <c r="C129" i="25"/>
  <c r="G129" i="25"/>
  <c r="K129" i="25"/>
  <c r="P129" i="25"/>
  <c r="C117" i="25"/>
  <c r="G117" i="25"/>
  <c r="K117" i="25"/>
  <c r="P117" i="25"/>
  <c r="C118" i="25"/>
  <c r="G118" i="25"/>
  <c r="K118" i="25"/>
  <c r="P118" i="25"/>
  <c r="C119" i="25"/>
  <c r="G119" i="25"/>
  <c r="K119" i="25"/>
  <c r="P119" i="25"/>
  <c r="C120" i="25"/>
  <c r="G120" i="25"/>
  <c r="K120" i="25"/>
  <c r="P120" i="25"/>
  <c r="B24" i="27"/>
  <c r="B25" i="27"/>
  <c r="B26" i="27"/>
  <c r="B27" i="27"/>
  <c r="B23" i="27"/>
  <c r="B31" i="27"/>
  <c r="B30" i="27"/>
  <c r="C55" i="25"/>
  <c r="G55" i="25"/>
  <c r="K55" i="25"/>
  <c r="P55" i="25"/>
  <c r="C56" i="25"/>
  <c r="G56" i="25"/>
  <c r="K56" i="25"/>
  <c r="P56" i="25"/>
  <c r="C57" i="25"/>
  <c r="G57" i="25"/>
  <c r="K57" i="25"/>
  <c r="P57" i="25"/>
  <c r="C82" i="25"/>
  <c r="G82" i="25"/>
  <c r="K82" i="25"/>
  <c r="P82" i="25"/>
  <c r="C83" i="25"/>
  <c r="G83" i="25"/>
  <c r="K83" i="25"/>
  <c r="P83" i="25"/>
  <c r="C84" i="25"/>
  <c r="G84" i="25"/>
  <c r="K84" i="25"/>
  <c r="P84" i="25"/>
  <c r="C85" i="25"/>
  <c r="G85" i="25"/>
  <c r="K85" i="25"/>
  <c r="P85" i="25"/>
  <c r="P30" i="25"/>
  <c r="K30" i="25"/>
  <c r="G30" i="25"/>
  <c r="C30" i="25"/>
  <c r="P29" i="25"/>
  <c r="K29" i="25"/>
  <c r="G29" i="25"/>
  <c r="C29" i="25"/>
  <c r="P28" i="25"/>
  <c r="K28" i="25"/>
  <c r="G28" i="25"/>
  <c r="C28" i="25"/>
  <c r="P27" i="25"/>
  <c r="K27" i="25"/>
  <c r="G27" i="25"/>
  <c r="C27" i="25"/>
  <c r="P26" i="25"/>
  <c r="K26" i="25"/>
  <c r="G26" i="25"/>
  <c r="C26" i="25"/>
  <c r="G132" i="22"/>
  <c r="C132" i="22"/>
  <c r="G131" i="22"/>
  <c r="C131" i="22"/>
  <c r="G130" i="22"/>
  <c r="C130" i="22"/>
  <c r="G129" i="22"/>
  <c r="C129" i="22"/>
  <c r="G128" i="22"/>
  <c r="C128" i="22"/>
  <c r="G127" i="22"/>
  <c r="C127" i="22"/>
  <c r="G125" i="22"/>
  <c r="C125" i="22"/>
  <c r="G124" i="22"/>
  <c r="C124" i="22"/>
  <c r="G123" i="22"/>
  <c r="C123" i="22"/>
  <c r="G122" i="22"/>
  <c r="C122" i="22"/>
  <c r="G121" i="22"/>
  <c r="C121" i="22"/>
  <c r="G120" i="22"/>
  <c r="C120" i="22"/>
  <c r="G119" i="22"/>
  <c r="C119" i="22"/>
  <c r="G118" i="22"/>
  <c r="C118" i="22"/>
  <c r="G116" i="22"/>
  <c r="C116" i="22"/>
  <c r="G115" i="22"/>
  <c r="C115" i="22"/>
  <c r="G114" i="22"/>
  <c r="C114" i="22"/>
  <c r="G113" i="22"/>
  <c r="C113" i="22"/>
  <c r="G112" i="22"/>
  <c r="C112" i="22"/>
  <c r="G111" i="22"/>
  <c r="C111" i="22"/>
  <c r="B44" i="27"/>
  <c r="B45" i="27"/>
  <c r="B46" i="27"/>
  <c r="B47" i="27"/>
  <c r="B48" i="27"/>
  <c r="B22" i="27"/>
  <c r="B21" i="27"/>
  <c r="B52" i="27"/>
  <c r="B53" i="27"/>
  <c r="B54" i="27"/>
  <c r="B55" i="27"/>
  <c r="B51" i="27"/>
  <c r="B76" i="27"/>
  <c r="B75" i="27"/>
  <c r="B74" i="27"/>
  <c r="B73" i="27"/>
  <c r="B72" i="27"/>
  <c r="C14" i="25"/>
  <c r="G14" i="25"/>
  <c r="K14" i="25"/>
  <c r="P14" i="25"/>
  <c r="C15" i="25"/>
  <c r="G15" i="25"/>
  <c r="K15" i="25"/>
  <c r="P15" i="25"/>
  <c r="C16" i="25"/>
  <c r="G16" i="25"/>
  <c r="K16" i="25"/>
  <c r="P16" i="25"/>
  <c r="P116" i="25"/>
  <c r="K116" i="25"/>
  <c r="G116" i="25"/>
  <c r="C116" i="25"/>
  <c r="P115" i="25"/>
  <c r="K115" i="25"/>
  <c r="G115" i="25"/>
  <c r="C115" i="25"/>
  <c r="P114" i="25"/>
  <c r="K114" i="25"/>
  <c r="G114" i="25"/>
  <c r="C114" i="25"/>
  <c r="P113" i="25"/>
  <c r="K113" i="25"/>
  <c r="G113" i="25"/>
  <c r="C113" i="25"/>
  <c r="P112" i="25"/>
  <c r="K112" i="25"/>
  <c r="G112" i="25"/>
  <c r="C112" i="25"/>
  <c r="P111" i="25"/>
  <c r="K111" i="25"/>
  <c r="G111" i="25"/>
  <c r="C111" i="25"/>
  <c r="P109" i="25"/>
  <c r="K109" i="25"/>
  <c r="G109" i="25"/>
  <c r="C109" i="25"/>
  <c r="P108" i="25"/>
  <c r="K108" i="25"/>
  <c r="G108" i="25"/>
  <c r="C108" i="25"/>
  <c r="P107" i="25"/>
  <c r="K107" i="25"/>
  <c r="G107" i="25"/>
  <c r="C107" i="25"/>
  <c r="P106" i="25"/>
  <c r="K106" i="25"/>
  <c r="G106" i="25"/>
  <c r="C106" i="25"/>
  <c r="P105" i="25"/>
  <c r="K105" i="25"/>
  <c r="G105" i="25"/>
  <c r="C105" i="25"/>
  <c r="P104" i="25"/>
  <c r="K104" i="25"/>
  <c r="G104" i="25"/>
  <c r="C104" i="25"/>
  <c r="P103" i="25"/>
  <c r="K103" i="25"/>
  <c r="G103" i="25"/>
  <c r="C103" i="25"/>
  <c r="P102" i="25"/>
  <c r="K102" i="25"/>
  <c r="G102" i="25"/>
  <c r="C102" i="25"/>
  <c r="P100" i="25"/>
  <c r="K100" i="25"/>
  <c r="G100" i="25"/>
  <c r="C100" i="25"/>
  <c r="P99" i="25"/>
  <c r="K99" i="25"/>
  <c r="G99" i="25"/>
  <c r="C99" i="25"/>
  <c r="P98" i="25"/>
  <c r="K98" i="25"/>
  <c r="G98" i="25"/>
  <c r="C98" i="25"/>
  <c r="P97" i="25"/>
  <c r="K97" i="25"/>
  <c r="G97" i="25"/>
  <c r="C97" i="25"/>
  <c r="P96" i="25"/>
  <c r="K96" i="25"/>
  <c r="G96" i="25"/>
  <c r="C96" i="25"/>
  <c r="P95" i="25"/>
  <c r="K95" i="25"/>
  <c r="G95" i="25"/>
  <c r="C95" i="25"/>
  <c r="C12" i="25"/>
  <c r="G12" i="25"/>
  <c r="K12" i="25"/>
  <c r="P12" i="25"/>
  <c r="C13" i="25"/>
  <c r="G13" i="25"/>
  <c r="K13" i="25"/>
  <c r="P13" i="25"/>
  <c r="P92" i="25"/>
  <c r="P91" i="25"/>
  <c r="P90" i="25"/>
  <c r="P89" i="25"/>
  <c r="P88" i="25"/>
  <c r="P87" i="25"/>
  <c r="P81" i="25"/>
  <c r="P80" i="25"/>
  <c r="P79" i="25"/>
  <c r="P78" i="25"/>
  <c r="P77" i="25"/>
  <c r="P76" i="25"/>
  <c r="P75" i="25"/>
  <c r="P74" i="25"/>
  <c r="P72" i="25"/>
  <c r="P71" i="25"/>
  <c r="P70" i="25"/>
  <c r="P69" i="25"/>
  <c r="P68" i="25"/>
  <c r="P67" i="25"/>
  <c r="P64" i="25"/>
  <c r="P63" i="25"/>
  <c r="P62" i="25"/>
  <c r="P61" i="25"/>
  <c r="P60" i="25"/>
  <c r="P59" i="25"/>
  <c r="P54" i="25"/>
  <c r="P53" i="25"/>
  <c r="P52" i="25"/>
  <c r="P51" i="25"/>
  <c r="P50" i="25"/>
  <c r="P49" i="25"/>
  <c r="P48" i="25"/>
  <c r="P47" i="25"/>
  <c r="P45" i="25"/>
  <c r="P44" i="25"/>
  <c r="P43" i="25"/>
  <c r="P42" i="25"/>
  <c r="P41" i="25"/>
  <c r="P40" i="25"/>
  <c r="P37" i="25"/>
  <c r="P36" i="25"/>
  <c r="P35" i="25"/>
  <c r="P34" i="25"/>
  <c r="P33" i="25"/>
  <c r="P32" i="25"/>
  <c r="P25" i="25"/>
  <c r="P24" i="25"/>
  <c r="P23" i="25"/>
  <c r="P22" i="25"/>
  <c r="P21" i="25"/>
  <c r="P20" i="25"/>
  <c r="P19" i="25"/>
  <c r="P18" i="25"/>
  <c r="P11" i="25"/>
  <c r="P10" i="25"/>
  <c r="P9" i="25"/>
  <c r="P8" i="25"/>
  <c r="P7" i="25"/>
  <c r="P6" i="25"/>
  <c r="K92" i="25"/>
  <c r="K91" i="25"/>
  <c r="K90" i="25"/>
  <c r="K89" i="25"/>
  <c r="K88" i="25"/>
  <c r="K87" i="25"/>
  <c r="K81" i="25"/>
  <c r="K80" i="25"/>
  <c r="K79" i="25"/>
  <c r="K78" i="25"/>
  <c r="K77" i="25"/>
  <c r="K76" i="25"/>
  <c r="K75" i="25"/>
  <c r="K74" i="25"/>
  <c r="K72" i="25"/>
  <c r="K71" i="25"/>
  <c r="K70" i="25"/>
  <c r="K69" i="25"/>
  <c r="K68" i="25"/>
  <c r="K67" i="25"/>
  <c r="K64" i="25"/>
  <c r="K63" i="25"/>
  <c r="K62" i="25"/>
  <c r="K61" i="25"/>
  <c r="K60" i="25"/>
  <c r="K59" i="25"/>
  <c r="K54" i="25"/>
  <c r="K53" i="25"/>
  <c r="K52" i="25"/>
  <c r="K51" i="25"/>
  <c r="K50" i="25"/>
  <c r="K49" i="25"/>
  <c r="K48" i="25"/>
  <c r="K47" i="25"/>
  <c r="K45" i="25"/>
  <c r="K44" i="25"/>
  <c r="K43" i="25"/>
  <c r="K42" i="25"/>
  <c r="K41" i="25"/>
  <c r="K40" i="25"/>
  <c r="K37" i="25"/>
  <c r="K36" i="25"/>
  <c r="K35" i="25"/>
  <c r="K34" i="25"/>
  <c r="K33" i="25"/>
  <c r="K32" i="25"/>
  <c r="K25" i="25"/>
  <c r="K24" i="25"/>
  <c r="K23" i="25"/>
  <c r="K22" i="25"/>
  <c r="K21" i="25"/>
  <c r="K20" i="25"/>
  <c r="K19" i="25"/>
  <c r="K18" i="25"/>
  <c r="K11" i="25"/>
  <c r="K10" i="25"/>
  <c r="K9" i="25"/>
  <c r="K8" i="25"/>
  <c r="K7" i="25"/>
  <c r="K6" i="25"/>
  <c r="B49" i="27"/>
  <c r="B20" i="27"/>
  <c r="B19" i="27"/>
  <c r="B43" i="27"/>
  <c r="B16" i="27"/>
  <c r="B15" i="27"/>
  <c r="B14" i="27"/>
  <c r="B13" i="27"/>
  <c r="B12" i="27"/>
  <c r="B10" i="26"/>
  <c r="B26" i="26"/>
  <c r="B9" i="26"/>
  <c r="B50" i="26" l="1"/>
  <c r="B49" i="26"/>
  <c r="B48" i="26"/>
  <c r="B47" i="26"/>
  <c r="B29" i="26"/>
  <c r="B28" i="26"/>
  <c r="B27" i="26"/>
  <c r="B25" i="26"/>
  <c r="B24" i="26"/>
  <c r="B23" i="26"/>
  <c r="B22" i="26"/>
  <c r="B21" i="26"/>
  <c r="B20" i="26"/>
  <c r="B5" i="26"/>
  <c r="B4" i="26"/>
  <c r="B18" i="26"/>
  <c r="B30" i="26"/>
  <c r="B19" i="26"/>
  <c r="B6" i="26"/>
  <c r="B45" i="26"/>
  <c r="B46" i="26"/>
  <c r="B17" i="26"/>
  <c r="B44" i="26"/>
  <c r="B43" i="26"/>
  <c r="B42" i="26"/>
  <c r="B41" i="26"/>
  <c r="B38" i="26"/>
  <c r="B37" i="26"/>
  <c r="B36" i="26"/>
  <c r="B35" i="26"/>
  <c r="B34" i="26"/>
  <c r="B33" i="26"/>
  <c r="B16" i="26"/>
  <c r="B15" i="26"/>
  <c r="B14" i="26"/>
  <c r="B13" i="26"/>
  <c r="C48" i="22" l="1"/>
  <c r="G48" i="22"/>
  <c r="C49" i="22"/>
  <c r="G49" i="22"/>
  <c r="C50" i="22"/>
  <c r="G50" i="22"/>
  <c r="C51" i="22"/>
  <c r="G51" i="22"/>
  <c r="C52" i="22"/>
  <c r="G52" i="22"/>
  <c r="G108" i="22"/>
  <c r="C108" i="22"/>
  <c r="G107" i="22"/>
  <c r="C107" i="22"/>
  <c r="G106" i="22"/>
  <c r="C106" i="22"/>
  <c r="G105" i="22"/>
  <c r="C105" i="22"/>
  <c r="G104" i="22"/>
  <c r="C104" i="22"/>
  <c r="G103" i="22"/>
  <c r="C103" i="22"/>
  <c r="G101" i="22"/>
  <c r="C101" i="22"/>
  <c r="G100" i="22"/>
  <c r="C100" i="22"/>
  <c r="G99" i="22"/>
  <c r="C99" i="22"/>
  <c r="G98" i="22"/>
  <c r="C98" i="22"/>
  <c r="G97" i="22"/>
  <c r="C97" i="22"/>
  <c r="G96" i="22"/>
  <c r="C96" i="22"/>
  <c r="G95" i="22"/>
  <c r="C95" i="22"/>
  <c r="G94" i="22"/>
  <c r="C94" i="22"/>
  <c r="G92" i="22"/>
  <c r="C92" i="22"/>
  <c r="G91" i="22"/>
  <c r="C91" i="22"/>
  <c r="G90" i="22"/>
  <c r="C90" i="22"/>
  <c r="G89" i="22"/>
  <c r="C89" i="22"/>
  <c r="G88" i="22"/>
  <c r="C88" i="22"/>
  <c r="G87" i="22"/>
  <c r="C87" i="22"/>
  <c r="G84" i="22" l="1"/>
  <c r="C84" i="22"/>
  <c r="G83" i="22"/>
  <c r="C83" i="22"/>
  <c r="G82" i="22"/>
  <c r="C82" i="22"/>
  <c r="G81" i="22"/>
  <c r="C81" i="22"/>
  <c r="G80" i="22"/>
  <c r="C80" i="22"/>
  <c r="G79" i="22"/>
  <c r="C79" i="22"/>
  <c r="G77" i="22"/>
  <c r="C77" i="22"/>
  <c r="G76" i="22"/>
  <c r="C76" i="22"/>
  <c r="G75" i="22"/>
  <c r="C75" i="22"/>
  <c r="G74" i="22"/>
  <c r="C74" i="22"/>
  <c r="G73" i="22"/>
  <c r="C73" i="22"/>
  <c r="G72" i="22"/>
  <c r="C72" i="22"/>
  <c r="G71" i="22"/>
  <c r="C71" i="22"/>
  <c r="G70" i="22"/>
  <c r="C70" i="22"/>
  <c r="G68" i="22"/>
  <c r="C68" i="22"/>
  <c r="G67" i="22"/>
  <c r="C67" i="22"/>
  <c r="G66" i="22"/>
  <c r="C66" i="22"/>
  <c r="G65" i="22"/>
  <c r="C65" i="22"/>
  <c r="G64" i="22"/>
  <c r="C64" i="22"/>
  <c r="G63" i="22"/>
  <c r="C63" i="22"/>
  <c r="G60" i="22"/>
  <c r="C60" i="22"/>
  <c r="G59" i="22"/>
  <c r="C59" i="22"/>
  <c r="G58" i="22"/>
  <c r="C58" i="22"/>
  <c r="G57" i="22"/>
  <c r="C57" i="22"/>
  <c r="G56" i="22"/>
  <c r="C56" i="22"/>
  <c r="G55" i="22"/>
  <c r="C55" i="22"/>
  <c r="G47" i="22"/>
  <c r="C47" i="22"/>
  <c r="G46" i="22"/>
  <c r="C46" i="22"/>
  <c r="G45" i="22"/>
  <c r="C45" i="22"/>
  <c r="G44" i="22"/>
  <c r="C44" i="22"/>
  <c r="G43" i="22"/>
  <c r="C43" i="22"/>
  <c r="G42" i="22"/>
  <c r="C42" i="22"/>
  <c r="G41" i="22"/>
  <c r="C41" i="22"/>
  <c r="G40" i="22"/>
  <c r="C40" i="22"/>
  <c r="G38" i="22"/>
  <c r="C38" i="22"/>
  <c r="G37" i="22"/>
  <c r="C37" i="22"/>
  <c r="G36" i="22"/>
  <c r="C36" i="22"/>
  <c r="G35" i="22"/>
  <c r="C35" i="22"/>
  <c r="G34" i="22"/>
  <c r="C34" i="22"/>
  <c r="G33" i="22"/>
  <c r="C33" i="22"/>
  <c r="G92" i="25"/>
  <c r="C92" i="25"/>
  <c r="G91" i="25"/>
  <c r="C91" i="25"/>
  <c r="G90" i="25"/>
  <c r="C90" i="25"/>
  <c r="G89" i="25"/>
  <c r="C89" i="25"/>
  <c r="G88" i="25"/>
  <c r="C88" i="25"/>
  <c r="G87" i="25"/>
  <c r="C87" i="25"/>
  <c r="G81" i="25"/>
  <c r="C81" i="25"/>
  <c r="G80" i="25"/>
  <c r="C80" i="25"/>
  <c r="G79" i="25"/>
  <c r="C79" i="25"/>
  <c r="G78" i="25"/>
  <c r="C78" i="25"/>
  <c r="G77" i="25"/>
  <c r="C77" i="25"/>
  <c r="G76" i="25"/>
  <c r="C76" i="25"/>
  <c r="G75" i="25"/>
  <c r="C75" i="25"/>
  <c r="G74" i="25"/>
  <c r="C74" i="25"/>
  <c r="G72" i="25"/>
  <c r="C72" i="25"/>
  <c r="G71" i="25"/>
  <c r="C71" i="25"/>
  <c r="G70" i="25"/>
  <c r="C70" i="25"/>
  <c r="G69" i="25"/>
  <c r="C69" i="25"/>
  <c r="G68" i="25"/>
  <c r="C68" i="25"/>
  <c r="G67" i="25"/>
  <c r="C67" i="25"/>
  <c r="G64" i="25"/>
  <c r="C64" i="25"/>
  <c r="G63" i="25"/>
  <c r="C63" i="25"/>
  <c r="G62" i="25"/>
  <c r="C62" i="25"/>
  <c r="G61" i="25"/>
  <c r="C61" i="25"/>
  <c r="G60" i="25"/>
  <c r="C60" i="25"/>
  <c r="G59" i="25"/>
  <c r="C59" i="25"/>
  <c r="G54" i="25"/>
  <c r="C54" i="25"/>
  <c r="G53" i="25"/>
  <c r="C53" i="25"/>
  <c r="G52" i="25"/>
  <c r="C52" i="25"/>
  <c r="G51" i="25"/>
  <c r="C51" i="25"/>
  <c r="G50" i="25"/>
  <c r="C50" i="25"/>
  <c r="G49" i="25"/>
  <c r="C49" i="25"/>
  <c r="G48" i="25"/>
  <c r="C48" i="25"/>
  <c r="G47" i="25"/>
  <c r="C47" i="25"/>
  <c r="G45" i="25"/>
  <c r="C45" i="25"/>
  <c r="G44" i="25"/>
  <c r="C44" i="25"/>
  <c r="G43" i="25"/>
  <c r="C43" i="25"/>
  <c r="G42" i="25"/>
  <c r="C42" i="25"/>
  <c r="G41" i="25"/>
  <c r="C41" i="25"/>
  <c r="G40" i="25"/>
  <c r="C40" i="25"/>
  <c r="G37" i="25"/>
  <c r="C37" i="25"/>
  <c r="G36" i="25"/>
  <c r="C36" i="25"/>
  <c r="G35" i="25"/>
  <c r="C35" i="25"/>
  <c r="G34" i="25"/>
  <c r="C34" i="25"/>
  <c r="G33" i="25"/>
  <c r="C33" i="25"/>
  <c r="G32" i="25"/>
  <c r="C32" i="25"/>
  <c r="G25" i="25"/>
  <c r="C25" i="25"/>
  <c r="G24" i="25"/>
  <c r="C24" i="25"/>
  <c r="G23" i="25"/>
  <c r="C23" i="25"/>
  <c r="G22" i="25"/>
  <c r="C22" i="25"/>
  <c r="G21" i="25"/>
  <c r="C21" i="25"/>
  <c r="G20" i="25"/>
  <c r="C20" i="25"/>
  <c r="G19" i="25"/>
  <c r="C19" i="25"/>
  <c r="G18" i="25"/>
  <c r="C18" i="25"/>
  <c r="G11" i="25"/>
  <c r="C11" i="25"/>
  <c r="G10" i="25"/>
  <c r="C10" i="25"/>
  <c r="G9" i="25"/>
  <c r="C9" i="25"/>
  <c r="G8" i="25"/>
  <c r="C8" i="25"/>
  <c r="G7" i="25"/>
  <c r="C7" i="25"/>
  <c r="G6" i="25"/>
  <c r="C6" i="25"/>
  <c r="C367" i="2"/>
  <c r="H367" i="2"/>
  <c r="C368" i="2"/>
  <c r="H368" i="2"/>
  <c r="C369" i="2"/>
  <c r="H369" i="2"/>
  <c r="C370" i="2"/>
  <c r="H370" i="2"/>
  <c r="C371" i="2"/>
  <c r="H371" i="2"/>
  <c r="C372" i="2"/>
  <c r="H372" i="2"/>
  <c r="H318" i="2"/>
  <c r="H319" i="2"/>
  <c r="H320" i="2"/>
  <c r="C361" i="2"/>
  <c r="H361" i="2"/>
  <c r="C362" i="2"/>
  <c r="H362" i="2"/>
  <c r="C363" i="2"/>
  <c r="H363" i="2"/>
  <c r="C364" i="2"/>
  <c r="H364" i="2"/>
  <c r="C365" i="2"/>
  <c r="H365" i="2"/>
  <c r="C366" i="2"/>
  <c r="H366" i="2"/>
  <c r="H308" i="2"/>
  <c r="H311" i="2"/>
  <c r="H305" i="2"/>
  <c r="H300" i="2"/>
  <c r="H304" i="2"/>
  <c r="H303" i="2"/>
  <c r="H302" i="2"/>
  <c r="H331" i="2"/>
  <c r="H338" i="2" l="1"/>
  <c r="H337" i="2"/>
  <c r="H336" i="2"/>
  <c r="H335" i="2"/>
  <c r="H334" i="2"/>
  <c r="H333" i="2"/>
  <c r="B640" i="24"/>
  <c r="B639" i="24"/>
  <c r="B638" i="24"/>
  <c r="B637" i="24"/>
  <c r="B636" i="24"/>
  <c r="B635" i="24"/>
  <c r="B634" i="24"/>
  <c r="B633" i="24"/>
  <c r="B632" i="24"/>
  <c r="B631" i="24"/>
  <c r="B630" i="24"/>
  <c r="B629" i="24"/>
  <c r="B627" i="24"/>
  <c r="B626" i="24"/>
  <c r="B625" i="24"/>
  <c r="B624" i="24"/>
  <c r="B623" i="24"/>
  <c r="B622" i="24"/>
  <c r="B621" i="24"/>
  <c r="B620" i="24"/>
  <c r="B619" i="24"/>
  <c r="B618" i="24"/>
  <c r="B617" i="24"/>
  <c r="B616" i="24"/>
  <c r="B614" i="24"/>
  <c r="B613" i="24"/>
  <c r="B612" i="24"/>
  <c r="B611" i="24"/>
  <c r="B610" i="24"/>
  <c r="B609" i="24"/>
  <c r="B608" i="24"/>
  <c r="B607" i="24"/>
  <c r="B606" i="24"/>
  <c r="B605" i="24"/>
  <c r="B604" i="24"/>
  <c r="B603" i="24"/>
  <c r="B602" i="24"/>
  <c r="B601" i="24"/>
  <c r="B600" i="24"/>
  <c r="B599" i="24"/>
  <c r="B591" i="24"/>
  <c r="B590" i="24"/>
  <c r="B589" i="24"/>
  <c r="B588" i="24"/>
  <c r="B587" i="24"/>
  <c r="B586" i="24"/>
  <c r="B585" i="24"/>
  <c r="B584" i="24"/>
  <c r="B583" i="24"/>
  <c r="B582" i="24"/>
  <c r="B581" i="24"/>
  <c r="B580" i="24"/>
  <c r="B579" i="24"/>
  <c r="B578" i="24"/>
  <c r="B577" i="24"/>
  <c r="B576" i="24"/>
  <c r="B575" i="24"/>
  <c r="B574" i="24"/>
  <c r="B572" i="24"/>
  <c r="B571" i="24"/>
  <c r="B570" i="24"/>
  <c r="B569" i="24"/>
  <c r="B568" i="24"/>
  <c r="B567" i="24"/>
  <c r="B566" i="24"/>
  <c r="B565" i="24"/>
  <c r="B564" i="24"/>
  <c r="B563" i="24"/>
  <c r="B562" i="24"/>
  <c r="B561" i="24"/>
  <c r="B560" i="24"/>
  <c r="B559" i="24"/>
  <c r="B558" i="24"/>
  <c r="B557" i="24"/>
  <c r="B556" i="24"/>
  <c r="B555" i="24"/>
  <c r="B553" i="24"/>
  <c r="B552" i="24"/>
  <c r="B551" i="24"/>
  <c r="B550" i="24"/>
  <c r="B549" i="24"/>
  <c r="B548" i="24"/>
  <c r="B547" i="24"/>
  <c r="B546" i="24"/>
  <c r="B545" i="24"/>
  <c r="B544" i="24"/>
  <c r="B543" i="24"/>
  <c r="B542" i="24"/>
  <c r="B541" i="24"/>
  <c r="B540" i="24"/>
  <c r="B539" i="24"/>
  <c r="B537" i="24"/>
  <c r="B536" i="24"/>
  <c r="B535" i="24"/>
  <c r="B534" i="24"/>
  <c r="B533" i="24"/>
  <c r="B532" i="24"/>
  <c r="B531" i="24"/>
  <c r="B530" i="24"/>
  <c r="B529" i="24"/>
  <c r="B528" i="24"/>
  <c r="B527" i="24"/>
  <c r="B526" i="24"/>
  <c r="B525" i="24"/>
  <c r="B524" i="24"/>
  <c r="B523" i="24"/>
  <c r="B522" i="24"/>
  <c r="B414" i="24"/>
  <c r="B413" i="24"/>
  <c r="B412" i="24"/>
  <c r="B411" i="24"/>
  <c r="B410" i="24"/>
  <c r="B407" i="24"/>
  <c r="B406" i="24"/>
  <c r="B405" i="24"/>
  <c r="B404" i="24"/>
  <c r="B403" i="24"/>
  <c r="B402" i="24"/>
  <c r="B401" i="24"/>
  <c r="B400" i="24"/>
  <c r="B399" i="24"/>
  <c r="B398" i="24"/>
  <c r="B397" i="24"/>
  <c r="B396" i="24"/>
  <c r="B395" i="24"/>
  <c r="B392" i="24"/>
  <c r="B391" i="24"/>
  <c r="B390" i="24"/>
  <c r="B389" i="24"/>
  <c r="B388" i="24"/>
  <c r="B387" i="24"/>
  <c r="B386" i="24"/>
  <c r="B385" i="24"/>
  <c r="B384" i="24"/>
  <c r="B383" i="24"/>
  <c r="B382" i="24"/>
  <c r="B381" i="24"/>
  <c r="B380" i="24"/>
  <c r="B379" i="24"/>
  <c r="B378" i="24"/>
  <c r="B377" i="24"/>
  <c r="B376" i="24"/>
  <c r="B375" i="24"/>
  <c r="B374" i="24"/>
  <c r="B373" i="24"/>
  <c r="B372" i="24"/>
  <c r="B371" i="24"/>
  <c r="B370" i="24"/>
  <c r="B364" i="24"/>
  <c r="B361" i="24"/>
  <c r="B360" i="24"/>
  <c r="B359"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8" i="24"/>
  <c r="B297" i="24"/>
  <c r="B296" i="24"/>
  <c r="B295" i="24"/>
  <c r="B294" i="24"/>
  <c r="B293" i="24"/>
  <c r="B292" i="24"/>
  <c r="B291" i="24"/>
  <c r="B290" i="24"/>
  <c r="B289" i="24"/>
  <c r="B288" i="24"/>
  <c r="B287" i="24"/>
  <c r="B286" i="24"/>
  <c r="B285" i="24"/>
  <c r="B284" i="24"/>
  <c r="B283" i="24"/>
  <c r="B280" i="24"/>
  <c r="B279" i="24"/>
  <c r="B278" i="24"/>
  <c r="B277" i="24"/>
  <c r="B276" i="24"/>
  <c r="B275" i="24"/>
  <c r="B274" i="24"/>
  <c r="B272" i="24"/>
  <c r="B271" i="24"/>
  <c r="B270" i="24"/>
  <c r="B269" i="24"/>
  <c r="B268" i="24"/>
  <c r="B267" i="24"/>
  <c r="B266" i="24"/>
  <c r="B265" i="24"/>
  <c r="B264" i="24"/>
  <c r="B263" i="24"/>
  <c r="B262" i="24"/>
  <c r="B261" i="24"/>
  <c r="B260" i="24"/>
  <c r="B259" i="24"/>
  <c r="B257" i="24"/>
  <c r="B256" i="24"/>
  <c r="B255" i="24"/>
  <c r="B254" i="24"/>
  <c r="B253" i="24"/>
  <c r="B252"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2" i="24"/>
  <c r="B201" i="24"/>
  <c r="B200" i="24"/>
  <c r="B199" i="24"/>
  <c r="B198" i="24"/>
  <c r="B197" i="24"/>
  <c r="B196" i="24"/>
  <c r="B195" i="24"/>
  <c r="B194" i="24"/>
  <c r="B193" i="24"/>
  <c r="B192" i="24"/>
  <c r="B191" i="24"/>
  <c r="B190" i="24"/>
  <c r="B189" i="24"/>
  <c r="B188" i="24"/>
  <c r="B187" i="24"/>
  <c r="B186"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3" i="24"/>
  <c r="B22" i="24"/>
  <c r="B21" i="24"/>
  <c r="B20" i="24"/>
  <c r="B19" i="24"/>
  <c r="B18" i="24"/>
  <c r="B17" i="24"/>
  <c r="B16" i="24"/>
  <c r="B15" i="24"/>
  <c r="B14" i="24"/>
  <c r="B13" i="24"/>
  <c r="B12" i="24"/>
  <c r="B11" i="24"/>
  <c r="B10" i="24"/>
  <c r="B9" i="24"/>
  <c r="B8" i="24"/>
  <c r="B7" i="24"/>
  <c r="B6" i="24"/>
  <c r="C536" i="2"/>
  <c r="H536" i="2"/>
  <c r="C537" i="2"/>
  <c r="H537" i="2"/>
  <c r="C538" i="2"/>
  <c r="H538" i="2"/>
  <c r="H74" i="2" l="1"/>
  <c r="H73" i="2"/>
  <c r="H86" i="2"/>
  <c r="H85" i="2"/>
  <c r="H84" i="2"/>
  <c r="H83" i="2"/>
  <c r="H82" i="2"/>
  <c r="H81" i="2"/>
  <c r="H80" i="2"/>
  <c r="H79" i="2"/>
  <c r="H78" i="2"/>
  <c r="H77" i="2"/>
  <c r="H76" i="2"/>
  <c r="H272" i="2"/>
  <c r="C272" i="2"/>
  <c r="H271" i="2"/>
  <c r="C271" i="2"/>
  <c r="H270" i="2"/>
  <c r="C270" i="2"/>
  <c r="H269" i="2"/>
  <c r="C269" i="2"/>
  <c r="H268" i="2"/>
  <c r="C268" i="2"/>
  <c r="H267" i="2"/>
  <c r="C267" i="2"/>
  <c r="H266" i="2"/>
  <c r="C266" i="2"/>
  <c r="B225" i="3" l="1"/>
  <c r="B226" i="3"/>
  <c r="B227" i="3"/>
  <c r="B228" i="3"/>
  <c r="B229" i="3"/>
  <c r="B230" i="3"/>
  <c r="B231" i="3"/>
  <c r="B232" i="3"/>
  <c r="B233" i="3"/>
  <c r="B234" i="3"/>
  <c r="H234" i="2"/>
  <c r="C234" i="2"/>
  <c r="H233" i="2"/>
  <c r="C233" i="2"/>
  <c r="H232" i="2"/>
  <c r="C232" i="2"/>
  <c r="H231" i="2"/>
  <c r="C231" i="2"/>
  <c r="H230" i="2"/>
  <c r="C230" i="2"/>
  <c r="H229" i="2"/>
  <c r="C229" i="2"/>
  <c r="H228" i="2"/>
  <c r="C228" i="2"/>
  <c r="H227" i="2"/>
  <c r="C227" i="2"/>
  <c r="H226" i="2"/>
  <c r="C226" i="2"/>
  <c r="H225" i="2"/>
  <c r="C225" i="2"/>
  <c r="H224" i="2"/>
  <c r="C224" i="2"/>
  <c r="H223" i="2"/>
  <c r="C223" i="2"/>
  <c r="H194" i="2"/>
  <c r="C194" i="2"/>
  <c r="H193" i="2"/>
  <c r="C193" i="2"/>
  <c r="H192" i="2"/>
  <c r="C192" i="2"/>
  <c r="H191" i="2"/>
  <c r="C191" i="2"/>
  <c r="H190" i="2"/>
  <c r="C190" i="2"/>
  <c r="C216" i="2"/>
  <c r="H216" i="2"/>
  <c r="C217" i="2"/>
  <c r="H217" i="2"/>
  <c r="C218" i="2"/>
  <c r="H218" i="2"/>
  <c r="C219" i="2"/>
  <c r="H219" i="2"/>
  <c r="C220" i="2"/>
  <c r="H220" i="2"/>
  <c r="C221" i="2"/>
  <c r="H221" i="2"/>
  <c r="C120" i="2"/>
  <c r="H175" i="2"/>
  <c r="H174" i="2"/>
  <c r="H173" i="2"/>
  <c r="H172" i="2"/>
  <c r="H171" i="2"/>
  <c r="H170" i="2"/>
  <c r="H169" i="2"/>
  <c r="H167" i="2"/>
  <c r="H166" i="2"/>
  <c r="H165" i="2"/>
  <c r="H164" i="2"/>
  <c r="H163" i="2"/>
  <c r="H162" i="2"/>
  <c r="H161" i="2"/>
  <c r="H160" i="2"/>
  <c r="H159" i="2"/>
  <c r="H158" i="2"/>
  <c r="H157" i="2"/>
  <c r="H156" i="2"/>
  <c r="H155" i="2"/>
  <c r="H153" i="2"/>
  <c r="H152" i="2"/>
  <c r="H151" i="2"/>
  <c r="H150" i="2"/>
  <c r="H149" i="2"/>
  <c r="H148" i="2"/>
  <c r="H147" i="2"/>
  <c r="H146" i="2"/>
  <c r="H145" i="2"/>
  <c r="H144" i="2"/>
  <c r="H143" i="2"/>
  <c r="H142" i="2"/>
  <c r="H141" i="2"/>
  <c r="H140" i="2"/>
  <c r="H139" i="2"/>
  <c r="H138" i="2"/>
  <c r="H137" i="2"/>
  <c r="H134" i="2"/>
  <c r="H133" i="2"/>
  <c r="H132" i="2"/>
  <c r="H131" i="2"/>
  <c r="H130" i="2"/>
  <c r="H129" i="2"/>
  <c r="H128" i="2"/>
  <c r="H127" i="2"/>
  <c r="H126" i="2"/>
  <c r="H125" i="2"/>
  <c r="H124" i="2"/>
  <c r="H123" i="2"/>
  <c r="H122" i="2"/>
  <c r="H121" i="2"/>
  <c r="H120" i="2"/>
  <c r="H119" i="2"/>
  <c r="H118" i="2"/>
  <c r="H117" i="2"/>
  <c r="H116" i="2"/>
  <c r="H115" i="2"/>
  <c r="H114" i="2"/>
  <c r="H112" i="2"/>
  <c r="H111" i="2"/>
  <c r="H110" i="2"/>
  <c r="H109" i="2"/>
  <c r="H108" i="2"/>
  <c r="H107" i="2"/>
  <c r="H106" i="2"/>
  <c r="H105" i="2"/>
  <c r="H104" i="2"/>
  <c r="H103" i="2"/>
  <c r="H102" i="2"/>
  <c r="H101" i="2"/>
  <c r="H100" i="2"/>
  <c r="H99" i="2"/>
  <c r="H98" i="2"/>
  <c r="H97" i="2"/>
  <c r="H96" i="2"/>
  <c r="H95" i="2"/>
  <c r="H94" i="2"/>
  <c r="C76" i="2"/>
  <c r="C175" i="2"/>
  <c r="C174" i="2"/>
  <c r="C173" i="2"/>
  <c r="C172" i="2"/>
  <c r="C171" i="2"/>
  <c r="C170" i="2"/>
  <c r="C169" i="2"/>
  <c r="C167" i="2"/>
  <c r="C166" i="2"/>
  <c r="C165" i="2"/>
  <c r="C164" i="2"/>
  <c r="C163" i="2"/>
  <c r="C162" i="2"/>
  <c r="C161" i="2"/>
  <c r="C160" i="2"/>
  <c r="C159" i="2"/>
  <c r="C158" i="2"/>
  <c r="C157" i="2"/>
  <c r="C156" i="2"/>
  <c r="C155" i="2"/>
  <c r="C153" i="2"/>
  <c r="C152" i="2"/>
  <c r="C151" i="2"/>
  <c r="C150" i="2"/>
  <c r="C149" i="2"/>
  <c r="C148" i="2"/>
  <c r="C147" i="2"/>
  <c r="C146" i="2"/>
  <c r="C145" i="2"/>
  <c r="C144" i="2"/>
  <c r="C143" i="2"/>
  <c r="C142" i="2"/>
  <c r="C141" i="2"/>
  <c r="C140" i="2"/>
  <c r="C139" i="2"/>
  <c r="C138" i="2"/>
  <c r="C137" i="2"/>
  <c r="C134" i="2"/>
  <c r="C133" i="2"/>
  <c r="C132" i="2"/>
  <c r="C131" i="2"/>
  <c r="C130" i="2"/>
  <c r="C129" i="2"/>
  <c r="C128" i="2"/>
  <c r="C127" i="2"/>
  <c r="C126" i="2"/>
  <c r="C125" i="2"/>
  <c r="C124" i="2"/>
  <c r="C123" i="2"/>
  <c r="C122" i="2"/>
  <c r="C121" i="2"/>
  <c r="C119" i="2"/>
  <c r="C118" i="2"/>
  <c r="C117" i="2"/>
  <c r="C116" i="2"/>
  <c r="C115" i="2"/>
  <c r="C114" i="2"/>
  <c r="C112" i="2"/>
  <c r="C111" i="2"/>
  <c r="C110" i="2"/>
  <c r="C109" i="2"/>
  <c r="C108" i="2"/>
  <c r="C107" i="2"/>
  <c r="C106" i="2"/>
  <c r="C105" i="2"/>
  <c r="C104" i="2"/>
  <c r="C103" i="2"/>
  <c r="C102" i="2"/>
  <c r="C101" i="2"/>
  <c r="C100" i="2"/>
  <c r="C99" i="2"/>
  <c r="C98" i="2"/>
  <c r="C97" i="2"/>
  <c r="C96" i="2"/>
  <c r="C95" i="2"/>
  <c r="C94" i="2"/>
  <c r="H576" i="2"/>
  <c r="C576" i="2"/>
  <c r="H575" i="2"/>
  <c r="C575" i="2"/>
  <c r="H574" i="2"/>
  <c r="C574" i="2"/>
  <c r="H573" i="2"/>
  <c r="C573" i="2"/>
  <c r="H572" i="2"/>
  <c r="C572" i="2"/>
  <c r="H571" i="2"/>
  <c r="C571" i="2"/>
  <c r="H570" i="2"/>
  <c r="C570" i="2"/>
  <c r="H569" i="2"/>
  <c r="C569" i="2"/>
  <c r="H568" i="2"/>
  <c r="C568" i="2"/>
  <c r="H567" i="2"/>
  <c r="C567" i="2"/>
  <c r="H566" i="2"/>
  <c r="C566" i="2"/>
  <c r="H565" i="2"/>
  <c r="C565" i="2"/>
  <c r="H564" i="2"/>
  <c r="C564" i="2"/>
  <c r="H563" i="2"/>
  <c r="C563" i="2"/>
  <c r="H562" i="2"/>
  <c r="C562" i="2"/>
  <c r="H561" i="2"/>
  <c r="C561" i="2"/>
  <c r="H560" i="2"/>
  <c r="C560" i="2"/>
  <c r="H559" i="2"/>
  <c r="C559" i="2"/>
  <c r="H625" i="2"/>
  <c r="C625" i="2"/>
  <c r="H624" i="2"/>
  <c r="C624" i="2"/>
  <c r="H623" i="2"/>
  <c r="C623" i="2"/>
  <c r="H622" i="2"/>
  <c r="C622" i="2"/>
  <c r="H621" i="2"/>
  <c r="C621" i="2"/>
  <c r="H620" i="2"/>
  <c r="C620" i="2"/>
  <c r="H619" i="2"/>
  <c r="C619" i="2"/>
  <c r="H618" i="2"/>
  <c r="C618" i="2"/>
  <c r="H617" i="2"/>
  <c r="C617" i="2"/>
  <c r="H616" i="2"/>
  <c r="C616" i="2"/>
  <c r="H615" i="2"/>
  <c r="C615" i="2"/>
  <c r="H614" i="2"/>
  <c r="C614" i="2"/>
  <c r="C477" i="2"/>
  <c r="C478" i="2"/>
  <c r="C479" i="2"/>
  <c r="C480" i="2"/>
  <c r="C490" i="2"/>
  <c r="C491" i="2"/>
  <c r="C492" i="2"/>
  <c r="C493" i="2"/>
  <c r="C494" i="2"/>
  <c r="C69" i="15"/>
  <c r="H69" i="15"/>
  <c r="M69" i="15"/>
  <c r="C70" i="15"/>
  <c r="H70" i="15"/>
  <c r="M70" i="15"/>
  <c r="C71" i="15"/>
  <c r="H71" i="15"/>
  <c r="M71" i="15"/>
  <c r="C72" i="15"/>
  <c r="H72" i="15"/>
  <c r="M72" i="15"/>
  <c r="C73" i="15"/>
  <c r="H73" i="15"/>
  <c r="M73" i="15"/>
  <c r="C74" i="15"/>
  <c r="H74" i="15"/>
  <c r="M74" i="15"/>
  <c r="C75" i="15"/>
  <c r="H75" i="15"/>
  <c r="M75" i="15"/>
  <c r="C489" i="2"/>
  <c r="C471" i="2"/>
  <c r="C472" i="2"/>
  <c r="C473" i="2"/>
  <c r="C474" i="2"/>
  <c r="C475" i="2"/>
  <c r="C476" i="2"/>
  <c r="C502" i="2"/>
  <c r="C501" i="2"/>
  <c r="C500" i="2"/>
  <c r="C499" i="2"/>
  <c r="C498" i="2"/>
  <c r="C497" i="2"/>
  <c r="C496" i="2"/>
  <c r="C488" i="2"/>
  <c r="C487" i="2"/>
  <c r="C486" i="2"/>
  <c r="C485" i="2"/>
  <c r="C484" i="2"/>
  <c r="C483" i="2"/>
  <c r="C482" i="2"/>
  <c r="C470" i="2"/>
  <c r="C469" i="2"/>
  <c r="C468" i="2"/>
  <c r="C467" i="2"/>
  <c r="C466" i="2"/>
  <c r="C465" i="2"/>
  <c r="C464" i="2"/>
  <c r="C612" i="2"/>
  <c r="C611" i="2"/>
  <c r="C610" i="2"/>
  <c r="C609" i="2"/>
  <c r="C608" i="2"/>
  <c r="C607" i="2"/>
  <c r="C606" i="2"/>
  <c r="C605" i="2"/>
  <c r="C604" i="2"/>
  <c r="C603" i="2"/>
  <c r="C602" i="2"/>
  <c r="C601" i="2"/>
  <c r="C599" i="2"/>
  <c r="C598" i="2"/>
  <c r="C597" i="2"/>
  <c r="C596" i="2"/>
  <c r="C595" i="2"/>
  <c r="C594" i="2"/>
  <c r="C593" i="2"/>
  <c r="C592" i="2"/>
  <c r="C591" i="2"/>
  <c r="C590" i="2"/>
  <c r="C589" i="2"/>
  <c r="C588" i="2"/>
  <c r="C587" i="2"/>
  <c r="C586" i="2"/>
  <c r="C585" i="2"/>
  <c r="C584" i="2"/>
  <c r="C557" i="2"/>
  <c r="C556" i="2"/>
  <c r="C555" i="2"/>
  <c r="C554" i="2"/>
  <c r="C553" i="2"/>
  <c r="C552" i="2"/>
  <c r="C551" i="2"/>
  <c r="C550" i="2"/>
  <c r="C549" i="2"/>
  <c r="C548" i="2"/>
  <c r="C547" i="2"/>
  <c r="C546" i="2"/>
  <c r="C545" i="2"/>
  <c r="C544" i="2"/>
  <c r="C543" i="2"/>
  <c r="C542" i="2"/>
  <c r="C541" i="2"/>
  <c r="C540" i="2"/>
  <c r="C535" i="2"/>
  <c r="C534" i="2"/>
  <c r="C533" i="2"/>
  <c r="C532" i="2"/>
  <c r="C531" i="2"/>
  <c r="C530" i="2"/>
  <c r="C529" i="2"/>
  <c r="C528" i="2"/>
  <c r="C527" i="2"/>
  <c r="C526" i="2"/>
  <c r="C525" i="2"/>
  <c r="C524" i="2"/>
  <c r="C522" i="2"/>
  <c r="C521" i="2"/>
  <c r="C520" i="2"/>
  <c r="C519" i="2"/>
  <c r="C518" i="2"/>
  <c r="C517" i="2"/>
  <c r="C516" i="2"/>
  <c r="C515" i="2"/>
  <c r="C514" i="2"/>
  <c r="C513" i="2"/>
  <c r="C512" i="2"/>
  <c r="C511" i="2"/>
  <c r="C510" i="2"/>
  <c r="C509" i="2"/>
  <c r="C508" i="2"/>
  <c r="C507"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1" i="2"/>
  <c r="C430" i="2"/>
  <c r="C429" i="2"/>
  <c r="C428" i="2"/>
  <c r="C427" i="2"/>
  <c r="C426" i="2"/>
  <c r="C425" i="2"/>
  <c r="C424" i="2"/>
  <c r="C423" i="2"/>
  <c r="C422" i="2"/>
  <c r="C421" i="2"/>
  <c r="C420" i="2"/>
  <c r="C419" i="2"/>
  <c r="C418" i="2"/>
  <c r="C417" i="2"/>
  <c r="C416" i="2"/>
  <c r="C415" i="2"/>
  <c r="C414" i="2"/>
  <c r="C413" i="2"/>
  <c r="C399" i="2"/>
  <c r="C398" i="2"/>
  <c r="C397" i="2"/>
  <c r="C396" i="2"/>
  <c r="C395" i="2"/>
  <c r="C392" i="2"/>
  <c r="C391" i="2"/>
  <c r="C390" i="2"/>
  <c r="C389" i="2"/>
  <c r="C388" i="2"/>
  <c r="C387" i="2"/>
  <c r="C386" i="2"/>
  <c r="C385" i="2"/>
  <c r="C384" i="2"/>
  <c r="C383" i="2"/>
  <c r="C382" i="2"/>
  <c r="C381" i="2"/>
  <c r="C380"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0" i="2"/>
  <c r="C289" i="2"/>
  <c r="C288" i="2"/>
  <c r="C287" i="2"/>
  <c r="C286" i="2"/>
  <c r="C285" i="2"/>
  <c r="C284" i="2"/>
  <c r="C283" i="2"/>
  <c r="C282" i="2"/>
  <c r="C281" i="2"/>
  <c r="C280" i="2"/>
  <c r="C279" i="2"/>
  <c r="C278" i="2"/>
  <c r="C277" i="2"/>
  <c r="C276" i="2"/>
  <c r="C275" i="2"/>
  <c r="C264" i="2"/>
  <c r="C263" i="2"/>
  <c r="C262" i="2"/>
  <c r="C261" i="2"/>
  <c r="C260" i="2"/>
  <c r="C259" i="2"/>
  <c r="C258" i="2"/>
  <c r="C257" i="2"/>
  <c r="C256" i="2"/>
  <c r="C255" i="2"/>
  <c r="C254" i="2"/>
  <c r="C253" i="2"/>
  <c r="C252" i="2"/>
  <c r="C251" i="2"/>
  <c r="C249" i="2"/>
  <c r="C248" i="2"/>
  <c r="C247" i="2"/>
  <c r="C246" i="2"/>
  <c r="C245" i="2"/>
  <c r="C244" i="2"/>
  <c r="C215" i="2"/>
  <c r="C214" i="2"/>
  <c r="C213" i="2"/>
  <c r="C212" i="2"/>
  <c r="C211" i="2"/>
  <c r="C210" i="2"/>
  <c r="C209" i="2"/>
  <c r="C208" i="2"/>
  <c r="C207" i="2"/>
  <c r="C206" i="2"/>
  <c r="C205" i="2"/>
  <c r="C204" i="2"/>
  <c r="C203" i="2"/>
  <c r="C202" i="2"/>
  <c r="C201" i="2"/>
  <c r="C200" i="2"/>
  <c r="C199" i="2"/>
  <c r="C198" i="2"/>
  <c r="C197" i="2"/>
  <c r="C196" i="2"/>
  <c r="C189" i="2"/>
  <c r="C188" i="2"/>
  <c r="C187" i="2"/>
  <c r="C186" i="2"/>
  <c r="C185" i="2"/>
  <c r="C184" i="2"/>
  <c r="C183" i="2"/>
  <c r="C182" i="2"/>
  <c r="C181" i="2"/>
  <c r="C180" i="2"/>
  <c r="C179" i="2"/>
  <c r="C178" i="2"/>
  <c r="C91" i="2"/>
  <c r="C90" i="2"/>
  <c r="C89" i="2"/>
  <c r="C88" i="2"/>
  <c r="C87" i="2"/>
  <c r="C86" i="2"/>
  <c r="C85" i="2"/>
  <c r="C84" i="2"/>
  <c r="C83" i="2"/>
  <c r="C82" i="2"/>
  <c r="C81" i="2"/>
  <c r="C80" i="2"/>
  <c r="C79" i="2"/>
  <c r="C78" i="2"/>
  <c r="C77"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3" i="2"/>
  <c r="C22" i="2"/>
  <c r="C21" i="2"/>
  <c r="C20" i="2"/>
  <c r="C19" i="2"/>
  <c r="C18" i="2"/>
  <c r="C17" i="2"/>
  <c r="C16" i="2"/>
  <c r="C15" i="2"/>
  <c r="C14" i="2"/>
  <c r="C13" i="2"/>
  <c r="C12" i="2"/>
  <c r="C11" i="2"/>
  <c r="C10" i="2"/>
  <c r="C9" i="2"/>
  <c r="C8" i="2"/>
  <c r="C7" i="2"/>
  <c r="H350" i="2"/>
  <c r="H351" i="2"/>
  <c r="H352" i="2"/>
  <c r="H353" i="2"/>
  <c r="H321" i="2"/>
  <c r="H355" i="2"/>
  <c r="H356" i="2"/>
  <c r="H357" i="2"/>
  <c r="H358" i="2"/>
  <c r="H359" i="2"/>
  <c r="H360" i="2"/>
  <c r="H399" i="2"/>
  <c r="H398" i="2"/>
  <c r="H397" i="2"/>
  <c r="H396" i="2"/>
  <c r="H395" i="2"/>
  <c r="H392" i="2"/>
  <c r="H391" i="2"/>
  <c r="H390" i="2"/>
  <c r="H389" i="2"/>
  <c r="H388" i="2"/>
  <c r="H387" i="2"/>
  <c r="H386" i="2"/>
  <c r="H385" i="2"/>
  <c r="H384" i="2"/>
  <c r="H383" i="2"/>
  <c r="H382" i="2"/>
  <c r="H381" i="2"/>
  <c r="H380" i="2"/>
  <c r="C16" i="15" l="1"/>
  <c r="H16" i="15"/>
  <c r="M16" i="15"/>
  <c r="C17" i="15"/>
  <c r="H17" i="15"/>
  <c r="M17" i="15"/>
  <c r="C18" i="15"/>
  <c r="H18" i="15"/>
  <c r="M18" i="15"/>
  <c r="C19" i="15"/>
  <c r="H19" i="15"/>
  <c r="M19" i="15"/>
  <c r="C20" i="15"/>
  <c r="H20" i="15"/>
  <c r="M20" i="15"/>
  <c r="C21" i="15"/>
  <c r="H21" i="15"/>
  <c r="M21" i="15"/>
  <c r="C22" i="15"/>
  <c r="H22" i="15"/>
  <c r="M22" i="15"/>
  <c r="C23" i="15"/>
  <c r="H23" i="15"/>
  <c r="M23" i="15"/>
  <c r="B164" i="3"/>
  <c r="B165" i="3"/>
  <c r="B219" i="3"/>
  <c r="H349" i="2" l="1"/>
  <c r="H348" i="2"/>
  <c r="H347" i="2"/>
  <c r="H346" i="2"/>
  <c r="H345" i="2"/>
  <c r="H344" i="2"/>
  <c r="H343" i="2"/>
  <c r="H342" i="2"/>
  <c r="H341" i="2"/>
  <c r="H340" i="2"/>
  <c r="H339" i="2"/>
  <c r="H332" i="2"/>
  <c r="H553" i="2"/>
  <c r="H554" i="2"/>
  <c r="H555" i="2"/>
  <c r="H556" i="2"/>
  <c r="H557" i="2"/>
  <c r="B189" i="3" l="1"/>
  <c r="B123" i="3"/>
  <c r="B616" i="3" l="1"/>
  <c r="B617" i="3"/>
  <c r="B618" i="3"/>
  <c r="B619" i="3"/>
  <c r="B620" i="3"/>
  <c r="H10" i="10"/>
  <c r="G10" i="10"/>
  <c r="F10" i="10"/>
  <c r="E10" i="10"/>
  <c r="G30" i="22"/>
  <c r="C30" i="22"/>
  <c r="G29" i="22"/>
  <c r="C29" i="22"/>
  <c r="G28" i="22"/>
  <c r="C28" i="22"/>
  <c r="G27" i="22"/>
  <c r="C27" i="22"/>
  <c r="G26" i="22"/>
  <c r="C26" i="22"/>
  <c r="G25" i="22"/>
  <c r="C25" i="22"/>
  <c r="G24" i="22"/>
  <c r="C24" i="22"/>
  <c r="G22" i="22"/>
  <c r="C22" i="22"/>
  <c r="G21" i="22"/>
  <c r="C21" i="22"/>
  <c r="G20" i="22"/>
  <c r="C20" i="22"/>
  <c r="G19" i="22"/>
  <c r="C19" i="22"/>
  <c r="G18" i="22"/>
  <c r="C18" i="22"/>
  <c r="G17" i="22"/>
  <c r="C17" i="22"/>
  <c r="G16" i="22"/>
  <c r="C16" i="22"/>
  <c r="G15" i="22"/>
  <c r="C15" i="22"/>
  <c r="G14" i="22"/>
  <c r="C14" i="22"/>
  <c r="G13" i="22"/>
  <c r="C13" i="22"/>
  <c r="G11" i="22"/>
  <c r="C11" i="22"/>
  <c r="G10" i="22"/>
  <c r="C10" i="22"/>
  <c r="G9" i="22"/>
  <c r="C9" i="22"/>
  <c r="G8" i="22"/>
  <c r="C8" i="22"/>
  <c r="G7" i="22"/>
  <c r="C7" i="22"/>
  <c r="G6" i="22"/>
  <c r="C6" i="22"/>
  <c r="B22" i="16"/>
  <c r="B21" i="16"/>
  <c r="B20" i="16"/>
  <c r="B19" i="16"/>
  <c r="B18" i="16"/>
  <c r="B17" i="16"/>
  <c r="B16" i="16"/>
  <c r="B15" i="16"/>
  <c r="B14" i="16"/>
  <c r="B11" i="16"/>
  <c r="B10" i="16"/>
  <c r="B9" i="16"/>
  <c r="B8" i="16"/>
  <c r="B7" i="16"/>
  <c r="B6" i="16"/>
  <c r="B5" i="16"/>
  <c r="M68" i="15"/>
  <c r="H68" i="15"/>
  <c r="C68" i="15"/>
  <c r="M67" i="15"/>
  <c r="H67" i="15"/>
  <c r="C67" i="15"/>
  <c r="M66" i="15"/>
  <c r="H66" i="15"/>
  <c r="C66" i="15"/>
  <c r="M65" i="15"/>
  <c r="H65" i="15"/>
  <c r="C65" i="15"/>
  <c r="M64" i="15"/>
  <c r="H64" i="15"/>
  <c r="C64" i="15"/>
  <c r="M63" i="15"/>
  <c r="H63" i="15"/>
  <c r="C63" i="15"/>
  <c r="M62" i="15"/>
  <c r="H62" i="15"/>
  <c r="C62" i="15"/>
  <c r="M61" i="15"/>
  <c r="H61" i="15"/>
  <c r="C61" i="15"/>
  <c r="M60" i="15"/>
  <c r="H60" i="15"/>
  <c r="C60" i="15"/>
  <c r="M59" i="15"/>
  <c r="H59" i="15"/>
  <c r="C59" i="15"/>
  <c r="M58" i="15"/>
  <c r="H58" i="15"/>
  <c r="C58" i="15"/>
  <c r="M57" i="15"/>
  <c r="H57" i="15"/>
  <c r="C57" i="15"/>
  <c r="M56" i="15"/>
  <c r="H56" i="15"/>
  <c r="C56" i="15"/>
  <c r="M55" i="15"/>
  <c r="H55" i="15"/>
  <c r="C55" i="15"/>
  <c r="M54" i="15"/>
  <c r="H54" i="15"/>
  <c r="C54" i="15"/>
  <c r="M53" i="15"/>
  <c r="H53" i="15"/>
  <c r="C53" i="15"/>
  <c r="M51" i="15"/>
  <c r="H51" i="15"/>
  <c r="C51" i="15"/>
  <c r="M50" i="15"/>
  <c r="H50" i="15"/>
  <c r="C50" i="15"/>
  <c r="M49" i="15"/>
  <c r="H49" i="15"/>
  <c r="C49" i="15"/>
  <c r="M48" i="15"/>
  <c r="H48" i="15"/>
  <c r="C48" i="15"/>
  <c r="M47" i="15"/>
  <c r="H47" i="15"/>
  <c r="C47" i="15"/>
  <c r="M46" i="15"/>
  <c r="H46" i="15"/>
  <c r="C46" i="15"/>
  <c r="M45" i="15"/>
  <c r="H45" i="15"/>
  <c r="C45" i="15"/>
  <c r="M44" i="15"/>
  <c r="H44" i="15"/>
  <c r="C44" i="15"/>
  <c r="M43" i="15"/>
  <c r="H43" i="15"/>
  <c r="C43" i="15"/>
  <c r="M42" i="15"/>
  <c r="H42" i="15"/>
  <c r="C42" i="15"/>
  <c r="M41" i="15"/>
  <c r="H41" i="15"/>
  <c r="C41" i="15"/>
  <c r="M40" i="15"/>
  <c r="H40" i="15"/>
  <c r="C40" i="15"/>
  <c r="M39" i="15"/>
  <c r="H39" i="15"/>
  <c r="C39" i="15"/>
  <c r="M38" i="15"/>
  <c r="H38" i="15"/>
  <c r="C38" i="15"/>
  <c r="M37" i="15"/>
  <c r="H37" i="15"/>
  <c r="C37" i="15"/>
  <c r="M36" i="15"/>
  <c r="H36" i="15"/>
  <c r="C36" i="15"/>
  <c r="M35" i="15"/>
  <c r="H35" i="15"/>
  <c r="C35" i="15"/>
  <c r="M34" i="15"/>
  <c r="H34" i="15"/>
  <c r="C34" i="15"/>
  <c r="M33" i="15"/>
  <c r="H33" i="15"/>
  <c r="C33" i="15"/>
  <c r="M32" i="15"/>
  <c r="H32" i="15"/>
  <c r="C32" i="15"/>
  <c r="M31" i="15"/>
  <c r="H31" i="15"/>
  <c r="C31" i="15"/>
  <c r="M30" i="15"/>
  <c r="H30" i="15"/>
  <c r="C30" i="15"/>
  <c r="M29" i="15"/>
  <c r="H29" i="15"/>
  <c r="C29" i="15"/>
  <c r="M28" i="15"/>
  <c r="H28" i="15"/>
  <c r="C28" i="15"/>
  <c r="M27" i="15"/>
  <c r="H27" i="15"/>
  <c r="C27" i="15"/>
  <c r="M26" i="15"/>
  <c r="H26" i="15"/>
  <c r="C26" i="15"/>
  <c r="M25" i="15"/>
  <c r="H25" i="15"/>
  <c r="C25" i="15"/>
  <c r="M15" i="15"/>
  <c r="H15" i="15"/>
  <c r="C15" i="15"/>
  <c r="M14" i="15"/>
  <c r="H14" i="15"/>
  <c r="C14" i="15"/>
  <c r="M13" i="15"/>
  <c r="H13" i="15"/>
  <c r="C13" i="15"/>
  <c r="M12" i="15"/>
  <c r="H12" i="15"/>
  <c r="C12" i="15"/>
  <c r="M11" i="15"/>
  <c r="H11" i="15"/>
  <c r="C11" i="15"/>
  <c r="M10" i="15"/>
  <c r="H10" i="15"/>
  <c r="C10" i="15"/>
  <c r="M9" i="15"/>
  <c r="H9" i="15"/>
  <c r="C9" i="15"/>
  <c r="M8" i="15"/>
  <c r="H8" i="15"/>
  <c r="C8" i="15"/>
  <c r="M7" i="15"/>
  <c r="H7" i="15"/>
  <c r="C7" i="15"/>
  <c r="M6" i="15"/>
  <c r="H6" i="15"/>
  <c r="C6" i="15"/>
  <c r="B615" i="3"/>
  <c r="B614" i="3"/>
  <c r="B604" i="3"/>
  <c r="B603" i="3"/>
  <c r="B602" i="3"/>
  <c r="B601" i="3"/>
  <c r="B600" i="3"/>
  <c r="B599" i="3"/>
  <c r="B598" i="3"/>
  <c r="B597" i="3"/>
  <c r="B596" i="3"/>
  <c r="B595" i="3"/>
  <c r="B594" i="3"/>
  <c r="B593" i="3"/>
  <c r="B592" i="3"/>
  <c r="B591" i="3"/>
  <c r="B590" i="3"/>
  <c r="B589" i="3"/>
  <c r="B588" i="3"/>
  <c r="B587" i="3"/>
  <c r="B586" i="3"/>
  <c r="B585" i="3"/>
  <c r="B582" i="3"/>
  <c r="B581" i="3"/>
  <c r="B580" i="3"/>
  <c r="B579" i="3"/>
  <c r="B578" i="3"/>
  <c r="B575" i="3"/>
  <c r="B574" i="3"/>
  <c r="B573" i="3"/>
  <c r="B572" i="3"/>
  <c r="B571" i="3"/>
  <c r="B570" i="3"/>
  <c r="B569" i="3"/>
  <c r="B568" i="3"/>
  <c r="B567" i="3"/>
  <c r="B566" i="3"/>
  <c r="B565" i="3"/>
  <c r="B564" i="3"/>
  <c r="B560" i="3"/>
  <c r="B559" i="3"/>
  <c r="B556" i="3"/>
  <c r="B555" i="3"/>
  <c r="B554" i="3"/>
  <c r="B550" i="3"/>
  <c r="B549" i="3"/>
  <c r="B548" i="3"/>
  <c r="B543" i="3"/>
  <c r="B542" i="3"/>
  <c r="B541" i="3"/>
  <c r="B536" i="3"/>
  <c r="B535" i="3"/>
  <c r="B534" i="3"/>
  <c r="B533" i="3"/>
  <c r="B532" i="3"/>
  <c r="B531" i="3"/>
  <c r="B530" i="3"/>
  <c r="B529" i="3"/>
  <c r="B528" i="3"/>
  <c r="B524" i="3"/>
  <c r="B523" i="3"/>
  <c r="B521" i="3"/>
  <c r="B520" i="3"/>
  <c r="B519" i="3"/>
  <c r="B518" i="3"/>
  <c r="B517" i="3"/>
  <c r="B516" i="3"/>
  <c r="B515" i="3"/>
  <c r="B514" i="3"/>
  <c r="B513" i="3"/>
  <c r="B512" i="3"/>
  <c r="B511" i="3"/>
  <c r="B510" i="3"/>
  <c r="B509" i="3"/>
  <c r="B506" i="3"/>
  <c r="B505" i="3"/>
  <c r="B504" i="3"/>
  <c r="B501" i="3"/>
  <c r="B498" i="3"/>
  <c r="B497" i="3"/>
  <c r="B496" i="3"/>
  <c r="B493" i="3"/>
  <c r="B492" i="3"/>
  <c r="B491" i="3"/>
  <c r="B490" i="3"/>
  <c r="B489" i="3"/>
  <c r="B488" i="3"/>
  <c r="B487" i="3"/>
  <c r="B486" i="3"/>
  <c r="B485" i="3"/>
  <c r="B484" i="3"/>
  <c r="B483" i="3"/>
  <c r="B482" i="3"/>
  <c r="B481" i="3"/>
  <c r="B478" i="3"/>
  <c r="B477" i="3"/>
  <c r="B476" i="3"/>
  <c r="B475" i="3"/>
  <c r="B474" i="3"/>
  <c r="B473" i="3"/>
  <c r="B472" i="3"/>
  <c r="B471" i="3"/>
  <c r="B470" i="3"/>
  <c r="B469" i="3"/>
  <c r="B468" i="3"/>
  <c r="B465" i="3"/>
  <c r="B464" i="3"/>
  <c r="B463" i="3"/>
  <c r="B462" i="3"/>
  <c r="B461" i="3"/>
  <c r="B460" i="3"/>
  <c r="B459" i="3"/>
  <c r="B458" i="3"/>
  <c r="B457" i="3"/>
  <c r="B452" i="3"/>
  <c r="B449" i="3"/>
  <c r="B448" i="3"/>
  <c r="B447" i="3"/>
  <c r="B446" i="3"/>
  <c r="B445" i="3"/>
  <c r="B442" i="3"/>
  <c r="B441" i="3"/>
  <c r="B440" i="3"/>
  <c r="B439" i="3"/>
  <c r="B438" i="3"/>
  <c r="B437" i="3"/>
  <c r="B436" i="3"/>
  <c r="B435" i="3"/>
  <c r="B434" i="3"/>
  <c r="B433"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0" i="3"/>
  <c r="B389" i="3"/>
  <c r="B386" i="3"/>
  <c r="B385" i="3"/>
  <c r="B384" i="3"/>
  <c r="B383" i="3"/>
  <c r="B382" i="3"/>
  <c r="B381" i="3"/>
  <c r="B380" i="3"/>
  <c r="B379" i="3"/>
  <c r="B378" i="3"/>
  <c r="B377" i="3"/>
  <c r="B376" i="3"/>
  <c r="B375" i="3"/>
  <c r="B374" i="3"/>
  <c r="B373" i="3"/>
  <c r="B372" i="3"/>
  <c r="B371" i="3"/>
  <c r="B370" i="3"/>
  <c r="B369" i="3"/>
  <c r="B368" i="3"/>
  <c r="B367" i="3"/>
  <c r="B366" i="3"/>
  <c r="B365" i="3"/>
  <c r="B362" i="3"/>
  <c r="B361" i="3"/>
  <c r="B360" i="3"/>
  <c r="B359" i="3"/>
  <c r="B358" i="3"/>
  <c r="B355" i="3"/>
  <c r="B354" i="3"/>
  <c r="B353" i="3"/>
  <c r="B352" i="3"/>
  <c r="B351" i="3"/>
  <c r="B348" i="3"/>
  <c r="B345" i="3"/>
  <c r="B344" i="3"/>
  <c r="B343" i="3"/>
  <c r="B334" i="3"/>
  <c r="B333" i="3"/>
  <c r="B332" i="3"/>
  <c r="B331" i="3"/>
  <c r="B330" i="3"/>
  <c r="B329" i="3"/>
  <c r="B328" i="3"/>
  <c r="B327" i="3"/>
  <c r="B326" i="3"/>
  <c r="B325" i="3"/>
  <c r="B324" i="3"/>
  <c r="B323" i="3"/>
  <c r="B322" i="3"/>
  <c r="B321" i="3"/>
  <c r="B311" i="3"/>
  <c r="B310" i="3"/>
  <c r="B309" i="3"/>
  <c r="B308" i="3"/>
  <c r="B307" i="3"/>
  <c r="B306" i="3"/>
  <c r="B305" i="3"/>
  <c r="B304" i="3"/>
  <c r="B303" i="3"/>
  <c r="B302" i="3"/>
  <c r="B301" i="3"/>
  <c r="B297" i="3"/>
  <c r="B296" i="3"/>
  <c r="B295" i="3"/>
  <c r="B294" i="3"/>
  <c r="B293" i="3"/>
  <c r="B292" i="3"/>
  <c r="B289" i="3"/>
  <c r="B288" i="3"/>
  <c r="B287" i="3"/>
  <c r="B286" i="3"/>
  <c r="B285" i="3"/>
  <c r="B284" i="3"/>
  <c r="B283" i="3"/>
  <c r="B282" i="3"/>
  <c r="B281" i="3"/>
  <c r="B280" i="3"/>
  <c r="B279" i="3"/>
  <c r="B278" i="3"/>
  <c r="B277" i="3"/>
  <c r="B276" i="3"/>
  <c r="B275" i="3"/>
  <c r="B274" i="3"/>
  <c r="B273" i="3"/>
  <c r="B270" i="3"/>
  <c r="B269" i="3"/>
  <c r="B268" i="3"/>
  <c r="B267" i="3"/>
  <c r="B266" i="3"/>
  <c r="B265" i="3"/>
  <c r="B264" i="3"/>
  <c r="B263" i="3"/>
  <c r="B262" i="3"/>
  <c r="B258" i="3"/>
  <c r="B257" i="3"/>
  <c r="B256" i="3"/>
  <c r="B255" i="3"/>
  <c r="B254" i="3"/>
  <c r="B246" i="3"/>
  <c r="B243" i="3"/>
  <c r="B242" i="3"/>
  <c r="B241" i="3"/>
  <c r="B240" i="3"/>
  <c r="B239" i="3"/>
  <c r="B238" i="3"/>
  <c r="B237" i="3"/>
  <c r="B224" i="3"/>
  <c r="B223" i="3"/>
  <c r="B222" i="3"/>
  <c r="B221" i="3"/>
  <c r="B220"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8" i="3"/>
  <c r="B187" i="3"/>
  <c r="B186" i="3"/>
  <c r="B185" i="3"/>
  <c r="B184" i="3"/>
  <c r="B183" i="3"/>
  <c r="B182" i="3"/>
  <c r="B181" i="3"/>
  <c r="B180" i="3"/>
  <c r="B179" i="3"/>
  <c r="B178" i="3"/>
  <c r="B177" i="3"/>
  <c r="B176" i="3"/>
  <c r="B175" i="3"/>
  <c r="B174" i="3"/>
  <c r="B173" i="3"/>
  <c r="B172" i="3"/>
  <c r="B171" i="3"/>
  <c r="B170" i="3"/>
  <c r="B169" i="3"/>
  <c r="B163" i="3"/>
  <c r="B162" i="3"/>
  <c r="B161" i="3"/>
  <c r="B160" i="3"/>
  <c r="B113"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2" i="3"/>
  <c r="B121" i="3"/>
  <c r="B120" i="3"/>
  <c r="B119" i="3"/>
  <c r="B118" i="3"/>
  <c r="B117" i="3"/>
  <c r="B116" i="3"/>
  <c r="B115" i="3"/>
  <c r="B114" i="3"/>
  <c r="B112" i="3"/>
  <c r="B111" i="3"/>
  <c r="B109" i="3"/>
  <c r="B108" i="3"/>
  <c r="B107" i="3"/>
  <c r="B106" i="3"/>
  <c r="B105" i="3"/>
  <c r="B104" i="3"/>
  <c r="B101" i="3"/>
  <c r="B100" i="3"/>
  <c r="B99" i="3"/>
  <c r="B98" i="3"/>
  <c r="B97" i="3"/>
  <c r="B96" i="3"/>
  <c r="B95" i="3"/>
  <c r="B94" i="3"/>
  <c r="B93" i="3"/>
  <c r="B92" i="3"/>
  <c r="B91" i="3"/>
  <c r="B90" i="3"/>
  <c r="B89" i="3"/>
  <c r="B88" i="3"/>
  <c r="B87" i="3"/>
  <c r="B86" i="3"/>
  <c r="H612" i="2"/>
  <c r="H611" i="2"/>
  <c r="H610" i="2"/>
  <c r="H609" i="2"/>
  <c r="H608" i="2"/>
  <c r="H607" i="2"/>
  <c r="H606" i="2"/>
  <c r="H605" i="2"/>
  <c r="H604" i="2"/>
  <c r="H603" i="2"/>
  <c r="H602" i="2"/>
  <c r="H601" i="2"/>
  <c r="H599" i="2"/>
  <c r="H598" i="2"/>
  <c r="H597" i="2"/>
  <c r="H596" i="2"/>
  <c r="H595" i="2"/>
  <c r="H594" i="2"/>
  <c r="H593" i="2"/>
  <c r="H592" i="2"/>
  <c r="H591" i="2"/>
  <c r="H590" i="2"/>
  <c r="H589" i="2"/>
  <c r="H588" i="2"/>
  <c r="H587" i="2"/>
  <c r="H586" i="2"/>
  <c r="H585" i="2"/>
  <c r="H584" i="2"/>
  <c r="H552" i="2"/>
  <c r="H551" i="2"/>
  <c r="H550" i="2"/>
  <c r="H549" i="2"/>
  <c r="H548" i="2"/>
  <c r="H547" i="2"/>
  <c r="H546" i="2"/>
  <c r="H545" i="2"/>
  <c r="H544" i="2"/>
  <c r="H543" i="2"/>
  <c r="H542" i="2"/>
  <c r="H541" i="2"/>
  <c r="H540" i="2"/>
  <c r="H535" i="2"/>
  <c r="H534" i="2"/>
  <c r="H533" i="2"/>
  <c r="H532" i="2"/>
  <c r="H531" i="2"/>
  <c r="H530" i="2"/>
  <c r="H529" i="2"/>
  <c r="H528" i="2"/>
  <c r="H527" i="2"/>
  <c r="H526" i="2"/>
  <c r="H525" i="2"/>
  <c r="H524" i="2"/>
  <c r="H522" i="2"/>
  <c r="H521" i="2"/>
  <c r="H520" i="2"/>
  <c r="H519" i="2"/>
  <c r="H518" i="2"/>
  <c r="H517" i="2"/>
  <c r="H516" i="2"/>
  <c r="H515" i="2"/>
  <c r="H514" i="2"/>
  <c r="H513" i="2"/>
  <c r="H512" i="2"/>
  <c r="H511" i="2"/>
  <c r="H510" i="2"/>
  <c r="H509" i="2"/>
  <c r="H508" i="2"/>
  <c r="H507" i="2"/>
  <c r="H324" i="2"/>
  <c r="H323" i="2"/>
  <c r="H322" i="2"/>
  <c r="H317" i="2"/>
  <c r="H316" i="2"/>
  <c r="H315" i="2"/>
  <c r="H314" i="2"/>
  <c r="H313" i="2"/>
  <c r="H312" i="2"/>
  <c r="H310" i="2"/>
  <c r="H309" i="2"/>
  <c r="H307" i="2"/>
  <c r="H306" i="2"/>
  <c r="H301" i="2"/>
  <c r="H299" i="2"/>
  <c r="H298" i="2"/>
  <c r="H297" i="2"/>
  <c r="H296" i="2"/>
  <c r="H295" i="2"/>
  <c r="H294" i="2"/>
  <c r="H293" i="2"/>
  <c r="H292" i="2"/>
  <c r="H290" i="2"/>
  <c r="H289" i="2"/>
  <c r="H288" i="2"/>
  <c r="H287" i="2"/>
  <c r="H286" i="2"/>
  <c r="H285" i="2"/>
  <c r="H284" i="2"/>
  <c r="H283" i="2"/>
  <c r="H282" i="2"/>
  <c r="H281" i="2"/>
  <c r="H280" i="2"/>
  <c r="H279" i="2"/>
  <c r="H278" i="2"/>
  <c r="H277" i="2"/>
  <c r="H276" i="2"/>
  <c r="H275" i="2"/>
  <c r="H264" i="2"/>
  <c r="H263" i="2"/>
  <c r="H262" i="2"/>
  <c r="H261" i="2"/>
  <c r="H260" i="2"/>
  <c r="H259" i="2"/>
  <c r="H258" i="2"/>
  <c r="H257" i="2"/>
  <c r="H256" i="2"/>
  <c r="H255" i="2"/>
  <c r="H254" i="2"/>
  <c r="H253" i="2"/>
  <c r="H252" i="2"/>
  <c r="H251" i="2"/>
  <c r="H249" i="2"/>
  <c r="H248" i="2"/>
  <c r="H247" i="2"/>
  <c r="H246" i="2"/>
  <c r="H245" i="2"/>
  <c r="H244" i="2"/>
  <c r="H215" i="2"/>
  <c r="H214" i="2"/>
  <c r="H213" i="2"/>
  <c r="H212" i="2"/>
  <c r="H211" i="2"/>
  <c r="H210" i="2"/>
  <c r="H209" i="2"/>
  <c r="H208" i="2"/>
  <c r="H207" i="2"/>
  <c r="H206" i="2"/>
  <c r="H205" i="2"/>
  <c r="H204" i="2"/>
  <c r="H203" i="2"/>
  <c r="H202" i="2"/>
  <c r="H201" i="2"/>
  <c r="H200" i="2"/>
  <c r="H199" i="2"/>
  <c r="H198" i="2"/>
  <c r="H197" i="2"/>
  <c r="H196" i="2"/>
  <c r="H189" i="2"/>
  <c r="H188" i="2"/>
  <c r="H187" i="2"/>
  <c r="H186" i="2"/>
  <c r="H185" i="2"/>
  <c r="H184" i="2"/>
  <c r="H183" i="2"/>
  <c r="H182" i="2"/>
  <c r="H181" i="2"/>
  <c r="H180" i="2"/>
  <c r="H179" i="2"/>
  <c r="H178"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3" i="2"/>
  <c r="H22" i="2"/>
  <c r="H21" i="2"/>
  <c r="H20" i="2"/>
  <c r="H19" i="2"/>
  <c r="H18" i="2"/>
  <c r="H17" i="2"/>
  <c r="H16" i="2"/>
  <c r="H15" i="2"/>
  <c r="H14" i="2"/>
  <c r="H13" i="2"/>
  <c r="H12" i="2"/>
  <c r="H11" i="2"/>
  <c r="H10" i="2"/>
  <c r="H9" i="2"/>
  <c r="H8" i="2"/>
  <c r="H7" i="2"/>
  <c r="H6" i="2"/>
  <c r="C6" i="2"/>
</calcChain>
</file>

<file path=xl/sharedStrings.xml><?xml version="1.0" encoding="utf-8"?>
<sst xmlns="http://schemas.openxmlformats.org/spreadsheetml/2006/main" count="14887" uniqueCount="7365">
  <si>
    <t>https://www.linkedin.com/in/will-dangc-b14ab725/</t>
  </si>
  <si>
    <t>https://www.linkedin.com/in/philip-zoloto-b91a9426/</t>
  </si>
  <si>
    <t>Charitable Gaming</t>
  </si>
  <si>
    <t>https://www.linkedin.com/in/nicoleannwilson/</t>
  </si>
  <si>
    <t>https://www.linkedin.com/in/shane-taylor-/</t>
  </si>
  <si>
    <t>https://www.linkedin.com/in/rachelverslues/</t>
  </si>
  <si>
    <t>https://www.linkedin.com/in/tinawolf/</t>
  </si>
  <si>
    <t>https://www.linkedin.com/in/maryna-pliushchykova-0aa17721/</t>
  </si>
  <si>
    <t>https://www.linkedin.com/in/nimrodhaimson/</t>
  </si>
  <si>
    <t>https://www.linkedin.com/in/garthpieper/</t>
  </si>
  <si>
    <t>https://www.linkedin.com/in/maryna-p-687221112/</t>
  </si>
  <si>
    <t>https://www.linkedin.com/in/rebecca-avrahami-b5708830/</t>
  </si>
  <si>
    <t>https://www.linkedin.com/in/jessieteague/</t>
  </si>
  <si>
    <t>https://www.linkedin.com/in/thomascastleberry/</t>
  </si>
  <si>
    <t>https://www.linkedin.com/in/barak-matalon-669911a/</t>
  </si>
  <si>
    <t>https://www.linkedin.com/in/rowesley/</t>
  </si>
  <si>
    <t>https://www.linkedin.com/in/sidney-sabbag/</t>
  </si>
  <si>
    <t>https://www.linkedin.com/in/ohad-shlomoff-37bb641a/</t>
  </si>
  <si>
    <t>https://www.linkedin.com/in/christophershaban/</t>
  </si>
  <si>
    <t>https://www.linkedin.com/in/victor-marmorstein-57b82172/</t>
  </si>
  <si>
    <t>iLottery</t>
  </si>
  <si>
    <t>https://www.linkedin.com/in/bernadine-buttigieg-35580560/</t>
  </si>
  <si>
    <t>https://www.linkedin.com/in/fredriklindberg86/</t>
  </si>
  <si>
    <t>https://www.linkedin.com/in/annajanik/</t>
  </si>
  <si>
    <t>https://www.linkedin.com/in/chris-kullman-pmp-a82418180/</t>
  </si>
  <si>
    <t>https://www.linkedin.com/in/alexander-johnston-0a771a94/</t>
  </si>
  <si>
    <t>https://www.linkedin.com/in/courtneymcknight/</t>
  </si>
  <si>
    <t>https://www.linkedin.com/in/robert-christensen-digital-marketing/</t>
  </si>
  <si>
    <t>https://www.linkedin.com/in/boyan-boev-05a8853/</t>
  </si>
  <si>
    <t>https://www.linkedin.com/in/shadey-seguna/</t>
  </si>
  <si>
    <t>https://www.linkedin.com/in/amanda-rose-feist/</t>
  </si>
  <si>
    <t>https://www.linkedin.com/in/robin-smith-779660127/</t>
  </si>
  <si>
    <t>https://www.linkedin.com/in/louisdandrilli/</t>
  </si>
  <si>
    <t>https://www.linkedin.com/in/martinlerby/</t>
  </si>
  <si>
    <t>https://www.linkedin.com/in/gavin-knapp-5a9396107/</t>
  </si>
  <si>
    <t>https://www.linkedin.com/in/aleksandar-dinev-9a3ba12/</t>
  </si>
  <si>
    <t>https://www.linkedin.com/in/macey-bonifazio/</t>
  </si>
  <si>
    <t>https://www.linkedin.com/in/guy-gani-850874/</t>
  </si>
  <si>
    <t>https://www.linkedin.com/in/aviv-shener/</t>
  </si>
  <si>
    <t>https://www.linkedin.com/in/karina-antonino-953b59aa/</t>
  </si>
  <si>
    <t>https://www.linkedin.com/in/malte-hegeler-09875b1/</t>
  </si>
  <si>
    <t>https://www.linkedin.com/in/vicente-saucedo-66676a43/</t>
  </si>
  <si>
    <t>https://www.linkedin.com/in/jojo-schmidt-26370aa2/</t>
  </si>
  <si>
    <t>https://www.linkedin.com/in/jonathan-chilton-0213561/</t>
  </si>
  <si>
    <t>https://www.linkedin.com/in/maria-humm/</t>
  </si>
  <si>
    <t>https://www.linkedin.com/in/vinay-kanani-24b85771/</t>
  </si>
  <si>
    <t>https://www.linkedin.com/in/michael-maokhamphiou-3207a96a/</t>
  </si>
  <si>
    <t>https://www.linkedin.com/in/trisha-parker-4519133b/</t>
  </si>
  <si>
    <t>https://www.linkedin.com/in/giovannif/</t>
  </si>
  <si>
    <t>https://www.linkedin.com/in/rhys-hatton/</t>
  </si>
  <si>
    <t>https://www.linkedin.com/in/alexandar-petrovich-a47b0b20/</t>
  </si>
  <si>
    <t>https://www.linkedin.com/in/soraiafigueiredo/</t>
  </si>
  <si>
    <t>https://www.linkedin.com/in/ronen-irani/</t>
  </si>
  <si>
    <t>https://www.linkedin.com/in/helena-huhanantti-04ab46167/</t>
  </si>
  <si>
    <t>https://www.linkedin.com/in/dian-gospodinov-91079538/</t>
  </si>
  <si>
    <t>https://www.linkedin.com/in/jamesbustin/</t>
  </si>
  <si>
    <t>https://www.linkedin.com/in/thomas-aicken-72882b29/</t>
  </si>
  <si>
    <t>https://www.linkedin.com/in/richard-s-95579214/</t>
  </si>
  <si>
    <t>https://www.linkedin.com/in/lachezar-rankov-8231a989/</t>
  </si>
  <si>
    <t>https://www.linkedin.com/in/dror-damchinsky-19070922/</t>
  </si>
  <si>
    <t>https://www.linkedin.com/in/christian-croft-6658a051/</t>
  </si>
  <si>
    <t>https://www.linkedin.com/in/josephmichlik/</t>
  </si>
  <si>
    <t>https://www.linkedin.com/in/stuart-banks-32336a8/</t>
  </si>
  <si>
    <t>https://www.linkedin.com/in/joshua-morris-b424233/</t>
  </si>
  <si>
    <t>https://www.linkedin.com/in/colin-troy-a64a3733/</t>
  </si>
  <si>
    <t>https://www.linkedin.com/in/vaidacirtautaite/</t>
  </si>
  <si>
    <t>https://www.linkedin.com/in/elena-jaacks-20062264/</t>
  </si>
  <si>
    <t>https://www.linkedin.com/in/daniel-o-donoghue-7981557/</t>
  </si>
  <si>
    <t>https://www.linkedin.com/in/eoghanodwyer/</t>
  </si>
  <si>
    <t>https://www.linkedin.com/in/rob-procter-35281074/</t>
  </si>
  <si>
    <t>https://www.linkedin.com/in/quincyraven/</t>
  </si>
  <si>
    <t>https://www.linkedin.com/in/-hanselias-/</t>
  </si>
  <si>
    <t>https://www.linkedin.com/in/magdalenap1/</t>
  </si>
  <si>
    <t>iGaming</t>
  </si>
  <si>
    <t>https://www.linkedin.com/in/gordonwalton/</t>
  </si>
  <si>
    <t>https://www.linkedin.com/in/justinmcfarlane/</t>
  </si>
  <si>
    <t>https://www.linkedin.com/in/amirdori/</t>
  </si>
  <si>
    <t>https://www.linkedin.com/in/dafna-ben-onn-82349215/</t>
  </si>
  <si>
    <t>https://www.linkedin.com/in/diegoalaluf/</t>
  </si>
  <si>
    <t>https://www.linkedin.com/in/jeresnick/</t>
  </si>
  <si>
    <t>https://www.linkedin.com/in/oren-debi-8949641/</t>
  </si>
  <si>
    <t>https://www.linkedin.com/in/cameron-stewart-5293a664/</t>
  </si>
  <si>
    <t>https://www.linkedin.com/in/destry-davison-2179963/</t>
  </si>
  <si>
    <t>https://www.linkedin.com/in/gilrotem/</t>
  </si>
  <si>
    <t>Social Casino</t>
  </si>
  <si>
    <t>https://www.linkedin.com/in/akv22/</t>
  </si>
  <si>
    <t>https://www.linkedin.com/in/matt-chan-2b02b593/</t>
  </si>
  <si>
    <t>https://www.linkedin.com/in/alex-white-b7708a12/</t>
  </si>
  <si>
    <t>https://www.linkedin.com/in/amy-robards-662980138/</t>
  </si>
  <si>
    <t>https://www.linkedin.com/in/frank-hao-12555837/</t>
  </si>
  <si>
    <t>https://www.linkedin.com/in/jenskaggs/</t>
  </si>
  <si>
    <t>https://www.linkedin.com/in/robynbrewington/</t>
  </si>
  <si>
    <t>https://www.linkedin.com/in/marija-delevski-555b61/</t>
  </si>
  <si>
    <t>https://www.linkedin.com/in/nat-hammond-9621041b4/</t>
  </si>
  <si>
    <t>https://www.linkedin.com/in/leilanibailey/</t>
  </si>
  <si>
    <t>https://www.linkedin.com/in/ian-murray-a7543337/</t>
  </si>
  <si>
    <t>https://www.linkedin.com/in/lyndsyevans/</t>
  </si>
  <si>
    <t>https://www.linkedin.com/in/mike-debrabander-a4657810/</t>
  </si>
  <si>
    <t>https://www.linkedin.com/in/darcy-mccormick-38506ba/</t>
  </si>
  <si>
    <t>https://www.linkedin.com/in/keithkim1982/</t>
  </si>
  <si>
    <t>https://www.linkedin.com/in/robin-brookes-1571152b/</t>
  </si>
  <si>
    <t>https://www.linkedin.com/in/rbrettbutler/</t>
  </si>
  <si>
    <t>https://www.linkedin.com/in/sarahleggett3/</t>
  </si>
  <si>
    <t>https://www.linkedin.com/in/cari-blomquist-00b3932/</t>
  </si>
  <si>
    <t>https://www.linkedin.com/in/nimishpurohit/</t>
  </si>
  <si>
    <t>LNW</t>
  </si>
  <si>
    <t>https://www.linkedin.com/in/amber-hughes-09768976/</t>
  </si>
  <si>
    <t>https://www.linkedin.com/in/erick-ching-110926b/</t>
  </si>
  <si>
    <t>https://www.linkedin.com/in/ben-staufeneger-661b0521/</t>
  </si>
  <si>
    <t>https://www.linkedin.com/in/lauren-obrien06/</t>
  </si>
  <si>
    <t>https://www.linkedin.com/in/adamnarducci/</t>
  </si>
  <si>
    <t>https://www.linkedin.com/in/dave-kaminkow-mba-06b47170/</t>
  </si>
  <si>
    <t>https://www.linkedin.com/in/christian-gerchak-36545534/</t>
  </si>
  <si>
    <t>https://www.linkedin.com/in/michellecupersmith/</t>
  </si>
  <si>
    <t>https://www.linkedin.com/in/tonyuberuaga/</t>
  </si>
  <si>
    <t>https://www.linkedin.com/in/sean-davis-0aba6039/</t>
  </si>
  <si>
    <t>https://www.linkedin.com/in/jon-angarola-01aa289/</t>
  </si>
  <si>
    <t>https://www.linkedin.com/in/allon-englman-aa283b14/</t>
  </si>
  <si>
    <t>https://www.linkedin.com/in/eric-boese-9b66b647/</t>
  </si>
  <si>
    <t>https://www.linkedin.com/in/jamie-knight-bb66494/</t>
  </si>
  <si>
    <t>https://www.linkedin.com/in/jason-chan-1480112/</t>
  </si>
  <si>
    <t>https://www.linkedin.com/in/ryan-hawkins-51892a36/</t>
  </si>
  <si>
    <t>Game Design</t>
  </si>
  <si>
    <t>https://www.linkedin.com/in/jack-fleming-4a4040127/</t>
  </si>
  <si>
    <t>https://www.linkedin.com/in/james-n-alvarez/</t>
  </si>
  <si>
    <t>https://www.linkedin.com/in/lavan-chelliah-a03164171/</t>
  </si>
  <si>
    <t>https://www.linkedin.com/in/darren-nielson/</t>
  </si>
  <si>
    <t>https://www.linkedin.com/in/alexandermsilverman/</t>
  </si>
  <si>
    <t>https://www.linkedin.com/in/john-martinezjunco-81282096/</t>
  </si>
  <si>
    <t>https://www.linkedin.com/in/vanelk/</t>
  </si>
  <si>
    <t>https://www.linkedin.com/in/dima-kovalchak/</t>
  </si>
  <si>
    <t>https://www.linkedin.com/in/a-c-ansani-70b68b8/</t>
  </si>
  <si>
    <t>https://www.linkedin.com/in/sacha-borenstein/</t>
  </si>
  <si>
    <t>https://www.linkedin.com/in/clare-acin/</t>
  </si>
  <si>
    <t>https://www.linkedin.com/in/andy-fouch%C3%A9-0242694/</t>
  </si>
  <si>
    <t>https://www.linkedin.com/in/james-langhauser-82ab7022/</t>
  </si>
  <si>
    <t>https://www.linkedin.com/in/deanaehrlich/</t>
  </si>
  <si>
    <t>https://www.linkedin.com/in/daniel-belgard-63a23788/</t>
  </si>
  <si>
    <t>https://www.linkedin.com/in/daniel-grim-94900320/</t>
  </si>
  <si>
    <t>https://www.linkedin.com/in/craigbrown98033/</t>
  </si>
  <si>
    <t>https://www.linkedin.com/in/ehandsman/</t>
  </si>
  <si>
    <t>https://www.linkedin.com/in/thomasandrews1/</t>
  </si>
  <si>
    <t>https://www.linkedin.com/in/stephen-vann-3a46717a/</t>
  </si>
  <si>
    <t>https://www.linkedin.com/in/ryan-reddy-2224762/</t>
  </si>
  <si>
    <t>https://www.linkedin.com/in/askandreamariano/</t>
  </si>
  <si>
    <t>https://www.linkedin.com/in/ryannorthok/</t>
  </si>
  <si>
    <t>https://www.linkedin.com/in/arieladler/</t>
  </si>
  <si>
    <t>https://www.linkedin.com/in/craig-harley-79707740/</t>
  </si>
  <si>
    <t>https://www.linkedin.com/in/harms85/</t>
  </si>
  <si>
    <t>https://www.linkedin.com/in/robschramer/</t>
  </si>
  <si>
    <t>https://www.linkedin.com/in/david-flinn-1ab69b51/</t>
  </si>
  <si>
    <t>https://www.linkedin.com/in/james-starr-1a14a312/</t>
  </si>
  <si>
    <t>https://www.linkedin.com/in/petkoivanov/</t>
  </si>
  <si>
    <t>https://www.linkedin.com/in/laurenkbates/</t>
  </si>
  <si>
    <t>https://www.linkedin.com/in/tod-sarlemyn-6161161a/</t>
  </si>
  <si>
    <t>https://www.linkedin.com/in/domenico-pastia-4b427b14/</t>
  </si>
  <si>
    <t>https://www.linkedin.com/in/wayne-ellard-21956024/</t>
  </si>
  <si>
    <t>https://www.linkedin.com/in/ken-bossingham-083802104/</t>
  </si>
  <si>
    <t>https://www.linkedin.com/in/memo-mendoza/</t>
  </si>
  <si>
    <t>https://www.linkedin.com/in/kevin-amend/</t>
  </si>
  <si>
    <t>https://www.linkedin.com/in/karinbernkopf/</t>
  </si>
  <si>
    <t>https://www.linkedin.com/in/michael-todd-85aa8181/</t>
  </si>
  <si>
    <t>https://www.linkedin.com/in/ian-adams-5020361b/</t>
  </si>
  <si>
    <t>https://www.linkedin.com/in/courtneyebell/</t>
  </si>
  <si>
    <t>https://www.linkedin.com/in/philip-stormonth-a1b2c3/</t>
  </si>
  <si>
    <t>https://www.linkedin.com/in/jasonmcmahon/</t>
  </si>
  <si>
    <t>https://www.linkedin.com/in/john-milliner-93a36280/</t>
  </si>
  <si>
    <t>https://www.linkedin.com/in/todd-hoverman-1923018/</t>
  </si>
  <si>
    <t>https://www.linkedin.com/in/stuart-german-a741b027/</t>
  </si>
  <si>
    <t>https://www.linkedin.com/in/dubravka-burda-00a340b/</t>
  </si>
  <si>
    <t>https://www.linkedin.com/in/mark-howell-05574b46/</t>
  </si>
  <si>
    <t>https://www.linkedin.com/in/cody-herrick-490b6940/</t>
  </si>
  <si>
    <t>https://www.linkedin.com/in/jimmgetz/</t>
  </si>
  <si>
    <t>https://www.linkedin.com/in/jesse-debruin-7113201/</t>
  </si>
  <si>
    <t>https://www.linkedin.com/in/basil-sunier/</t>
  </si>
  <si>
    <t>https://www.linkedin.com/in/nick-lewin-4a89183/</t>
  </si>
  <si>
    <t>https://www.linkedin.com/in/brett-colbert-b7b47b2a/</t>
  </si>
  <si>
    <t>https://www.linkedin.com/in/scott-kania-51076b5/</t>
  </si>
  <si>
    <t>https://www.linkedin.com/in/remington-pullin-35bb3457/</t>
  </si>
  <si>
    <t>https://www.linkedin.com/in/darnell-a-johnson/</t>
  </si>
  <si>
    <t>https://www.linkedin.com/in/stephanie-bruckner-a49a7016/</t>
  </si>
  <si>
    <t>https://www.linkedin.com/in/melissa-adams-38b7783/</t>
  </si>
  <si>
    <t>https://www.linkedin.com/in/karen-kendall-3b8a1226/</t>
  </si>
  <si>
    <t>https://www.linkedin.com/in/dan-simon-377ba157/</t>
  </si>
  <si>
    <t>https://www.linkedin.com/in/kurtgissane/</t>
  </si>
  <si>
    <t>https://www.linkedin.com/in/daniel-marston-57852887/</t>
  </si>
  <si>
    <t>https://www.linkedin.com/in/getbrett/</t>
  </si>
  <si>
    <t>https://www.linkedin.com/in/andrew-sackey-9b249120/</t>
  </si>
  <si>
    <t>https://www.linkedin.com/in/troy-thompson-5bb7a12a/</t>
  </si>
  <si>
    <t>https://www.linkedin.com/in/jeffreynorthingtoncooke/</t>
  </si>
  <si>
    <t>https://www.linkedin.com/in/robinhare2421/</t>
  </si>
  <si>
    <t>https://www.linkedin.com/in/kenjolly/</t>
  </si>
  <si>
    <t>https://www.linkedin.com/in/nicholas-dunn11/</t>
  </si>
  <si>
    <t>https://www.linkedin.com/in/anthonysofran/</t>
  </si>
  <si>
    <t>https://www.linkedin.com/in/eshenderson/</t>
  </si>
  <si>
    <t>https://www.linkedin.com/in/matthew-j-smith-51b926108/</t>
  </si>
  <si>
    <t>https://www.linkedin.com/in/mike-smith-1776963/</t>
  </si>
  <si>
    <t>https://www.linkedin.com/in/zachary-cooper-1a61b996/</t>
  </si>
  <si>
    <t>https://www.linkedin.com/in/joe-moore-b163112/</t>
  </si>
  <si>
    <t>https://www.linkedin.com/in/wandataylor/</t>
  </si>
  <si>
    <t>https://www.linkedin.com/in/xiomara-ortega-2b24a34/</t>
  </si>
  <si>
    <t>https://www.linkedin.com/in/james-hoffman-9a057152/</t>
  </si>
  <si>
    <t>https://www.linkedin.com/in/jamie-rollo-ba8bb07/</t>
  </si>
  <si>
    <t>https://www.linkedin.com/in/blake-davis-0b5292158/</t>
  </si>
  <si>
    <t>https://www.linkedin.com/in/liam-sanders-00034338/</t>
  </si>
  <si>
    <t>https://www.linkedin.com/in/joseph-ward-35a80110a/</t>
  </si>
  <si>
    <t>https://www.linkedin.com/in/karen-kendall-3b8a1226/?originalSubdomain=au</t>
  </si>
  <si>
    <t>https://www.linkedin.com/in/alex-l-b03a5a8b/</t>
  </si>
  <si>
    <t>https://www.linkedin.com/in/joycethomas0708/</t>
  </si>
  <si>
    <t>https://www.linkedin.com/in/erikadegens/</t>
  </si>
  <si>
    <t>https://www.linkedin.com/in/f-steven-dimasi-8548644a/</t>
  </si>
  <si>
    <t>https://www.linkedin.com/in/nicholas-bannon-613599180/</t>
  </si>
  <si>
    <t>https://www.linkedin.com/in/alex-walsh-b2001512/</t>
  </si>
  <si>
    <t>https://www.linkedin.com/in/jamie-dorbian/</t>
  </si>
  <si>
    <t>https://www.linkedin.com/in/laurence-woodhouse-a817033/</t>
  </si>
  <si>
    <t>https://www.linkedin.com/in/sharonblecker/</t>
  </si>
  <si>
    <t>https://www.linkedin.com/in/lauralyn-sandoval-0453634/</t>
  </si>
  <si>
    <t>https://www.linkedin.com/in/fabio-celadon-027b15b/</t>
  </si>
  <si>
    <t>https://www.linkedin.com/in/supernakalle/</t>
  </si>
  <si>
    <t>https://www.linkedin.com/in/borishallerbach/</t>
  </si>
  <si>
    <t>https://www.linkedin.com/in/natalie-schoenhals/</t>
  </si>
  <si>
    <t>https://www.linkedin.com/in/jean-venneman-38286b12/</t>
  </si>
  <si>
    <t>https://www.linkedin.com/in/sara-larocca/</t>
  </si>
  <si>
    <t>https://www.linkedin.com/in/nick-khin-77ab354/</t>
  </si>
  <si>
    <t>ALL</t>
  </si>
  <si>
    <t>Game Designers - Maths</t>
  </si>
  <si>
    <t>Game Designers - General</t>
  </si>
  <si>
    <t>Corporate Role</t>
  </si>
  <si>
    <t>IGT</t>
  </si>
  <si>
    <t>Awager</t>
  </si>
  <si>
    <t>https://www.linkedin.com/in/daniel-jankelow-01277485/</t>
  </si>
  <si>
    <t>https://www.linkedin.com/in/marcelloviotti/details/experience/</t>
  </si>
  <si>
    <t>https://www.linkedin.com/in/thomas-winter-60533b/</t>
  </si>
  <si>
    <t>https://www.linkedin.com/in/yulia-khodos-2ab5a08a/</t>
  </si>
  <si>
    <t>https://www.linkedin.com/in/yael-salton-86b34096/</t>
  </si>
  <si>
    <t>Accel</t>
  </si>
  <si>
    <t>NA</t>
  </si>
  <si>
    <t>Director of Operations Development</t>
  </si>
  <si>
    <t>Colby Hoyer</t>
  </si>
  <si>
    <t>https://www.linkedin.com/in/colby-hoyer-316bbb4a/</t>
  </si>
  <si>
    <t>Regional Relationship Manager</t>
  </si>
  <si>
    <t>Ryan Naegele</t>
  </si>
  <si>
    <t>https://www.linkedin.com/in/ryan-naegele-5083409/</t>
  </si>
  <si>
    <t>Director of Business Development</t>
  </si>
  <si>
    <t>Annette Wodzinski</t>
  </si>
  <si>
    <t>https://www.linkedin.com/in/annette-wodzinski-2a28351aa/</t>
  </si>
  <si>
    <t>CEO</t>
  </si>
  <si>
    <t>Andy Rubenstein</t>
  </si>
  <si>
    <t>https://www.linkedin.com/in/andy-rubenstein-8663261/</t>
  </si>
  <si>
    <t>Senior Director National Sales Development</t>
  </si>
  <si>
    <t>Margaret Westlove</t>
  </si>
  <si>
    <t>https://www.linkedin.com/in/margaret-westlove-279850169/</t>
  </si>
  <si>
    <t>Accel Entertainment</t>
  </si>
  <si>
    <t>J&amp;J Gaming</t>
  </si>
  <si>
    <t>Strategic Territory Manager</t>
  </si>
  <si>
    <t>Chandler Martelli</t>
  </si>
  <si>
    <t>https://www.linkedin.com/in/chandler-martelli-38a454104/</t>
  </si>
  <si>
    <t>Billy Hubbard</t>
  </si>
  <si>
    <t>https://www.linkedin.com/in/billy-hubbard-122312154/</t>
  </si>
  <si>
    <t>Robin Ferguson</t>
  </si>
  <si>
    <t>https://www.linkedin.com/in/robin-ferguson-08052468/</t>
  </si>
  <si>
    <t>Regional Operations Manager</t>
  </si>
  <si>
    <t>Timothy Ring</t>
  </si>
  <si>
    <t>https://www.linkedin.com/in/timring/</t>
  </si>
  <si>
    <t>Regional Sales Manager</t>
  </si>
  <si>
    <t>Chad Bohlen</t>
  </si>
  <si>
    <t>https://www.linkedin.com/in/chad-bohlen-b3154b197/</t>
  </si>
  <si>
    <t>Mairo Renucci</t>
  </si>
  <si>
    <t>https://www.linkedin.com/in/mairo-renucci-29727a39/</t>
  </si>
  <si>
    <t>Chelsey (Spruell) Koester</t>
  </si>
  <si>
    <t>https://www.linkedin.com/in/chelseykoester/</t>
  </si>
  <si>
    <t>CFO</t>
  </si>
  <si>
    <t>Ed Farrell</t>
  </si>
  <si>
    <t>https://www.linkedin.com/in/ed-farrell-b86a063/</t>
  </si>
  <si>
    <t>Robert Willenborg</t>
  </si>
  <si>
    <t>https://www.linkedin.com/in/robert-willenborg-50123b48/</t>
  </si>
  <si>
    <t>Director of Licensing and Compliance</t>
  </si>
  <si>
    <t>https://www.linkedin.com/in/molly-hart-87564831/</t>
  </si>
  <si>
    <t>Regional Manager</t>
  </si>
  <si>
    <t>https://www.linkedin.com/in/daniel-green-71212b158/</t>
  </si>
  <si>
    <t>Account Executive</t>
  </si>
  <si>
    <t>https://www.linkedin.com/in/cory-smith-b0391aa0/</t>
  </si>
  <si>
    <t>Regulatory Compliance Coordinator</t>
  </si>
  <si>
    <t>https://www.linkedin.com/in/gene-c-a64743222/</t>
  </si>
  <si>
    <t>GCG</t>
  </si>
  <si>
    <t>Field Service Coordinator </t>
  </si>
  <si>
    <t>Peter Bayliss</t>
  </si>
  <si>
    <t>https://www.linkedin.com/in/peter-bayliss-83680314/</t>
  </si>
  <si>
    <t>Game Performance Manager</t>
  </si>
  <si>
    <t>Brett Stephens</t>
  </si>
  <si>
    <t>https://www.linkedin.com/in/brett-stephens-0b78b2233/</t>
  </si>
  <si>
    <t>Director of Business Transformation</t>
  </si>
  <si>
    <t>Ronald Smith</t>
  </si>
  <si>
    <t>https://www.linkedin.com/in/ronald-smith-mpa/</t>
  </si>
  <si>
    <t>Director of Game Performance</t>
  </si>
  <si>
    <t>Matthew McClaskey</t>
  </si>
  <si>
    <t>https://www.linkedin.com/in/matthew-mcclaskey-70833643/</t>
  </si>
  <si>
    <t>Manager of Game Performance</t>
  </si>
  <si>
    <t>Austin Swartz</t>
  </si>
  <si>
    <t>https://www.linkedin.com/in/austinswartz/</t>
  </si>
  <si>
    <t>Ben Bickford</t>
  </si>
  <si>
    <t>https://www.linkedin.com/in/benjaminbickford/</t>
  </si>
  <si>
    <t>Yvonne Womeldorff</t>
  </si>
  <si>
    <t>https://www.linkedin.com/in/yvonne-womeldorff-5b609a7b/</t>
  </si>
  <si>
    <t>Brandon Bright</t>
  </si>
  <si>
    <t>https://www.linkedin.com/in/brandon-bright-9b619192/</t>
  </si>
  <si>
    <t>Founder</t>
  </si>
  <si>
    <t>Rob Miller</t>
  </si>
  <si>
    <t>https://www.linkedin.com/in/rob-miller-founder/details/experience/</t>
  </si>
  <si>
    <t>Owner</t>
  </si>
  <si>
    <t>Rolen Miller</t>
  </si>
  <si>
    <t>https://www.linkedin.com/in/rolen-miller-3a185a9/</t>
  </si>
  <si>
    <t>Note</t>
  </si>
  <si>
    <t>Current Employer</t>
  </si>
  <si>
    <t>Left</t>
  </si>
  <si>
    <t>Ex Comp</t>
  </si>
  <si>
    <t>Category/Title</t>
  </si>
  <si>
    <t>Rank</t>
  </si>
  <si>
    <t>Name</t>
  </si>
  <si>
    <t>Link</t>
  </si>
  <si>
    <t>Interblock</t>
  </si>
  <si>
    <t>VGW</t>
  </si>
  <si>
    <t>Other</t>
  </si>
  <si>
    <t>Sydney</t>
  </si>
  <si>
    <t>Bland</t>
  </si>
  <si>
    <t>WEETHALLE</t>
  </si>
  <si>
    <t>Weethalle Country Club</t>
  </si>
  <si>
    <t>LIQC300244423</t>
  </si>
  <si>
    <t>Weddin</t>
  </si>
  <si>
    <t>QUANDIALLA</t>
  </si>
  <si>
    <t>Quandialla Bowling Club Limited</t>
  </si>
  <si>
    <t>LIQC300237729</t>
  </si>
  <si>
    <t>Griffith</t>
  </si>
  <si>
    <t>YENDA</t>
  </si>
  <si>
    <t>YENDA DIGGERS CLUB LTD</t>
  </si>
  <si>
    <t>LIQC300240266</t>
  </si>
  <si>
    <t>Snowy Monaro Regional</t>
  </si>
  <si>
    <t>COOMA</t>
  </si>
  <si>
    <t>Cooma Country Club Limited</t>
  </si>
  <si>
    <t>LIQC324006196</t>
  </si>
  <si>
    <t>Gwydir</t>
  </si>
  <si>
    <t>UPPER HORTON</t>
  </si>
  <si>
    <t>Upper Horton Sports Club Ltd</t>
  </si>
  <si>
    <t>LIQC300235807</t>
  </si>
  <si>
    <t>Newcastle</t>
  </si>
  <si>
    <t>WICKHAM</t>
  </si>
  <si>
    <t>Croatian Wickham Sports Club Co-operative Limited</t>
  </si>
  <si>
    <t>LIQC300241394</t>
  </si>
  <si>
    <t>NIMMITABEL</t>
  </si>
  <si>
    <t>Nimmitabel Country Club</t>
  </si>
  <si>
    <t>LIQC300236617</t>
  </si>
  <si>
    <t>Inverell</t>
  </si>
  <si>
    <t>INVERELL</t>
  </si>
  <si>
    <t>Inverell Golf Club</t>
  </si>
  <si>
    <t>LIQC300238148</t>
  </si>
  <si>
    <t>Northern Beaches</t>
  </si>
  <si>
    <t>AVALON BEACH</t>
  </si>
  <si>
    <t>Avalon Beach Bowling &amp; Recreation Club Limited</t>
  </si>
  <si>
    <t>LIQC300225399</t>
  </si>
  <si>
    <t>Byron</t>
  </si>
  <si>
    <t>MULLUMBIMBY</t>
  </si>
  <si>
    <t>Mullumbimby Rugby League Football Club</t>
  </si>
  <si>
    <t>LIQC300200655</t>
  </si>
  <si>
    <t>DELUNGRA</t>
  </si>
  <si>
    <t>Delungra Memorial Bowling &amp; Recreation Club</t>
  </si>
  <si>
    <t>LIQC300244970</t>
  </si>
  <si>
    <t>Canada Bay</t>
  </si>
  <si>
    <t>CONCORD</t>
  </si>
  <si>
    <t>The Concord Community Club</t>
  </si>
  <si>
    <t>LIQC330019641</t>
  </si>
  <si>
    <t>Lachlan</t>
  </si>
  <si>
    <t>TOTTENHAM</t>
  </si>
  <si>
    <t>Tottenham Bowling Club Ltd</t>
  </si>
  <si>
    <t>LIQC300243494</t>
  </si>
  <si>
    <t>NORTH STAR</t>
  </si>
  <si>
    <t>North Star Sporting Club</t>
  </si>
  <si>
    <t>LIQC300245543</t>
  </si>
  <si>
    <t>Cumberland</t>
  </si>
  <si>
    <t>AUBURN</t>
  </si>
  <si>
    <t>Rosnay Golf Club Limited</t>
  </si>
  <si>
    <t>LIQC300229998</t>
  </si>
  <si>
    <t>Cabonne</t>
  </si>
  <si>
    <t>MOLONG</t>
  </si>
  <si>
    <t>Molong Bowling Club Ltd</t>
  </si>
  <si>
    <t>LIQC300239330</t>
  </si>
  <si>
    <t>Ballina</t>
  </si>
  <si>
    <t>BALLINA</t>
  </si>
  <si>
    <t>Ballina RSL Bowling Club</t>
  </si>
  <si>
    <t>LIQC324007347</t>
  </si>
  <si>
    <t>Liverpool</t>
  </si>
  <si>
    <t>MIDDLETON GRANGE</t>
  </si>
  <si>
    <t>Serbian Cultural Club Ltd</t>
  </si>
  <si>
    <t>LIQC324002782</t>
  </si>
  <si>
    <t>Wollongong</t>
  </si>
  <si>
    <t>KEMBLA GRANGE</t>
  </si>
  <si>
    <t>AGA Club Germania Ltd</t>
  </si>
  <si>
    <t>LIQC300245500</t>
  </si>
  <si>
    <t>Snowy Valleys</t>
  </si>
  <si>
    <t>ROSEWOOD</t>
  </si>
  <si>
    <t>Rosewood Golf Club Limited</t>
  </si>
  <si>
    <t>LIQC300243079</t>
  </si>
  <si>
    <t>Richmond Valley</t>
  </si>
  <si>
    <t>BROADWATER</t>
  </si>
  <si>
    <t>Broadwater Bowling Club</t>
  </si>
  <si>
    <t>LIQC300235246</t>
  </si>
  <si>
    <t>Lismore</t>
  </si>
  <si>
    <t>LISMORE</t>
  </si>
  <si>
    <t>Lismore &amp; District Workers Club Limited</t>
  </si>
  <si>
    <t>LIQC300238482</t>
  </si>
  <si>
    <t>Woollahra</t>
  </si>
  <si>
    <t>DOUBLE BAY</t>
  </si>
  <si>
    <t>Double Bay Bowling Club</t>
  </si>
  <si>
    <t>LIQC300226948</t>
  </si>
  <si>
    <t>WEST WYALONG</t>
  </si>
  <si>
    <t>West Wyalong Bowling Recreation Club Ltd</t>
  </si>
  <si>
    <t>LIQC300244458</t>
  </si>
  <si>
    <t>Wingecarribee</t>
  </si>
  <si>
    <t>MOSS VALE</t>
  </si>
  <si>
    <t>Moss Vale Golf Club</t>
  </si>
  <si>
    <t>LIQC300235750</t>
  </si>
  <si>
    <t>Dubbo Regional</t>
  </si>
  <si>
    <t>APSLEY</t>
  </si>
  <si>
    <t>Wellington Golf Club Limited</t>
  </si>
  <si>
    <t>LIQC300243613</t>
  </si>
  <si>
    <t>TUMBARUMBA</t>
  </si>
  <si>
    <t>Tumbarumba Golf Club Limited</t>
  </si>
  <si>
    <t>LIQC300243095</t>
  </si>
  <si>
    <t>Fairfield</t>
  </si>
  <si>
    <t>EDENSOR PARK</t>
  </si>
  <si>
    <t>Hungarian (Magyar) Social Club</t>
  </si>
  <si>
    <t>LIQC324005367</t>
  </si>
  <si>
    <t>Lockhart</t>
  </si>
  <si>
    <t>YERONG CREEK</t>
  </si>
  <si>
    <t>Yerong Creek Bowling Club Limited</t>
  </si>
  <si>
    <t>LIQC300235114</t>
  </si>
  <si>
    <t>Lake Macquarie</t>
  </si>
  <si>
    <t>WANGI WANGI</t>
  </si>
  <si>
    <t>Wangi Bowling Club Co-operative Limited</t>
  </si>
  <si>
    <t>LIQC300241289</t>
  </si>
  <si>
    <t>Blayney</t>
  </si>
  <si>
    <t>BLAYNEY</t>
  </si>
  <si>
    <t>Blayney Golf Club</t>
  </si>
  <si>
    <t>LIQC300235823</t>
  </si>
  <si>
    <t>Upper Lachlan</t>
  </si>
  <si>
    <t>CROOKWELL</t>
  </si>
  <si>
    <t>Crookwell Golf Club Ltd</t>
  </si>
  <si>
    <t>LIQC300237435</t>
  </si>
  <si>
    <t>Junee</t>
  </si>
  <si>
    <t>JUNEE</t>
  </si>
  <si>
    <t>Junee Bowling Club Ltd</t>
  </si>
  <si>
    <t>LIQC300238296</t>
  </si>
  <si>
    <t>Hawkesbury</t>
  </si>
  <si>
    <t>KURRAJONG HEIGHTS</t>
  </si>
  <si>
    <t>Kurrajong Heights Bowling &amp; Recreation Club Ltd</t>
  </si>
  <si>
    <t>LIQC300244601</t>
  </si>
  <si>
    <t>Kempsey</t>
  </si>
  <si>
    <t>SMITHTOWN</t>
  </si>
  <si>
    <t>Smithtown Sport and Recreation Club Limited</t>
  </si>
  <si>
    <t>LIQC300238660</t>
  </si>
  <si>
    <t>Lithgow</t>
  </si>
  <si>
    <t>PORTLAND</t>
  </si>
  <si>
    <t>Portland Golf Club Limited</t>
  </si>
  <si>
    <t>LIQC300237990</t>
  </si>
  <si>
    <t>Ku-ring-gai</t>
  </si>
  <si>
    <t>ROSEVILLE</t>
  </si>
  <si>
    <t>Roseville Returned Servicemens Memorial Club Ltd</t>
  </si>
  <si>
    <t>LIQC300229963</t>
  </si>
  <si>
    <t>Federation</t>
  </si>
  <si>
    <t>RAND</t>
  </si>
  <si>
    <t>Rand Bowling Club Ltd</t>
  </si>
  <si>
    <t>LIQC300243222</t>
  </si>
  <si>
    <t>COLEDALE</t>
  </si>
  <si>
    <t>Coledale R S L Club Ltd</t>
  </si>
  <si>
    <t>LIQC300243842</t>
  </si>
  <si>
    <t>CROPPA CREEK</t>
  </si>
  <si>
    <t>Croppa Creek Bowling Club Ltd</t>
  </si>
  <si>
    <t>LIQC300243478</t>
  </si>
  <si>
    <t>WELLINGTON</t>
  </si>
  <si>
    <t>Wellington Bowling Club Limited</t>
  </si>
  <si>
    <t>LIQC300243605</t>
  </si>
  <si>
    <t>Oberon</t>
  </si>
  <si>
    <t>BURRAGA</t>
  </si>
  <si>
    <t>Burraga Sport &amp; Recreation Club Limited</t>
  </si>
  <si>
    <t>LIQC324005082</t>
  </si>
  <si>
    <t>Coffs Harbour</t>
  </si>
  <si>
    <t>COFFS HARBOUR</t>
  </si>
  <si>
    <t>Coffs Harbour Rugby League Football Club Ltd</t>
  </si>
  <si>
    <t>LIQC324004473</t>
  </si>
  <si>
    <t>MANILDRA</t>
  </si>
  <si>
    <t>Manildra Bowling Club Ltd</t>
  </si>
  <si>
    <t>LIQC300239314</t>
  </si>
  <si>
    <t>Parkes</t>
  </si>
  <si>
    <t>PARKES</t>
  </si>
  <si>
    <t>Parkes Golf Club Co-operative Limited</t>
  </si>
  <si>
    <t>LIQC300241556</t>
  </si>
  <si>
    <t>Clarence Valley</t>
  </si>
  <si>
    <t>ILARWILL</t>
  </si>
  <si>
    <t>Maclean Golf Club Ltd</t>
  </si>
  <si>
    <t>LIQC300238563</t>
  </si>
  <si>
    <t>Narrabri</t>
  </si>
  <si>
    <t>WEE WAA</t>
  </si>
  <si>
    <t>Wee Waa Golf Club Ltd</t>
  </si>
  <si>
    <t>LIQC300243583</t>
  </si>
  <si>
    <t>Warrumbungle</t>
  </si>
  <si>
    <t>MENDOORAN</t>
  </si>
  <si>
    <t>Mendooran - Merrygoen Memorial Club Co-operative Limited</t>
  </si>
  <si>
    <t>LIQC300237176</t>
  </si>
  <si>
    <t>Uralla</t>
  </si>
  <si>
    <t>BUNDARRA</t>
  </si>
  <si>
    <t>Bundarra Sports and Recreation Club Ltd</t>
  </si>
  <si>
    <t>LIQC324002025</t>
  </si>
  <si>
    <t>Leeton</t>
  </si>
  <si>
    <t>WHITTON</t>
  </si>
  <si>
    <t>Whitton Bowling &amp; Recreation Club Limited</t>
  </si>
  <si>
    <t>LIQC300245438</t>
  </si>
  <si>
    <t>Inner West</t>
  </si>
  <si>
    <t>MARRICKVILLE</t>
  </si>
  <si>
    <t>Marrickville &amp; District Hardcourt Tennis Club Ltd</t>
  </si>
  <si>
    <t>LIQC300228525</t>
  </si>
  <si>
    <t>Liverpool Plains</t>
  </si>
  <si>
    <t>WERRIS CREEK</t>
  </si>
  <si>
    <t>Werris Creek Golf Club Ltd</t>
  </si>
  <si>
    <t>LIQC300242366</t>
  </si>
  <si>
    <t>WEBBS CREEK</t>
  </si>
  <si>
    <t>Del Rio Aquatic Club Limited</t>
  </si>
  <si>
    <t>LIQC300200256</t>
  </si>
  <si>
    <t>TARALGA</t>
  </si>
  <si>
    <t>Taralga Sports Club Limited</t>
  </si>
  <si>
    <t>LIQC300237540</t>
  </si>
  <si>
    <t>Yass Valley</t>
  </si>
  <si>
    <t>BINALONG</t>
  </si>
  <si>
    <t>The Binalong Community Club Ltd</t>
  </si>
  <si>
    <t>LIQC300236412</t>
  </si>
  <si>
    <t>Cowra</t>
  </si>
  <si>
    <t>GOOLOOGONG</t>
  </si>
  <si>
    <t>Gooloogong Country Club Limited</t>
  </si>
  <si>
    <t>LIQC300237699</t>
  </si>
  <si>
    <t>Mid-Coast</t>
  </si>
  <si>
    <t>GLOUCESTER</t>
  </si>
  <si>
    <t>Gloucester Country Club Ltd</t>
  </si>
  <si>
    <t>LIQC300239098</t>
  </si>
  <si>
    <t>Campbelltown</t>
  </si>
  <si>
    <t>MENANGLE PARK</t>
  </si>
  <si>
    <t>New South Wales Harness Racing Club Limited Menangle Park Paceway</t>
  </si>
  <si>
    <t>LIQC330010008</t>
  </si>
  <si>
    <t>GRENFELL</t>
  </si>
  <si>
    <t>Grenfell Country Club Ltd</t>
  </si>
  <si>
    <t>LIQC300237710</t>
  </si>
  <si>
    <t>Randwick</t>
  </si>
  <si>
    <t>CLOVELLY</t>
  </si>
  <si>
    <t>Clovelly Bowling &amp; Recreation Club Ltd</t>
  </si>
  <si>
    <t>LIQC300226468</t>
  </si>
  <si>
    <t>BINNAWAY</t>
  </si>
  <si>
    <t>Binnaway District Golf Club Ltd</t>
  </si>
  <si>
    <t>LIQC300200450</t>
  </si>
  <si>
    <t>Mosman</t>
  </si>
  <si>
    <t>MOSMAN</t>
  </si>
  <si>
    <t>Warringah Bowling Club Limited</t>
  </si>
  <si>
    <t>LIQC300230805</t>
  </si>
  <si>
    <t>Mullumbimby Golf Club Ltd</t>
  </si>
  <si>
    <t>LIQC300239721</t>
  </si>
  <si>
    <t>Murray River</t>
  </si>
  <si>
    <t>WAKOOL</t>
  </si>
  <si>
    <t>Wakool Services Club Ltd</t>
  </si>
  <si>
    <t>LIQC300237079</t>
  </si>
  <si>
    <t>SYDNEY</t>
  </si>
  <si>
    <t>Hellenic Club Limited</t>
  </si>
  <si>
    <t>LIQC300227650</t>
  </si>
  <si>
    <t>Murrumbidgee</t>
  </si>
  <si>
    <t>COLEAMBALLY</t>
  </si>
  <si>
    <t>Coleambally Community Club Ltd</t>
  </si>
  <si>
    <t>LIQC300245659</t>
  </si>
  <si>
    <t>BALGOWLAH</t>
  </si>
  <si>
    <t>Balgowlah Golf Club Ltd</t>
  </si>
  <si>
    <t>LIQC300225429</t>
  </si>
  <si>
    <t>Kyogle</t>
  </si>
  <si>
    <t>URBENVILLE</t>
  </si>
  <si>
    <t>Urbenville &amp; District Bowling Club Ltd</t>
  </si>
  <si>
    <t>LIQC300242498</t>
  </si>
  <si>
    <t>STANMORE</t>
  </si>
  <si>
    <t>Cyprus Community of NSW Limited</t>
  </si>
  <si>
    <t>LIQC300200108</t>
  </si>
  <si>
    <t>ADAMSTOWN</t>
  </si>
  <si>
    <t>Merewether Golf Club Ltd</t>
  </si>
  <si>
    <t>LIQC300240789</t>
  </si>
  <si>
    <t>BALMAIN</t>
  </si>
  <si>
    <t>Gladstone Park Bowling Club Ltd</t>
  </si>
  <si>
    <t>LIQC300227421</t>
  </si>
  <si>
    <t>SAWTELL</t>
  </si>
  <si>
    <t>Sawtell Golf Club Ltd</t>
  </si>
  <si>
    <t>LIQC300235610</t>
  </si>
  <si>
    <t>CORAKI</t>
  </si>
  <si>
    <t>Coraki Golf Club Ltd</t>
  </si>
  <si>
    <t>LIQC300242447</t>
  </si>
  <si>
    <t>BAYVIEW</t>
  </si>
  <si>
    <t>Bayview Golf Club Limited</t>
  </si>
  <si>
    <t>LIQC300225607</t>
  </si>
  <si>
    <t>Gunnedah</t>
  </si>
  <si>
    <t>GUNNEDAH</t>
  </si>
  <si>
    <t>Club Gunnedah</t>
  </si>
  <si>
    <t>LIQC300237893</t>
  </si>
  <si>
    <t>Broken Hill</t>
  </si>
  <si>
    <t>BROKEN HILL</t>
  </si>
  <si>
    <t>South Broken Hill Golf Club</t>
  </si>
  <si>
    <t>LIQC300236382</t>
  </si>
  <si>
    <t>GORDON</t>
  </si>
  <si>
    <t>Gordon Golf Club Ltd</t>
  </si>
  <si>
    <t>LIQC300227472</t>
  </si>
  <si>
    <t>NEW PARK</t>
  </si>
  <si>
    <t>Kyogle Golf Club Ltd</t>
  </si>
  <si>
    <t>LIQC300242463</t>
  </si>
  <si>
    <t>Cootamundra-Gundagai Regional</t>
  </si>
  <si>
    <t>STOCKINBINGAL</t>
  </si>
  <si>
    <t>Stockinbingal Bowling Club Co-operative Limited</t>
  </si>
  <si>
    <t>LIQC300236838</t>
  </si>
  <si>
    <t>WOODSTOCK</t>
  </si>
  <si>
    <t>Woodstock Bowling, Sport and Recreation Club Limited</t>
  </si>
  <si>
    <t>LIQC300236978</t>
  </si>
  <si>
    <t>Bayside</t>
  </si>
  <si>
    <t>BARDWELL VALLEY</t>
  </si>
  <si>
    <t>Bardwell Valley Golf Club</t>
  </si>
  <si>
    <t>LIQC300200310</t>
  </si>
  <si>
    <t>Narrandera</t>
  </si>
  <si>
    <t>NARRANDERA</t>
  </si>
  <si>
    <t>Narrandera Golf Club Limited</t>
  </si>
  <si>
    <t>LIQC300240223</t>
  </si>
  <si>
    <t>MILLTHORPE</t>
  </si>
  <si>
    <t>Club Millthorpe</t>
  </si>
  <si>
    <t>LIQC300241467</t>
  </si>
  <si>
    <t>Manildra Golf Club</t>
  </si>
  <si>
    <t>LIQC300239322</t>
  </si>
  <si>
    <t>Canterbury-Bankstown</t>
  </si>
  <si>
    <t>BANKSTOWN</t>
  </si>
  <si>
    <t>Bankstown Polish Club Co-operative Limited</t>
  </si>
  <si>
    <t>LIQC300231488</t>
  </si>
  <si>
    <t>Nambucca Valley</t>
  </si>
  <si>
    <t>BOWRAVILLE</t>
  </si>
  <si>
    <t>Bowraville Recreation Club Co-operative Limited</t>
  </si>
  <si>
    <t>LIQC300239934</t>
  </si>
  <si>
    <t>ST IVES</t>
  </si>
  <si>
    <t>St Ives Bowling &amp; Recreation Club Limited</t>
  </si>
  <si>
    <t>LIQC300230465</t>
  </si>
  <si>
    <t>Greater Hume</t>
  </si>
  <si>
    <t>WALLA WALLA</t>
  </si>
  <si>
    <t>Walla Walla Bowling &amp; Recreation Club Limited</t>
  </si>
  <si>
    <t>LIQC300235106</t>
  </si>
  <si>
    <t>Bathurst Regional</t>
  </si>
  <si>
    <t>BATHURST</t>
  </si>
  <si>
    <t>Majellan Bowling Club Ltd</t>
  </si>
  <si>
    <t>LIQC300245349</t>
  </si>
  <si>
    <t>TINGHA</t>
  </si>
  <si>
    <t>Tingha Sport &amp; Recreation Club Limited</t>
  </si>
  <si>
    <t>LIQC324000621</t>
  </si>
  <si>
    <t>Hilltops</t>
  </si>
  <si>
    <t>BRIBBAREE</t>
  </si>
  <si>
    <t>Bribbaree Services &amp; Citizens Bowling Club Co-operative Ltd</t>
  </si>
  <si>
    <t>LIQC300244512</t>
  </si>
  <si>
    <t>Parkes Railway Institute Bowling Club Limited</t>
  </si>
  <si>
    <t>LIQC300241572</t>
  </si>
  <si>
    <t>Dapto Leagues Club Limited (Trading as Grange Golf Club)</t>
  </si>
  <si>
    <t>LIQC300243753</t>
  </si>
  <si>
    <t>GEURIE</t>
  </si>
  <si>
    <t>Geurie Bowling Club Ltd</t>
  </si>
  <si>
    <t>LIQC300237133</t>
  </si>
  <si>
    <t>Marrickville Golf Club Ltd</t>
  </si>
  <si>
    <t>LIQC300228541</t>
  </si>
  <si>
    <t>Ryde</t>
  </si>
  <si>
    <t>WEST RYDE</t>
  </si>
  <si>
    <t>Ryde - Parramatta Golf Club Limited</t>
  </si>
  <si>
    <t>LIQC300230163</t>
  </si>
  <si>
    <t>Cessnock</t>
  </si>
  <si>
    <t>BELLBIRD</t>
  </si>
  <si>
    <t>Bellbird Park Bowling Club Limited</t>
  </si>
  <si>
    <t>LIQC300238717</t>
  </si>
  <si>
    <t>TORONTO</t>
  </si>
  <si>
    <t>Toronto Country Club Ltd</t>
  </si>
  <si>
    <t>LIQC300240665</t>
  </si>
  <si>
    <t>ARGENTON</t>
  </si>
  <si>
    <t>Waratah Golf Club Ltd</t>
  </si>
  <si>
    <t>LIQC300241327</t>
  </si>
  <si>
    <t>Upper Hunter</t>
  </si>
  <si>
    <t>SCONE</t>
  </si>
  <si>
    <t>Scone Sporties</t>
  </si>
  <si>
    <t>LIQC300242579</t>
  </si>
  <si>
    <t>Edward River</t>
  </si>
  <si>
    <t>DENILIQUIN</t>
  </si>
  <si>
    <t>Denilquin Golf Club Limited</t>
  </si>
  <si>
    <t>LIQC300237036</t>
  </si>
  <si>
    <t>Narromine</t>
  </si>
  <si>
    <t>TRANGIE</t>
  </si>
  <si>
    <t>Trangie United Services Memorial Club Limited</t>
  </si>
  <si>
    <t>LIQC300243524</t>
  </si>
  <si>
    <t>BANGALOW</t>
  </si>
  <si>
    <t>Bangalow Bowling &amp; Sports Club Ltd</t>
  </si>
  <si>
    <t>LIQC300239624</t>
  </si>
  <si>
    <t>Hornsby</t>
  </si>
  <si>
    <t>NORTH EPPING</t>
  </si>
  <si>
    <t>North Epping Bowling &amp; Community Club</t>
  </si>
  <si>
    <t>LIQC300231402</t>
  </si>
  <si>
    <t>WOMBARRA</t>
  </si>
  <si>
    <t>Scarborough - Wombarra Bowling &amp; Recreation Club Limited</t>
  </si>
  <si>
    <t>LIQC300244148</t>
  </si>
  <si>
    <t>HANWOOD</t>
  </si>
  <si>
    <t>Hanwood Sports Club</t>
  </si>
  <si>
    <t>LIQC300240142</t>
  </si>
  <si>
    <t>LITTLE BAY</t>
  </si>
  <si>
    <t>Coast Golf &amp; Recreation Club Ltd</t>
  </si>
  <si>
    <t>LIQC300226492</t>
  </si>
  <si>
    <t>Armidale Regional</t>
  </si>
  <si>
    <t>ARMIDALE</t>
  </si>
  <si>
    <t>Armidale Golf Club</t>
  </si>
  <si>
    <t>LIQC300235157</t>
  </si>
  <si>
    <t>North Sydney</t>
  </si>
  <si>
    <t>NORTH SYDNEY</t>
  </si>
  <si>
    <t>The Greens North Sydney</t>
  </si>
  <si>
    <t>LIQC300229262</t>
  </si>
  <si>
    <t>LOCKHART</t>
  </si>
  <si>
    <t>Lockhart Bowling Club Ltd</t>
  </si>
  <si>
    <t>LIQC300243184</t>
  </si>
  <si>
    <t>MONA VALE</t>
  </si>
  <si>
    <t>Mona Vale Bowling Club</t>
  </si>
  <si>
    <t>LIQC300228746</t>
  </si>
  <si>
    <t>GRIFFITH</t>
  </si>
  <si>
    <t>Griffith Golf Club Co-operative Society Limited</t>
  </si>
  <si>
    <t>LIQC300240118</t>
  </si>
  <si>
    <t>MOUNT COLAH</t>
  </si>
  <si>
    <t>Asquith Golf Club Limited</t>
  </si>
  <si>
    <t>LIQC300225232</t>
  </si>
  <si>
    <t>Lane Cove</t>
  </si>
  <si>
    <t>LANE COVE</t>
  </si>
  <si>
    <t>Lane Cove West Bowling &amp; Recreation Club Limited</t>
  </si>
  <si>
    <t>LIQC300228134</t>
  </si>
  <si>
    <t>Willoughby</t>
  </si>
  <si>
    <t>CHATSWOOD</t>
  </si>
  <si>
    <t>Chatswood Club Ltd</t>
  </si>
  <si>
    <t>LIQC300226344</t>
  </si>
  <si>
    <t>BARHAM</t>
  </si>
  <si>
    <t>Barham Golf &amp; Country Club</t>
  </si>
  <si>
    <t>LIQC300236994</t>
  </si>
  <si>
    <t>EASTLAKES</t>
  </si>
  <si>
    <t>Eastlakes Sports Club Limited</t>
  </si>
  <si>
    <t>LIQC300227480</t>
  </si>
  <si>
    <t>FREDERICKTON</t>
  </si>
  <si>
    <t>Frederickton Golf Club</t>
  </si>
  <si>
    <t>LIQC300200280</t>
  </si>
  <si>
    <t>STROUD</t>
  </si>
  <si>
    <t>Stroud &amp; District Country Club Ltd</t>
  </si>
  <si>
    <t>LIQC300242196</t>
  </si>
  <si>
    <t>BINGARA</t>
  </si>
  <si>
    <t>Bingara Sporting Club Limited</t>
  </si>
  <si>
    <t>LIQC300235785</t>
  </si>
  <si>
    <t>Queanbeyan-Palerang Regional</t>
  </si>
  <si>
    <t>CAPTAINS FLAT</t>
  </si>
  <si>
    <t>Captains Flat RSL &amp; Citizens Club Ltd</t>
  </si>
  <si>
    <t>LIQC300242242</t>
  </si>
  <si>
    <t>CASSILIS</t>
  </si>
  <si>
    <t>Cassilis Bowling Club</t>
  </si>
  <si>
    <t>LIQC300237737</t>
  </si>
  <si>
    <t>PEAK HILL</t>
  </si>
  <si>
    <t>Peak Hill Bowling Club Co-operative Limited</t>
  </si>
  <si>
    <t>LIQC300241629</t>
  </si>
  <si>
    <t>Portland Bowling Club Co-operative Limited</t>
  </si>
  <si>
    <t>LIQC300237982</t>
  </si>
  <si>
    <t>Lismore City Bowling and Recreation Club Limited</t>
  </si>
  <si>
    <t>LIQC300238490</t>
  </si>
  <si>
    <t>Waverley</t>
  </si>
  <si>
    <t>WAVERLEY</t>
  </si>
  <si>
    <t>Bronte Bowling Club</t>
  </si>
  <si>
    <t>LIQC300226018</t>
  </si>
  <si>
    <t>Wentworth</t>
  </si>
  <si>
    <t>DARETON</t>
  </si>
  <si>
    <t>Coomealla Golf</t>
  </si>
  <si>
    <t>LIQC324007381</t>
  </si>
  <si>
    <t>The Hills</t>
  </si>
  <si>
    <t>CASTLE HILL</t>
  </si>
  <si>
    <t>Castle Hill Bowling Club Ltd</t>
  </si>
  <si>
    <t>LIQC300226298</t>
  </si>
  <si>
    <t>COLLAROY</t>
  </si>
  <si>
    <t>Long Reef Golf Club</t>
  </si>
  <si>
    <t>LIQC300228282</t>
  </si>
  <si>
    <t>ADAMINABY</t>
  </si>
  <si>
    <t>Adaminaby Bowling &amp; Sports Club Ltd</t>
  </si>
  <si>
    <t>LIQC300236560</t>
  </si>
  <si>
    <t>Shoalhaven</t>
  </si>
  <si>
    <t>NORTH NOWRA</t>
  </si>
  <si>
    <t>Nowra Golf &amp; Recreation Club</t>
  </si>
  <si>
    <t>LIQC300242692</t>
  </si>
  <si>
    <t>COOGEE</t>
  </si>
  <si>
    <t>COOGEE BEACH CLUB</t>
  </si>
  <si>
    <t>LIQC300226581</t>
  </si>
  <si>
    <t>Parramatta</t>
  </si>
  <si>
    <t>NORTH ROCKS</t>
  </si>
  <si>
    <t>Muirfield Golf Club Ltd</t>
  </si>
  <si>
    <t>LIQC300228878</t>
  </si>
  <si>
    <t>Orange</t>
  </si>
  <si>
    <t>ORANGE</t>
  </si>
  <si>
    <t>Wentworth Golf Club</t>
  </si>
  <si>
    <t>LIQC300241513</t>
  </si>
  <si>
    <t>Coolamon</t>
  </si>
  <si>
    <t>GANMAIN</t>
  </si>
  <si>
    <t>Ganmain &amp; District Sports Club Limited</t>
  </si>
  <si>
    <t>LIQC300238261</t>
  </si>
  <si>
    <t>WEST WOLLONGONG</t>
  </si>
  <si>
    <t>LIQC300200779</t>
  </si>
  <si>
    <t>Muswellbrook</t>
  </si>
  <si>
    <t>DENMAN</t>
  </si>
  <si>
    <t>Denman Co-operative Bowling Club</t>
  </si>
  <si>
    <t>LIQC300239810</t>
  </si>
  <si>
    <t>Bega Valley</t>
  </si>
  <si>
    <t>TARRAGANDA</t>
  </si>
  <si>
    <t>Bega Country Club</t>
  </si>
  <si>
    <t>LIQC324007358</t>
  </si>
  <si>
    <t>Mendooran Bowling Club Ltd</t>
  </si>
  <si>
    <t>LIQC300237168</t>
  </si>
  <si>
    <t>DUNEDOO</t>
  </si>
  <si>
    <t>Dunedoo Sports Club Ltd</t>
  </si>
  <si>
    <t>LIQC300237125</t>
  </si>
  <si>
    <t>ILUKA</t>
  </si>
  <si>
    <t>Iluka Golf Club Limited</t>
  </si>
  <si>
    <t>LIQC300200566</t>
  </si>
  <si>
    <t>PARKES BOWLING AND SPORTS CLUB LIMITED</t>
  </si>
  <si>
    <t>LIQC300241521</t>
  </si>
  <si>
    <t>ARDLETHAN</t>
  </si>
  <si>
    <t>Ardlethan Bowling &amp; Recreation Club</t>
  </si>
  <si>
    <t>LIQC300242951</t>
  </si>
  <si>
    <t>OBERON</t>
  </si>
  <si>
    <t>Oberon Rugby Football Club Limited</t>
  </si>
  <si>
    <t>LIQC300245888</t>
  </si>
  <si>
    <t>BONALBO</t>
  </si>
  <si>
    <t>Bonalbo Bowling &amp; Recreation Club Ltd</t>
  </si>
  <si>
    <t>LIQC300242404</t>
  </si>
  <si>
    <t>Temora</t>
  </si>
  <si>
    <t>ARIAH PARK</t>
  </si>
  <si>
    <t>Ariah Park Bowling &amp; Recreation Club Limited</t>
  </si>
  <si>
    <t>LIQC300242978</t>
  </si>
  <si>
    <t>WILLOUGHBY EAST</t>
  </si>
  <si>
    <t>Willoughby Park Bowling Bocce &amp; Recreation Club Ltd</t>
  </si>
  <si>
    <t>LIQC300231003</t>
  </si>
  <si>
    <t>BELLATA</t>
  </si>
  <si>
    <t>Bellata Golf Club Ltd</t>
  </si>
  <si>
    <t>LIQC300240010</t>
  </si>
  <si>
    <t>MEREWETHER</t>
  </si>
  <si>
    <t>Merewether Bowling Club</t>
  </si>
  <si>
    <t>LIQC300240770</t>
  </si>
  <si>
    <t>WEST PYMBLE</t>
  </si>
  <si>
    <t>West Pymble Bicentennial Club Ltd</t>
  </si>
  <si>
    <t>LIQC300230953</t>
  </si>
  <si>
    <t>BALMAIN EAST</t>
  </si>
  <si>
    <t>Balmain Bowling Club Ltd</t>
  </si>
  <si>
    <t>LIQC300225445</t>
  </si>
  <si>
    <t>Berrigan</t>
  </si>
  <si>
    <t>BERRIGAN</t>
  </si>
  <si>
    <t>Berrigan Sports Club</t>
  </si>
  <si>
    <t>LIQC300238164</t>
  </si>
  <si>
    <t>NIMBIN</t>
  </si>
  <si>
    <t>Nimbin Bowling, Sport &amp; Recreation Club Limited</t>
  </si>
  <si>
    <t>LIQC300238539</t>
  </si>
  <si>
    <t>West Wyalong Services &amp; Citizens Sports Club</t>
  </si>
  <si>
    <t>LIQC324007361</t>
  </si>
  <si>
    <t>LAKEMBA</t>
  </si>
  <si>
    <t>Greek Com. Club</t>
  </si>
  <si>
    <t>LIQC324003344</t>
  </si>
  <si>
    <t>URANA</t>
  </si>
  <si>
    <t>Urana Bowling Club Ltd</t>
  </si>
  <si>
    <t>LIQC300243230</t>
  </si>
  <si>
    <t>MILPERRA</t>
  </si>
  <si>
    <t>Bankstown Golf Club</t>
  </si>
  <si>
    <t>LIQC300225569</t>
  </si>
  <si>
    <t>Carrathool</t>
  </si>
  <si>
    <t>GOOLGOWI</t>
  </si>
  <si>
    <t>Goolgowi Ex-Servicemens Memorial Club Limited</t>
  </si>
  <si>
    <t>LIQC300238059</t>
  </si>
  <si>
    <t>WINDSOR</t>
  </si>
  <si>
    <t>Windsor Bowling Club Co-operative Limited</t>
  </si>
  <si>
    <t>LIQC300243729</t>
  </si>
  <si>
    <t>BARMEDMAN</t>
  </si>
  <si>
    <t>Barmedman Bowling Club Ltd</t>
  </si>
  <si>
    <t>LIQC300244377</t>
  </si>
  <si>
    <t>ULONG</t>
  </si>
  <si>
    <t>Ulong &amp; District Ex-Servicemen's &amp; Women's Memorial Club Ltd</t>
  </si>
  <si>
    <t>LIQC300237621</t>
  </si>
  <si>
    <t>HEDDON GRETA</t>
  </si>
  <si>
    <t>Kurri Golf Club Limited</t>
  </si>
  <si>
    <t>LIQC300238857</t>
  </si>
  <si>
    <t>Port Stephens</t>
  </si>
  <si>
    <t>TANILBA BAY</t>
  </si>
  <si>
    <t>Tanilba Bay Golf Club</t>
  </si>
  <si>
    <t>LIQC300200507</t>
  </si>
  <si>
    <t>TOMAGO</t>
  </si>
  <si>
    <t>Tomago Bowling &amp; Sporting Club Co-op Limited</t>
  </si>
  <si>
    <t>LIQC300244792</t>
  </si>
  <si>
    <t>NARROMINE</t>
  </si>
  <si>
    <t>Narromine Golf Club</t>
  </si>
  <si>
    <t>LIQC300237192</t>
  </si>
  <si>
    <t>TALBINGO</t>
  </si>
  <si>
    <t>Talbingo Country Club Ltd</t>
  </si>
  <si>
    <t>LIQC300245616</t>
  </si>
  <si>
    <t>Wagga Wagga</t>
  </si>
  <si>
    <t>TARCUTTA</t>
  </si>
  <si>
    <t>Tarcutta RSL &amp; Citizen's Club Limited</t>
  </si>
  <si>
    <t>LIQC300243273</t>
  </si>
  <si>
    <t>SOUTH WINDSOR</t>
  </si>
  <si>
    <t>Windsor Country Club Limited</t>
  </si>
  <si>
    <t>LIQC300243737</t>
  </si>
  <si>
    <t>Blue Mountains</t>
  </si>
  <si>
    <t>BLACKHEATH</t>
  </si>
  <si>
    <t>Blackheath Golf Club Ltd</t>
  </si>
  <si>
    <t>LIQC300241661</t>
  </si>
  <si>
    <t>Wollondilly</t>
  </si>
  <si>
    <t>PICTON</t>
  </si>
  <si>
    <t>Antill Park Country Club Limited</t>
  </si>
  <si>
    <t>LIQC300241955</t>
  </si>
  <si>
    <t>BAULKHAM HILLS</t>
  </si>
  <si>
    <t>Castle Hill Country Club Ltd</t>
  </si>
  <si>
    <t>LIQC300226271</t>
  </si>
  <si>
    <t>FIGTREE</t>
  </si>
  <si>
    <t>Collegians' Orb Bowling Club</t>
  </si>
  <si>
    <t>LIQC300244083</t>
  </si>
  <si>
    <t>NEWPORT</t>
  </si>
  <si>
    <t>Newport Bowling Club</t>
  </si>
  <si>
    <t>LIQC300228932</t>
  </si>
  <si>
    <t>UNGARIE</t>
  </si>
  <si>
    <t>Ungarie Bowling Co-operative</t>
  </si>
  <si>
    <t>LIQC300244407</t>
  </si>
  <si>
    <t>ASHFIELD</t>
  </si>
  <si>
    <t>Polish Club Limited</t>
  </si>
  <si>
    <t>LIQC300229572</t>
  </si>
  <si>
    <t>RICHMOND</t>
  </si>
  <si>
    <t>Richmond Golf Club Ltd</t>
  </si>
  <si>
    <t>LIQC300243680</t>
  </si>
  <si>
    <t>FINLEY</t>
  </si>
  <si>
    <t>Finley Bowling Club Ltd</t>
  </si>
  <si>
    <t>LIQC300238180</t>
  </si>
  <si>
    <t>COONABARABRAN</t>
  </si>
  <si>
    <t>Coonabarabran Golf Club</t>
  </si>
  <si>
    <t>LIQC300236692</t>
  </si>
  <si>
    <t>HILLSBOROUGH</t>
  </si>
  <si>
    <t>Charlestown Golf Club Ltd</t>
  </si>
  <si>
    <t>LIQC300200019</t>
  </si>
  <si>
    <t>SOUTH LISMORE</t>
  </si>
  <si>
    <t>South Lismore Bowling &amp; Recreation Club Limited</t>
  </si>
  <si>
    <t>LIQC300238547</t>
  </si>
  <si>
    <t>LAKE ALBERT</t>
  </si>
  <si>
    <t>Wagga Wagga Country Club Limited</t>
  </si>
  <si>
    <t>LIQC300243346</t>
  </si>
  <si>
    <t>COOKS HILL</t>
  </si>
  <si>
    <t>Lowlands Bowling Club Ltd</t>
  </si>
  <si>
    <t>LIQC300240738</t>
  </si>
  <si>
    <t>LEURA</t>
  </si>
  <si>
    <t>Leura Golf Club</t>
  </si>
  <si>
    <t>LIQC300241793</t>
  </si>
  <si>
    <t>Tamworth Regional</t>
  </si>
  <si>
    <t>WEST TAMWORTH</t>
  </si>
  <si>
    <t>West Tamworth Sports &amp; Bowling Club Limited</t>
  </si>
  <si>
    <t>LIQC300242935</t>
  </si>
  <si>
    <t>YASS</t>
  </si>
  <si>
    <t>Yass Golf Club</t>
  </si>
  <si>
    <t>LIQC300244490</t>
  </si>
  <si>
    <t>Port Macquarie-Hastings</t>
  </si>
  <si>
    <t>PORT MACQUARIE</t>
  </si>
  <si>
    <t>Hibbard Sports Club Limited</t>
  </si>
  <si>
    <t>LIQC324007356</t>
  </si>
  <si>
    <t>WYANGALA</t>
  </si>
  <si>
    <t>Wyangala Dam Country Club Limited</t>
  </si>
  <si>
    <t>LIQC300245160</t>
  </si>
  <si>
    <t>Gilgandra</t>
  </si>
  <si>
    <t>GILGANDRA</t>
  </si>
  <si>
    <t>Gilgandra Sporting Club</t>
  </si>
  <si>
    <t>LIQC300236730</t>
  </si>
  <si>
    <t>TULLAMORE</t>
  </si>
  <si>
    <t>Tullamore Bowling &amp; Citizens Club Limited</t>
  </si>
  <si>
    <t>LIQC300241610</t>
  </si>
  <si>
    <t>Kiama</t>
  </si>
  <si>
    <t>JAMBEROO</t>
  </si>
  <si>
    <t>Jamberoo Bowling &amp; Recreation Club Limited</t>
  </si>
  <si>
    <t>LIQC300238377</t>
  </si>
  <si>
    <t>Dunedoo Bowling Club</t>
  </si>
  <si>
    <t>LIQC300237117</t>
  </si>
  <si>
    <t>OAKLANDS</t>
  </si>
  <si>
    <t>Oaklands RSL Bowling Club Ltd</t>
  </si>
  <si>
    <t>LIQC300243214</t>
  </si>
  <si>
    <t>BULAHDELAH</t>
  </si>
  <si>
    <t>Bulahdelah Golf Club Ltd</t>
  </si>
  <si>
    <t>LIQC300242110</t>
  </si>
  <si>
    <t>SOUTH COOGEE</t>
  </si>
  <si>
    <t>South Coogee Bowling Club Ltd</t>
  </si>
  <si>
    <t>LIQC300230252</t>
  </si>
  <si>
    <t>URALLA</t>
  </si>
  <si>
    <t>Uralla Golf Club Limited</t>
  </si>
  <si>
    <t>LIQC300243176</t>
  </si>
  <si>
    <t>WINGHAM</t>
  </si>
  <si>
    <t>Wingham Golf Club Limited</t>
  </si>
  <si>
    <t>LIQC300239268</t>
  </si>
  <si>
    <t>COOLAH</t>
  </si>
  <si>
    <t>Coolah Sporting Bowling Club</t>
  </si>
  <si>
    <t>LIQC300237745</t>
  </si>
  <si>
    <t>Blacktown</t>
  </si>
  <si>
    <t>SCHOFIELDS</t>
  </si>
  <si>
    <t>CSI Marconi</t>
  </si>
  <si>
    <t>LIQC324006861</t>
  </si>
  <si>
    <t>BIRMINGHAM GARDENS</t>
  </si>
  <si>
    <t>Shortland Waters Golf Club Limited</t>
  </si>
  <si>
    <t>LIQC300241041</t>
  </si>
  <si>
    <t>EAST TAMWORTH</t>
  </si>
  <si>
    <t>Tamworth City Bowling Club Ltd</t>
  </si>
  <si>
    <t>LIQC300242862</t>
  </si>
  <si>
    <t>Central Coast</t>
  </si>
  <si>
    <t>GOSFORD</t>
  </si>
  <si>
    <t>Gosford Golf Club Pty Ltd</t>
  </si>
  <si>
    <t>LIQC300236099</t>
  </si>
  <si>
    <t>Singleton</t>
  </si>
  <si>
    <t>SINGLETON</t>
  </si>
  <si>
    <t>Singleton Golf Club Co-operative Limited</t>
  </si>
  <si>
    <t>LIQC300242765</t>
  </si>
  <si>
    <t>GOONELLABAH</t>
  </si>
  <si>
    <t>Club Goonellabah</t>
  </si>
  <si>
    <t>LIQC324001675</t>
  </si>
  <si>
    <t>Forbes</t>
  </si>
  <si>
    <t>FORBES</t>
  </si>
  <si>
    <t>Forbes Sports &amp; Recreation Club</t>
  </si>
  <si>
    <t>LIQC300237346</t>
  </si>
  <si>
    <t>ABERDEEN</t>
  </si>
  <si>
    <t>Aberdeen RSL &amp; Citizens Club Limited</t>
  </si>
  <si>
    <t>LIQC300242552</t>
  </si>
  <si>
    <t>Sutherland</t>
  </si>
  <si>
    <t>WORONORA</t>
  </si>
  <si>
    <t>Woronora River RSL &amp; Citizens Club Ltd</t>
  </si>
  <si>
    <t>LIQC300231054</t>
  </si>
  <si>
    <t>MANLY VALE</t>
  </si>
  <si>
    <t>Manly Vale - Calabria Bowling Sports &amp; Social Club Limited</t>
  </si>
  <si>
    <t>LIQC300228436</t>
  </si>
  <si>
    <t>Penrith</t>
  </si>
  <si>
    <t>ST MARYS</t>
  </si>
  <si>
    <t>Dunheved Golf Club</t>
  </si>
  <si>
    <t>LIQC300241696</t>
  </si>
  <si>
    <t>Hunters Hill</t>
  </si>
  <si>
    <t>HUNTERS HILL</t>
  </si>
  <si>
    <t>Hunters Hill Club</t>
  </si>
  <si>
    <t>LIQC300227731</t>
  </si>
  <si>
    <t>FAIRY MEADOW</t>
  </si>
  <si>
    <t>Fairy Meadow Bowling Club</t>
  </si>
  <si>
    <t>LIQC300243931</t>
  </si>
  <si>
    <t>CANOWINDRA</t>
  </si>
  <si>
    <t>Canowindra Golf Club Ltd</t>
  </si>
  <si>
    <t>LIQC300236919</t>
  </si>
  <si>
    <t>Orange Golf Club Ltd</t>
  </si>
  <si>
    <t>LIQC300241491</t>
  </si>
  <si>
    <t>NARRABRI</t>
  </si>
  <si>
    <t>Narrabri Golf Club Ltd</t>
  </si>
  <si>
    <t>LIQC300240037</t>
  </si>
  <si>
    <t>Royal Motor Yacht Club Toronto</t>
  </si>
  <si>
    <t>LIQC300241017</t>
  </si>
  <si>
    <t>Bathurst Golf Club</t>
  </si>
  <si>
    <t>LIQC300235408</t>
  </si>
  <si>
    <t>Dungog</t>
  </si>
  <si>
    <t>DUNGOG</t>
  </si>
  <si>
    <t>Dungog Memorial Bowls, Sport &amp; Recreation Club</t>
  </si>
  <si>
    <t>LIQC300237249</t>
  </si>
  <si>
    <t>TELEGRAPH POINT</t>
  </si>
  <si>
    <t>Telegraph Point Sports &amp; Recreation Club Limited</t>
  </si>
  <si>
    <t>LIQC324004873</t>
  </si>
  <si>
    <t>BAR BEACH</t>
  </si>
  <si>
    <t>Bar Beach Bowling and Sporting Club Limited</t>
  </si>
  <si>
    <t>LIQC300240940</t>
  </si>
  <si>
    <t>Wingham Sporties</t>
  </si>
  <si>
    <t>LIQC300239233</t>
  </si>
  <si>
    <t>LONGUEVILLE</t>
  </si>
  <si>
    <t>Longueville Sporting Club</t>
  </si>
  <si>
    <t>LIQC300228088</t>
  </si>
  <si>
    <t>RANDWICK</t>
  </si>
  <si>
    <t>Randwick Bowling Club</t>
  </si>
  <si>
    <t>LIQC300229726</t>
  </si>
  <si>
    <t>Bogan</t>
  </si>
  <si>
    <t>NYNGAN</t>
  </si>
  <si>
    <t>Nyngan Golf Club Limited</t>
  </si>
  <si>
    <t>LIQC300241432</t>
  </si>
  <si>
    <t>YOUNG</t>
  </si>
  <si>
    <t>Young Golf Club Limited</t>
  </si>
  <si>
    <t>LIQC300244555</t>
  </si>
  <si>
    <t>ASHFORD</t>
  </si>
  <si>
    <t>Ashford Memorial Bowling Club Limited</t>
  </si>
  <si>
    <t>LIQC300238091</t>
  </si>
  <si>
    <t>BYRON BAY</t>
  </si>
  <si>
    <t>Byron Bay Golf Club</t>
  </si>
  <si>
    <t>LIQC300239659</t>
  </si>
  <si>
    <t>LANSDOWNE</t>
  </si>
  <si>
    <t>Lansdowne Bowling &amp; Recreation Club Limited</t>
  </si>
  <si>
    <t>LIQC300200728</t>
  </si>
  <si>
    <t>Portugal Madeira Sydney Social &amp; Cultural Sports Club Limited</t>
  </si>
  <si>
    <t>LIQC324001374</t>
  </si>
  <si>
    <t>BUNDEENA</t>
  </si>
  <si>
    <t>Bundeena Bowling &amp; Sports Club Co-operative Limited</t>
  </si>
  <si>
    <t>LIQC300231526</t>
  </si>
  <si>
    <t>NEW LAMBTON</t>
  </si>
  <si>
    <t>Alder Park Sports Club Co-operative Ltd</t>
  </si>
  <si>
    <t>LIQC300240312</t>
  </si>
  <si>
    <t>BRANXTON</t>
  </si>
  <si>
    <t>Branxton Golf Club Co-operative Limited</t>
  </si>
  <si>
    <t>LIQC300238741</t>
  </si>
  <si>
    <t>Glen Innes Severn</t>
  </si>
  <si>
    <t>GLEN INNES</t>
  </si>
  <si>
    <t>New England Club Limited</t>
  </si>
  <si>
    <t>LIQC300237400</t>
  </si>
  <si>
    <t>BUNDANOON</t>
  </si>
  <si>
    <t>The Bundanoon Club Limited</t>
  </si>
  <si>
    <t>LIQC300235696</t>
  </si>
  <si>
    <t>Tweed</t>
  </si>
  <si>
    <t>BURRINGBAR</t>
  </si>
  <si>
    <t>Burringbar District Sports Club Limited</t>
  </si>
  <si>
    <t>LIQC324006588</t>
  </si>
  <si>
    <t>The Sporties Young</t>
  </si>
  <si>
    <t>LIQC300244547</t>
  </si>
  <si>
    <t>Griffith Leagues Club Northside</t>
  </si>
  <si>
    <t>LIQC300240134</t>
  </si>
  <si>
    <t>Ashfield Bowling Club</t>
  </si>
  <si>
    <t>LIQC300225178</t>
  </si>
  <si>
    <t>COWRA</t>
  </si>
  <si>
    <t>Cowra Golf Club Ltd</t>
  </si>
  <si>
    <t>LIQC300236951</t>
  </si>
  <si>
    <t>NORTH BONDI</t>
  </si>
  <si>
    <t>North Bondi RSL Club Ltd</t>
  </si>
  <si>
    <t>LIQC300229130</t>
  </si>
  <si>
    <t>Oxley Bowling Club</t>
  </si>
  <si>
    <t>LIQC300242838</t>
  </si>
  <si>
    <t>Mid-Western Regional</t>
  </si>
  <si>
    <t>KANDOS</t>
  </si>
  <si>
    <t>Henbury Sport &amp; Recreation Club Ltd</t>
  </si>
  <si>
    <t>LIQC300242501</t>
  </si>
  <si>
    <t>Royal Motor Yacht Club Broken Bay, New South Wales</t>
  </si>
  <si>
    <t>LIQC300230031</t>
  </si>
  <si>
    <t>TWEED HEADS SOUTH</t>
  </si>
  <si>
    <t>Coolangatta &amp; Tweed Heads Golf Club</t>
  </si>
  <si>
    <t>LIQC300239683</t>
  </si>
  <si>
    <t>LIDCOMBE</t>
  </si>
  <si>
    <t>Lidcombe Bowling Club Ltd</t>
  </si>
  <si>
    <t>LIQC300228207</t>
  </si>
  <si>
    <t>BARADINE</t>
  </si>
  <si>
    <t>Baradine Bowling and Sporting Club Limited</t>
  </si>
  <si>
    <t>LIQC300236625</t>
  </si>
  <si>
    <t>EAST GRESFORD</t>
  </si>
  <si>
    <t>Gresford Bowling Club Ltd</t>
  </si>
  <si>
    <t>LIQC300238822</t>
  </si>
  <si>
    <t>WARIALDA</t>
  </si>
  <si>
    <t>Warialda Golf &amp; Bowling Club Limited</t>
  </si>
  <si>
    <t>LIQC300243486</t>
  </si>
  <si>
    <t>Orange Ex-Services Country Club</t>
  </si>
  <si>
    <t>LIQC324007343</t>
  </si>
  <si>
    <t>JESMOND</t>
  </si>
  <si>
    <t>Heaton Birmingham Gardens Bowling Club</t>
  </si>
  <si>
    <t>LIQC300240614</t>
  </si>
  <si>
    <t>CUMNOCK</t>
  </si>
  <si>
    <t>Cumnock Bowling Club Ltd</t>
  </si>
  <si>
    <t>LIQC300239306</t>
  </si>
  <si>
    <t>SOUTH GRAFTON</t>
  </si>
  <si>
    <t>Grafton District Golf Club Ltd</t>
  </si>
  <si>
    <t>LIQC300237583</t>
  </si>
  <si>
    <t>Georges River</t>
  </si>
  <si>
    <t>BEVERLY HILLS</t>
  </si>
  <si>
    <t>Olds Park Sports Club</t>
  </si>
  <si>
    <t>LIQC300229467</t>
  </si>
  <si>
    <t>Kandos Returned Services Community Club</t>
  </si>
  <si>
    <t>LIQC324015170</t>
  </si>
  <si>
    <t>FIVE DOCK</t>
  </si>
  <si>
    <t>Barnwell Park Golf Club Limited</t>
  </si>
  <si>
    <t>LIQC300231445</t>
  </si>
  <si>
    <t>Central Darling</t>
  </si>
  <si>
    <t>IVANHOE</t>
  </si>
  <si>
    <t>Ivanhoe RSL Club Ltd</t>
  </si>
  <si>
    <t>LIQC300239276</t>
  </si>
  <si>
    <t>SOUTH KEMPSEY</t>
  </si>
  <si>
    <t>Kempsey Golf Club</t>
  </si>
  <si>
    <t>LIQC300238636</t>
  </si>
  <si>
    <t>QUIRINDI</t>
  </si>
  <si>
    <t>Quirindi Bowling Club</t>
  </si>
  <si>
    <t>LIQC300242315</t>
  </si>
  <si>
    <t>CULCAIRN</t>
  </si>
  <si>
    <t>Culcairn Bowling &amp; Recreation Club</t>
  </si>
  <si>
    <t>LIQC300235076</t>
  </si>
  <si>
    <t>TURRAMURRA</t>
  </si>
  <si>
    <t>Turramurra Bowling Club Limited</t>
  </si>
  <si>
    <t>LIQC300230708</t>
  </si>
  <si>
    <t>BELMONT</t>
  </si>
  <si>
    <t>Lake Macquarie Yacht Club</t>
  </si>
  <si>
    <t>LIQC300240681</t>
  </si>
  <si>
    <t>HENTY</t>
  </si>
  <si>
    <t>Henty Community Club Ltd</t>
  </si>
  <si>
    <t>LIQC300235084</t>
  </si>
  <si>
    <t>CONDOBOLIN</t>
  </si>
  <si>
    <t>Condobolin Sports Club Limited</t>
  </si>
  <si>
    <t>LIQC300236544</t>
  </si>
  <si>
    <t>Bellingen</t>
  </si>
  <si>
    <t>DORRIGO</t>
  </si>
  <si>
    <t>Dorrigo Memorial RSL Club Co-operative Limited</t>
  </si>
  <si>
    <t>LIQC300235580</t>
  </si>
  <si>
    <t>Camden</t>
  </si>
  <si>
    <t>CAMDEN</t>
  </si>
  <si>
    <t>Camden Sports Club Ltd</t>
  </si>
  <si>
    <t>LIQC324012552</t>
  </si>
  <si>
    <t>MALABAR</t>
  </si>
  <si>
    <t>Randwick Golf Club Ltd</t>
  </si>
  <si>
    <t>LIQC300229742</t>
  </si>
  <si>
    <t>MITTAGONG</t>
  </si>
  <si>
    <t>Highlands Golf Club Ltd</t>
  </si>
  <si>
    <t>LIQC300235718</t>
  </si>
  <si>
    <t>Marrickville Bowling &amp; Recreation Club Limited</t>
  </si>
  <si>
    <t>LIQC300228509</t>
  </si>
  <si>
    <t>YEOVAL</t>
  </si>
  <si>
    <t>Yeoval Bowling Club Limited</t>
  </si>
  <si>
    <t>LIQC300239365</t>
  </si>
  <si>
    <t>BELLINGEN</t>
  </si>
  <si>
    <t>Bellingen RSL Country Club</t>
  </si>
  <si>
    <t>LIQC300235521</t>
  </si>
  <si>
    <t>HAMILTON</t>
  </si>
  <si>
    <t>Gallipoli Legion Club Newcastle Limited</t>
  </si>
  <si>
    <t>LIQC300240568</t>
  </si>
  <si>
    <t>BERRY</t>
  </si>
  <si>
    <t>Berry Bowling Club</t>
  </si>
  <si>
    <t>LIQC300242595</t>
  </si>
  <si>
    <t>MARKS POINT</t>
  </si>
  <si>
    <t>Belmont Golf Club Limited</t>
  </si>
  <si>
    <t>LIQC300240347</t>
  </si>
  <si>
    <t>SPEERS POINT</t>
  </si>
  <si>
    <t>Boolaroo Bowling &amp; Recreation Co-operative Society Limited</t>
  </si>
  <si>
    <t>LIQC300240428</t>
  </si>
  <si>
    <t>MANLY</t>
  </si>
  <si>
    <t>Manly Sixteen Foot Skiff Sailing Club Limited</t>
  </si>
  <si>
    <t>LIQC300228428</t>
  </si>
  <si>
    <t>GWYNNEVILLE</t>
  </si>
  <si>
    <t>City of Wollongong Tennis Club</t>
  </si>
  <si>
    <t>LIQC300243834</t>
  </si>
  <si>
    <t>Trangie Bowling Club Limited</t>
  </si>
  <si>
    <t>LIQC300243508</t>
  </si>
  <si>
    <t>MERRIWA</t>
  </si>
  <si>
    <t>Merriwa Sports Club</t>
  </si>
  <si>
    <t>LIQC300239837</t>
  </si>
  <si>
    <t>KINGSGROVE</t>
  </si>
  <si>
    <t>Bexley Golf Club</t>
  </si>
  <si>
    <t>LIQC300225747</t>
  </si>
  <si>
    <t>Yass Bowling Club Limited</t>
  </si>
  <si>
    <t>LIQC300244482</t>
  </si>
  <si>
    <t>CARRINGTON</t>
  </si>
  <si>
    <t>Carrington Bowling Club Co-operative Limited</t>
  </si>
  <si>
    <t>LIQC300240487</t>
  </si>
  <si>
    <t>PORT KEMBLA</t>
  </si>
  <si>
    <t>Kemblawarra Portuguese Sports &amp; Social Club Ltd</t>
  </si>
  <si>
    <t>LIQC300245748</t>
  </si>
  <si>
    <t>KEW</t>
  </si>
  <si>
    <t>Kew Country Club</t>
  </si>
  <si>
    <t>LIQC300242005</t>
  </si>
  <si>
    <t>Narrabri Bowling Club Ltd</t>
  </si>
  <si>
    <t>LIQC300240029</t>
  </si>
  <si>
    <t>COMBOYNE</t>
  </si>
  <si>
    <t>Comboyne Ex-Servicemens &amp; Citizens Club Limited</t>
  </si>
  <si>
    <t>LIQC300239039</t>
  </si>
  <si>
    <t>NORTH LAMBTON</t>
  </si>
  <si>
    <t>Water Board Bowling Club</t>
  </si>
  <si>
    <t>LIQC300245365</t>
  </si>
  <si>
    <t>SANDRINGHAM</t>
  </si>
  <si>
    <t>Georges River 16Ft Sailing Club Co-op Limited</t>
  </si>
  <si>
    <t>LIQC300227391</t>
  </si>
  <si>
    <t>Club Concord</t>
  </si>
  <si>
    <t>LIQC300226549</t>
  </si>
  <si>
    <t>SYLVANIA</t>
  </si>
  <si>
    <t>Sylvania Bowling Club Co-operative Limited</t>
  </si>
  <si>
    <t>LIQC300230643</t>
  </si>
  <si>
    <t>RED ROCK</t>
  </si>
  <si>
    <t>Red Rock Bowling &amp; Recreation Club Limited</t>
  </si>
  <si>
    <t>LIQC300245284</t>
  </si>
  <si>
    <t>Gloucester Bowling &amp; Recreation Club Ltd</t>
  </si>
  <si>
    <t>LIQC300239071</t>
  </si>
  <si>
    <t>COOTAMUNDRA</t>
  </si>
  <si>
    <t>Cootamundra Country Club Ltd</t>
  </si>
  <si>
    <t>LIQC300236803</t>
  </si>
  <si>
    <t>Goulburn Mulwaree</t>
  </si>
  <si>
    <t>GOULBURN</t>
  </si>
  <si>
    <t>Goulburn Golf Club Ltd</t>
  </si>
  <si>
    <t>LIQC300237508</t>
  </si>
  <si>
    <t>BERRIDALE</t>
  </si>
  <si>
    <t>Coolamatong Snowy Mountains Country Club Ltd</t>
  </si>
  <si>
    <t>LIQC300236579</t>
  </si>
  <si>
    <t>Walcha</t>
  </si>
  <si>
    <t>WALCHA</t>
  </si>
  <si>
    <t>Walcha Bowling &amp; Recreation Club Limited</t>
  </si>
  <si>
    <t>LIQC300243370</t>
  </si>
  <si>
    <t>Strathfield</t>
  </si>
  <si>
    <t>STRATHFIELD</t>
  </si>
  <si>
    <t>Strathfield Golf Club</t>
  </si>
  <si>
    <t>LIQC300230511</t>
  </si>
  <si>
    <t>MACKSVILLE</t>
  </si>
  <si>
    <t>Macksville Country Club Limited</t>
  </si>
  <si>
    <t>LIQC300239969</t>
  </si>
  <si>
    <t>HAZELBROOK</t>
  </si>
  <si>
    <t>Hazelbrook Bowling &amp; Sporting Club Co-operative Limited</t>
  </si>
  <si>
    <t>LIQC300241734</t>
  </si>
  <si>
    <t>Coonamble</t>
  </si>
  <si>
    <t>COONAMBLE</t>
  </si>
  <si>
    <t>Coonamble Golf Club</t>
  </si>
  <si>
    <t>LIQC300236722</t>
  </si>
  <si>
    <t>WISEMANS FERRY</t>
  </si>
  <si>
    <t>Wisemans Ferry Bowling Club Ltd</t>
  </si>
  <si>
    <t>LIQC300243745</t>
  </si>
  <si>
    <t>PANANIA</t>
  </si>
  <si>
    <t>Picnic Point Bowling And Social Club Limited</t>
  </si>
  <si>
    <t>LIQC300229548</t>
  </si>
  <si>
    <t>MAYFIELD</t>
  </si>
  <si>
    <t>Mayfield Bowling Club Co-operative Limited</t>
  </si>
  <si>
    <t>LIQC300240754</t>
  </si>
  <si>
    <t>MAYFIELD WEST</t>
  </si>
  <si>
    <t>Mayfield West Bowling Club Co-operative Limited</t>
  </si>
  <si>
    <t>LIQC300240762</t>
  </si>
  <si>
    <t>REVESBY</t>
  </si>
  <si>
    <t>Revesby Workers' Sports Club</t>
  </si>
  <si>
    <t>LIQC300229807</t>
  </si>
  <si>
    <t>Gosford Sailing Club Ltd</t>
  </si>
  <si>
    <t>LIQC300244997</t>
  </si>
  <si>
    <t>Sydney Portugal Community Club Limited</t>
  </si>
  <si>
    <t>LIQC300200698</t>
  </si>
  <si>
    <t>Narrandera Bowling &amp; Recreation Club Limited</t>
  </si>
  <si>
    <t>LIQC300240207</t>
  </si>
  <si>
    <t>KINGSFORD</t>
  </si>
  <si>
    <t>Eastlake Golf Club Limited</t>
  </si>
  <si>
    <t>LIQC300227154</t>
  </si>
  <si>
    <t>MANILLA</t>
  </si>
  <si>
    <t>Manilla Bowling Club</t>
  </si>
  <si>
    <t>LIQC300235343</t>
  </si>
  <si>
    <t>Warren</t>
  </si>
  <si>
    <t>WARREN</t>
  </si>
  <si>
    <t>Warren Golf Club Ltd</t>
  </si>
  <si>
    <t>LIQC300243559</t>
  </si>
  <si>
    <t>PAXTON</t>
  </si>
  <si>
    <t>Paxton Bowling Club Ltd</t>
  </si>
  <si>
    <t>LIQC300238989</t>
  </si>
  <si>
    <t>CABRAMATTA</t>
  </si>
  <si>
    <t>PHOENIX CLUB CABRAMATTA</t>
  </si>
  <si>
    <t>LIQC300200515</t>
  </si>
  <si>
    <t>TATHRA</t>
  </si>
  <si>
    <t>Tathra Beach Country Club Limited</t>
  </si>
  <si>
    <t>LIQC300245942</t>
  </si>
  <si>
    <t>QUEANBEYAN EAST</t>
  </si>
  <si>
    <t>Queanbeyan Golf Club Limited</t>
  </si>
  <si>
    <t>LIQC300242277</t>
  </si>
  <si>
    <t>Deniliquin Bowling Club</t>
  </si>
  <si>
    <t>LIQC300237028</t>
  </si>
  <si>
    <t>Eastern Suburbs Legion Club Ltd</t>
  </si>
  <si>
    <t>LIQC300227111</t>
  </si>
  <si>
    <t>Newcastle United Sports Club</t>
  </si>
  <si>
    <t>LIQC324007159</t>
  </si>
  <si>
    <t>GULARGAMBONE</t>
  </si>
  <si>
    <t>Gulargambone Bowling Club Ltd</t>
  </si>
  <si>
    <t>LIQC300236765</t>
  </si>
  <si>
    <t>BARRABA</t>
  </si>
  <si>
    <t>Barraba Bowling Club Ltd</t>
  </si>
  <si>
    <t>LIQC300235319</t>
  </si>
  <si>
    <t>Narromine Bowling Club Ltd</t>
  </si>
  <si>
    <t>LIQC300237184</t>
  </si>
  <si>
    <t>ROCKDALE</t>
  </si>
  <si>
    <t>Rockdale Businessmen's Club Limited</t>
  </si>
  <si>
    <t>LIQC300229882</t>
  </si>
  <si>
    <t>NAMBUCCA HEADS</t>
  </si>
  <si>
    <t>Nambucca Heads Island Golf Club</t>
  </si>
  <si>
    <t>LIQC300239993</t>
  </si>
  <si>
    <t>STOCKTON</t>
  </si>
  <si>
    <t>Stockton Bowling Club Co-operative Limited</t>
  </si>
  <si>
    <t>LIQC300241076</t>
  </si>
  <si>
    <t>Denman Sub-Branch RSL &amp; AILA Club</t>
  </si>
  <si>
    <t>LIQC300239829</t>
  </si>
  <si>
    <t>CUDAL</t>
  </si>
  <si>
    <t>Cudal Bowling Club</t>
  </si>
  <si>
    <t>LIQC300239292</t>
  </si>
  <si>
    <t>BARELLAN</t>
  </si>
  <si>
    <t>Barellan &amp; District  War Memorial Club</t>
  </si>
  <si>
    <t>LIQC300242986</t>
  </si>
  <si>
    <t>KOGARAH</t>
  </si>
  <si>
    <t>Moorefield Bowling and Sports Club Limited</t>
  </si>
  <si>
    <t>LIQC300228762</t>
  </si>
  <si>
    <t>Tenterfield</t>
  </si>
  <si>
    <t>TENTERFIELD</t>
  </si>
  <si>
    <t>Tenterfield Golf Club Limited</t>
  </si>
  <si>
    <t>LIQC300243044</t>
  </si>
  <si>
    <t>Canowindra Bowling Club Ltd</t>
  </si>
  <si>
    <t>LIQC300236900</t>
  </si>
  <si>
    <t>LILYFIELD</t>
  </si>
  <si>
    <t>Leichhardt Bowling &amp; Recreation Club Limited</t>
  </si>
  <si>
    <t>LIQC300228169</t>
  </si>
  <si>
    <t>LAMBTON</t>
  </si>
  <si>
    <t>Lambton Bowls Sports and Recreational Club Co-operative Limited</t>
  </si>
  <si>
    <t>LIQC300240703</t>
  </si>
  <si>
    <t>ROBERTSON</t>
  </si>
  <si>
    <t>Robertson Bowling Club Limited</t>
  </si>
  <si>
    <t>LIQC300235777</t>
  </si>
  <si>
    <t>TOONGABBIE</t>
  </si>
  <si>
    <t>Fox Hills Golf Club</t>
  </si>
  <si>
    <t>LIQC300227340</t>
  </si>
  <si>
    <t>TAREE</t>
  </si>
  <si>
    <t>Taree Railway Institute Bowling Club Limited</t>
  </si>
  <si>
    <t>LIQC300239160</t>
  </si>
  <si>
    <t>MARSFIELD</t>
  </si>
  <si>
    <t>Eastwood Rugby Club</t>
  </si>
  <si>
    <t>LIQC300227170</t>
  </si>
  <si>
    <t>LEETON</t>
  </si>
  <si>
    <t>Leeton &amp; District Bowling Club</t>
  </si>
  <si>
    <t>LIQC300240169</t>
  </si>
  <si>
    <t>Binnaway Bowling Club Co-operative Limited</t>
  </si>
  <si>
    <t>LIQC300236668</t>
  </si>
  <si>
    <t>Bondi Golf &amp; Diggers Club Limited</t>
  </si>
  <si>
    <t>LIQC300225844</t>
  </si>
  <si>
    <t>HARDEN</t>
  </si>
  <si>
    <t>Harden District Bowling Club</t>
  </si>
  <si>
    <t>LIQC300244520</t>
  </si>
  <si>
    <t>Hay</t>
  </si>
  <si>
    <t>HAY</t>
  </si>
  <si>
    <t>Hay Services Club Limited</t>
  </si>
  <si>
    <t>LIQC300238032</t>
  </si>
  <si>
    <t>CURL CURL</t>
  </si>
  <si>
    <t>Harbord Bowling &amp; Recreation Club Ltd</t>
  </si>
  <si>
    <t>LIQC300227634</t>
  </si>
  <si>
    <t>Maitland</t>
  </si>
  <si>
    <t>LORN</t>
  </si>
  <si>
    <t>Lorn Park Bowls Sports &amp; Recreation Club</t>
  </si>
  <si>
    <t>LIQC300238881</t>
  </si>
  <si>
    <t>TEMORA</t>
  </si>
  <si>
    <t>Temora Bowling &amp; Recreation Club Ltd</t>
  </si>
  <si>
    <t>LIQC300242994</t>
  </si>
  <si>
    <t>TUMUT</t>
  </si>
  <si>
    <t>Tumut Golf Club Limited</t>
  </si>
  <si>
    <t>LIQC300243141</t>
  </si>
  <si>
    <t>SHOAL BAY</t>
  </si>
  <si>
    <t>Newcastle &amp; Port Stephens Game Fishing Club Limited</t>
  </si>
  <si>
    <t>LIQC324006846</t>
  </si>
  <si>
    <t>MUDGEE</t>
  </si>
  <si>
    <t>Mudgee Golf Club Ltd</t>
  </si>
  <si>
    <t>LIQC300239578</t>
  </si>
  <si>
    <t>BURRANEER</t>
  </si>
  <si>
    <t>Royal Motor Yacht Club of NSW Limited (Port Hacking Branch)</t>
  </si>
  <si>
    <t>LIQC300230058</t>
  </si>
  <si>
    <t>CONDONG</t>
  </si>
  <si>
    <t>Condong Bowling Club Ltd</t>
  </si>
  <si>
    <t>LIQC300239675</t>
  </si>
  <si>
    <t>Adamstown Bowling Club Co-op Ltd</t>
  </si>
  <si>
    <t>LIQC300240290</t>
  </si>
  <si>
    <t>KIRRAWEE</t>
  </si>
  <si>
    <t>Sutherland Bowling &amp; Recreation Club Ltd</t>
  </si>
  <si>
    <t>LIQC300230554</t>
  </si>
  <si>
    <t>SPRINGWOOD</t>
  </si>
  <si>
    <t>Springwood Country Club Ltd</t>
  </si>
  <si>
    <t>LIQC300241882</t>
  </si>
  <si>
    <t>CORRIMAL</t>
  </si>
  <si>
    <t>Corrimal Bowling Club</t>
  </si>
  <si>
    <t>LIQC300243869</t>
  </si>
  <si>
    <t>MANNING POINT</t>
  </si>
  <si>
    <t>Manning Point Bowling Club Ltd</t>
  </si>
  <si>
    <t>LIQC300239136</t>
  </si>
  <si>
    <t>CAMPBELLTOWN</t>
  </si>
  <si>
    <t>Campbelltown City Bowling Club Co-operative Limited</t>
  </si>
  <si>
    <t>LIQC300236463</t>
  </si>
  <si>
    <t>KYOGLE</t>
  </si>
  <si>
    <t>Kyogle Bowling Club Limited</t>
  </si>
  <si>
    <t>LIQC300242455</t>
  </si>
  <si>
    <t>Waverley Greens</t>
  </si>
  <si>
    <t>LIQC300230848</t>
  </si>
  <si>
    <t>NORTH RYDE</t>
  </si>
  <si>
    <t>North Ryde Golf Club</t>
  </si>
  <si>
    <t>LIQC300229211</t>
  </si>
  <si>
    <t>BROOMS HEAD</t>
  </si>
  <si>
    <t>Brooms Head Bowling &amp; Recreation Club Limited</t>
  </si>
  <si>
    <t>LIQC300245411</t>
  </si>
  <si>
    <t>Coraki &amp; District Memorial Bowling Club Ltd</t>
  </si>
  <si>
    <t>LIQC300242439</t>
  </si>
  <si>
    <t>Manly Bowling Club</t>
  </si>
  <si>
    <t>LIQC300228355</t>
  </si>
  <si>
    <t>MURRURUNDI</t>
  </si>
  <si>
    <t>Murrurundi Bowling Club</t>
  </si>
  <si>
    <t>LIQC300239594</t>
  </si>
  <si>
    <t>Barraba Ex-Servicemen's Club Limited</t>
  </si>
  <si>
    <t>LIQC300235327</t>
  </si>
  <si>
    <t>Glen Innes Bowling Club Limited</t>
  </si>
  <si>
    <t>LIQC300237370</t>
  </si>
  <si>
    <t>MURWILLUMBAH</t>
  </si>
  <si>
    <t>Murwillumbah Brothers Rugby League Football Club Limited</t>
  </si>
  <si>
    <t>LIQC300200116</t>
  </si>
  <si>
    <t>ADELONG</t>
  </si>
  <si>
    <t>Adelong Services Citizens &amp; Bowling Club Ltd</t>
  </si>
  <si>
    <t>LIQC300243117</t>
  </si>
  <si>
    <t>RATHMINES</t>
  </si>
  <si>
    <t>Rathmines Memorial Bowling Club Co-operative Limited</t>
  </si>
  <si>
    <t>LIQC300245314</t>
  </si>
  <si>
    <t>MOULAMEIN</t>
  </si>
  <si>
    <t>Moulamein Bowling Club Ltd</t>
  </si>
  <si>
    <t>LIQC300237060</t>
  </si>
  <si>
    <t>CARDIFF</t>
  </si>
  <si>
    <t>Cardiff Bowling Club Co-operative Limited</t>
  </si>
  <si>
    <t>LIQC300240452</t>
  </si>
  <si>
    <t>DURAL</t>
  </si>
  <si>
    <t>Dural Country Club</t>
  </si>
  <si>
    <t>LIQC300231100</t>
  </si>
  <si>
    <t>ROSE BAY</t>
  </si>
  <si>
    <t>Rose Bay RSL Club Co-operative Limited</t>
  </si>
  <si>
    <t>LIQC300229912</t>
  </si>
  <si>
    <t>Coffs Harbour Golf Club</t>
  </si>
  <si>
    <t>LIQC300235564</t>
  </si>
  <si>
    <t>SAFETY BEACH</t>
  </si>
  <si>
    <t>Safety Beach Golf Club</t>
  </si>
  <si>
    <t>LIQC324007423</t>
  </si>
  <si>
    <t>BEVERLEY PARK</t>
  </si>
  <si>
    <t>Beverley Park Golf Club Ltd</t>
  </si>
  <si>
    <t>LIQC300225720</t>
  </si>
  <si>
    <t>Grenfell Bowling Club Limited</t>
  </si>
  <si>
    <t>LIQC300237702</t>
  </si>
  <si>
    <t>KOTARA</t>
  </si>
  <si>
    <t>Kotara Bowling &amp; Recreation Club Co-op Ltd</t>
  </si>
  <si>
    <t>LIQC300240673</t>
  </si>
  <si>
    <t>YOOGALI</t>
  </si>
  <si>
    <t>Yoogali Club Limited</t>
  </si>
  <si>
    <t>LIQC300240274</t>
  </si>
  <si>
    <t>TRUNDLE</t>
  </si>
  <si>
    <t>Trundle Services &amp; Citizens Club Ltd</t>
  </si>
  <si>
    <t>LIQC300241602</t>
  </si>
  <si>
    <t>CLARENCE TOWN</t>
  </si>
  <si>
    <t>Clarence Town Bowling, Sport and Recreation Club Limited</t>
  </si>
  <si>
    <t>LIQC300200124</t>
  </si>
  <si>
    <t>WOOLI</t>
  </si>
  <si>
    <t>Wooli Bowling &amp; Recreation Club Co-operative Limited</t>
  </si>
  <si>
    <t>LIQC300237664</t>
  </si>
  <si>
    <t>MUSWELLBROOK</t>
  </si>
  <si>
    <t>Muswellbrook Golf Club</t>
  </si>
  <si>
    <t>LIQC300239896</t>
  </si>
  <si>
    <t>Walgett</t>
  </si>
  <si>
    <t>COLLARENEBRI</t>
  </si>
  <si>
    <t>Collarenebri Club Limited</t>
  </si>
  <si>
    <t>LIQC300243451</t>
  </si>
  <si>
    <t>ERSKINEVILLE</t>
  </si>
  <si>
    <t>Alexandria - Erskinville Bowling Club Limited</t>
  </si>
  <si>
    <t>LIQC300225062</t>
  </si>
  <si>
    <t>DEE WHY</t>
  </si>
  <si>
    <t>Manly Warringah Master Builders Club Ltd</t>
  </si>
  <si>
    <t>LIQC300228444</t>
  </si>
  <si>
    <t>Combined Services RSL Club Co Operative Ltd</t>
  </si>
  <si>
    <t>LIQC300226522</t>
  </si>
  <si>
    <t>COOLAMON</t>
  </si>
  <si>
    <t>Coolamon Sport and Recreation Club Limited</t>
  </si>
  <si>
    <t>LIQC300238253</t>
  </si>
  <si>
    <t>THE ROCK</t>
  </si>
  <si>
    <t>The Rock Memorial Bowling Club Limited</t>
  </si>
  <si>
    <t>LIQC300245144</t>
  </si>
  <si>
    <t>WARNERS BAY</t>
  </si>
  <si>
    <t>Warners Bay Bowling Club Co-operative Limited</t>
  </si>
  <si>
    <t>LIQC300241343</t>
  </si>
  <si>
    <t>GERROA</t>
  </si>
  <si>
    <t>Gerroa Boat Fishermans Club</t>
  </si>
  <si>
    <t>LIQC300245578</t>
  </si>
  <si>
    <t>CROMER</t>
  </si>
  <si>
    <t>Dee Why Bowling Club</t>
  </si>
  <si>
    <t>LIQC300226875</t>
  </si>
  <si>
    <t>CRONULLA</t>
  </si>
  <si>
    <t>Cronulla Golf Club Ltd</t>
  </si>
  <si>
    <t>LIQC300226735</t>
  </si>
  <si>
    <t>LAKE CARGELLIGO</t>
  </si>
  <si>
    <t>Lake Cargelligo Bowling Club Ltd</t>
  </si>
  <si>
    <t>LIQC300244385</t>
  </si>
  <si>
    <t>Molong RSL Club Ltd</t>
  </si>
  <si>
    <t>LIQC300239357</t>
  </si>
  <si>
    <t>BRUNSWICK HEADS</t>
  </si>
  <si>
    <t>Brunswick Heads Bowling Club</t>
  </si>
  <si>
    <t>LIQC300239632</t>
  </si>
  <si>
    <t>PADSTOW</t>
  </si>
  <si>
    <t>Padstow Bowling &amp; Recreation Club</t>
  </si>
  <si>
    <t>LIQC300229343</t>
  </si>
  <si>
    <t>Bowraville &amp; District Ex-Services Club Limited</t>
  </si>
  <si>
    <t>LIQC300239926</t>
  </si>
  <si>
    <t>BOWRAL</t>
  </si>
  <si>
    <t>Club Bowral</t>
  </si>
  <si>
    <t>LIQC300235653</t>
  </si>
  <si>
    <t>JERILDERIE</t>
  </si>
  <si>
    <t>Jerilderie Golf Club Limited</t>
  </si>
  <si>
    <t>LIQC300238210</t>
  </si>
  <si>
    <t>SCOTTS HEAD</t>
  </si>
  <si>
    <t>Club Scotts</t>
  </si>
  <si>
    <t>LIQC300240002</t>
  </si>
  <si>
    <t>Orange City Bowling Club Ltd</t>
  </si>
  <si>
    <t>LIQC300244644</t>
  </si>
  <si>
    <t>MOONEY MOONEY</t>
  </si>
  <si>
    <t>Mooney Mooney Club</t>
  </si>
  <si>
    <t>LIQC300245071</t>
  </si>
  <si>
    <t>BELFIELD</t>
  </si>
  <si>
    <t>Belfield Bowling &amp; Recreation Club Ltd</t>
  </si>
  <si>
    <t>LIQC300225623</t>
  </si>
  <si>
    <t>CANLEY VALE</t>
  </si>
  <si>
    <t>Lansvale United Sports Club Ltd</t>
  </si>
  <si>
    <t>LIQC300231801</t>
  </si>
  <si>
    <t>COLEBEE</t>
  </si>
  <si>
    <t>Stonecutters Ridge Golf Club</t>
  </si>
  <si>
    <t>LIQC300225216</t>
  </si>
  <si>
    <t>KENDALL</t>
  </si>
  <si>
    <t>Kendall Services &amp; Citizens Club Limited</t>
  </si>
  <si>
    <t>LIQC300242021</t>
  </si>
  <si>
    <t>PADDINGTON</t>
  </si>
  <si>
    <t>Paddington/Woollahra RSL Memorial &amp; Community Club Co-op Limited</t>
  </si>
  <si>
    <t>LIQC300229335</t>
  </si>
  <si>
    <t>RAYMOND TERRACE</t>
  </si>
  <si>
    <t>Muree Golf Club Limited</t>
  </si>
  <si>
    <t>LIQC300242382</t>
  </si>
  <si>
    <t>PHILLIP BAY</t>
  </si>
  <si>
    <t>Yarra Bay 16Ft Skiff Sailing Club Limited</t>
  </si>
  <si>
    <t>LIQC300231062</t>
  </si>
  <si>
    <t>Bulahdelah Bowling Club Ltd</t>
  </si>
  <si>
    <t>LIQC300242129</t>
  </si>
  <si>
    <t>HAT HEAD</t>
  </si>
  <si>
    <t>Hat Head Bowling &amp; Recreation Club Limited</t>
  </si>
  <si>
    <t>LIQC300238598</t>
  </si>
  <si>
    <t>Queanbeyan RSL Memorial Bowling Club Limited</t>
  </si>
  <si>
    <t>LIQC300242307</t>
  </si>
  <si>
    <t>OAKDALE</t>
  </si>
  <si>
    <t>Macarthur FC Sport &amp; Recreation Club Limited</t>
  </si>
  <si>
    <t>LIQC300241971</t>
  </si>
  <si>
    <t>EUGOWRA</t>
  </si>
  <si>
    <t>Eugowra Community Bowls and Recreation Club Limited</t>
  </si>
  <si>
    <t>LIQC300237311</t>
  </si>
  <si>
    <t>Byron Bay Bowling &amp; Recreation Club Limited</t>
  </si>
  <si>
    <t>LIQC300239640</t>
  </si>
  <si>
    <t>PITT TOWN</t>
  </si>
  <si>
    <t>Lynwood Country Club</t>
  </si>
  <si>
    <t>LIQC300231593</t>
  </si>
  <si>
    <t>GULGONG</t>
  </si>
  <si>
    <t>Gulgong RSL Club</t>
  </si>
  <si>
    <t>LIQC300237796</t>
  </si>
  <si>
    <t>GLEN ALPINE</t>
  </si>
  <si>
    <t>Campbelltown Golf Club</t>
  </si>
  <si>
    <t>LIQC300236471</t>
  </si>
  <si>
    <t>EAST LISMORE</t>
  </si>
  <si>
    <t>Lismore Workers Golf Club</t>
  </si>
  <si>
    <t>LIQC300238504</t>
  </si>
  <si>
    <t>Moree Plains</t>
  </si>
  <si>
    <t>BOGGABILLA</t>
  </si>
  <si>
    <t>Boggabilla Town &amp; Country Club</t>
  </si>
  <si>
    <t>LIQC324001120</t>
  </si>
  <si>
    <t>CURRARONG</t>
  </si>
  <si>
    <t>Currarong Bowling &amp; Recreation Club Limited</t>
  </si>
  <si>
    <t>LIQC300244628</t>
  </si>
  <si>
    <t>Eurobodalla</t>
  </si>
  <si>
    <t>BODALLA</t>
  </si>
  <si>
    <t>Bodalla Bowling &amp; Recreation Club Limited</t>
  </si>
  <si>
    <t>LIQC300245497</t>
  </si>
  <si>
    <t>YAGOONA</t>
  </si>
  <si>
    <t>Greyhound Social Club Limited</t>
  </si>
  <si>
    <t>LIQC300227545</t>
  </si>
  <si>
    <t>KIAMA</t>
  </si>
  <si>
    <t>Kiama Bowling &amp; Recreation Club Limited</t>
  </si>
  <si>
    <t>LIQC300238385</t>
  </si>
  <si>
    <t>Dungog Memorial RSL Club Limited</t>
  </si>
  <si>
    <t>LIQC300237257</t>
  </si>
  <si>
    <t>KEMPSEY</t>
  </si>
  <si>
    <t>Kempsey Macleay RSL Bowling And Sporting Club</t>
  </si>
  <si>
    <t>LIQC300238601</t>
  </si>
  <si>
    <t>THIRROUL</t>
  </si>
  <si>
    <t>Club Thirroul</t>
  </si>
  <si>
    <t>LIQC300244156</t>
  </si>
  <si>
    <t>HILLSTON</t>
  </si>
  <si>
    <t>Hillston Ex-Servicemen's &amp; Citizens' Club Limited</t>
  </si>
  <si>
    <t>LIQC300238067</t>
  </si>
  <si>
    <t>CLEMTON PARK</t>
  </si>
  <si>
    <t>Campsie South Bowling &amp; Recreation Club Limited</t>
  </si>
  <si>
    <t>LIQC300226166</t>
  </si>
  <si>
    <t>EDGEWORTH</t>
  </si>
  <si>
    <t>Edgeworth Bowling Club Co-operative Limited</t>
  </si>
  <si>
    <t>LIQC300240541</t>
  </si>
  <si>
    <t>Albury</t>
  </si>
  <si>
    <t>ALBURY</t>
  </si>
  <si>
    <t>Commercial Golf Resort</t>
  </si>
  <si>
    <t>LIQC300235025</t>
  </si>
  <si>
    <t>LAWSON</t>
  </si>
  <si>
    <t>Lawson Bowling Club Ltd</t>
  </si>
  <si>
    <t>LIQC300241777</t>
  </si>
  <si>
    <t>Cobar</t>
  </si>
  <si>
    <t>COBAR</t>
  </si>
  <si>
    <t>Cobar Memorial Services &amp; Bowling Club</t>
  </si>
  <si>
    <t>LIQC300236501</t>
  </si>
  <si>
    <t>TERALBA</t>
  </si>
  <si>
    <t>Teralba Bowling Club Co-operative Limited</t>
  </si>
  <si>
    <t>LIQC300241149</t>
  </si>
  <si>
    <t>BOOROWA</t>
  </si>
  <si>
    <t>Boorowa Ex-Services &amp; Citizens Club Ltd</t>
  </si>
  <si>
    <t>LIQC300236390</t>
  </si>
  <si>
    <t>PENRITH</t>
  </si>
  <si>
    <t>Club Paceway</t>
  </si>
  <si>
    <t>LIQC324007869</t>
  </si>
  <si>
    <t>BERALA</t>
  </si>
  <si>
    <t>Carnarvon Golf Club</t>
  </si>
  <si>
    <t>LIQC300226247</t>
  </si>
  <si>
    <t>Nyngan Bowling Club Ltd</t>
  </si>
  <si>
    <t>LIQC300241424</t>
  </si>
  <si>
    <t>EAST BALLINA</t>
  </si>
  <si>
    <t>Ballina Golf &amp; Sports Club</t>
  </si>
  <si>
    <t>LIQC300235211</t>
  </si>
  <si>
    <t>URUNGA</t>
  </si>
  <si>
    <t>CEX - Urunga</t>
  </si>
  <si>
    <t>LIQC300235645</t>
  </si>
  <si>
    <t>YANCO</t>
  </si>
  <si>
    <t>Yanco All Servicemens Club Limited</t>
  </si>
  <si>
    <t>LIQC300240258</t>
  </si>
  <si>
    <t>Lockhart Ex-Servicemen's Club Limited</t>
  </si>
  <si>
    <t>LIQC300243192</t>
  </si>
  <si>
    <t>ALSTONVILLE</t>
  </si>
  <si>
    <t>Alstonville Plateau Bowls and Sports Club Ltd</t>
  </si>
  <si>
    <t>LIQC300235181</t>
  </si>
  <si>
    <t>DUBBO</t>
  </si>
  <si>
    <t>Dubbo Golf Club Ltd</t>
  </si>
  <si>
    <t>LIQC300237095</t>
  </si>
  <si>
    <t>Nambucca Leagues &amp; Sports Club Ltd</t>
  </si>
  <si>
    <t>LIQC300200140</t>
  </si>
  <si>
    <t>Coogee Diggers</t>
  </si>
  <si>
    <t>LIQC300226603</t>
  </si>
  <si>
    <t>GREYSTANES</t>
  </si>
  <si>
    <t>Cumberland Country Golf Club</t>
  </si>
  <si>
    <t>LIQC300226832</t>
  </si>
  <si>
    <t>WYONG</t>
  </si>
  <si>
    <t>Wyong Bowling Club</t>
  </si>
  <si>
    <t>LIQC300236234</t>
  </si>
  <si>
    <t>LISMORE HEIGHTS</t>
  </si>
  <si>
    <t>Lismore Heights Sports Recreation And Community Club Ltd</t>
  </si>
  <si>
    <t>LIQC300238512</t>
  </si>
  <si>
    <t>WALLACIA</t>
  </si>
  <si>
    <t>Wallacia Panthers</t>
  </si>
  <si>
    <t>LIQC300241920</t>
  </si>
  <si>
    <t>MOLLYMOOK BEACH</t>
  </si>
  <si>
    <t>Mollymook Beach Bowling &amp; Recreation Club</t>
  </si>
  <si>
    <t>LIQC300245292</t>
  </si>
  <si>
    <t>PENNANT HILLS</t>
  </si>
  <si>
    <t>Pennant Hills Bowling Club Ltd</t>
  </si>
  <si>
    <t>LIQC300229475</t>
  </si>
  <si>
    <t>Pitt Town &amp; District Sports Club Limited</t>
  </si>
  <si>
    <t>LIQC324000608</t>
  </si>
  <si>
    <t>Taree Aquatic Club Ltd</t>
  </si>
  <si>
    <t>LIQC300239144</t>
  </si>
  <si>
    <t>Coogee Legion Ex-Service Club Ltd</t>
  </si>
  <si>
    <t>LIQC300229734</t>
  </si>
  <si>
    <t>RYLSTONE</t>
  </si>
  <si>
    <t>Rylstone Club Limited</t>
  </si>
  <si>
    <t>LIQC300242536</t>
  </si>
  <si>
    <t>HEATHCOTE</t>
  </si>
  <si>
    <t>Heathcote Services &amp; Citizens Club Ltd</t>
  </si>
  <si>
    <t>LIQC300243966</t>
  </si>
  <si>
    <t>DALMENY</t>
  </si>
  <si>
    <t>Club Dalmeny</t>
  </si>
  <si>
    <t>LIQC300200248</t>
  </si>
  <si>
    <t>LAKE CATHIE</t>
  </si>
  <si>
    <t>Club Lake Cathie</t>
  </si>
  <si>
    <t>LIQC300245241</t>
  </si>
  <si>
    <t>Harden Country Club</t>
  </si>
  <si>
    <t>LIQC300244539</t>
  </si>
  <si>
    <t>SHELLY BEACH</t>
  </si>
  <si>
    <t>Shelly Beach Golf Club</t>
  </si>
  <si>
    <t>LIQC300236161</t>
  </si>
  <si>
    <t>Menangle Country Club</t>
  </si>
  <si>
    <t>LIQC330019636</t>
  </si>
  <si>
    <t>NELSON BAY</t>
  </si>
  <si>
    <t>Nelson Bay Golf Club</t>
  </si>
  <si>
    <t>LIQC300242226</t>
  </si>
  <si>
    <t>CENTRAL MANGROVE</t>
  </si>
  <si>
    <t>Mangrove Mountain Memorial Club Limited</t>
  </si>
  <si>
    <t>LIQC300236110</t>
  </si>
  <si>
    <t>VINCENTIA</t>
  </si>
  <si>
    <t>Vincentia Golf Club Limited</t>
  </si>
  <si>
    <t>LIQC300244946</t>
  </si>
  <si>
    <t>MYLESTOM</t>
  </si>
  <si>
    <t>North Beach Recreation &amp; Bowling Club</t>
  </si>
  <si>
    <t>LIQC300244741</t>
  </si>
  <si>
    <t>Aberdeen Bowling Club</t>
  </si>
  <si>
    <t>LIQC300242544</t>
  </si>
  <si>
    <t>BRAIDWOOD</t>
  </si>
  <si>
    <t>Braidwood Servicemen's Club Limited</t>
  </si>
  <si>
    <t>LIQC300235939</t>
  </si>
  <si>
    <t>Wee Waa &amp; District Bowling Club Ltd</t>
  </si>
  <si>
    <t>LIQC300243575</t>
  </si>
  <si>
    <t>Merriwa RSL Club Ltd</t>
  </si>
  <si>
    <t>LIQC300239853</t>
  </si>
  <si>
    <t>Tamworth Golf Club Ltd</t>
  </si>
  <si>
    <t>LIQC300242889</t>
  </si>
  <si>
    <t>WOLLI CREEK</t>
  </si>
  <si>
    <t>St George Rowing Club</t>
  </si>
  <si>
    <t>LIQC300230449</t>
  </si>
  <si>
    <t>NORAH HEAD</t>
  </si>
  <si>
    <t>Norah Head Bowling &amp; Sports Club Limited</t>
  </si>
  <si>
    <t>LIQC300200442</t>
  </si>
  <si>
    <t>STUARTS POINT</t>
  </si>
  <si>
    <t>Stuarts Point Workers Recreation &amp; Bowls Club Limited</t>
  </si>
  <si>
    <t>LIQC300238687</t>
  </si>
  <si>
    <t>Picton Bowling Club</t>
  </si>
  <si>
    <t>LIQC300241998</t>
  </si>
  <si>
    <t>Sawtell Bowling &amp; Recreation Club Limited</t>
  </si>
  <si>
    <t>LIQC300235602</t>
  </si>
  <si>
    <t>BLACK HEAD</t>
  </si>
  <si>
    <t>Hallidays Sports Club</t>
  </si>
  <si>
    <t>LIQC300244768</t>
  </si>
  <si>
    <t>Tumbarumba Bowling Club Limited</t>
  </si>
  <si>
    <t>LIQC300243087</t>
  </si>
  <si>
    <t>Peak Hill Ex-Services &amp; Citizens Club Ltd</t>
  </si>
  <si>
    <t>LIQC300241645</t>
  </si>
  <si>
    <t>KURNELL</t>
  </si>
  <si>
    <t>Kurnell Community Sports and Recreation Club Limited</t>
  </si>
  <si>
    <t>LIQC300200175</t>
  </si>
  <si>
    <t>Orange Waratah Sports Club Ltd</t>
  </si>
  <si>
    <t>LIQC324002297</t>
  </si>
  <si>
    <t>BOMBALA</t>
  </si>
  <si>
    <t>Bombala RSL Club</t>
  </si>
  <si>
    <t>LIQC300235874</t>
  </si>
  <si>
    <t>HUSKISSON</t>
  </si>
  <si>
    <t>Husky Sports</t>
  </si>
  <si>
    <t>LIQC300242633</t>
  </si>
  <si>
    <t>CESSNOCK</t>
  </si>
  <si>
    <t>Cessnock Ex-Services Club Limited</t>
  </si>
  <si>
    <t>LIQC300238776</t>
  </si>
  <si>
    <t>Port Macquarie Golf Club Limited</t>
  </si>
  <si>
    <t>LIQC300242072</t>
  </si>
  <si>
    <t>Hay Bowling &amp; Golf Club</t>
  </si>
  <si>
    <t>LIQC300238016</t>
  </si>
  <si>
    <t>PALM BEACH</t>
  </si>
  <si>
    <t>Palm Beach RSL Sub-branch Club Limited</t>
  </si>
  <si>
    <t>LIQC300229386</t>
  </si>
  <si>
    <t>WOONONA</t>
  </si>
  <si>
    <t>Woonona Bowling &amp; Rec Club</t>
  </si>
  <si>
    <t>LIQC300244342</t>
  </si>
  <si>
    <t>LAVENDER BAY</t>
  </si>
  <si>
    <t>Kirribilli Ex-Service Club Ltd</t>
  </si>
  <si>
    <t>LIQC300227979</t>
  </si>
  <si>
    <t>Crookwell Services Club Ltd</t>
  </si>
  <si>
    <t>LIQC300237443</t>
  </si>
  <si>
    <t>ABERMAIN</t>
  </si>
  <si>
    <t>Abermain Bowling &amp; Recreation Club Limited</t>
  </si>
  <si>
    <t>LIQC300238695</t>
  </si>
  <si>
    <t>East Lismore Bowling Club Ltd</t>
  </si>
  <si>
    <t>LIQC300238458</t>
  </si>
  <si>
    <t>WILCANNIA</t>
  </si>
  <si>
    <t>Wilcannia Golf Club Ltd</t>
  </si>
  <si>
    <t>LIQC300239284</t>
  </si>
  <si>
    <t>NORTH TAMWORTH</t>
  </si>
  <si>
    <t>North Tamworth Bowling Club</t>
  </si>
  <si>
    <t>LIQC300242803</t>
  </si>
  <si>
    <t>LAKE CONJOLA</t>
  </si>
  <si>
    <t>Lake Conjola District Bowling Club Limited</t>
  </si>
  <si>
    <t>LIQC300245675</t>
  </si>
  <si>
    <t>Club West</t>
  </si>
  <si>
    <t>LIQC300239217</t>
  </si>
  <si>
    <t>BATLOW</t>
  </si>
  <si>
    <t>Batlow RSL Club Ltd</t>
  </si>
  <si>
    <t>LIQC300243060</t>
  </si>
  <si>
    <t>COROWA</t>
  </si>
  <si>
    <t>Corowa Golf Club Ltd</t>
  </si>
  <si>
    <t>LIQC300236854</t>
  </si>
  <si>
    <t>HORNSBY</t>
  </si>
  <si>
    <t>Asquith Bowling and Recreation Club</t>
  </si>
  <si>
    <t>LIQC300225224</t>
  </si>
  <si>
    <t>Macquarie Club (Dubbo) Ltd</t>
  </si>
  <si>
    <t>LIQC300237141</t>
  </si>
  <si>
    <t>WALGETT</t>
  </si>
  <si>
    <t>Walgett District Sporting Club Ltd</t>
  </si>
  <si>
    <t>LIQC300243427</t>
  </si>
  <si>
    <t>BOGGABRI</t>
  </si>
  <si>
    <t>Boggabri RSL Memorial Club Ltd</t>
  </si>
  <si>
    <t>LIQC300237869</t>
  </si>
  <si>
    <t>Nyngan RSL &amp; Civic Club</t>
  </si>
  <si>
    <t>LIQC300241440</t>
  </si>
  <si>
    <t>Bundeena Memorial Club Limited</t>
  </si>
  <si>
    <t>LIQC300226042</t>
  </si>
  <si>
    <t>Nambucca Heads Bowling &amp; Recreation Club Limited</t>
  </si>
  <si>
    <t>LIQC300239977</t>
  </si>
  <si>
    <t>TOWRADGI</t>
  </si>
  <si>
    <t>Towradgi Park Bowls &amp; Recreation Club Limited</t>
  </si>
  <si>
    <t>LIQC300244180</t>
  </si>
  <si>
    <t>TERRIGAL</t>
  </si>
  <si>
    <t>Terrigal Bowling Club Limited</t>
  </si>
  <si>
    <t>LIQC300236145</t>
  </si>
  <si>
    <t>The Manly Club on Gilbert Park</t>
  </si>
  <si>
    <t>LIQC300228363</t>
  </si>
  <si>
    <t>REDHEAD</t>
  </si>
  <si>
    <t>Redhead Bowling Club Co-operative Limited</t>
  </si>
  <si>
    <t>LIQC300241009</t>
  </si>
  <si>
    <t>Marks Point Bowling Club Limited</t>
  </si>
  <si>
    <t>LIQC300240746</t>
  </si>
  <si>
    <t>Uralla Bowling &amp; Recreation Club Ltd</t>
  </si>
  <si>
    <t>LIQC300243168</t>
  </si>
  <si>
    <t>Taree Leagues Sports Club Ltd</t>
  </si>
  <si>
    <t>LIQC300239209</t>
  </si>
  <si>
    <t>LUDDENHAM</t>
  </si>
  <si>
    <t>Workers Hubertus Country Club</t>
  </si>
  <si>
    <t>LIQC300200418</t>
  </si>
  <si>
    <t>BEROWRA</t>
  </si>
  <si>
    <t>Berowra R.S.L. Club Limited</t>
  </si>
  <si>
    <t>LIQC300225704</t>
  </si>
  <si>
    <t>SANS SOUCI</t>
  </si>
  <si>
    <t>St George Sailing Club Ltd</t>
  </si>
  <si>
    <t>LIQC300230457</t>
  </si>
  <si>
    <t>HILLSDALE</t>
  </si>
  <si>
    <t>Hillsdale Bowling &amp; Recreation Club</t>
  </si>
  <si>
    <t>LIQC300225895</t>
  </si>
  <si>
    <t>Bellbird Workers Club</t>
  </si>
  <si>
    <t>LIQC300238725</t>
  </si>
  <si>
    <t>Wangi RSL Sub-branch Club Limited</t>
  </si>
  <si>
    <t>LIQC300241297</t>
  </si>
  <si>
    <t>Nepean Rowing Club</t>
  </si>
  <si>
    <t>LIQC300241807</t>
  </si>
  <si>
    <t>HOLBROOK</t>
  </si>
  <si>
    <t>Holbrook Returned Servicemen's Club Limited</t>
  </si>
  <si>
    <t>LIQC300238075</t>
  </si>
  <si>
    <t>FINGAL BAY</t>
  </si>
  <si>
    <t>Fingal Bay Bowls, Sport &amp; Recreation Club Ltd</t>
  </si>
  <si>
    <t>LIQC324001788</t>
  </si>
  <si>
    <t>KOOTINGAL</t>
  </si>
  <si>
    <t>Kootingal &amp; District Bowling Club</t>
  </si>
  <si>
    <t>LIQC300242781</t>
  </si>
  <si>
    <t>GLADESVILLE</t>
  </si>
  <si>
    <t>Gladesville Bowling &amp; Sports Club Limited</t>
  </si>
  <si>
    <t>LIQC300227405</t>
  </si>
  <si>
    <t>MOREE</t>
  </si>
  <si>
    <t>Moree Golf Club Limited</t>
  </si>
  <si>
    <t>LIQC300239403</t>
  </si>
  <si>
    <t>CASINO</t>
  </si>
  <si>
    <t>Casino Golf Club</t>
  </si>
  <si>
    <t>LIQC300242420</t>
  </si>
  <si>
    <t>Werris Creek Bowling &amp; Tennis Club Limited</t>
  </si>
  <si>
    <t>LIQC300242374</t>
  </si>
  <si>
    <t>Silver City Workingmen's Club Ltd</t>
  </si>
  <si>
    <t>LIQC300236374</t>
  </si>
  <si>
    <t>VALENTINE</t>
  </si>
  <si>
    <t>Valentine Bowling Club Ltd</t>
  </si>
  <si>
    <t>LIQC300241246</t>
  </si>
  <si>
    <t>MORTDALE</t>
  </si>
  <si>
    <t>Mortdale RSL Community Club Limited</t>
  </si>
  <si>
    <t>LIQC300228800</t>
  </si>
  <si>
    <t>GUYRA</t>
  </si>
  <si>
    <t>Guyra Bowling &amp; Recreation Club</t>
  </si>
  <si>
    <t>LIQC300235165</t>
  </si>
  <si>
    <t>Cabramatta Golf Club Ltd</t>
  </si>
  <si>
    <t>LIQC300226093</t>
  </si>
  <si>
    <t>Coonabarabran Bowling Club Co-operative Limited</t>
  </si>
  <si>
    <t>LIQC300236684</t>
  </si>
  <si>
    <t>Gulgong Bowling &amp; Sporting Club</t>
  </si>
  <si>
    <t>LIQC300237761</t>
  </si>
  <si>
    <t>Massey Park Golf Club Ltd</t>
  </si>
  <si>
    <t>LIQC300228614</t>
  </si>
  <si>
    <t>Canowindra Services &amp; Citizens Club Limited</t>
  </si>
  <si>
    <t>LIQC300236927</t>
  </si>
  <si>
    <t>WALLERAWANG</t>
  </si>
  <si>
    <t>Wallerawang Bowling Club Limited</t>
  </si>
  <si>
    <t>LIQC300245802</t>
  </si>
  <si>
    <t>DARLINGTON POINT</t>
  </si>
  <si>
    <t>Darlington Point Club</t>
  </si>
  <si>
    <t>LIQC300240088</t>
  </si>
  <si>
    <t>NAROOMA</t>
  </si>
  <si>
    <t>Narooma Golf Club</t>
  </si>
  <si>
    <t>LIQC300239527</t>
  </si>
  <si>
    <t>Wiseman Park Wollongong City Bowling Club Limited</t>
  </si>
  <si>
    <t>LIQC300244210</t>
  </si>
  <si>
    <t>LENNOX HEAD</t>
  </si>
  <si>
    <t>Club Lennox Sports</t>
  </si>
  <si>
    <t>LIQC300235262</t>
  </si>
  <si>
    <t>NOWRA</t>
  </si>
  <si>
    <t>Nowra Bowling &amp; Recreation Club Ltd</t>
  </si>
  <si>
    <t>LIQC300242684</t>
  </si>
  <si>
    <t>OCEAN SHORES</t>
  </si>
  <si>
    <t>Ocean Shores Country Club</t>
  </si>
  <si>
    <t>LIQC300245381</t>
  </si>
  <si>
    <t>BULLI</t>
  </si>
  <si>
    <t>Bulli Club Ltd</t>
  </si>
  <si>
    <t>LIQC300243826</t>
  </si>
  <si>
    <t>Portland RSL Sport Recreation Club Ltd</t>
  </si>
  <si>
    <t>LIQC300238008</t>
  </si>
  <si>
    <t>Tathra Beach Bowling Club Limited</t>
  </si>
  <si>
    <t>LIQC300235505</t>
  </si>
  <si>
    <t>Scone Bowling Club Limited</t>
  </si>
  <si>
    <t>LIQC300242560</t>
  </si>
  <si>
    <t>SMITHS LAKE</t>
  </si>
  <si>
    <t>Pacific Palms Bowling Club Limited</t>
  </si>
  <si>
    <t>LIQC324003112</t>
  </si>
  <si>
    <t>Bingara Returned Servicemen's Club Limited</t>
  </si>
  <si>
    <t>LIQC300235793</t>
  </si>
  <si>
    <t>TOUKLEY</t>
  </si>
  <si>
    <t>Toukley Golf Club Limited</t>
  </si>
  <si>
    <t>LIQC300245020</t>
  </si>
  <si>
    <t>MATHOURA</t>
  </si>
  <si>
    <t>Mathoura District &amp; Servicemen's Bowling Club Limited</t>
  </si>
  <si>
    <t>LIQC300245047</t>
  </si>
  <si>
    <t>BONNYRIGG HEIGHTS</t>
  </si>
  <si>
    <t>Bonnyrigg Sports Club</t>
  </si>
  <si>
    <t>LIQC300200663</t>
  </si>
  <si>
    <t>CALLALA BEACH</t>
  </si>
  <si>
    <t>Callala RSL Country Club</t>
  </si>
  <si>
    <t>LIQC300200477</t>
  </si>
  <si>
    <t>CROYDON PARK</t>
  </si>
  <si>
    <t>Magpie Sports</t>
  </si>
  <si>
    <t>LIQC300230910</t>
  </si>
  <si>
    <t>Rockdale Tennis Club</t>
  </si>
  <si>
    <t>LIQC300227812</t>
  </si>
  <si>
    <t>Oberon RSL Club Limited</t>
  </si>
  <si>
    <t>LIQC300235440</t>
  </si>
  <si>
    <t>Murwillumbah Golf Club</t>
  </si>
  <si>
    <t>LIQC300239756</t>
  </si>
  <si>
    <t>TELARAH</t>
  </si>
  <si>
    <t>Telarah Bowling Club</t>
  </si>
  <si>
    <t>LIQC300239004</t>
  </si>
  <si>
    <t>GLENORIE</t>
  </si>
  <si>
    <t>Glenorie RSL Club</t>
  </si>
  <si>
    <t>LIQC300243664</t>
  </si>
  <si>
    <t>WARRAGAMBA</t>
  </si>
  <si>
    <t>Warragamba Worker's &amp; Sporting Club Limited</t>
  </si>
  <si>
    <t>LIQC300236455</t>
  </si>
  <si>
    <t>GYMEA</t>
  </si>
  <si>
    <t>Gymea Bowling &amp; Recreation Club Limited</t>
  </si>
  <si>
    <t>LIQC300227618</t>
  </si>
  <si>
    <t>WOOLOOWARE</t>
  </si>
  <si>
    <t>Woolooware Golf Club Limited</t>
  </si>
  <si>
    <t>LIQC300231046</t>
  </si>
  <si>
    <t>Manilla RSL &amp; Ex-Servicemens Club Limited</t>
  </si>
  <si>
    <t>LIQC300235378</t>
  </si>
  <si>
    <t>Exies Sport Club</t>
  </si>
  <si>
    <t>LIQC324007345</t>
  </si>
  <si>
    <t>GREENWELL POINT</t>
  </si>
  <si>
    <t>Greenwell Point Bowling &amp; Sports Club Ltd</t>
  </si>
  <si>
    <t>LIQC300245233</t>
  </si>
  <si>
    <t>FORSTER</t>
  </si>
  <si>
    <t>Forster Tuncurry Golf Club Ltd</t>
  </si>
  <si>
    <t>LIQC300239063</t>
  </si>
  <si>
    <t>Club Tumut</t>
  </si>
  <si>
    <t>LIQC300243125</t>
  </si>
  <si>
    <t>BELROSE</t>
  </si>
  <si>
    <t>Belrose Bowling Club Ltd</t>
  </si>
  <si>
    <t>LIQC300225682</t>
  </si>
  <si>
    <t>Iluka Bowling Club Limited</t>
  </si>
  <si>
    <t>LIQC300244849</t>
  </si>
  <si>
    <t>ELIZABETH BEACH</t>
  </si>
  <si>
    <t>Pacific Palms Recreation Club Limited</t>
  </si>
  <si>
    <t>LIQC300239152</t>
  </si>
  <si>
    <t>PUNCHBOWL</t>
  </si>
  <si>
    <t>MOXON SPORTS CLUB</t>
  </si>
  <si>
    <t>LIQC300228894</t>
  </si>
  <si>
    <t>MORUYA</t>
  </si>
  <si>
    <t>Moruya Golf Club</t>
  </si>
  <si>
    <t>LIQC300239497</t>
  </si>
  <si>
    <t>WAUCHOPE</t>
  </si>
  <si>
    <t>Wauchope Country Club Limited</t>
  </si>
  <si>
    <t>LIQC300242099</t>
  </si>
  <si>
    <t>ROSEHILL</t>
  </si>
  <si>
    <t>Rosehill Bowling Club</t>
  </si>
  <si>
    <t>LIQC300229920</t>
  </si>
  <si>
    <t>KARABAR</t>
  </si>
  <si>
    <t>Queanbeyan Australian Football Club Ltd</t>
  </si>
  <si>
    <t>LIQC300200302</t>
  </si>
  <si>
    <t>CROYDON</t>
  </si>
  <si>
    <t>Wests Sports Croydon</t>
  </si>
  <si>
    <t>LIQC300231380</t>
  </si>
  <si>
    <t>Warren &amp; District United Services Club Ltd</t>
  </si>
  <si>
    <t>LIQC300243532</t>
  </si>
  <si>
    <t>LEONAY</t>
  </si>
  <si>
    <t>Emu Plains Sporting &amp; Recreation Club Ltd</t>
  </si>
  <si>
    <t>LIQC300244717</t>
  </si>
  <si>
    <t>WINDALE</t>
  </si>
  <si>
    <t>Windale Gateshead Bowling Club</t>
  </si>
  <si>
    <t>LIQC300241408</t>
  </si>
  <si>
    <t>KIAMA DOWNS</t>
  </si>
  <si>
    <t>Kiama Golf Club</t>
  </si>
  <si>
    <t>LIQC300238393</t>
  </si>
  <si>
    <t>Penrith Bowling &amp; Recreation Club Limited</t>
  </si>
  <si>
    <t>LIQC300241815</t>
  </si>
  <si>
    <t>Wingham District Memorial Services Club Ltd</t>
  </si>
  <si>
    <t>LIQC300239241</t>
  </si>
  <si>
    <t>EASTWOOD</t>
  </si>
  <si>
    <t>Eastwood Club Limited</t>
  </si>
  <si>
    <t>LIQC300227189</t>
  </si>
  <si>
    <t>The Juniors Malabar</t>
  </si>
  <si>
    <t>LIQC300228312</t>
  </si>
  <si>
    <t>DUNDAS</t>
  </si>
  <si>
    <t>Dundas Sports &amp; Recreation Club Ltd</t>
  </si>
  <si>
    <t>LIQC300226816</t>
  </si>
  <si>
    <t>Brewarrina</t>
  </si>
  <si>
    <t>BREWARRINA</t>
  </si>
  <si>
    <t>Brewarrina RSL Club</t>
  </si>
  <si>
    <t>LIQC300235955</t>
  </si>
  <si>
    <t>PEAKHURST</t>
  </si>
  <si>
    <t>Grandviews Bowling &amp; Recreation Club</t>
  </si>
  <si>
    <t>LIQC300227499</t>
  </si>
  <si>
    <t>JINDABYNE</t>
  </si>
  <si>
    <t>Jindabyne Bowling &amp; Sports Club Ltd</t>
  </si>
  <si>
    <t>LIQC300245063</t>
  </si>
  <si>
    <t>TUROSS HEAD</t>
  </si>
  <si>
    <t>Tuross Head Country Club Limited</t>
  </si>
  <si>
    <t>LIQC300239535</t>
  </si>
  <si>
    <t>KAHIBAH</t>
  </si>
  <si>
    <t>Kahibah Bowling Club Co-operative Limited</t>
  </si>
  <si>
    <t>LIQC300240657</t>
  </si>
  <si>
    <t>Balranald</t>
  </si>
  <si>
    <t>BALRANALD</t>
  </si>
  <si>
    <t>BALRANALD DISTRICT EX-SERVICES MEMORIAL CLUB LIMITED</t>
  </si>
  <si>
    <t>LIQC300235300</t>
  </si>
  <si>
    <t>HAWKS NEST</t>
  </si>
  <si>
    <t>Hawks Nest Golf Club Limited</t>
  </si>
  <si>
    <t>LIQC300245586</t>
  </si>
  <si>
    <t>Wyong Golf Club Limited</t>
  </si>
  <si>
    <t>LIQC300236242</t>
  </si>
  <si>
    <t>EAST MAITLAND</t>
  </si>
  <si>
    <t>East Leisure and Golf</t>
  </si>
  <si>
    <t>LIQC324012650</t>
  </si>
  <si>
    <t>WOLLONGONG</t>
  </si>
  <si>
    <t>Wollongong Golf Club Limited</t>
  </si>
  <si>
    <t>LIQC324013847</t>
  </si>
  <si>
    <t>Condobolin RSL Club</t>
  </si>
  <si>
    <t>LIQC300236552</t>
  </si>
  <si>
    <t>North Dubbo RSL Sporties</t>
  </si>
  <si>
    <t>LIQC300237087</t>
  </si>
  <si>
    <t>Illawarra Leagues Club Ltd</t>
  </si>
  <si>
    <t>LIQC300244008</t>
  </si>
  <si>
    <t>SOUTH TAMWORTH</t>
  </si>
  <si>
    <t>South Tamworth Bowling Club Ltd</t>
  </si>
  <si>
    <t>LIQC300245918</t>
  </si>
  <si>
    <t>SWANSEA</t>
  </si>
  <si>
    <t>Swansea Workers Co-Op Club Ltd</t>
  </si>
  <si>
    <t>LIQC300241122</t>
  </si>
  <si>
    <t>King Tom Club</t>
  </si>
  <si>
    <t>LIQC300231577</t>
  </si>
  <si>
    <t>MALUA BAY</t>
  </si>
  <si>
    <t>Malua Bay Bowling and Recreation Club</t>
  </si>
  <si>
    <t>LIQC324007158</t>
  </si>
  <si>
    <t>YAMBA</t>
  </si>
  <si>
    <t>Yamba Golf &amp; Country Club Limited</t>
  </si>
  <si>
    <t>LIQC300245268</t>
  </si>
  <si>
    <t>Tenterfield Bowling Club Limited</t>
  </si>
  <si>
    <t>LIQC300243036</t>
  </si>
  <si>
    <t>GALSTON</t>
  </si>
  <si>
    <t>Hills District Memorial Club Limited</t>
  </si>
  <si>
    <t>LIQC300231097</t>
  </si>
  <si>
    <t>BERMAGUI</t>
  </si>
  <si>
    <t>Bermagui Country Club</t>
  </si>
  <si>
    <t>LIQC300235483</t>
  </si>
  <si>
    <t>TURA BEACH</t>
  </si>
  <si>
    <t>Tura Beach Country Club</t>
  </si>
  <si>
    <t>LIQC300200132</t>
  </si>
  <si>
    <t>Club Cronulla</t>
  </si>
  <si>
    <t>LIQC300226719</t>
  </si>
  <si>
    <t>Gilgandra Services Club</t>
  </si>
  <si>
    <t>LIQC300236757</t>
  </si>
  <si>
    <t>NORTHMEAD</t>
  </si>
  <si>
    <t>NBC SPORTS CLUB</t>
  </si>
  <si>
    <t>LIQC300229203</t>
  </si>
  <si>
    <t>EVANS HEAD</t>
  </si>
  <si>
    <t>Evans Head Bowling Club Ltd</t>
  </si>
  <si>
    <t>LIQC300235254</t>
  </si>
  <si>
    <t>HAMILTON NORTH</t>
  </si>
  <si>
    <t>Hamilton North Bowling Club Co-operative Limited</t>
  </si>
  <si>
    <t>LIQC300240592</t>
  </si>
  <si>
    <t>MASCOT</t>
  </si>
  <si>
    <t>South Sydney Graphic Arts Club Limited</t>
  </si>
  <si>
    <t>LIQC300230309</t>
  </si>
  <si>
    <t>HELENSBURGH</t>
  </si>
  <si>
    <t>Tradies Helensburgh</t>
  </si>
  <si>
    <t>LIQC300243982</t>
  </si>
  <si>
    <t>WEST KEMPSEY</t>
  </si>
  <si>
    <t>Kempsey Heights Grand United Bowling &amp; Recreation Club Ltd</t>
  </si>
  <si>
    <t>LIQC300238644</t>
  </si>
  <si>
    <t>Goulburn Railway Bowling Club Co-op Limited</t>
  </si>
  <si>
    <t>LIQC300237516</t>
  </si>
  <si>
    <t>SUMMERLAND POINT</t>
  </si>
  <si>
    <t>Summerland Sporties</t>
  </si>
  <si>
    <t>LIQC324007238</t>
  </si>
  <si>
    <t>GLENBROOK</t>
  </si>
  <si>
    <t>Glenbrook Panthers</t>
  </si>
  <si>
    <t>LIQC300241718</t>
  </si>
  <si>
    <t>ULLADULLA</t>
  </si>
  <si>
    <t>Milton &amp; Ulladulla Bowling Club Co-operative Limited</t>
  </si>
  <si>
    <t>LIQC300242668</t>
  </si>
  <si>
    <t>Junee Ex-Services Memorial Club Ltd</t>
  </si>
  <si>
    <t>LIQC300238318</t>
  </si>
  <si>
    <t>Inverell East Bowling Club Ltd</t>
  </si>
  <si>
    <t>LIQC300238121</t>
  </si>
  <si>
    <t>ABBOTSFORD</t>
  </si>
  <si>
    <t>Sydney Rowing Club Limited</t>
  </si>
  <si>
    <t>LIQC300230627</t>
  </si>
  <si>
    <t>WEST WALLSEND</t>
  </si>
  <si>
    <t>West Wallsend Workers Club Ltd</t>
  </si>
  <si>
    <t>LIQC300241378</t>
  </si>
  <si>
    <t>GREENACRE</t>
  </si>
  <si>
    <t>Greenacre Bowling &amp; Recreation Club Co-operative Ltd</t>
  </si>
  <si>
    <t>LIQC300227529</t>
  </si>
  <si>
    <t>Bourke</t>
  </si>
  <si>
    <t>BOURKE</t>
  </si>
  <si>
    <t>Bourke Bowling Club</t>
  </si>
  <si>
    <t>LIQC300235904</t>
  </si>
  <si>
    <t>REGENTS PARK</t>
  </si>
  <si>
    <t>DOOLEYS Regents Park Sports Club</t>
  </si>
  <si>
    <t>LIQC300229785</t>
  </si>
  <si>
    <t>HOWLONG</t>
  </si>
  <si>
    <t>Howlong Country Golf Club Ltd</t>
  </si>
  <si>
    <t>LIQC300236870</t>
  </si>
  <si>
    <t>Collaroy Services Beach Club Ltd</t>
  </si>
  <si>
    <t>LIQC300226514</t>
  </si>
  <si>
    <t>HARRINGTON</t>
  </si>
  <si>
    <t>Club Harrington</t>
  </si>
  <si>
    <t>LIQC300239128</t>
  </si>
  <si>
    <t>RIVERWOOD</t>
  </si>
  <si>
    <t>Riverwood Sports and Recreation Club</t>
  </si>
  <si>
    <t>LIQC300229858</t>
  </si>
  <si>
    <t>Finley Returned Soldiers Club Ltd</t>
  </si>
  <si>
    <t>LIQC300238229</t>
  </si>
  <si>
    <t>Shellharbour</t>
  </si>
  <si>
    <t>ALBION PARK</t>
  </si>
  <si>
    <t>Albion Park Bowling &amp; Recreation Club Ltd</t>
  </si>
  <si>
    <t>LIQC300238334</t>
  </si>
  <si>
    <t>BELLAMBI</t>
  </si>
  <si>
    <t>Bellambi Bowling Recreation &amp; Sports Club Ltd</t>
  </si>
  <si>
    <t>LIQC300243796</t>
  </si>
  <si>
    <t>Walgett RSL Memorial Club Ltd</t>
  </si>
  <si>
    <t>LIQC300243443</t>
  </si>
  <si>
    <t>Padstow RSL Club Limited</t>
  </si>
  <si>
    <t>LIQC300229351</t>
  </si>
  <si>
    <t>POTTSVILLE</t>
  </si>
  <si>
    <t>Pottsville District Bowls &amp; Sports Club Limited</t>
  </si>
  <si>
    <t>LIQC300200469</t>
  </si>
  <si>
    <t>WOOLGOOLGA</t>
  </si>
  <si>
    <t>C.ex Woolgoolga</t>
  </si>
  <si>
    <t>LIQC300237648</t>
  </si>
  <si>
    <t>Club Stockton</t>
  </si>
  <si>
    <t>LIQC300241084</t>
  </si>
  <si>
    <t>Jets Sports Club Limited</t>
  </si>
  <si>
    <t>LIQC300241564</t>
  </si>
  <si>
    <t>Gloucester Soldiers Club Limited</t>
  </si>
  <si>
    <t>LIQC300239101</t>
  </si>
  <si>
    <t>Broken Hill Sturt Club Ltd</t>
  </si>
  <si>
    <t>LIQC300236366</t>
  </si>
  <si>
    <t>ARNCLIFFE</t>
  </si>
  <si>
    <t>Arncliffe Scots Sports &amp; Social Club Limited</t>
  </si>
  <si>
    <t>LIQC300225135</t>
  </si>
  <si>
    <t>KINGSWOOD</t>
  </si>
  <si>
    <t>Penrith Gaels Cultural &amp; Sporting Association Limited</t>
  </si>
  <si>
    <t>LIQC324006435</t>
  </si>
  <si>
    <t>West Wyalong Services &amp; Citizens Club Ltd</t>
  </si>
  <si>
    <t>LIQC300244431</t>
  </si>
  <si>
    <t>CRESCENT HEAD</t>
  </si>
  <si>
    <t>Crescent Head Country Club</t>
  </si>
  <si>
    <t>LIQC300238628</t>
  </si>
  <si>
    <t>KARUAH</t>
  </si>
  <si>
    <t>Karuah &amp; District RSL Club Limited</t>
  </si>
  <si>
    <t>LIQC300242137</t>
  </si>
  <si>
    <t>Narromine United Services Memorial Club Limited</t>
  </si>
  <si>
    <t>LIQC300237206</t>
  </si>
  <si>
    <t>Macksville District Ex-Servicemans Club Limited</t>
  </si>
  <si>
    <t>LIQC300239950</t>
  </si>
  <si>
    <t>WESTON</t>
  </si>
  <si>
    <t>Weston District Workers' Co-operative Limited</t>
  </si>
  <si>
    <t>LIQC300239020</t>
  </si>
  <si>
    <t>PELICAN</t>
  </si>
  <si>
    <t>Pelican Flat RSL Sub-branch Club Limited</t>
  </si>
  <si>
    <t>LIQC300240991</t>
  </si>
  <si>
    <t>GERRINGONG</t>
  </si>
  <si>
    <t>Gerringong Bowling &amp; Recreation Club Ltd</t>
  </si>
  <si>
    <t>LIQC300238350</t>
  </si>
  <si>
    <t>BOGANGAR</t>
  </si>
  <si>
    <t>Cabarita Beach Sports Club</t>
  </si>
  <si>
    <t>LIQC300239667</t>
  </si>
  <si>
    <t>Quirindi RSL Sub-Branch Club Limited</t>
  </si>
  <si>
    <t>LIQC300242331</t>
  </si>
  <si>
    <t>Figtree RSL Bowling Club</t>
  </si>
  <si>
    <t>LIQC300244334</t>
  </si>
  <si>
    <t>CARLINGFORD</t>
  </si>
  <si>
    <t>Carlingford Bowling, Sports &amp; Recreation Club</t>
  </si>
  <si>
    <t>LIQC300226239</t>
  </si>
  <si>
    <t>TEA GARDENS</t>
  </si>
  <si>
    <t>Tea Gardens Country Club Ltd</t>
  </si>
  <si>
    <t>LIQC300242218</t>
  </si>
  <si>
    <t>South Grafton District Ex-Servicemen's Club Limited</t>
  </si>
  <si>
    <t>LIQC300237613</t>
  </si>
  <si>
    <t>Burwood</t>
  </si>
  <si>
    <t>Croydon Park Club</t>
  </si>
  <si>
    <t>LIQC300226794</t>
  </si>
  <si>
    <t>The Alcott</t>
  </si>
  <si>
    <t>LIQC300228096</t>
  </si>
  <si>
    <t>Temora Ex-Services Memorial Club Limited</t>
  </si>
  <si>
    <t>LIQC300243001</t>
  </si>
  <si>
    <t>St George Masonic Club Limited</t>
  </si>
  <si>
    <t>LIQC300231461</t>
  </si>
  <si>
    <t>LEUMEAH</t>
  </si>
  <si>
    <t>The Sherwood Macarthur</t>
  </si>
  <si>
    <t>LIQC300245012</t>
  </si>
  <si>
    <t>Tilligerry RSL Sports Club Limited</t>
  </si>
  <si>
    <t>LIQC324001255</t>
  </si>
  <si>
    <t>SOUTH PENRITH</t>
  </si>
  <si>
    <t>Penrith Golf &amp; Recreation Club Ltd</t>
  </si>
  <si>
    <t>LIQC300241823</t>
  </si>
  <si>
    <t>TAMWORTH</t>
  </si>
  <si>
    <t>Tamworth Services Club Limited</t>
  </si>
  <si>
    <t>LIQC300242919</t>
  </si>
  <si>
    <t>Canton Beach Sports Club</t>
  </si>
  <si>
    <t>LIQC300241203</t>
  </si>
  <si>
    <t>BEGA</t>
  </si>
  <si>
    <t>Club Bega</t>
  </si>
  <si>
    <t>LIQC300235459</t>
  </si>
  <si>
    <t>TOOLEYBUC</t>
  </si>
  <si>
    <t>Tooleybuc Sporting Club Limited</t>
  </si>
  <si>
    <t>LIQC300245640</t>
  </si>
  <si>
    <t>DRUMMOYNE</t>
  </si>
  <si>
    <t>Drummoyne Sailing Club</t>
  </si>
  <si>
    <t>LIQC300226999</t>
  </si>
  <si>
    <t>QUEANBEYAN</t>
  </si>
  <si>
    <t>The Queanbeyan Bowling Club Ltd</t>
  </si>
  <si>
    <t>LIQC300242269</t>
  </si>
  <si>
    <t>Bankstown City Bowling &amp; Recreation Club</t>
  </si>
  <si>
    <t>LIQC300225534</t>
  </si>
  <si>
    <t>Gunnedah Golf Club Ltd</t>
  </si>
  <si>
    <t>LIQC300237907</t>
  </si>
  <si>
    <t>OLD BAR</t>
  </si>
  <si>
    <t>Club Old Bar</t>
  </si>
  <si>
    <t>LIQC300244571</t>
  </si>
  <si>
    <t>GWANDALAN</t>
  </si>
  <si>
    <t>Gwandalan Bowling Club</t>
  </si>
  <si>
    <t>LIQC300244679</t>
  </si>
  <si>
    <t>WARRAWONG</t>
  </si>
  <si>
    <t>Illawarra Yacht Club Limited</t>
  </si>
  <si>
    <t>LIQC300244032</t>
  </si>
  <si>
    <t>Moruya Bowling &amp; Recreation Club</t>
  </si>
  <si>
    <t>LIQC300239489</t>
  </si>
  <si>
    <t>ENGADINE</t>
  </si>
  <si>
    <t>Engadine Bowling &amp; Recreation Club Ltd</t>
  </si>
  <si>
    <t>LIQC300243915</t>
  </si>
  <si>
    <t>GLEDSWOOD HILLS</t>
  </si>
  <si>
    <t>Lakeside Golf Club - Camden</t>
  </si>
  <si>
    <t>LIQC330010007</t>
  </si>
  <si>
    <t>Albion Park RSL Memorial Club</t>
  </si>
  <si>
    <t>LIQC300238342</t>
  </si>
  <si>
    <t>CECIL PARK</t>
  </si>
  <si>
    <t>Kemps Creek Sporting &amp; Bowling Club Ltd</t>
  </si>
  <si>
    <t>LIQC300231240</t>
  </si>
  <si>
    <t>BURWOOD</t>
  </si>
  <si>
    <t>Coronation Club Limited</t>
  </si>
  <si>
    <t>LIQC300226670</t>
  </si>
  <si>
    <t>SUSSEX INLET</t>
  </si>
  <si>
    <t>Sussex Inlet Bowling Club</t>
  </si>
  <si>
    <t>LIQC300242722</t>
  </si>
  <si>
    <t>BARRACK HEIGHTS</t>
  </si>
  <si>
    <t>Warilla Sports Club Limited</t>
  </si>
  <si>
    <t>LIQC300245632</t>
  </si>
  <si>
    <t>GUNDAGAI</t>
  </si>
  <si>
    <t>Gundagai District Services Club Ltd</t>
  </si>
  <si>
    <t>LIQC300237834</t>
  </si>
  <si>
    <t>Camden RSL Club Limited</t>
  </si>
  <si>
    <t>LIQC300245829</t>
  </si>
  <si>
    <t>Coonamble Bowling Club</t>
  </si>
  <si>
    <t>LIQC300236714</t>
  </si>
  <si>
    <t>Nelson Bay Bowling &amp; Recreation Club</t>
  </si>
  <si>
    <t>LIQC300242153</t>
  </si>
  <si>
    <t>CHARLESTOWN</t>
  </si>
  <si>
    <t>Central Leagues Club</t>
  </si>
  <si>
    <t>LIQC300245128</t>
  </si>
  <si>
    <t>Singleton Bowling Club Co-operative Limited</t>
  </si>
  <si>
    <t>LIQC300242757</t>
  </si>
  <si>
    <t>Windsor Leagues Club Ltd</t>
  </si>
  <si>
    <t>LIQC300200787</t>
  </si>
  <si>
    <t>The Randwick Club</t>
  </si>
  <si>
    <t>LIQC300229750</t>
  </si>
  <si>
    <t>THURGOONA</t>
  </si>
  <si>
    <t>Thurgoona Country Club Resort</t>
  </si>
  <si>
    <t>LIQC300200639</t>
  </si>
  <si>
    <t>TUNCURRY</t>
  </si>
  <si>
    <t>Sporties Tuncurry</t>
  </si>
  <si>
    <t>LIQC300200086</t>
  </si>
  <si>
    <t>OURIMBAH</t>
  </si>
  <si>
    <t>Ourimbah-Lisarow RSL Club Ltd</t>
  </si>
  <si>
    <t>LIQC300236137</t>
  </si>
  <si>
    <t>Woodburn Evans Head RSL Club Ltd</t>
  </si>
  <si>
    <t>LIQC300235297</t>
  </si>
  <si>
    <t>DAPTO</t>
  </si>
  <si>
    <t>Dapto Citizens Bowling Club Ltd</t>
  </si>
  <si>
    <t>LIQC300243893</t>
  </si>
  <si>
    <t>Cootamundra Ex-Servicemens &amp; Citizens Memorial Club Limited</t>
  </si>
  <si>
    <t>LIQC300236811</t>
  </si>
  <si>
    <t>Mullumbimby Ex-Services Club</t>
  </si>
  <si>
    <t>LIQC300239713</t>
  </si>
  <si>
    <t>Urunga Bowling Club Limited</t>
  </si>
  <si>
    <t>LIQC300235637</t>
  </si>
  <si>
    <t>UMINA BEACH</t>
  </si>
  <si>
    <t>CLUB UMINA</t>
  </si>
  <si>
    <t>LIQC300236196</t>
  </si>
  <si>
    <t>LITHGOW</t>
  </si>
  <si>
    <t>Lithgow City Bowling Club Limited trading as Club Lithgow</t>
  </si>
  <si>
    <t>LIQC300237958</t>
  </si>
  <si>
    <t>RYDE</t>
  </si>
  <si>
    <t>Ryde X Services Club</t>
  </si>
  <si>
    <t>LIQC300230155</t>
  </si>
  <si>
    <t>HEXHAM</t>
  </si>
  <si>
    <t>Hexham Bowling Club Co-operative Limited</t>
  </si>
  <si>
    <t>LIQC300240622</t>
  </si>
  <si>
    <t>LEMON TREE PASSAGE</t>
  </si>
  <si>
    <t>Lemon Tree Passage Bowling Club Co-operative Limited</t>
  </si>
  <si>
    <t>LIQC300242145</t>
  </si>
  <si>
    <t>The Hills District Bowling Club Ltd</t>
  </si>
  <si>
    <t>LIQC300227685</t>
  </si>
  <si>
    <t>Wangi District Workers Club Ltd</t>
  </si>
  <si>
    <t>LIQC300241300</t>
  </si>
  <si>
    <t>Narrandera Ex Servicemen's Club Limited</t>
  </si>
  <si>
    <t>LIQC300240215</t>
  </si>
  <si>
    <t>Cowra Services Club</t>
  </si>
  <si>
    <t>LIQC300236935</t>
  </si>
  <si>
    <t>Briars Sports</t>
  </si>
  <si>
    <t>LIQC300227537</t>
  </si>
  <si>
    <t>LAKE MUNMORAH</t>
  </si>
  <si>
    <t>Munmorah United Bowling Club Ltd</t>
  </si>
  <si>
    <t>LIQC300245179</t>
  </si>
  <si>
    <t>ERINA</t>
  </si>
  <si>
    <t>Erina Rugby League Football Club Limited</t>
  </si>
  <si>
    <t>LIQC300245608</t>
  </si>
  <si>
    <t>Manly Warringah Masonic &amp; Community Club</t>
  </si>
  <si>
    <t>LIQC300231291</t>
  </si>
  <si>
    <t>NORTH RICHMOND</t>
  </si>
  <si>
    <t>Panthers North Richmond</t>
  </si>
  <si>
    <t>LIQC300231410</t>
  </si>
  <si>
    <t>GRETA</t>
  </si>
  <si>
    <t>Greta Workers Sports &amp; Recreation Club Limited</t>
  </si>
  <si>
    <t>LIQC300238830</t>
  </si>
  <si>
    <t>Avalon Beach RSL Club Ltd</t>
  </si>
  <si>
    <t>LIQC300225380</t>
  </si>
  <si>
    <t>Coro Club Limited</t>
  </si>
  <si>
    <t>LIQC300240061</t>
  </si>
  <si>
    <t>Moss Vale Services Club Limited</t>
  </si>
  <si>
    <t>LIQC300235769</t>
  </si>
  <si>
    <t>FAIRFIELD HEIGHTS</t>
  </si>
  <si>
    <t>Assyrian Sports &amp; Cultural Club</t>
  </si>
  <si>
    <t>LIQC324002938</t>
  </si>
  <si>
    <t>City Diggers Wollongong</t>
  </si>
  <si>
    <t>LIQC300244245</t>
  </si>
  <si>
    <t>GUILDFORD</t>
  </si>
  <si>
    <t>Guildford Bowling Club</t>
  </si>
  <si>
    <t>LIQC300227561</t>
  </si>
  <si>
    <t>Wauchope RSL Club Ltd</t>
  </si>
  <si>
    <t>LIQC300242102</t>
  </si>
  <si>
    <t>BUFF POINT</t>
  </si>
  <si>
    <t>Budgewoi Soccer Club</t>
  </si>
  <si>
    <t>LIQC324001581</t>
  </si>
  <si>
    <t>SOUTH HURSTVILLE</t>
  </si>
  <si>
    <t>The Pinnacle South Hurstville RSL Club</t>
  </si>
  <si>
    <t>LIQC300230295</t>
  </si>
  <si>
    <t>Engadine RSL &amp; Citizens Club Ltd</t>
  </si>
  <si>
    <t>LIQC300243923</t>
  </si>
  <si>
    <t>KINGSCLIFF</t>
  </si>
  <si>
    <t>Kingscliff Bowls Club Limited</t>
  </si>
  <si>
    <t>LIQC300239691</t>
  </si>
  <si>
    <t>Glen Innes &amp; District Services Club Limited</t>
  </si>
  <si>
    <t>LIQC300237397</t>
  </si>
  <si>
    <t>Wellington Soldiers Memorial Club Limited</t>
  </si>
  <si>
    <t>LIQC300243621</t>
  </si>
  <si>
    <t>Corrimal RSL Memorial Club Ltd</t>
  </si>
  <si>
    <t>LIQC300243885</t>
  </si>
  <si>
    <t>MATRAVILLE</t>
  </si>
  <si>
    <t>Matraville R S L Sub-branch Club Ltd</t>
  </si>
  <si>
    <t>LIQC300228622</t>
  </si>
  <si>
    <t>Park Beach Bowling Club Limited</t>
  </si>
  <si>
    <t>LIQC300235599</t>
  </si>
  <si>
    <t>Springwood Sports Club</t>
  </si>
  <si>
    <t>LIQC300241874</t>
  </si>
  <si>
    <t>SINGLETON HEIGHTS</t>
  </si>
  <si>
    <t>Club Dorsman</t>
  </si>
  <si>
    <t>LIQC324007359</t>
  </si>
  <si>
    <t>MAROUBRA</t>
  </si>
  <si>
    <t>The Juniors Maroubra</t>
  </si>
  <si>
    <t>LIQC300228460</t>
  </si>
  <si>
    <t>Forster Bowling Club Limited</t>
  </si>
  <si>
    <t>LIQC300239047</t>
  </si>
  <si>
    <t>EDEN</t>
  </si>
  <si>
    <t>Eden Sports &amp; Recreation Club</t>
  </si>
  <si>
    <t>LIQC324007350</t>
  </si>
  <si>
    <t>Cobar Bowling &amp; Golf Club Ltd</t>
  </si>
  <si>
    <t>LIQC300236528</t>
  </si>
  <si>
    <t>TOCUMWAL</t>
  </si>
  <si>
    <t>Tocumwal Golf Club Limited</t>
  </si>
  <si>
    <t>LIQC300245209</t>
  </si>
  <si>
    <t>SHOALHAVEN HEADS</t>
  </si>
  <si>
    <t>Shoalhaven Heads Bowling &amp; Recreation Club Limited</t>
  </si>
  <si>
    <t>LIQC300244830</t>
  </si>
  <si>
    <t>Narrabri RSL Memorial &amp; Citizens Club Limited</t>
  </si>
  <si>
    <t>LIQC300240045</t>
  </si>
  <si>
    <t>Kingswood Sports Club</t>
  </si>
  <si>
    <t>LIQC300241769</t>
  </si>
  <si>
    <t>South Newcastle Rugby League Club Ltd</t>
  </si>
  <si>
    <t>LIQC300241033</t>
  </si>
  <si>
    <t>NORTH HAVEN</t>
  </si>
  <si>
    <t>Club North Haven</t>
  </si>
  <si>
    <t>LIQC300242056</t>
  </si>
  <si>
    <t>Murwillumbah Services Memorial Club Limited</t>
  </si>
  <si>
    <t>LIQC300239780</t>
  </si>
  <si>
    <t>BANORA POINT</t>
  </si>
  <si>
    <t>Twin Towns Juniors Club</t>
  </si>
  <si>
    <t>LIQC324010025</t>
  </si>
  <si>
    <t>SOUTH WEST ROCKS</t>
  </si>
  <si>
    <t>South West Rocks Country Club</t>
  </si>
  <si>
    <t>LIQC300238679</t>
  </si>
  <si>
    <t>NARELLAN</t>
  </si>
  <si>
    <t>Camden Golf Club Ltd</t>
  </si>
  <si>
    <t>LIQC300236439</t>
  </si>
  <si>
    <t>WINDANG</t>
  </si>
  <si>
    <t>Windang Bowls Club</t>
  </si>
  <si>
    <t>LIQC300244202</t>
  </si>
  <si>
    <t>MOUNT LEWIS</t>
  </si>
  <si>
    <t>Mount Lewis Bowling Club Co Op</t>
  </si>
  <si>
    <t>LIQC300228851</t>
  </si>
  <si>
    <t>MULWALA</t>
  </si>
  <si>
    <t>Yarrawonga &amp; Border Golf Club Limited</t>
  </si>
  <si>
    <t>LIQC300236897</t>
  </si>
  <si>
    <t>Forbes Services Memorial Club Limited</t>
  </si>
  <si>
    <t>LIQC300237362</t>
  </si>
  <si>
    <t>OATLEY</t>
  </si>
  <si>
    <t>Oatley RSL &amp; Community Club Limited</t>
  </si>
  <si>
    <t>LIQC300229319</t>
  </si>
  <si>
    <t>CULBURRA BEACH</t>
  </si>
  <si>
    <t>Culburra Bowling &amp; Recreation Club</t>
  </si>
  <si>
    <t>LIQC300242625</t>
  </si>
  <si>
    <t>Kogarah RSL Club Ltd</t>
  </si>
  <si>
    <t>LIQC300227995</t>
  </si>
  <si>
    <t>BARGO</t>
  </si>
  <si>
    <t>Bargo Sports Club</t>
  </si>
  <si>
    <t>LIQC300241963</t>
  </si>
  <si>
    <t>Club Jervis Bay</t>
  </si>
  <si>
    <t>LIQC300242641</t>
  </si>
  <si>
    <t>CARINGBAH</t>
  </si>
  <si>
    <t>Tradies Caringbah</t>
  </si>
  <si>
    <t>LIQC300226220</t>
  </si>
  <si>
    <t>Club Wyong</t>
  </si>
  <si>
    <t>LIQC300236250</t>
  </si>
  <si>
    <t>MACLEAN</t>
  </si>
  <si>
    <t>Maclean &amp; District Bowling Club Co-operative Limited</t>
  </si>
  <si>
    <t>LIQC300238555</t>
  </si>
  <si>
    <t>EARLWOOD</t>
  </si>
  <si>
    <t>Earlwood Bowling &amp; Rec Club</t>
  </si>
  <si>
    <t>LIQC300227022</t>
  </si>
  <si>
    <t>WERRINGTON COUNTY</t>
  </si>
  <si>
    <t>Henry Lawson Club</t>
  </si>
  <si>
    <t>LIQC300245454</t>
  </si>
  <si>
    <t>Mosman Returned Servicemens Club Limited</t>
  </si>
  <si>
    <t>LIQC300228827</t>
  </si>
  <si>
    <t>Queanbeyan Kangaroo Rugby League Football Club Limited</t>
  </si>
  <si>
    <t>LIQC300245535</t>
  </si>
  <si>
    <t>Raymond Terrace Bowling Club Co-operative Limited</t>
  </si>
  <si>
    <t>LIQC300242390</t>
  </si>
  <si>
    <t>KINCUMBER</t>
  </si>
  <si>
    <t>Avoca Beach Bowling &amp; Recreation Club Ltd</t>
  </si>
  <si>
    <t>LIQC300235971</t>
  </si>
  <si>
    <t>Auburn Tennis &amp; Recreation Club</t>
  </si>
  <si>
    <t>LIQC300231143</t>
  </si>
  <si>
    <t>MIRANDA</t>
  </si>
  <si>
    <t>Miranda RSL Sub-Branch Club Limited</t>
  </si>
  <si>
    <t>LIQC300228703</t>
  </si>
  <si>
    <t>Yass Soldiers Club Limited</t>
  </si>
  <si>
    <t>LIQC300244504</t>
  </si>
  <si>
    <t>Sussex Inlet RSL Club Ltd</t>
  </si>
  <si>
    <t>LIQC300242730</t>
  </si>
  <si>
    <t>LIQC300237885</t>
  </si>
  <si>
    <t>TOMAKIN</t>
  </si>
  <si>
    <t>Tomakin Sports &amp; Social Club Limited</t>
  </si>
  <si>
    <t>LIQC300245721</t>
  </si>
  <si>
    <t>Nambucca Heads RSL Club</t>
  </si>
  <si>
    <t>LIQC300239985</t>
  </si>
  <si>
    <t>SUTHERLAND</t>
  </si>
  <si>
    <t>Club on East</t>
  </si>
  <si>
    <t>LIQC300230570</t>
  </si>
  <si>
    <t>WAMBERAL</t>
  </si>
  <si>
    <t>Breakers Country Club</t>
  </si>
  <si>
    <t>LIQC300245152</t>
  </si>
  <si>
    <t>BATEAU BAY</t>
  </si>
  <si>
    <t>Bateau Bay Bowling Club</t>
  </si>
  <si>
    <t>LIQC300235998</t>
  </si>
  <si>
    <t>DORA CREEK</t>
  </si>
  <si>
    <t>Dora Creek &amp; District Workers Co-operative Club Limited</t>
  </si>
  <si>
    <t>LIQC300240525</t>
  </si>
  <si>
    <t>Club Macquarie Ltd</t>
  </si>
  <si>
    <t>LIQC300241092</t>
  </si>
  <si>
    <t>West Diggers</t>
  </si>
  <si>
    <t>LIQC300242900</t>
  </si>
  <si>
    <t>East Cessnock Bowling Club</t>
  </si>
  <si>
    <t>LIQC300238806</t>
  </si>
  <si>
    <t>Parkes Service &amp; Citizens Club Co-operative Limited</t>
  </si>
  <si>
    <t>LIQC300241548</t>
  </si>
  <si>
    <t>Armidale City Bowling Club</t>
  </si>
  <si>
    <t>LIQC300235130</t>
  </si>
  <si>
    <t>Cardiff RSL Club Limited</t>
  </si>
  <si>
    <t>LIQC300240479</t>
  </si>
  <si>
    <t>Deniliquin RSL Club Ltd</t>
  </si>
  <si>
    <t>LIQC300237044</t>
  </si>
  <si>
    <t>Kiama Leagues Club</t>
  </si>
  <si>
    <t>LIQC300238369</t>
  </si>
  <si>
    <t>BALGOWNIE</t>
  </si>
  <si>
    <t>Collegians RLFC Balgownie</t>
  </si>
  <si>
    <t>LIQC324007348</t>
  </si>
  <si>
    <t>Swansea RSL Club Ltd</t>
  </si>
  <si>
    <t>LIQC300241114</t>
  </si>
  <si>
    <t>Illawarra District Rugby League Football Club Limited</t>
  </si>
  <si>
    <t>LIQC324002704</t>
  </si>
  <si>
    <t>Byron Bay Services Club</t>
  </si>
  <si>
    <t>LIQC300245837</t>
  </si>
  <si>
    <t>Scone R.S.L. Club Limited</t>
  </si>
  <si>
    <t>LIQC300242587</t>
  </si>
  <si>
    <t>KATOOMBA</t>
  </si>
  <si>
    <t>Katoomba RSL</t>
  </si>
  <si>
    <t>LIQC300241750</t>
  </si>
  <si>
    <t>Mayfield Ex Services Club Ltd</t>
  </si>
  <si>
    <t>LIQC300241335</t>
  </si>
  <si>
    <t>Lismore Workers Sports Club</t>
  </si>
  <si>
    <t>LIQC324007362</t>
  </si>
  <si>
    <t>WOY WOY</t>
  </si>
  <si>
    <t>Everglades Country Club</t>
  </si>
  <si>
    <t>LIQC300236056</t>
  </si>
  <si>
    <t>Ashfield RSL Sub-Branch Club Limited</t>
  </si>
  <si>
    <t>LIQC300225208</t>
  </si>
  <si>
    <t>Cowra Bowling Club Limited</t>
  </si>
  <si>
    <t>LIQC300236943</t>
  </si>
  <si>
    <t>FORESTVILLE</t>
  </si>
  <si>
    <t>Forestville RSL Club Limited</t>
  </si>
  <si>
    <t>LIQC300227332</t>
  </si>
  <si>
    <t>Inverell Returned Servicemen's Club Limited</t>
  </si>
  <si>
    <t>LIQC300238156</t>
  </si>
  <si>
    <t>St George Motor Boat Club Limited</t>
  </si>
  <si>
    <t>LIQC300230430</t>
  </si>
  <si>
    <t>Woolgoolga Diggers Club</t>
  </si>
  <si>
    <t>LIQC300237656</t>
  </si>
  <si>
    <t>Tuncurry Beach Bowling Club</t>
  </si>
  <si>
    <t>LIQC300239225</t>
  </si>
  <si>
    <t>Singleton Returned Servicemen's Club Ltd</t>
  </si>
  <si>
    <t>LIQC300242773</t>
  </si>
  <si>
    <t>KAREELA</t>
  </si>
  <si>
    <t>Sharks at Kareela</t>
  </si>
  <si>
    <t>LIQC300231704</t>
  </si>
  <si>
    <t>Leeton Soldiers Club Ltd</t>
  </si>
  <si>
    <t>LIQC300240185</t>
  </si>
  <si>
    <t>DAVISTOWN</t>
  </si>
  <si>
    <t>Davistown RSL Club Ltd</t>
  </si>
  <si>
    <t>LIQC300236021</t>
  </si>
  <si>
    <t>MURRAY DOWNS</t>
  </si>
  <si>
    <t>Murray Downs Golf &amp; Country Club Ltd</t>
  </si>
  <si>
    <t>LIQC324001576</t>
  </si>
  <si>
    <t>Club Ashfield</t>
  </si>
  <si>
    <t>LIQC300225194</t>
  </si>
  <si>
    <t>BIRRONG</t>
  </si>
  <si>
    <t>Birrong Bowling &amp; Sports Club Ltd</t>
  </si>
  <si>
    <t>LIQC300225771</t>
  </si>
  <si>
    <t>Woonona Bulli RSL Memorial Club Limited</t>
  </si>
  <si>
    <t>LIQC300244369</t>
  </si>
  <si>
    <t>Toronto RSL Memorial Club Limited</t>
  </si>
  <si>
    <t>LIQC300241181</t>
  </si>
  <si>
    <t>Baulkham Hills Sports Club</t>
  </si>
  <si>
    <t>LIQC300231550</t>
  </si>
  <si>
    <t>Club Dubbo</t>
  </si>
  <si>
    <t>LIQC300237222</t>
  </si>
  <si>
    <t>Auburn Soccer Sports Club Ltd</t>
  </si>
  <si>
    <t>LIQC300225305</t>
  </si>
  <si>
    <t>BRIGHTON-LE-SANDS</t>
  </si>
  <si>
    <t>Brighton-Le-Sands RSL Club Ltd</t>
  </si>
  <si>
    <t>LIQC300225976</t>
  </si>
  <si>
    <t>Ballina Bowling &amp; Recreation Club Ltd</t>
  </si>
  <si>
    <t>LIQC300235203</t>
  </si>
  <si>
    <t>Club Narooma</t>
  </si>
  <si>
    <t>LIQC300239500</t>
  </si>
  <si>
    <t>Cooma Ex-Services Club</t>
  </si>
  <si>
    <t>LIQC300236595</t>
  </si>
  <si>
    <t>The Catholic Club Ltd</t>
  </si>
  <si>
    <t>LIQC300226328</t>
  </si>
  <si>
    <t>Yamba Bowling &amp; Recreation Club Limited</t>
  </si>
  <si>
    <t>LIQC300238571</t>
  </si>
  <si>
    <t>CHERRYBROOK</t>
  </si>
  <si>
    <t>West Pennant Hills Sports Club Ltd</t>
  </si>
  <si>
    <t>LIQC300231372</t>
  </si>
  <si>
    <t>Muswellbrook RSL Sub-branch Club Limited</t>
  </si>
  <si>
    <t>LIQC300239918</t>
  </si>
  <si>
    <t>DUNDAS VALLEY</t>
  </si>
  <si>
    <t>Viking Sports Club Limited</t>
  </si>
  <si>
    <t>LIQC300227006</t>
  </si>
  <si>
    <t>Shoalhaven Ex-Servicemen's Club Limited</t>
  </si>
  <si>
    <t>LIQC300242706</t>
  </si>
  <si>
    <t>BUDGEWOI</t>
  </si>
  <si>
    <t>Halekulani Bowling Club</t>
  </si>
  <si>
    <t>LIQC300240576</t>
  </si>
  <si>
    <t>LIGHTNING RIDGE</t>
  </si>
  <si>
    <t>Lightning Ridge District Bowling Club Ltd</t>
  </si>
  <si>
    <t>LIQC300244652</t>
  </si>
  <si>
    <t>Sawtell RSL Club Limited</t>
  </si>
  <si>
    <t>LIQC300235629</t>
  </si>
  <si>
    <t>Mollymook Golf Club</t>
  </si>
  <si>
    <t>LIQC300242676</t>
  </si>
  <si>
    <t>Broken Hill Musicians Club Ltd</t>
  </si>
  <si>
    <t>LIQC300236331</t>
  </si>
  <si>
    <t>Moree &amp; District Services Club</t>
  </si>
  <si>
    <t>LIQC300239411</t>
  </si>
  <si>
    <t>Young Services &amp; Citizens Co-operative Club Limited</t>
  </si>
  <si>
    <t>LIQC300244563</t>
  </si>
  <si>
    <t>Barrier Social Democratic Club Limited</t>
  </si>
  <si>
    <t>LIQC300236277</t>
  </si>
  <si>
    <t>MOOREBANK</t>
  </si>
  <si>
    <t>Brighton Lakes Recreation &amp; Golf Club</t>
  </si>
  <si>
    <t>LIQC300228924</t>
  </si>
  <si>
    <t>PELAW MAIN</t>
  </si>
  <si>
    <t>Kurri Kurri Bowling Club</t>
  </si>
  <si>
    <t>LIQC300238849</t>
  </si>
  <si>
    <t>Panania East Hills RSL Club Limited</t>
  </si>
  <si>
    <t>LIQC300229408</t>
  </si>
  <si>
    <t>LAURIETON</t>
  </si>
  <si>
    <t>Laurieton United Services Club</t>
  </si>
  <si>
    <t>LIQC300242048</t>
  </si>
  <si>
    <t>Gladesville RSL &amp; Community Club Limited</t>
  </si>
  <si>
    <t>LIQC300227413</t>
  </si>
  <si>
    <t>Muswellbrook &amp; District Workers Club Ltd</t>
  </si>
  <si>
    <t>LIQC300239888</t>
  </si>
  <si>
    <t>South Tweed Heads Bowls Club Limited</t>
  </si>
  <si>
    <t>LIQC300239764</t>
  </si>
  <si>
    <t>MERIMBULA</t>
  </si>
  <si>
    <t>Merimbula-Imlay Bowling Club Limited</t>
  </si>
  <si>
    <t>LIQC300237281</t>
  </si>
  <si>
    <t>Bowlers Club of NSW Ltd</t>
  </si>
  <si>
    <t>LIQC300225925</t>
  </si>
  <si>
    <t>OAK FLATS</t>
  </si>
  <si>
    <t>Oak Flats Bowling &amp; Recreation Club Limited</t>
  </si>
  <si>
    <t>LIQC300238407</t>
  </si>
  <si>
    <t>BERKELEY</t>
  </si>
  <si>
    <t>Berkeley Sports Club</t>
  </si>
  <si>
    <t>LIQC300244962</t>
  </si>
  <si>
    <t>Armidale Ex-Services Memorial Club Limited</t>
  </si>
  <si>
    <t>LIQC300235149</t>
  </si>
  <si>
    <t>AUSTRAL</t>
  </si>
  <si>
    <t>Austral Bowling Club Limited</t>
  </si>
  <si>
    <t>LIQC300231429</t>
  </si>
  <si>
    <t>BEXLEY</t>
  </si>
  <si>
    <t>Bexley RSL &amp; Community Club Limited</t>
  </si>
  <si>
    <t>LIQC300225763</t>
  </si>
  <si>
    <t>Goulburn &amp; District Soldiers Club Limited</t>
  </si>
  <si>
    <t>LIQC300237494</t>
  </si>
  <si>
    <t>SOLDIERS POINT</t>
  </si>
  <si>
    <t>Soldiers Point Bowling Club Limited</t>
  </si>
  <si>
    <t>LIQC300242188</t>
  </si>
  <si>
    <t>Toongabbie Sports Club</t>
  </si>
  <si>
    <t>LIQC300230694</t>
  </si>
  <si>
    <t>TAREN POINT</t>
  </si>
  <si>
    <t>Taren Point Bowling &amp; Recreation Club Limited</t>
  </si>
  <si>
    <t>LIQC300230651</t>
  </si>
  <si>
    <t>GLENFIELD PARK</t>
  </si>
  <si>
    <t>Riverina Australian Football Club Limited</t>
  </si>
  <si>
    <t>LIQC300231496</t>
  </si>
  <si>
    <t>The Lakemba Club</t>
  </si>
  <si>
    <t>LIQC300228053</t>
  </si>
  <si>
    <t>Lithgow &amp; District Workmen's Club Ltd</t>
  </si>
  <si>
    <t>LIQC300237974</t>
  </si>
  <si>
    <t>Bathurst Panthers</t>
  </si>
  <si>
    <t>LIQC300235424</t>
  </si>
  <si>
    <t>DHARRUK</t>
  </si>
  <si>
    <t>Building Workers Club Limited</t>
  </si>
  <si>
    <t>LIQC300200337</t>
  </si>
  <si>
    <t>Merimbula RSL Club Limited</t>
  </si>
  <si>
    <t>LIQC300237303</t>
  </si>
  <si>
    <t>SEAFORTH</t>
  </si>
  <si>
    <t>Balgowlah RSL Memorial Club</t>
  </si>
  <si>
    <t>LIQC300225437</t>
  </si>
  <si>
    <t>FRESHWATER</t>
  </si>
  <si>
    <t>Harbord Diggers - Mounties Group</t>
  </si>
  <si>
    <t>LIQC300227642</t>
  </si>
  <si>
    <t>PENSHURST</t>
  </si>
  <si>
    <t>Penshurst RSL</t>
  </si>
  <si>
    <t>LIQC300229505</t>
  </si>
  <si>
    <t>ETTALONG BEACH</t>
  </si>
  <si>
    <t>Ettalong Memorial Bowling Club Limited</t>
  </si>
  <si>
    <t>LIQC300236048</t>
  </si>
  <si>
    <t>WAITARA</t>
  </si>
  <si>
    <t>Magpies Waitara</t>
  </si>
  <si>
    <t>LIQC300231798</t>
  </si>
  <si>
    <t>BOMADERRY</t>
  </si>
  <si>
    <t>Bomaderry Bowling Club</t>
  </si>
  <si>
    <t>LIQC300242609</t>
  </si>
  <si>
    <t>WORRIGEE</t>
  </si>
  <si>
    <t>Shoalhaven Ex Servicemens Sports Club</t>
  </si>
  <si>
    <t>LIQC324008438</t>
  </si>
  <si>
    <t>GOROKAN</t>
  </si>
  <si>
    <t>Wallarah Bay Recreation Club</t>
  </si>
  <si>
    <t>LIQC300245683</t>
  </si>
  <si>
    <t>NEWCASTLE WEST</t>
  </si>
  <si>
    <t>Wests City</t>
  </si>
  <si>
    <t>LIQC300240959</t>
  </si>
  <si>
    <t>CONDELL PARK</t>
  </si>
  <si>
    <t>Club Condell Park</t>
  </si>
  <si>
    <t>LIQC300225585</t>
  </si>
  <si>
    <t>GRANVILLE</t>
  </si>
  <si>
    <t>Granville Diggers</t>
  </si>
  <si>
    <t>LIQC300227510</t>
  </si>
  <si>
    <t>Kempsey Macleay RSL Club</t>
  </si>
  <si>
    <t>LIQC300238652</t>
  </si>
  <si>
    <t>Griffith Leagues Club Southside</t>
  </si>
  <si>
    <t>LIQC300240126</t>
  </si>
  <si>
    <t>Mudgee Soldiers Club Limited</t>
  </si>
  <si>
    <t>LIQC300239586</t>
  </si>
  <si>
    <t>ST JOHNS PARK</t>
  </si>
  <si>
    <t>Triglav Mounties Group</t>
  </si>
  <si>
    <t>LIQC300200396</t>
  </si>
  <si>
    <t>Port Macquarie City Bowling Club Limited</t>
  </si>
  <si>
    <t>LIQC300242064</t>
  </si>
  <si>
    <t>Charlestown Bowling Club</t>
  </si>
  <si>
    <t>LIQC300240509</t>
  </si>
  <si>
    <t>Casino Returned Servicemens Memorial Club Limited</t>
  </si>
  <si>
    <t>LIQC300242471</t>
  </si>
  <si>
    <t>Cronulla R S L Memorial Club Ltd</t>
  </si>
  <si>
    <t>LIQC300226751</t>
  </si>
  <si>
    <t>Milton Ulladulla Ex-Servos Club Limited</t>
  </si>
  <si>
    <t>LIQC300231674</t>
  </si>
  <si>
    <t>Club Taree</t>
  </si>
  <si>
    <t>LIQC300239195</t>
  </si>
  <si>
    <t>Fraternity Bowling &amp; Recreation Club Ltd</t>
  </si>
  <si>
    <t>LIQC300243958</t>
  </si>
  <si>
    <t>St Marys District Band Club Limited</t>
  </si>
  <si>
    <t>LIQC300241904</t>
  </si>
  <si>
    <t>MOAMA</t>
  </si>
  <si>
    <t>Rich River Golf Club Limited</t>
  </si>
  <si>
    <t>LIQC300245705</t>
  </si>
  <si>
    <t>PETERSHAM</t>
  </si>
  <si>
    <t>Petersham RSL Club Limited</t>
  </si>
  <si>
    <t>LIQC300229521</t>
  </si>
  <si>
    <t>Five Dock RSL Community Club Limited</t>
  </si>
  <si>
    <t>LIQC300227316</t>
  </si>
  <si>
    <t>Strathfield Recreation Club Limited</t>
  </si>
  <si>
    <t>LIQC300230538</t>
  </si>
  <si>
    <t>CATALINA</t>
  </si>
  <si>
    <t>Catalina Country Club</t>
  </si>
  <si>
    <t>LIQC300239470</t>
  </si>
  <si>
    <t>Club Banora</t>
  </si>
  <si>
    <t>LIQC324007379</t>
  </si>
  <si>
    <t>St Marys Diggers and Band Club</t>
  </si>
  <si>
    <t>LIQC300245934</t>
  </si>
  <si>
    <t>Bathurst RSL Club Limited</t>
  </si>
  <si>
    <t>LIQC300235416</t>
  </si>
  <si>
    <t>Barham &amp; District Services Memorial Club Limited</t>
  </si>
  <si>
    <t>LIQC300236986</t>
  </si>
  <si>
    <t>Richmond Club Ltd</t>
  </si>
  <si>
    <t>LIQC300243672</t>
  </si>
  <si>
    <t>Maroubra Seals Sports &amp; Community Club Limited</t>
  </si>
  <si>
    <t>LIQC300228487</t>
  </si>
  <si>
    <t>GRAFTON</t>
  </si>
  <si>
    <t>Grafton District Services Club Ltd</t>
  </si>
  <si>
    <t>LIQC300237591</t>
  </si>
  <si>
    <t>The Entrance Leagues Club Limited</t>
  </si>
  <si>
    <t>LIQC324003948</t>
  </si>
  <si>
    <t>Kingsgrove RSL Club Ltd</t>
  </si>
  <si>
    <t>LIQC300227960</t>
  </si>
  <si>
    <t>Cessnock Leagues Club</t>
  </si>
  <si>
    <t>LIQC300245926</t>
  </si>
  <si>
    <t>Corowa RSL Club Limited</t>
  </si>
  <si>
    <t>LIQC300236862</t>
  </si>
  <si>
    <t>Toronto District Workers Club Limited</t>
  </si>
  <si>
    <t>LIQC300241173</t>
  </si>
  <si>
    <t>Mulwala Water Ski Club Ltd</t>
  </si>
  <si>
    <t>LIQC300200213</t>
  </si>
  <si>
    <t>Cabramatta Bowling &amp; Recreation Club Ltd</t>
  </si>
  <si>
    <t>LIQC300226085</t>
  </si>
  <si>
    <t>Griffith Ex-Servicemen's Club Limited</t>
  </si>
  <si>
    <t>LIQC300240096</t>
  </si>
  <si>
    <t>City of Sydney RSL &amp; Community Club Limited</t>
  </si>
  <si>
    <t>LIQC300229041</t>
  </si>
  <si>
    <t>BROOKVALE</t>
  </si>
  <si>
    <t>Manly Warringah Rugby League Club Limited</t>
  </si>
  <si>
    <t>LIQC300228452</t>
  </si>
  <si>
    <t>BERESFIELD</t>
  </si>
  <si>
    <t>Beresfield Bowling Club Limited</t>
  </si>
  <si>
    <t>LIQC300238733</t>
  </si>
  <si>
    <t>Toukley RSL Sub-Branch Club Limited</t>
  </si>
  <si>
    <t>LIQC300241211</t>
  </si>
  <si>
    <t>Campbelltown RSL Club Limited</t>
  </si>
  <si>
    <t>LIQC300236498</t>
  </si>
  <si>
    <t>HOMEBUSH</t>
  </si>
  <si>
    <t>Sydney Markets Industries Club Limited</t>
  </si>
  <si>
    <t>LIQC300231712</t>
  </si>
  <si>
    <t>Illawarra Master Builders Club Limited</t>
  </si>
  <si>
    <t>LIQC300244024</t>
  </si>
  <si>
    <t>Mittagong RSL Club</t>
  </si>
  <si>
    <t>LIQC300235734</t>
  </si>
  <si>
    <t>Goulburn Workers Club</t>
  </si>
  <si>
    <t>LIQC300237532</t>
  </si>
  <si>
    <t>LONG JETTY</t>
  </si>
  <si>
    <t>Diggers The Entrance</t>
  </si>
  <si>
    <t>LIQC300236188</t>
  </si>
  <si>
    <t>HURSTVILLE</t>
  </si>
  <si>
    <t>Hurstville R.S.L. Memorial Club Ltd</t>
  </si>
  <si>
    <t>LIQC300227790</t>
  </si>
  <si>
    <t>Echuca - Moama RSL &amp; Citizens Club Limited</t>
  </si>
  <si>
    <t>LIQC324003126</t>
  </si>
  <si>
    <t>PARRAMATTA</t>
  </si>
  <si>
    <t>City Of Parramatta RSL Club</t>
  </si>
  <si>
    <t>LIQC300226425</t>
  </si>
  <si>
    <t>WALLSEND</t>
  </si>
  <si>
    <t>Wallsend RSL &amp; Community Club Limited</t>
  </si>
  <si>
    <t>LIQC300241270</t>
  </si>
  <si>
    <t>RIVERSTONE</t>
  </si>
  <si>
    <t>Riverstone Schofields Memorial Club Limited</t>
  </si>
  <si>
    <t>LIQC300243699</t>
  </si>
  <si>
    <t>TWEED HEADS</t>
  </si>
  <si>
    <t>Club Tweed</t>
  </si>
  <si>
    <t>LIQC300239799</t>
  </si>
  <si>
    <t>East Maitland Bowling Club Ltd</t>
  </si>
  <si>
    <t>LIQC300238814</t>
  </si>
  <si>
    <t>Wests Nelson Bay</t>
  </si>
  <si>
    <t>LIQC300242161</t>
  </si>
  <si>
    <t>Wests Mayfield</t>
  </si>
  <si>
    <t>LIQC300241068</t>
  </si>
  <si>
    <t>Cabramatta Rugby League Club Limited</t>
  </si>
  <si>
    <t>LIQC300231623</t>
  </si>
  <si>
    <t>Pittwater RSL Club Ltd</t>
  </si>
  <si>
    <t>LIQC300229564</t>
  </si>
  <si>
    <t>BATEMANS BAY</t>
  </si>
  <si>
    <t>Batemans Bay Soldiers Club Ltd</t>
  </si>
  <si>
    <t>LIQC300239462</t>
  </si>
  <si>
    <t>MENAI</t>
  </si>
  <si>
    <t>Club Central Menai</t>
  </si>
  <si>
    <t>LIQC324007334</t>
  </si>
  <si>
    <t>Warilla Bowling &amp; Recreation Club Limited</t>
  </si>
  <si>
    <t>LIQC300238431</t>
  </si>
  <si>
    <t>LIVERPOOL</t>
  </si>
  <si>
    <t>John Edmondson V C Memorial Club Limited</t>
  </si>
  <si>
    <t>LIQC300227863</t>
  </si>
  <si>
    <t>ROSELANDS</t>
  </si>
  <si>
    <t>Lantern Club</t>
  </si>
  <si>
    <t>LIQC300229939</t>
  </si>
  <si>
    <t>HAMMONDVILLE</t>
  </si>
  <si>
    <t>Moorebank Sports Club Ltd</t>
  </si>
  <si>
    <t>LIQC324004709</t>
  </si>
  <si>
    <t>Forster Tuncurry Memorial Services Club Limited</t>
  </si>
  <si>
    <t>LIQC300239055</t>
  </si>
  <si>
    <t>TWEED HEADS WEST</t>
  </si>
  <si>
    <t>Seagulls Club</t>
  </si>
  <si>
    <t>LIQC300244954</t>
  </si>
  <si>
    <t>West Tamworth League Club Limited</t>
  </si>
  <si>
    <t>LIQC300242943</t>
  </si>
  <si>
    <t>SANCTUARY POINT</t>
  </si>
  <si>
    <t>St Georges Basin Country Club Ltd</t>
  </si>
  <si>
    <t>LIQC300242714</t>
  </si>
  <si>
    <t>BLACKTOWN</t>
  </si>
  <si>
    <t>Workers Sports</t>
  </si>
  <si>
    <t>LIQC324008542</t>
  </si>
  <si>
    <t>Club Blacktown</t>
  </si>
  <si>
    <t>LIQC300225801</t>
  </si>
  <si>
    <t>The Westport Club</t>
  </si>
  <si>
    <t>LIQC300242013</t>
  </si>
  <si>
    <t>WAGGA WAGGA</t>
  </si>
  <si>
    <t>Wagga R S L Club Ltd</t>
  </si>
  <si>
    <t>LIQC300243362</t>
  </si>
  <si>
    <t>Port Macquarie Panthers</t>
  </si>
  <si>
    <t>LIQC300242080</t>
  </si>
  <si>
    <t>Windsor RSL Club Ltd</t>
  </si>
  <si>
    <t>LIQC300243710</t>
  </si>
  <si>
    <t>BAROOGA</t>
  </si>
  <si>
    <t>Barooga Sports Club Ltd</t>
  </si>
  <si>
    <t>LIQC300200035</t>
  </si>
  <si>
    <t>Coomealla Memorial Sporting Club Limited</t>
  </si>
  <si>
    <t>LIQC300243648</t>
  </si>
  <si>
    <t>CHESTER HILL</t>
  </si>
  <si>
    <t>Chester Hill RSL Club</t>
  </si>
  <si>
    <t>LIQC300226409</t>
  </si>
  <si>
    <t>Club Mulwala</t>
  </si>
  <si>
    <t>LIQC300236889</t>
  </si>
  <si>
    <t>RUTHERFORD</t>
  </si>
  <si>
    <t>Maitland City Bowls, Sports &amp; Rec Club</t>
  </si>
  <si>
    <t>LIQC300238903</t>
  </si>
  <si>
    <t>Bankstown RSL Club Ltd</t>
  </si>
  <si>
    <t>LIQC300225577</t>
  </si>
  <si>
    <t>BARDWELL PARK</t>
  </si>
  <si>
    <t>EBP RSL</t>
  </si>
  <si>
    <t>LIQC300227014</t>
  </si>
  <si>
    <t>Ettalong Diggers</t>
  </si>
  <si>
    <t>LIQC300236226</t>
  </si>
  <si>
    <t>EUSTON</t>
  </si>
  <si>
    <t>Euston Bowling &amp; Recreation Club Limited</t>
  </si>
  <si>
    <t>LIQC300200558</t>
  </si>
  <si>
    <t>MERRYLANDS</t>
  </si>
  <si>
    <t>Merrylands Bowling Club</t>
  </si>
  <si>
    <t>LIQC300228630</t>
  </si>
  <si>
    <t>Club Burwood</t>
  </si>
  <si>
    <t>LIQC300230902</t>
  </si>
  <si>
    <t>Belmont 16 Foot Sailing Club</t>
  </si>
  <si>
    <t>LIQC300240363</t>
  </si>
  <si>
    <t>Ballina RSL Club Limited</t>
  </si>
  <si>
    <t>LIQC300235238</t>
  </si>
  <si>
    <t>Wests Cardiff</t>
  </si>
  <si>
    <t>LIQC324007337</t>
  </si>
  <si>
    <t>Western Suburbs Soccer, Sports &amp; Community Club Limited</t>
  </si>
  <si>
    <t>LIQC300230937</t>
  </si>
  <si>
    <t>Collegians Rugby League Football Club Ltd</t>
  </si>
  <si>
    <t>LIQC300243850</t>
  </si>
  <si>
    <t>Dapto Leagues Club Ltd</t>
  </si>
  <si>
    <t>LIQC300243907</t>
  </si>
  <si>
    <t>Dubbo RSL Memorial Club Limited</t>
  </si>
  <si>
    <t>LIQC300237109</t>
  </si>
  <si>
    <t>WAKELEY</t>
  </si>
  <si>
    <t>Canley Heights R S L &amp; Sporting Club Ltd</t>
  </si>
  <si>
    <t>LIQC300200094</t>
  </si>
  <si>
    <t>DOYALSON</t>
  </si>
  <si>
    <t>Doyalson Wyee RSL Club Limited</t>
  </si>
  <si>
    <t>LIQC300240533</t>
  </si>
  <si>
    <t>Guildford Rugby League Football &amp; Recreation Club Ltd</t>
  </si>
  <si>
    <t>LIQC300227596</t>
  </si>
  <si>
    <t>Mekong Mounties Group</t>
  </si>
  <si>
    <t>LIQC324004273</t>
  </si>
  <si>
    <t>EPPING</t>
  </si>
  <si>
    <t>The Epping Club Limited</t>
  </si>
  <si>
    <t>LIQC300227243</t>
  </si>
  <si>
    <t>Orange Ex-Services Club</t>
  </si>
  <si>
    <t>LIQC300241483</t>
  </si>
  <si>
    <t>C.ex COFFS</t>
  </si>
  <si>
    <t>LIQC300235548</t>
  </si>
  <si>
    <t>Central Coast Leagues Club</t>
  </si>
  <si>
    <t>LIQC300236005</t>
  </si>
  <si>
    <t>BONDI JUNCTION</t>
  </si>
  <si>
    <t>Eastern Suburbs Leagues Club Ltd</t>
  </si>
  <si>
    <t>LIQC300227103</t>
  </si>
  <si>
    <t>Penrith RSL Club Limited</t>
  </si>
  <si>
    <t>LIQC300241831</t>
  </si>
  <si>
    <t>UNANDERRA</t>
  </si>
  <si>
    <t>Western Suburbs Leagues Club Illawarra Ltd</t>
  </si>
  <si>
    <t>LIQC300244199</t>
  </si>
  <si>
    <t>CAMMERAY</t>
  </si>
  <si>
    <t>North Sydney Leagues Club Limited</t>
  </si>
  <si>
    <t>LIQC300229270</t>
  </si>
  <si>
    <t>North Ryde RSL Community Club Ltd</t>
  </si>
  <si>
    <t>LIQC300229238</t>
  </si>
  <si>
    <t>KANWAL</t>
  </si>
  <si>
    <t>Wyong Rugby League Club</t>
  </si>
  <si>
    <t>LIQC300245101</t>
  </si>
  <si>
    <t>WEST GOSFORD</t>
  </si>
  <si>
    <t>Gosford RSL Club</t>
  </si>
  <si>
    <t>LIQC300236102</t>
  </si>
  <si>
    <t>INGLEBURN</t>
  </si>
  <si>
    <t>Ingleburn RSL Sub-Branch Club Limited</t>
  </si>
  <si>
    <t>LIQC300227847</t>
  </si>
  <si>
    <t>SHELLHARBOUR</t>
  </si>
  <si>
    <t>Shellharbour Workers Club Ltd</t>
  </si>
  <si>
    <t>LIQC300238415</t>
  </si>
  <si>
    <t>Ryde Eastwood Leagues Club Limited</t>
  </si>
  <si>
    <t>LIQC300231313</t>
  </si>
  <si>
    <t>SEVEN HILLS</t>
  </si>
  <si>
    <t>Seven Hills Toongabbie RSL Club Ltd</t>
  </si>
  <si>
    <t>LIQC300230236</t>
  </si>
  <si>
    <t>Sutherland District Trade Union Club Ltd</t>
  </si>
  <si>
    <t>LIQC300230562</t>
  </si>
  <si>
    <t>RAMSGATE</t>
  </si>
  <si>
    <t>Ramsgate RSL Memorial Club Limited</t>
  </si>
  <si>
    <t>LIQC300229696</t>
  </si>
  <si>
    <t>Club Rivers</t>
  </si>
  <si>
    <t>LIQC300229866</t>
  </si>
  <si>
    <t>TUMBI UMBI</t>
  </si>
  <si>
    <t>Mingara Recreation Club</t>
  </si>
  <si>
    <t>LIQC300245764</t>
  </si>
  <si>
    <t>Hornsby R S L Club Ltd</t>
  </si>
  <si>
    <t>LIQC300227723</t>
  </si>
  <si>
    <t>Twin Towns Services Club Limited</t>
  </si>
  <si>
    <t>LIQC300239802</t>
  </si>
  <si>
    <t>Albury Soldiers Sailors &amp; Airmens Club Limited</t>
  </si>
  <si>
    <t>LIQC300235041</t>
  </si>
  <si>
    <t>Moama Bowling Club</t>
  </si>
  <si>
    <t>LIQC300237052</t>
  </si>
  <si>
    <t>Club Central Hurstville</t>
  </si>
  <si>
    <t>LIQC300227804</t>
  </si>
  <si>
    <t>HURLSTONE PARK</t>
  </si>
  <si>
    <t>Canterbury Hurlstone Park RSL Club</t>
  </si>
  <si>
    <t>LIQC300226204</t>
  </si>
  <si>
    <t>Commercial Club (Albury) Ltd</t>
  </si>
  <si>
    <t>LIQC300235068</t>
  </si>
  <si>
    <t>South Sydney Junior Rugby League Club Limited</t>
  </si>
  <si>
    <t>LIQC300230317</t>
  </si>
  <si>
    <t>Queanbeyan Leagues Club Limited</t>
  </si>
  <si>
    <t>LIQC300242285</t>
  </si>
  <si>
    <t>Workers Blacktown</t>
  </si>
  <si>
    <t>LIQC300225828</t>
  </si>
  <si>
    <t>Western Suburbs Leagues Club Limited</t>
  </si>
  <si>
    <t>LIQC300230929</t>
  </si>
  <si>
    <t>NORTH ST MARYS</t>
  </si>
  <si>
    <t>St Marys Rugby League Club Ltd</t>
  </si>
  <si>
    <t>LIQC300200183</t>
  </si>
  <si>
    <t>BOSSLEY PARK</t>
  </si>
  <si>
    <t>Club Marconi Limited</t>
  </si>
  <si>
    <t>LIQC300226484</t>
  </si>
  <si>
    <t>SMITHFIELD</t>
  </si>
  <si>
    <t>Smithfield RSL</t>
  </si>
  <si>
    <t>LIQC300228193</t>
  </si>
  <si>
    <t>CAMPSIE</t>
  </si>
  <si>
    <t>Campsie RSL Sub-branch Club Limited</t>
  </si>
  <si>
    <t>LIQC300226158</t>
  </si>
  <si>
    <t>Penrith Rugby League Club Limited</t>
  </si>
  <si>
    <t>LIQC300241858</t>
  </si>
  <si>
    <t>St George Leagues Club Limited</t>
  </si>
  <si>
    <t>LIQC300230414</t>
  </si>
  <si>
    <t>Chatswood R S L Club Ltd</t>
  </si>
  <si>
    <t>LIQC300226379</t>
  </si>
  <si>
    <t>Country Club Gledswood Hills</t>
  </si>
  <si>
    <t>LIQC300236447</t>
  </si>
  <si>
    <t>St Johns Park Bowling Club Ltd</t>
  </si>
  <si>
    <t>LIQC300230481</t>
  </si>
  <si>
    <t>Campbelltown Catholic Club Ltd</t>
  </si>
  <si>
    <t>LIQC300244695</t>
  </si>
  <si>
    <t>Burwood RSL Club</t>
  </si>
  <si>
    <t>LIQC300226069</t>
  </si>
  <si>
    <t>FAIRFIELD</t>
  </si>
  <si>
    <t>City Of Fairfield RSL Memorial Club Limited</t>
  </si>
  <si>
    <t>LIQC300227286</t>
  </si>
  <si>
    <t>Western Suburbs (N'cle) Leagues Club Ltd</t>
  </si>
  <si>
    <t>LIQC300241386</t>
  </si>
  <si>
    <t>Merrylands RSL Club Ltd</t>
  </si>
  <si>
    <t>LIQC300228649</t>
  </si>
  <si>
    <t>Dee Why RSL Club Limited</t>
  </si>
  <si>
    <t>LIQC300226883</t>
  </si>
  <si>
    <t>Western Suburbs League Club (Campbelltown) Ltd</t>
  </si>
  <si>
    <t>LIQC300245217</t>
  </si>
  <si>
    <t>Castle Hill RSL Club</t>
  </si>
  <si>
    <t>LIQC300226301</t>
  </si>
  <si>
    <t>Parramatta Leagues Club</t>
  </si>
  <si>
    <t>LIQC300229459</t>
  </si>
  <si>
    <t>Revesby Workers' Club Ltd</t>
  </si>
  <si>
    <t>LIQC300229823</t>
  </si>
  <si>
    <t>PRESTONS</t>
  </si>
  <si>
    <t>Liverpool Catholic Club</t>
  </si>
  <si>
    <t>LIQC300231755</t>
  </si>
  <si>
    <t>ROOTY HILL</t>
  </si>
  <si>
    <t>Rooty Hill RSL Club</t>
  </si>
  <si>
    <t>LIQC300241866</t>
  </si>
  <si>
    <t>Cabra-Vale Ex-Active Servicemen's Club Ltd</t>
  </si>
  <si>
    <t>LIQC300226107</t>
  </si>
  <si>
    <t>Dooleys Lidcombe Catholic Club</t>
  </si>
  <si>
    <t>LIQC300228215</t>
  </si>
  <si>
    <t>WENTWORTHVILLE</t>
  </si>
  <si>
    <t>Wentworthville Leagues Club Limited</t>
  </si>
  <si>
    <t>LIQC300230880</t>
  </si>
  <si>
    <t>BELMORE</t>
  </si>
  <si>
    <t>Canterbury League Club Ltd</t>
  </si>
  <si>
    <t>LIQC300226174</t>
  </si>
  <si>
    <t>Bankstown Sports Club</t>
  </si>
  <si>
    <t>LIQC300225550</t>
  </si>
  <si>
    <t>MOUNT PRITCHARD</t>
  </si>
  <si>
    <t>Mt Pritchard &amp; District Community Club Limited (Trading as Mounties)</t>
  </si>
  <si>
    <t>LIQC300231135</t>
  </si>
  <si>
    <t>Ranking</t>
  </si>
  <si>
    <t>Electronic Gaming Machine numbers
as at 31 May 2024</t>
  </si>
  <si>
    <t>Local Government Area (LGA)</t>
  </si>
  <si>
    <t>Postcode</t>
  </si>
  <si>
    <t>Suburb</t>
  </si>
  <si>
    <t>Licence Name</t>
  </si>
  <si>
    <t>Licence Number</t>
  </si>
  <si>
    <t>Clubs: State Rankings by Gaming Machine Net Profit
for the Period 1 March 2024 to 31 May 2024</t>
  </si>
  <si>
    <t>Precautions have been taken to ensure that the information in this product is accurate. However, the Queensland Government accepts no liability for the accuracy of the information nor its use or the reliance placed on it. Queensland Government information in this product is subject to change without notice.</t>
  </si>
  <si>
    <t>Disclaimer:</t>
  </si>
  <si>
    <t/>
  </si>
  <si>
    <t>ABS ASGS 2021</t>
  </si>
  <si>
    <t>BURDEKIN</t>
  </si>
  <si>
    <t>TOWNSVILLE</t>
  </si>
  <si>
    <t>MALPASS HOTEL</t>
  </si>
  <si>
    <t>DALRYMPLE</t>
  </si>
  <si>
    <t>CHARTERS TOWERS</t>
  </si>
  <si>
    <t>THREE RIVERS HOTEL</t>
  </si>
  <si>
    <t>ROCKHAMPTON SURROUNDS - EAST</t>
  </si>
  <si>
    <t>LIVINGSTONE</t>
  </si>
  <si>
    <t>CENTRAL QUEENSLAND</t>
  </si>
  <si>
    <t>KEPPEL SANDS HOTEL</t>
  </si>
  <si>
    <t>FAR CENTRAL WEST</t>
  </si>
  <si>
    <t>WINTON</t>
  </si>
  <si>
    <t>QUEENSLAND - OUTBACK</t>
  </si>
  <si>
    <t>TATTERSALLS HOTEL (WINTON)</t>
  </si>
  <si>
    <t>MILLMERRAN</t>
  </si>
  <si>
    <t>TOOWOOMBA</t>
  </si>
  <si>
    <t>DARLING DOWNS - MARANOA</t>
  </si>
  <si>
    <t>HOTEL VICTORY CECIL PLAINS</t>
  </si>
  <si>
    <t>BABINDA</t>
  </si>
  <si>
    <t>CAIRNS</t>
  </si>
  <si>
    <t>FISHERY FALLS HOTEL</t>
  </si>
  <si>
    <t>INGHAM</t>
  </si>
  <si>
    <t>HINCHINBROOK</t>
  </si>
  <si>
    <t>EAST INGHAM HOTEL</t>
  </si>
  <si>
    <t>OORALEA - BAKERS CREEK</t>
  </si>
  <si>
    <t>MACKAY</t>
  </si>
  <si>
    <t>MACKAY - ISAAC - WHITSUNDAY</t>
  </si>
  <si>
    <t>BAKERS CREEK TAVERN</t>
  </si>
  <si>
    <t>BABINDA STATE HOTEL</t>
  </si>
  <si>
    <t>CLIFTON - GREENMOUNT</t>
  </si>
  <si>
    <t>ARMS HOTEL</t>
  </si>
  <si>
    <t>MILES - WANDOAN</t>
  </si>
  <si>
    <t>WESTERN DOWNS</t>
  </si>
  <si>
    <t>WANDOAN BOWLS CLUB INC</t>
  </si>
  <si>
    <t>MARYBOROUGH SURROUNDS - SOUTH</t>
  </si>
  <si>
    <t>FRASER COAST</t>
  </si>
  <si>
    <t>WIDE BAY</t>
  </si>
  <si>
    <t>STATION HOTEL</t>
  </si>
  <si>
    <t>RUDD'S PUB</t>
  </si>
  <si>
    <t>BOONAH</t>
  </si>
  <si>
    <t>SCENIC RIM</t>
  </si>
  <si>
    <t>IPSWICH</t>
  </si>
  <si>
    <t>ROYAL HOTEL KALBAR</t>
  </si>
  <si>
    <t>GLADSTONE HINTERLAND</t>
  </si>
  <si>
    <t>GLADSTONE</t>
  </si>
  <si>
    <t>MT LARCOM BOWLS CLUB INC.</t>
  </si>
  <si>
    <t>MILES BOWLS CLUB INC</t>
  </si>
  <si>
    <t>ROCKHAMPTON SURROUNDS - NORTH</t>
  </si>
  <si>
    <t>MARLBOROUGH HOTEL , MARLBOROUGH</t>
  </si>
  <si>
    <t>KILKIVAN</t>
  </si>
  <si>
    <t>GYMPIE</t>
  </si>
  <si>
    <t>KILKIVAN HOTEL MOTEL</t>
  </si>
  <si>
    <t>JONDARYAN</t>
  </si>
  <si>
    <t>JONDARYAN HOTEL</t>
  </si>
  <si>
    <t>ROCKHAMPTON CITY</t>
  </si>
  <si>
    <t>ROCKHAMPTON</t>
  </si>
  <si>
    <t>GREAT WESTERN HOTEL - ROCKHAMPTON</t>
  </si>
  <si>
    <t>CONDAMINE BELL HOTEL</t>
  </si>
  <si>
    <t>CLUB HOTEL CLIFTON</t>
  </si>
  <si>
    <t>SEAFORTH - CALEN</t>
  </si>
  <si>
    <t>CALEN HOTEL</t>
  </si>
  <si>
    <t>BARCALDINE - BLACKALL</t>
  </si>
  <si>
    <t>BARCALDINE</t>
  </si>
  <si>
    <t>ALPHA HOTEL &amp; MOTEL</t>
  </si>
  <si>
    <t>MONTO - EIDSVOLD</t>
  </si>
  <si>
    <t>NORTH BURNETT</t>
  </si>
  <si>
    <t>ALBERT HOTEL MONTO</t>
  </si>
  <si>
    <t>WOODFORD - D'AGUILAR</t>
  </si>
  <si>
    <t>MORETON BAY</t>
  </si>
  <si>
    <t>MORETON BAY - NORTH</t>
  </si>
  <si>
    <t>WOODFORD AND DISTRICT BOWLS CLUB INC.</t>
  </si>
  <si>
    <t>GYMPIE - NORTH</t>
  </si>
  <si>
    <t>VICTORY HOTEL MOTEL (GYMPIE)</t>
  </si>
  <si>
    <t>CENTRAL HIGHLANDS - WEST</t>
  </si>
  <si>
    <t>CENTRAL HIGHLANDS</t>
  </si>
  <si>
    <t>TIERI BROLGA HOTEL MOTEL</t>
  </si>
  <si>
    <t>STAR HOTEL MOTEL</t>
  </si>
  <si>
    <t>BUNDABERG SURROUNDS - NORTH</t>
  </si>
  <si>
    <t>BUNDABERG</t>
  </si>
  <si>
    <t>SOUTH KOLAN HOTEL MOTEL</t>
  </si>
  <si>
    <t>ROYAL HOTEL TIARO</t>
  </si>
  <si>
    <t>NORTHERN BEACHES</t>
  </si>
  <si>
    <t>ROLLINGSTONE HOTEL</t>
  </si>
  <si>
    <t>ROCKHAMPTON - WEST</t>
  </si>
  <si>
    <t>ROCKHAMPTON GOLF CLUB INCORPORATED</t>
  </si>
  <si>
    <t>LOCKYER VALLEY - WEST</t>
  </si>
  <si>
    <t>LOCKYER VALLEY</t>
  </si>
  <si>
    <t>RETURNED &amp; SERVICES LEAGUES OF AUSTRALIA (QUEENSLAND BRANCH) HELIDON SUB-BRANCH INCORPORATED</t>
  </si>
  <si>
    <t>RAGLAN TAVERN</t>
  </si>
  <si>
    <t>IPSWICH - CENTRAL</t>
  </si>
  <si>
    <t>PRINCE OF WALES HOTEL (IPSWICH)</t>
  </si>
  <si>
    <t>BRISBANE CITY</t>
  </si>
  <si>
    <t>BRISBANE</t>
  </si>
  <si>
    <t>BRISBANE INNER CITY</t>
  </si>
  <si>
    <t>PORT OFFICE HOTEL</t>
  </si>
  <si>
    <t>BROADSOUND - NEBO</t>
  </si>
  <si>
    <t>ISAAC</t>
  </si>
  <si>
    <t>NEBO HOTEL</t>
  </si>
  <si>
    <t>KARANA DOWNS</t>
  </si>
  <si>
    <t>MT. CROSBY BOWLS CLUB INC</t>
  </si>
  <si>
    <t>AGNES WATER - MIRIAM VALE</t>
  </si>
  <si>
    <t>MIRIAM VALE HOTEL</t>
  </si>
  <si>
    <t>SOUTHERN DOWNS - EAST</t>
  </si>
  <si>
    <t>SOUTHERN DOWNS</t>
  </si>
  <si>
    <t>KILLARNEY HOTEL MOTEL</t>
  </si>
  <si>
    <t>GYMPIE SURROUNDS</t>
  </si>
  <si>
    <t>KANDANGA COUNTRY CLUB INC.</t>
  </si>
  <si>
    <t>SOUTH BRISBANE</t>
  </si>
  <si>
    <t>HOTEL MORRISON</t>
  </si>
  <si>
    <t>GIN GIN</t>
  </si>
  <si>
    <t>HIGHWAY HOTEL GIN GIN</t>
  </si>
  <si>
    <t>COOMERA</t>
  </si>
  <si>
    <t>GOLD COAST</t>
  </si>
  <si>
    <t>HARBOURVUE TAVERN</t>
  </si>
  <si>
    <t>GOONDIWINDI</t>
  </si>
  <si>
    <t>GOONDIWINDI BOWLS CLUB INC.</t>
  </si>
  <si>
    <t>SOUTHERN DOWNS - WEST</t>
  </si>
  <si>
    <t>DARLING DOWNS HOTEL</t>
  </si>
  <si>
    <t>INGLEWOOD - WAGGAMBA</t>
  </si>
  <si>
    <t>CORONATION HOTEL</t>
  </si>
  <si>
    <t>KIN KORA - SUN VALLEY</t>
  </si>
  <si>
    <t>CLAVA LIMITED</t>
  </si>
  <si>
    <t>CHINCHILLA</t>
  </si>
  <si>
    <t>CHINCHILLA BOWLS CLUB INCORPORATED</t>
  </si>
  <si>
    <t>CENTRAL HIGHLANDS - EAST</t>
  </si>
  <si>
    <t>BLUFF HOTEL</t>
  </si>
  <si>
    <t>LOWOOD</t>
  </si>
  <si>
    <t>SOMERSET</t>
  </si>
  <si>
    <t>BELLEVUE HOTEL, COOMINYA</t>
  </si>
  <si>
    <t>BAFFLE CREEK TAVERN</t>
  </si>
  <si>
    <t>CROWS NEST - ROSALIE</t>
  </si>
  <si>
    <t>YARRAMAN HOTEL</t>
  </si>
  <si>
    <t>WYNNUM</t>
  </si>
  <si>
    <t>BRISBANE - EAST</t>
  </si>
  <si>
    <t>WYNNUM-MANLY JUNIOR RUGBY LEAGUE FOOTBALL CLUB LIMITED</t>
  </si>
  <si>
    <t>TOOWONG</t>
  </si>
  <si>
    <t>WEST TOOWONG BOWLS AND SPORTING CLUB INC</t>
  </si>
  <si>
    <t>KINGAROY SURROUNDS - NORTH</t>
  </si>
  <si>
    <t>SOUTH BURNETT</t>
  </si>
  <si>
    <t>THE SAWMILL HOTEL MOTEL</t>
  </si>
  <si>
    <t>FAR SOUTH WEST</t>
  </si>
  <si>
    <t>QUILPIE</t>
  </si>
  <si>
    <t>THE QUILPIE CLUB INCORPORATED</t>
  </si>
  <si>
    <t>THE PEAK PUB</t>
  </si>
  <si>
    <t>ROMA SURROUNDS</t>
  </si>
  <si>
    <t>MARANOA</t>
  </si>
  <si>
    <t>THE NEW ROYAL HOTEL MOTEL</t>
  </si>
  <si>
    <t>GOODNA</t>
  </si>
  <si>
    <t>ROYAL MAIL HOTEL (GOODNA)</t>
  </si>
  <si>
    <t>ROYAL HOTEL MOUNT LARCOM</t>
  </si>
  <si>
    <t>SOUTH TOWNSVILLE - RAILWAY ESTATE</t>
  </si>
  <si>
    <t>ROSS ISLAND HOTEL</t>
  </si>
  <si>
    <t>BEAUDESERT</t>
  </si>
  <si>
    <t>LOGAN - BEAUDESERT</t>
  </si>
  <si>
    <t>RATHDOWNEY HOTEL MOTEL</t>
  </si>
  <si>
    <t>RAILWAY HOTEL CALLIOPE</t>
  </si>
  <si>
    <t>PITTSWORTH</t>
  </si>
  <si>
    <t>PITTSWORTH LEAGUES CLUB INCORPORATED</t>
  </si>
  <si>
    <t>PARKHURST - KAWANA</t>
  </si>
  <si>
    <t>NORTH ROCKHAMPTON GOLF CLUB INC.</t>
  </si>
  <si>
    <t>MONTO'S GRAND HOTEL</t>
  </si>
  <si>
    <t>GOWRIE (QLD)</t>
  </si>
  <si>
    <t>KINGSTHORPE HOTEL MOTEL</t>
  </si>
  <si>
    <t>KILLARNEY BOWLS CLUB INC</t>
  </si>
  <si>
    <t>HOTEL ORIENT</t>
  </si>
  <si>
    <t>EMU PARK</t>
  </si>
  <si>
    <t>EMU PARK GOLF CLUB INC</t>
  </si>
  <si>
    <t>DIGGERS ARMS HOTEL</t>
  </si>
  <si>
    <t>HIGHFIELDS</t>
  </si>
  <si>
    <t>CRITERION HOTEL (MERINGANDAN)</t>
  </si>
  <si>
    <t>CHARLEVILLE</t>
  </si>
  <si>
    <t>MURWEH</t>
  </si>
  <si>
    <t>CHARLEVILLE BOWLS CLUB INC</t>
  </si>
  <si>
    <t>BOROREN HOTEL MOTEL</t>
  </si>
  <si>
    <t>BOONOOROO SANDY STRAITS BOWLS CLUB INC</t>
  </si>
  <si>
    <t>NANANGO</t>
  </si>
  <si>
    <t>BLACKBUTT GOLF CLUB INC</t>
  </si>
  <si>
    <t>BANANA</t>
  </si>
  <si>
    <t>TAROOM BOWLS CLUB INC</t>
  </si>
  <si>
    <t>RISING SUN HOTEL</t>
  </si>
  <si>
    <t>RAILWAY HOTEL (IMBIL)</t>
  </si>
  <si>
    <t>RAILWAY HOTEL (ALLORA)</t>
  </si>
  <si>
    <t>STRATHPINE - BRENDALE</t>
  </si>
  <si>
    <t>MORETON BAY - SOUTH</t>
  </si>
  <si>
    <t>PINE RIVERS UNITED SPORTS CLUB INCORPORATED</t>
  </si>
  <si>
    <t>NAMBOUR</t>
  </si>
  <si>
    <t>SUNSHINE COAST</t>
  </si>
  <si>
    <t>NAMBOUR HEIGHTS BOWLS CLUB INC</t>
  </si>
  <si>
    <t>NAMBOUR GOLF CLUB INC.</t>
  </si>
  <si>
    <t>HOTEL RICHARDS</t>
  </si>
  <si>
    <t>BUNDABERG SURROUNDS - SOUTH</t>
  </si>
  <si>
    <t>HOTEL CHILDERS</t>
  </si>
  <si>
    <t>INGHAM SURROUNDS</t>
  </si>
  <si>
    <t>FORREST BEACH HOTEL MOTEL</t>
  </si>
  <si>
    <t>BURRUM - FRASER</t>
  </si>
  <si>
    <t>BURRUM DISTRICT GOLF CLUB INC.</t>
  </si>
  <si>
    <t>WOODGATE BEACH HOTEL MOTEL</t>
  </si>
  <si>
    <t>WOODFORD GOLF CLUB INC</t>
  </si>
  <si>
    <t>MANUNDA</t>
  </si>
  <si>
    <t>WEST CAIRNS BOWLS CLUB</t>
  </si>
  <si>
    <t>WAMBO</t>
  </si>
  <si>
    <t>THE JANDOWAE BOWLS CLUB INCORPORATED</t>
  </si>
  <si>
    <t>STOCKMAN HOTEL</t>
  </si>
  <si>
    <t>SOUTH TOWNSVILLE BOWLS CLUB INC</t>
  </si>
  <si>
    <t>DAISY HILL</t>
  </si>
  <si>
    <t>LOGAN</t>
  </si>
  <si>
    <t>SLACKS CREEK RUGBY LEAGUE FOOTBALL CLUB INC</t>
  </si>
  <si>
    <t>BLACKALL TAMBO</t>
  </si>
  <si>
    <t>ROYAL CARRANGARRA HOTEL</t>
  </si>
  <si>
    <t>QUEENSLANDER HOTEL</t>
  </si>
  <si>
    <t>MOUNT ISA SURROUNDS</t>
  </si>
  <si>
    <t>CLONCURRY</t>
  </si>
  <si>
    <t>POST OFFICE HOTEL CLONCURRY</t>
  </si>
  <si>
    <t>STANTHORPE</t>
  </si>
  <si>
    <t>O'MARA'S HOTEL</t>
  </si>
  <si>
    <t>NORTH GREGORY HOTEL</t>
  </si>
  <si>
    <t>NORTHERN HIGHLANDS</t>
  </si>
  <si>
    <t>MUD HUT HOTEL MOTEL</t>
  </si>
  <si>
    <t>MORANBAH</t>
  </si>
  <si>
    <t>MORANBAH BOWLS CLUB INC</t>
  </si>
  <si>
    <t>NEW FARM</t>
  </si>
  <si>
    <t>MERTHYR BOWLS CLUB INC</t>
  </si>
  <si>
    <t>GRACEMERE</t>
  </si>
  <si>
    <t>KABRA COUNTRY HOTEL</t>
  </si>
  <si>
    <t>INGLEWOOD BOWLS CLUB INC.</t>
  </si>
  <si>
    <t>COLLINGWOOD PARK - REDBANK</t>
  </si>
  <si>
    <t>HOTEL KERWICK</t>
  </si>
  <si>
    <t>GAYNDAH - MUNDUBBERA</t>
  </si>
  <si>
    <t>GRAND HOTEL GAYNDAH</t>
  </si>
  <si>
    <t>ESK</t>
  </si>
  <si>
    <t>GRAND HOTEL ESK</t>
  </si>
  <si>
    <t>INNISFAIL</t>
  </si>
  <si>
    <t>CASSOWARY COAST</t>
  </si>
  <si>
    <t>GOONDI HILL HOTEL</t>
  </si>
  <si>
    <t>EXCHANGE HOTEL TOOGOOLAWAH</t>
  </si>
  <si>
    <t>GARBUTT - WEST END</t>
  </si>
  <si>
    <t>CUTHERINGA BOWLS CLUB INC</t>
  </si>
  <si>
    <t>CROWN HOTEL HOME HILL</t>
  </si>
  <si>
    <t>AUSTRALIAN HOTEL - TOWNSVILLE</t>
  </si>
  <si>
    <t>BERSERKER</t>
  </si>
  <si>
    <t>ASCOT HOTEL (ROCKHAMPTON)</t>
  </si>
  <si>
    <t>JIMBOOMBA - GLENLOGAN</t>
  </si>
  <si>
    <t>THE VERESDALE HOTEL</t>
  </si>
  <si>
    <t>THE MILL INN</t>
  </si>
  <si>
    <t>ROYAL GEORGE HOTEL ROSEWOOD</t>
  </si>
  <si>
    <t>LOCKYER VALLEY - EAST</t>
  </si>
  <si>
    <t>QUEENSLAND NATIONAL HOTEL</t>
  </si>
  <si>
    <t>PALMWOODS</t>
  </si>
  <si>
    <t>PALMWOODS BOWLS CLUB INCORPORATED</t>
  </si>
  <si>
    <t>OXFORD HOTEL (ROCKHAMPTON)</t>
  </si>
  <si>
    <t>NEW FARM BOWLS CLUB INC</t>
  </si>
  <si>
    <t>MITCHELL BOWLING CLUB INC</t>
  </si>
  <si>
    <t>MUNDINGBURRA</t>
  </si>
  <si>
    <t>JUBILEE BOWLS CLUB INC</t>
  </si>
  <si>
    <t>GRAND HOTEL, HOWARD</t>
  </si>
  <si>
    <t>BOONAH TAVERN</t>
  </si>
  <si>
    <t>WOOMBYE BOWLS CLUB INCORPORATED</t>
  </si>
  <si>
    <t>TORRES</t>
  </si>
  <si>
    <t>WONGAI HOTEL</t>
  </si>
  <si>
    <t>WONDAI DIGGERS MEMORIAL AND CITIZENS CLUB INC</t>
  </si>
  <si>
    <t>WINDSOR BOWLS CLUB INC</t>
  </si>
  <si>
    <t>CAPE YORK</t>
  </si>
  <si>
    <t>COOK</t>
  </si>
  <si>
    <t>WEST COAST HOTEL (COOKTOWN)</t>
  </si>
  <si>
    <t>NUDGEE - BANYO</t>
  </si>
  <si>
    <t>BRISBANE - NORTH</t>
  </si>
  <si>
    <t>VIRGINIA GOLF CLUB</t>
  </si>
  <si>
    <t>UNION HOTEL MOTEL</t>
  </si>
  <si>
    <t>THE WITHCOTT HOTEL</t>
  </si>
  <si>
    <t>TOOWOOMBA - CENTRAL</t>
  </si>
  <si>
    <t>THE PORTADOWN HOTEL</t>
  </si>
  <si>
    <t>THE FOX HOTEL</t>
  </si>
  <si>
    <t>BALONNE</t>
  </si>
  <si>
    <t>THE DIRRAN PUB</t>
  </si>
  <si>
    <t>TEXAS &amp; DISTRICT MEMORIAL BOWLS CLUB INC</t>
  </si>
  <si>
    <t>THE RANGE - ALLENSTOWN</t>
  </si>
  <si>
    <t>SUN PALMS HOTEL MOTEL</t>
  </si>
  <si>
    <t>SCARBOROUGH - NEWPORT</t>
  </si>
  <si>
    <t>SCARBOROUGH BOWLS CLUB INC</t>
  </si>
  <si>
    <t>REDCLIFFE</t>
  </si>
  <si>
    <t>REDCLIFFE PENINSULA HARNESS RACING AND SPORTING CLUB INC.</t>
  </si>
  <si>
    <t>COOLOOLA</t>
  </si>
  <si>
    <t>RAINBOW BEACH HOTEL MOTEL</t>
  </si>
  <si>
    <t>PITTSWORTH BOWLS CLUB INC</t>
  </si>
  <si>
    <t>PROSERPINE</t>
  </si>
  <si>
    <t>WHITSUNDAY</t>
  </si>
  <si>
    <t>PALACE HOTEL PROSERPINE</t>
  </si>
  <si>
    <t>TOWNSVILLE CITY - NORTH WARD</t>
  </si>
  <si>
    <t>OBJ'S SPORTS BAR TOWNSVILLE</t>
  </si>
  <si>
    <t>MUDGEERABA - BONOGIN</t>
  </si>
  <si>
    <t>MUDGEERABA BOWLS CLUB INC</t>
  </si>
  <si>
    <t>MT PLEASANT HOTEL</t>
  </si>
  <si>
    <t>JOHNSTONE</t>
  </si>
  <si>
    <t>MOURILYAN HOTEL</t>
  </si>
  <si>
    <t>MORANBAH MINERS RUGBY LEAGUE FOOTBALL CLUB</t>
  </si>
  <si>
    <t>MORANBAH GOLF CLUB INCORPORATED</t>
  </si>
  <si>
    <t>MIDDLEMOUNT HOTEL-MOTEL</t>
  </si>
  <si>
    <t>MARYBOROUGH (QLD)</t>
  </si>
  <si>
    <t>MARYBOROUGH SERVICES MEMORIAL BOWLS CLUB INC</t>
  </si>
  <si>
    <t>MARYBOROUGH GOLF CLUB (QLD) INC.</t>
  </si>
  <si>
    <t>MACKAY CITY BOWLS CLUB INC</t>
  </si>
  <si>
    <t>LUCINDA POINT HOTEL</t>
  </si>
  <si>
    <t>LEICHHARDT HOTEL TAROOM</t>
  </si>
  <si>
    <t>MOUNT MORGAN</t>
  </si>
  <si>
    <t>LEICHHARDT HOTEL MT MORGAN</t>
  </si>
  <si>
    <t>KING REEF RESORT HOTEL</t>
  </si>
  <si>
    <t>MAROOCHY HINTERLAND</t>
  </si>
  <si>
    <t>KENILWORTH HOTEL</t>
  </si>
  <si>
    <t>INGLEWOOD HOTEL</t>
  </si>
  <si>
    <t>IMPERIAL TAVERN INNISFAIL</t>
  </si>
  <si>
    <t>HOTEL STANTHORPE</t>
  </si>
  <si>
    <t>TORQUAY - SCARNESS - KAWUNGAN</t>
  </si>
  <si>
    <t>HERVEY BAY BOWLS CLUB INC.</t>
  </si>
  <si>
    <t>BUDERIM - SOUTH</t>
  </si>
  <si>
    <t>HEADLAND GOLF CLUB INCORPORATED</t>
  </si>
  <si>
    <t>HALLIDAY BAY RESORT</t>
  </si>
  <si>
    <t>HALIFAX HOTEL</t>
  </si>
  <si>
    <t>GRAND HOTEL (CHILDERS)</t>
  </si>
  <si>
    <t>GOODNA &amp; DISTRICTS RUGBY LEAGUE FOOTBALL CLUB INC</t>
  </si>
  <si>
    <t>GOLD PARK SPORTING CLUB INC</t>
  </si>
  <si>
    <t>ZILLMERE</t>
  </si>
  <si>
    <t>GEEBUNG BOWLS CLUB INCORPORATED</t>
  </si>
  <si>
    <t>FITZROY HOTEL, NANANGO</t>
  </si>
  <si>
    <t>EMERALD</t>
  </si>
  <si>
    <t>EMERALD BOWLS CLUB INC</t>
  </si>
  <si>
    <t>UPPER COOMERA (SOUTH) - WONGAWALLAN</t>
  </si>
  <si>
    <t>EAGLE HEIGHTS MOUNTAIN RESORT HOTEL MOTEL</t>
  </si>
  <si>
    <t>DARRA - SUMNER</t>
  </si>
  <si>
    <t>DARRA CEMENTCO BOWLS CLUB</t>
  </si>
  <si>
    <t>DAYBORO</t>
  </si>
  <si>
    <t>CROWN HOTEL - DAYBORO</t>
  </si>
  <si>
    <t>COOLOOLA COAST BOWLS CLUB INC</t>
  </si>
  <si>
    <t>CENTRAL HOTEL STANTHORPE</t>
  </si>
  <si>
    <t>CATTLE CAMP HOTEL</t>
  </si>
  <si>
    <t>CALOUNDRA - KINGS BEACH</t>
  </si>
  <si>
    <t>CALOUNDRA GOLF CLUB INCORPORATED</t>
  </si>
  <si>
    <t>GOLDEN BEACH - PELICAN WATERS</t>
  </si>
  <si>
    <t>CALOUNDRA AND DISTRICTS RUGBY LEAGUE FOOTBALL CLUB LIMITED</t>
  </si>
  <si>
    <t>CABOOLTURE - WEST</t>
  </si>
  <si>
    <t>CABOOLTURE GOLF CLUB INCORPORATED</t>
  </si>
  <si>
    <t>BALMORAL</t>
  </si>
  <si>
    <t>BULIMBA MEMORIAL BOWLS AND COMMUNITY CLUB INC.</t>
  </si>
  <si>
    <t>KANGAROO POINT</t>
  </si>
  <si>
    <t>BRISBANE DEUTSCHER TURN-VEREIN</t>
  </si>
  <si>
    <t>BRIBIE ISLAND</t>
  </si>
  <si>
    <t>BRIBIE ISLAND GOLF CLUB</t>
  </si>
  <si>
    <t>BOTTLE TREE HOTEL - GLAMORGAN VALE</t>
  </si>
  <si>
    <t>BERNBOROUGH TAVERN</t>
  </si>
  <si>
    <t>BEERWAH</t>
  </si>
  <si>
    <t>BEERWAH AND DISTRICT MEMORIAL GOLF CLUB INCORPORATED</t>
  </si>
  <si>
    <t>GUANABA - SPRINGBROOK</t>
  </si>
  <si>
    <t>BEECHMONT HOTEL</t>
  </si>
  <si>
    <t>BARCOO HOTEL</t>
  </si>
  <si>
    <t>LANDSBOROUGH</t>
  </si>
  <si>
    <t>BANANA BENDER PUB</t>
  </si>
  <si>
    <t>AVONDALE HOMESTEAD TAVERN</t>
  </si>
  <si>
    <t>TOWNSVILLE - SOUTH</t>
  </si>
  <si>
    <t>ALLIGATOR CREEK COMMUNITY &amp; SPORTS CLUB INC.</t>
  </si>
  <si>
    <t>WOOLLOONGABBA</t>
  </si>
  <si>
    <t>BRISBANE - SOUTH</t>
  </si>
  <si>
    <t>WOOLLOONGABBA HOTEL</t>
  </si>
  <si>
    <t>THE SUNDOWNER HOTEL MILLMERRAN</t>
  </si>
  <si>
    <t>ROYAL HOTEL YARRAMAN</t>
  </si>
  <si>
    <t>NORTH IPSWICH - TIVOLI</t>
  </si>
  <si>
    <t>NORTHERN SUBURBS LEAGUES CLUB (IPSWICH) INCORPORATED</t>
  </si>
  <si>
    <t>CURRUMBIN - TUGUN</t>
  </si>
  <si>
    <t>NORTH KIRRA SURF LIFE SAVING SUPPORTERS ASSOCIATION INC.</t>
  </si>
  <si>
    <t>NORTH DALBY BOWLS CLUB INCORPORATED</t>
  </si>
  <si>
    <t>NOOSAVILLE</t>
  </si>
  <si>
    <t>NOOSA</t>
  </si>
  <si>
    <t>NOOSA YACHT AND ROWING CLUB INCORPORATED</t>
  </si>
  <si>
    <t>HOTEL AUSTRALIA MILES</t>
  </si>
  <si>
    <t>JACOBS WELL - ALBERTON</t>
  </si>
  <si>
    <t>HARRIGAN'S DRIFT INN</t>
  </si>
  <si>
    <t>FLINDERS</t>
  </si>
  <si>
    <t>GREAT WESTERN HOTEL HUGHENDEN</t>
  </si>
  <si>
    <t>CARINA</t>
  </si>
  <si>
    <t>CLEM JONES CENTRE SPORTS CLUB INC.</t>
  </si>
  <si>
    <t>BENOWA</t>
  </si>
  <si>
    <t>BENOWA BOWLS CLUB INC</t>
  </si>
  <si>
    <t>WYNNUM BOWLS CLUB INC</t>
  </si>
  <si>
    <t>MIDDLE RIDGE</t>
  </si>
  <si>
    <t>TOOWOOMBA GOLF CLUB LIMITED</t>
  </si>
  <si>
    <t>ATHERTON</t>
  </si>
  <si>
    <t>TABLELANDS</t>
  </si>
  <si>
    <t>TOLGA HOTEL</t>
  </si>
  <si>
    <t>THE Q HOTEL MILES</t>
  </si>
  <si>
    <t>CABOOLTURE - EAST</t>
  </si>
  <si>
    <t>THE BIG FISH TAVERN</t>
  </si>
  <si>
    <t>CARPENTARIA</t>
  </si>
  <si>
    <t>SUNSET TAVERN</t>
  </si>
  <si>
    <t>SPRING HILL</t>
  </si>
  <si>
    <t>SPORTSMAN HOTEL</t>
  </si>
  <si>
    <t>SLEEPY LAGOON HOTEL</t>
  </si>
  <si>
    <t>SARINA</t>
  </si>
  <si>
    <t>SARINA BOWLS CLUB INC</t>
  </si>
  <si>
    <t>ROMA</t>
  </si>
  <si>
    <t>ROMA BOWLS CLUB INC</t>
  </si>
  <si>
    <t>CLONTARF</t>
  </si>
  <si>
    <t>REDCLIFFE GOLF CLUB INC.</t>
  </si>
  <si>
    <t>DAINTREE</t>
  </si>
  <si>
    <t>DOUGLAS</t>
  </si>
  <si>
    <t>POST OFFICE HOTEL MOSSMAN</t>
  </si>
  <si>
    <t>COLLINSVILLE</t>
  </si>
  <si>
    <t>PIT PONY TAVERN</t>
  </si>
  <si>
    <t>PINE BEACH HOTEL MOTEL</t>
  </si>
  <si>
    <t>PIONEER VALLEY</t>
  </si>
  <si>
    <t>MIRANI HOTEL</t>
  </si>
  <si>
    <t>MANSFIELD HOTEL (TOWNSVILLE)</t>
  </si>
  <si>
    <t>SOUTHERN MORETON BAY ISLANDS</t>
  </si>
  <si>
    <t>REDLAND</t>
  </si>
  <si>
    <t>MACLEAY ISLAND HOTEL</t>
  </si>
  <si>
    <t>JUANDAH HOTEL MOTEL</t>
  </si>
  <si>
    <t>GRAND HOTEL (MT MORGAN)</t>
  </si>
  <si>
    <t>GIN GIN HOTEL</t>
  </si>
  <si>
    <t>CLERMONT</t>
  </si>
  <si>
    <t>COMMERCIAL HOTEL CLERMONT</t>
  </si>
  <si>
    <t>BURRUM TAVERN</t>
  </si>
  <si>
    <t>BURNETT BOWLS CLUB INC.</t>
  </si>
  <si>
    <t>BRIGHTON (QLD)</t>
  </si>
  <si>
    <t>BRIGHTON ROOSTERS JUNIOR RUGBY LEAGUE CLUB INC</t>
  </si>
  <si>
    <t>PORT DOUGLAS</t>
  </si>
  <si>
    <t>BARRIER REEF TAVERN</t>
  </si>
  <si>
    <t>NEWSTEAD - BOWEN HILLS</t>
  </si>
  <si>
    <t>WATERLOO HOTEL</t>
  </si>
  <si>
    <t>KIRRA SURF LIFE SAVING SUPPORTERS ASSOCIATION INC</t>
  </si>
  <si>
    <t>JINDALEE - MOUNT OMMANEY</t>
  </si>
  <si>
    <t>BRISBANE - WEST</t>
  </si>
  <si>
    <t>JINDALEE GOLF CLUB INCORPORATED</t>
  </si>
  <si>
    <t>HOTEL CAPELLA</t>
  </si>
  <si>
    <t>BEAUDESERT GOLF CLUB INC.</t>
  </si>
  <si>
    <t>URANGAN - WONDUNNA</t>
  </si>
  <si>
    <t>URANGAN BOWLS CLUB INC.</t>
  </si>
  <si>
    <t>THE PURPLE PUB</t>
  </si>
  <si>
    <t>THE HERITAGE HOTEL ROCKHAMPTON</t>
  </si>
  <si>
    <t>CLEAR ISLAND WATERS</t>
  </si>
  <si>
    <t>SURFERS PARADISE GOLF CLUB LIMITED</t>
  </si>
  <si>
    <t>NORTH STRADBROKE ISLAND</t>
  </si>
  <si>
    <t>NORTH STRADBROKE ISLAND RUGBY LEAGUE AND ALL SPORTS CLUB INC</t>
  </si>
  <si>
    <t>MIDDLEMOUNT GOLF &amp; COUNTRY CLUB</t>
  </si>
  <si>
    <t>MACLEAY ISLAND BOWLS CLUB INC.</t>
  </si>
  <si>
    <t>LAMINGTON HOTEL/MOTEL</t>
  </si>
  <si>
    <t>MIAMI</t>
  </si>
  <si>
    <t>GOLD COAST BURLEIGH GOLF CLUB LTD</t>
  </si>
  <si>
    <t>FALVEY'S SUNDOWNER SALOON HAIGSLEA</t>
  </si>
  <si>
    <t>EVERTON PARK</t>
  </si>
  <si>
    <t>EVERTON PARK BOWLS AND COMMUNITY CLUB INC.</t>
  </si>
  <si>
    <t>DYSART BOWLS CLUB INC</t>
  </si>
  <si>
    <t>SURFERS PARADISE - NORTH</t>
  </si>
  <si>
    <t>CHEVRON ISLAND TAVERN</t>
  </si>
  <si>
    <t>BRIBIE ISLAND SURF LIFE SAVING SUPPORTERS CLUB INCORPORATED</t>
  </si>
  <si>
    <t>NORMAN GARDENS</t>
  </si>
  <si>
    <t>BLUEBIRDS UNITED SPORTS CLUB INC</t>
  </si>
  <si>
    <t>VICTORIA POINT</t>
  </si>
  <si>
    <t>VICTORIA POINT BOWLS AND RECREATION CLUB</t>
  </si>
  <si>
    <t>THE RUSSELL ISLAND BOWLS CLUB INC</t>
  </si>
  <si>
    <t>THE QUEENS ARMS ROMA</t>
  </si>
  <si>
    <t>STRADBROKE ISLAND BEACH HOTEL / SPA RESORT</t>
  </si>
  <si>
    <t>BUNDABERG NORTH - GOOBURRUM</t>
  </si>
  <si>
    <t>RAILWAY HOTEL BUNDABERG</t>
  </si>
  <si>
    <t>PRINCE OF WALES HOTEL PROSERPINE</t>
  </si>
  <si>
    <t>PELICAN WATERS BOWLS CLUB INC</t>
  </si>
  <si>
    <t>NEW ROYAL HOTEL (RUBYVALE)</t>
  </si>
  <si>
    <t>TULLY</t>
  </si>
  <si>
    <t>MOUNT TYSON HOTEL</t>
  </si>
  <si>
    <t>MOORE PARK BEACH TAVERN</t>
  </si>
  <si>
    <t>METROPOLE HOTEL TOWNSVILLE</t>
  </si>
  <si>
    <t>MARINE HOTEL-MOTEL</t>
  </si>
  <si>
    <t>KALLANGUR</t>
  </si>
  <si>
    <t>KALLANGUR MEMORIAL BOWLS CLUB INC</t>
  </si>
  <si>
    <t>EUMUNDI - YANDINA</t>
  </si>
  <si>
    <t>IMPERIAL HOTEL EUMUNDI</t>
  </si>
  <si>
    <t>HOTEL RADNOR</t>
  </si>
  <si>
    <t>HIGHLAND PARK</t>
  </si>
  <si>
    <t>HIGHLAND PARK FAMILY TAVERN</t>
  </si>
  <si>
    <t>HERBERT HOTEL</t>
  </si>
  <si>
    <t>AIRLIE - WHITSUNDAYS</t>
  </si>
  <si>
    <t>HAMILTON ISLAND HARBOURSIDE RESORT</t>
  </si>
  <si>
    <t>BROADBEACH WATERS</t>
  </si>
  <si>
    <t>GOLD COAST BOWLS &amp; COMMUNITY CLUB INCORPORATED</t>
  </si>
  <si>
    <t>GATTON</t>
  </si>
  <si>
    <t>GATTON JUBILEE GOLF CLUB INC.</t>
  </si>
  <si>
    <t>FEDERAL HOTEL</t>
  </si>
  <si>
    <t>BEACHMERE - SANDSTONE POINT</t>
  </si>
  <si>
    <t>DONNYBROOK SPORTS &amp; COMMUNITY CLUB INC.</t>
  </si>
  <si>
    <t>COUNTRY CLUB HOTEL MOTEL STANTHORPE</t>
  </si>
  <si>
    <t>TARA</t>
  </si>
  <si>
    <t>COMMERCIAL HOTEL (TARA)</t>
  </si>
  <si>
    <t>COMMERCIAL HOTEL (BOONAH)</t>
  </si>
  <si>
    <t>CENTRAL HOTEL (PORT DOUGLAS)</t>
  </si>
  <si>
    <t>CARDWELL COUNTRY CLUB INCORPORATED</t>
  </si>
  <si>
    <t>CAPRICORN HOTEL MOTOR INN</t>
  </si>
  <si>
    <t>BELLEVUE HOTEL SOUTH TOWNSVILLE</t>
  </si>
  <si>
    <t>WYNNUM GOLF CLUB INC.</t>
  </si>
  <si>
    <t>WHITE LION HOTEL</t>
  </si>
  <si>
    <t>NORTHGATE - VIRGINIA</t>
  </si>
  <si>
    <t>TOOMBUL BOWLS CLUB INC</t>
  </si>
  <si>
    <t>ROYAL HOTEL (MUNDUBBERA)</t>
  </si>
  <si>
    <t>BIRKDALE</t>
  </si>
  <si>
    <t>REDLANDS MULTI-SPORTS CLUB INCORPORATED</t>
  </si>
  <si>
    <t>NOOSA HINTERLAND</t>
  </si>
  <si>
    <t>POMONA BOWLS CLUB INC</t>
  </si>
  <si>
    <t>COOLUM BEACH</t>
  </si>
  <si>
    <t>MOUNT COOLUM GOLF CLUB INC</t>
  </si>
  <si>
    <t>MOSSMAN HOTEL</t>
  </si>
  <si>
    <t>MANLY WEST</t>
  </si>
  <si>
    <t>MANLY BOWLS CLUB INC</t>
  </si>
  <si>
    <t>WEST MACKAY</t>
  </si>
  <si>
    <t>MACKAY BOWLING CLUB INC</t>
  </si>
  <si>
    <t>KILCOY</t>
  </si>
  <si>
    <t>EXCHANGE HOTEL (KILCOY)</t>
  </si>
  <si>
    <t>WHITFIELD - EDGE HILL</t>
  </si>
  <si>
    <t>EDGE HILL MEMORIAL BOWLS CLUB INC</t>
  </si>
  <si>
    <t>COOROY HOTEL</t>
  </si>
  <si>
    <t>COOLANGATTA</t>
  </si>
  <si>
    <t>COOLANGATTA BOWLS AND RECREATION CLUB INC.</t>
  </si>
  <si>
    <t>KEDRON - GORDON PARK</t>
  </si>
  <si>
    <t>CHERMSIDE BOWLS CLUB INC.</t>
  </si>
  <si>
    <t>CENTRAL HOTEL (CLONCURRY)</t>
  </si>
  <si>
    <t>BRISBANE VALLEY TAVERN (AUST)</t>
  </si>
  <si>
    <t>BAY ISLANDS GOLF CLUB</t>
  </si>
  <si>
    <t>ROYAL HOTEL RESORT</t>
  </si>
  <si>
    <t>ROYAL HOTEL (INGHAM)</t>
  </si>
  <si>
    <t>MALANDA - YUNGABURRA</t>
  </si>
  <si>
    <t>MALANDA HOTEL-MOTEL</t>
  </si>
  <si>
    <t>LITTLE SHIP CLUB QUEENSLAND SQUADRON</t>
  </si>
  <si>
    <t>MCKINLAY</t>
  </si>
  <si>
    <t>DROVERS DOG HOTEL</t>
  </si>
  <si>
    <t>CLIFTON BEACH - KEWARRA BEACH</t>
  </si>
  <si>
    <t>CAIRNS S.L.S. SUPPORTERS CLUB INC</t>
  </si>
  <si>
    <t>BRISBANE BREWING CO WOOLLOONGABBA</t>
  </si>
  <si>
    <t>BRIGHTON BOWLS CLUB INC</t>
  </si>
  <si>
    <t>WANTIMA COUNTRY CLUB LIMITED</t>
  </si>
  <si>
    <t>ROYAL ON NINETY-NINE</t>
  </si>
  <si>
    <t>RAINBOW BAY SURF LIFE SAVERS SUPPORTERS ASSOCIATION INC</t>
  </si>
  <si>
    <t>WEST END</t>
  </si>
  <si>
    <t>MONTAGUE HOTEL WEST END</t>
  </si>
  <si>
    <t>BOWEN</t>
  </si>
  <si>
    <t>LARRIKIN HOTEL</t>
  </si>
  <si>
    <t>GRAND OLD CROW HOTEL</t>
  </si>
  <si>
    <t>GOLDEN ORANGE HOTEL MOTEL</t>
  </si>
  <si>
    <t>GLASS HOUSE MOUNTAINS</t>
  </si>
  <si>
    <t>GLASSHOUSE MOUNTAINS TAVERN</t>
  </si>
  <si>
    <t>NORTH TOOWOOMBA - HARLAXTON</t>
  </si>
  <si>
    <t>FIVEWAYS HOTEL</t>
  </si>
  <si>
    <t>WEIPA</t>
  </si>
  <si>
    <t>CARPENTARIA GOLF CLUB INC</t>
  </si>
  <si>
    <t>THE MILL HOTEL QLD</t>
  </si>
  <si>
    <t>LONGREACH</t>
  </si>
  <si>
    <t>THE LONGREACH TAVERN</t>
  </si>
  <si>
    <t>THE COBB &amp; CO HOTEL</t>
  </si>
  <si>
    <t>JACOBS WELL BAYSIDE TAVERN</t>
  </si>
  <si>
    <t>SURFERS PARADISE - SOUTH</t>
  </si>
  <si>
    <t>CROWNE PLAZA SURFERS PARADISE</t>
  </si>
  <si>
    <t>CALLIOPE CENTRAL BOWLS CLUB INC</t>
  </si>
  <si>
    <t>TRINITY BEACH - SMITHFIELD</t>
  </si>
  <si>
    <t>BLUEWATER BAR AND GRILL</t>
  </si>
  <si>
    <t>WOOMBYE PUB</t>
  </si>
  <si>
    <t>WATERMARK BAR &amp; GRILL</t>
  </si>
  <si>
    <t>VICTORIA TAVERN</t>
  </si>
  <si>
    <t>TWEED HEADS &amp; COOLANGATTA S.L.S. SUPPORTERS ASSOCIATION INC</t>
  </si>
  <si>
    <t>EAGLE FARM - PINKENBA</t>
  </si>
  <si>
    <t>TRADE COAST HOTEL</t>
  </si>
  <si>
    <t>TORRES STRAITS HOTEL</t>
  </si>
  <si>
    <t>BARGARA - BURNETT HEADS</t>
  </si>
  <si>
    <t>THE WAVES CLUB ELLIOTT HEADS</t>
  </si>
  <si>
    <t>ORMEAU (WEST) - YATALA</t>
  </si>
  <si>
    <t>THE SHOWMENS FUNCTION CENTRE</t>
  </si>
  <si>
    <t>GORDONVALE - TRINITY</t>
  </si>
  <si>
    <t>THE GREAT NORTHERN HOTEL GORDONVALE</t>
  </si>
  <si>
    <t>THE BIRDCAGE HOTEL</t>
  </si>
  <si>
    <t>THE AMITY POINT COMMUNITY CLUB INC.</t>
  </si>
  <si>
    <t>TAMBORINE - CANUNGRA</t>
  </si>
  <si>
    <t>TAMBORINE MOUNTAIN MEMORIAL SPORTS CENTRE INC.</t>
  </si>
  <si>
    <t>SPRINGSURE TAVERN AND MOTEL</t>
  </si>
  <si>
    <t>ROYAL HOTEL (TOWNSVILLE)</t>
  </si>
  <si>
    <t>RAINBOW BEACH SURF LIFE SAVING SUPPORTERS CLUB INC</t>
  </si>
  <si>
    <t>WYNNUM WEST - HEMMANT</t>
  </si>
  <si>
    <t>QUEENSPORT TAVERN</t>
  </si>
  <si>
    <t>PITTSWORTH HOTEL MOTEL</t>
  </si>
  <si>
    <t>BRAY PARK</t>
  </si>
  <si>
    <t>PINE CENTRAL SPORTS CLUB INC.</t>
  </si>
  <si>
    <t>OASIS HOTEL/MOTEL CLONCURRY</t>
  </si>
  <si>
    <t>TEWANTIN</t>
  </si>
  <si>
    <t>NOOSA GOLF CLUB</t>
  </si>
  <si>
    <t>METROPOLITAN HOTEL (BUNDABERG)</t>
  </si>
  <si>
    <t>MARCOOLA - MUDJIMBA</t>
  </si>
  <si>
    <t>MAROOCHY RIVER GOLF CLUB</t>
  </si>
  <si>
    <t>CALOUNDRA HINTERLAND</t>
  </si>
  <si>
    <t>MALENY HOTEL</t>
  </si>
  <si>
    <t>LIONLEIGH TAVERN</t>
  </si>
  <si>
    <t>KARALEE - BARELLAN POINT</t>
  </si>
  <si>
    <t>KARALEE TAVERN</t>
  </si>
  <si>
    <t>ISIS CLUB INCORPORATED</t>
  </si>
  <si>
    <t>IRISH MURPHY'S BRISBANE</t>
  </si>
  <si>
    <t>IRISH CLUB HOTEL</t>
  </si>
  <si>
    <t>HOTEL HINCHINBROOK</t>
  </si>
  <si>
    <t>HOTEL CANUNGRA</t>
  </si>
  <si>
    <t>HOTEL BRANDON NQ</t>
  </si>
  <si>
    <t>HERVEY BAY SPORTS CLUB INC</t>
  </si>
  <si>
    <t>GRAND CENTRAL HOTEL BRISBANE</t>
  </si>
  <si>
    <t>DOOLEY'S TAVERN AND MOTEL</t>
  </si>
  <si>
    <t>CURRUMBIN WATERS</t>
  </si>
  <si>
    <t>CURRUMBIN PUB</t>
  </si>
  <si>
    <t>CURRUMBIN BEACH VIKINGS SURF LIFE SAVING SUPPORTERS ASSOCIATION INC</t>
  </si>
  <si>
    <t>CORINDA</t>
  </si>
  <si>
    <t>CORINDA TAVERN</t>
  </si>
  <si>
    <t>COOKTOWN RSL MEMORIAL CLUB INC</t>
  </si>
  <si>
    <t>COMMERCIAL HOTEL LONGREACH</t>
  </si>
  <si>
    <t>COMMERCIAL HOTEL (CHARTERS TOWERS)</t>
  </si>
  <si>
    <t>BILOELA</t>
  </si>
  <si>
    <t>COMMERCIAL HOTEL - BILOELA</t>
  </si>
  <si>
    <t>CLUB EMU PARK</t>
  </si>
  <si>
    <t>CLEVELAND</t>
  </si>
  <si>
    <t>CLEVELAND BOWLS CLUB INC</t>
  </si>
  <si>
    <t>YORKEYS KNOB - MACHANS BEACH</t>
  </si>
  <si>
    <t>CAIRNS CITY LIONS AUSTRALIAN FOOTBALL AND SPORTING CLUB INC</t>
  </si>
  <si>
    <t>CAHILL PARK SPORTS COMPLEX INCORPORATED</t>
  </si>
  <si>
    <t>ATHERTON HOTEL</t>
  </si>
  <si>
    <t>STORY BRIDGE HOTEL</t>
  </si>
  <si>
    <t>RETURNED &amp; SERVICES LEAGUE OF AUSTRALIA (QUEENSLAND BRANCH) RUSSELL ISLAND RSL SUB BRANCH INC.</t>
  </si>
  <si>
    <t>NORMAN HOTEL</t>
  </si>
  <si>
    <t>MARYBOROUGH DISTRICT CRICKET ASSOCIATION INC.</t>
  </si>
  <si>
    <t>JUBILEE HOTEL</t>
  </si>
  <si>
    <t>GRAND HOTEL (CLERMONT)</t>
  </si>
  <si>
    <t>D'AGUILAR HOTEL</t>
  </si>
  <si>
    <t>THE GAP</t>
  </si>
  <si>
    <t>ASHGROVE GOLF CLUB</t>
  </si>
  <si>
    <t>BURPENGARY</t>
  </si>
  <si>
    <t>WOODPECKER BAR AND GRILL</t>
  </si>
  <si>
    <t>TUGUN BOWLS &amp; COMMUNITY CLUB INC.</t>
  </si>
  <si>
    <t>THE CLUB HOTEL BUNDABERG</t>
  </si>
  <si>
    <t>RAILWAY HOTEL BEAUDESERT</t>
  </si>
  <si>
    <t>WARWICK</t>
  </si>
  <si>
    <t>HORSE &amp; JOCKEY HOTEL MOTEL, WARWICK</t>
  </si>
  <si>
    <t>CRITERION TAVERN (BRISBANE)</t>
  </si>
  <si>
    <t>CRAIGNISH - DUNDOWRAN BEACH</t>
  </si>
  <si>
    <t>CRAIGNISH COUNTRY CLUB HOTEL</t>
  </si>
  <si>
    <t>ROBINA - EAST</t>
  </si>
  <si>
    <t>CLUB ROBINA</t>
  </si>
  <si>
    <t>ASHMORE</t>
  </si>
  <si>
    <t>CENTRAL PARK TAVERN</t>
  </si>
  <si>
    <t>BURRUM HEADS BOWLS CLUB INC</t>
  </si>
  <si>
    <t>BANYO BOWLS CLUB INCORPORATED</t>
  </si>
  <si>
    <t>MAGNETIC ISLAND</t>
  </si>
  <si>
    <t>ARCADIA VILLAGE HOTEL</t>
  </si>
  <si>
    <t>YANDINA HOTEL</t>
  </si>
  <si>
    <t>TUGUN RUGBY LEAGUE FOOTBALL CLUB INC.</t>
  </si>
  <si>
    <t>MAREEBA</t>
  </si>
  <si>
    <t>THE GATEWAY HOTEL MAREEBA</t>
  </si>
  <si>
    <t>NEW WHITE HORSE TAVERN</t>
  </si>
  <si>
    <t>LIGHTHOUSE HOTEL MOTEL</t>
  </si>
  <si>
    <t>ANTHILL HOTEL (MAREEBA)</t>
  </si>
  <si>
    <t>WEIPA BOWLS CLUB INC</t>
  </si>
  <si>
    <t>YEPPOON</t>
  </si>
  <si>
    <t>STRAND HOTEL YEPPOON</t>
  </si>
  <si>
    <t>ST GEORGE HOTEL &amp; MOTEL</t>
  </si>
  <si>
    <t>RAILWAY HOTEL (MARIAN)</t>
  </si>
  <si>
    <t>PEREGIAN BEACH - MARCUS BEACH</t>
  </si>
  <si>
    <t>PEREGIAN BEACH HOTEL</t>
  </si>
  <si>
    <t>NATIONAL HOTEL TOOWOOMBA</t>
  </si>
  <si>
    <t>MERMAID BEACH - BROADBEACH</t>
  </si>
  <si>
    <t>MERMAID BEACH SURF LIFE SAVING CLUB SUPPORTERS ASSOCIATION INC</t>
  </si>
  <si>
    <t>LANDSBOROUGH HOTEL</t>
  </si>
  <si>
    <t>HOTEL TULLY</t>
  </si>
  <si>
    <t>EMERALD GOLF CLUB INC.</t>
  </si>
  <si>
    <t>COOKTOWN BOWLS CLUB INC</t>
  </si>
  <si>
    <t>CHARLIE'S HOTEL (GYMPIE)</t>
  </si>
  <si>
    <t>TINANA</t>
  </si>
  <si>
    <t>WESTSIDE TAVERN TINANA</t>
  </si>
  <si>
    <t>PAROO</t>
  </si>
  <si>
    <t>WARREGO HOTEL MOTEL CUNNAMULLA</t>
  </si>
  <si>
    <t>CAIRNS CITY</t>
  </si>
  <si>
    <t>THE UNION JACK HOTEL CAIRNS</t>
  </si>
  <si>
    <t>THE SPOTTED COW</t>
  </si>
  <si>
    <t>SOUTHPORT - NORTH</t>
  </si>
  <si>
    <t>THE RAILWAY HOTEL</t>
  </si>
  <si>
    <t>TATTS HOTEL TOOWOOMBA</t>
  </si>
  <si>
    <t>WORONGARY - TALLAI</t>
  </si>
  <si>
    <t>TALLAI COUNTRY GOLF COURSE</t>
  </si>
  <si>
    <t>SURFAIR TAVERN</t>
  </si>
  <si>
    <t>SUNSHINE BEACH</t>
  </si>
  <si>
    <t>SUNSHINE BEACH SLSS ASSOC INC</t>
  </si>
  <si>
    <t>SEAFORTH BOWLS CLUB INC</t>
  </si>
  <si>
    <t>SALISBURY - NATHAN</t>
  </si>
  <si>
    <t>SALISBURY BOWLS CLUB INC</t>
  </si>
  <si>
    <t>RUSSELL TAVERN</t>
  </si>
  <si>
    <t>ROCKLEA - ACACIA RIDGE</t>
  </si>
  <si>
    <t>ROCKLEA HOTEL</t>
  </si>
  <si>
    <t>RIX HOTEL MOTEL</t>
  </si>
  <si>
    <t>QA HOTEL</t>
  </si>
  <si>
    <t>PALM BEACH CURRUMBIN RUGBY UNION CLUB INC.</t>
  </si>
  <si>
    <t>OLD SYDNEY HOTEL</t>
  </si>
  <si>
    <t>NOOSA LAWNS CLUB</t>
  </si>
  <si>
    <t>NOOSA HEADS</t>
  </si>
  <si>
    <t>NOOSA HEADS SURF LIFE SAVING SUPPORTERS CLUB INCORPORATED</t>
  </si>
  <si>
    <t>MORETON BAY BOAT CLUB</t>
  </si>
  <si>
    <t>MERRIMAC</t>
  </si>
  <si>
    <t>MERRIMAC TAVERN</t>
  </si>
  <si>
    <t>MACKAY HARBOUR</t>
  </si>
  <si>
    <t>LIGHTHOUSE TAVERN</t>
  </si>
  <si>
    <t>LEICHHARDT HOTEL MOTEL</t>
  </si>
  <si>
    <t>KINGAROY</t>
  </si>
  <si>
    <t>KINGAROY HOTEL MOTEL</t>
  </si>
  <si>
    <t>IRONBAR</t>
  </si>
  <si>
    <t>ENTERPRISE HOTEL/MOTEL</t>
  </si>
  <si>
    <t>MAROOCHYDORE - KULUIN</t>
  </si>
  <si>
    <t>CLUB MAROOCHY</t>
  </si>
  <si>
    <t>CAXTON HOTEL</t>
  </si>
  <si>
    <t>BRUNSWICK HOTEL (ROCKHAMPTON)</t>
  </si>
  <si>
    <t>BOUNDARY HOTEL</t>
  </si>
  <si>
    <t>AUSTRALIAN HOTEL MOTEL ST GEORGE QLD</t>
  </si>
  <si>
    <t>BOHLE PLAINS</t>
  </si>
  <si>
    <t>ALICE RIVER TAVERN</t>
  </si>
  <si>
    <t>RINK 46</t>
  </si>
  <si>
    <t>OLD BUNDABERG TAVERN</t>
  </si>
  <si>
    <t>MARGATE - WOODY POINT</t>
  </si>
  <si>
    <t>BRAMBLE BAY BOWLS CLUB INCORPORATED</t>
  </si>
  <si>
    <t>THE COMMERCIAL HOTEL/MOTEL</t>
  </si>
  <si>
    <t>ROYAL GEORGE HOTEL NAMBOUR</t>
  </si>
  <si>
    <t>QUEENS BEACH MOTOR HOTEL</t>
  </si>
  <si>
    <t>CARINDALE</t>
  </si>
  <si>
    <t>CARINDALE HOTEL</t>
  </si>
  <si>
    <t>VICTORIA HOTEL GOONDIWINDI</t>
  </si>
  <si>
    <t>TIN CAN BAY COUNTRY CLUB (INC.)</t>
  </si>
  <si>
    <t>TAYLORS HOTEL</t>
  </si>
  <si>
    <t>SOLANDER LAKE BOWLS CLUB INC</t>
  </si>
  <si>
    <t>RAILWAY HOTEL (GOONDIWINDI)</t>
  </si>
  <si>
    <t>OONOONBA</t>
  </si>
  <si>
    <t>OONOONBA HOTEL (TOWNSVILLE)</t>
  </si>
  <si>
    <t>KARUMBA LODGE HOTEL</t>
  </si>
  <si>
    <t>EXCHANGE HOTEL (LAIDLEY)</t>
  </si>
  <si>
    <t>CRITERION HOTEL - DALBY</t>
  </si>
  <si>
    <t>HOPE ISLAND</t>
  </si>
  <si>
    <t>COVE TAVERN</t>
  </si>
  <si>
    <t>COMMERCIAL HOTEL KINGAROY</t>
  </si>
  <si>
    <t>CENTRAL HOTEL (BOWEN)</t>
  </si>
  <si>
    <t>QUEENSLAND HOTEL GOONDIWINDI</t>
  </si>
  <si>
    <t>PARKVIEW HOTEL GORDONVALE</t>
  </si>
  <si>
    <t>PALM BEACH-CURRUMBIN SPORTS CLUB LIMITED</t>
  </si>
  <si>
    <t>LEICHHARDT HOTEL ROCKHAMPTON</t>
  </si>
  <si>
    <t>HOTEL SETTLERS</t>
  </si>
  <si>
    <t>GRANVILLE TAVERN AND MOTEL</t>
  </si>
  <si>
    <t>DALBY HOTEL</t>
  </si>
  <si>
    <t>CLOCK HOTEL</t>
  </si>
  <si>
    <t>BURLEIGH HEADS</t>
  </si>
  <si>
    <t>BURLEIGH HEADS BOWLS CLUB INC</t>
  </si>
  <si>
    <t>WAVERLEY HOTEL</t>
  </si>
  <si>
    <t>VICTORY HOTEL, BRISBANE</t>
  </si>
  <si>
    <t>TRANSCONTINENTAL HOTEL</t>
  </si>
  <si>
    <t>TRADER DUKES (CABOOLTURE)</t>
  </si>
  <si>
    <t>THE SURF CLUB SURFERS PARADISE</t>
  </si>
  <si>
    <t>THE KOMO REDCLIFFE</t>
  </si>
  <si>
    <t>THE HOTEL ALLEN</t>
  </si>
  <si>
    <t>THE COAL 'N' CATTLE HOTEL MOTEL</t>
  </si>
  <si>
    <t>ORMEAU (EAST) - STAPYLTON</t>
  </si>
  <si>
    <t>THE BURNSIDE TAVERN</t>
  </si>
  <si>
    <t>SOVEREIGN TAVERN (CHARTERS TOWERS)</t>
  </si>
  <si>
    <t>SOUTHSIDE UNITED SPORTS CLUB INC.</t>
  </si>
  <si>
    <t>SARINA LEAGUES CLUB INC</t>
  </si>
  <si>
    <t>SARINA HOTEL</t>
  </si>
  <si>
    <t>REDBRICK HOTEL</t>
  </si>
  <si>
    <t>RATTLE N HUM BAR &amp; GRILL</t>
  </si>
  <si>
    <t>QUEENS HOTEL GLADSTONE</t>
  </si>
  <si>
    <t>PALMWOODS HOTEL</t>
  </si>
  <si>
    <t>RED HILL (QLD)</t>
  </si>
  <si>
    <t>NORMANBY HOTEL</t>
  </si>
  <si>
    <t>NOBBYS BEACH SURF LIFE SAVING CLUB SUPPORTERS CLUB INC</t>
  </si>
  <si>
    <t>HAWTHORNE</t>
  </si>
  <si>
    <t>MORNINGSIDE AUSTRALIAN FOOTBALL CLUB LIMITED</t>
  </si>
  <si>
    <t>GREENBANK - NORTH MACLEAN</t>
  </si>
  <si>
    <t>MIDDLE GREEN SPORTS INC.</t>
  </si>
  <si>
    <t>FORTITUDE VALLEY</t>
  </si>
  <si>
    <t>HOTEL WICKHAM</t>
  </si>
  <si>
    <t>HOTEL METROPOLE (PROSERPINE)</t>
  </si>
  <si>
    <t>HOTEL LOWOOD</t>
  </si>
  <si>
    <t>PIALBA - ELI WATERS</t>
  </si>
  <si>
    <t>HERVEY BAY HOTEL/RESORT</t>
  </si>
  <si>
    <t>HERBERT RIVER SUB-BRANCH RSL</t>
  </si>
  <si>
    <t>GOLDEN GECKO HOTEL</t>
  </si>
  <si>
    <t>BUNDABERG EAST - KALKIE</t>
  </si>
  <si>
    <t>EAST BUNDABERG SPORTS CLUB</t>
  </si>
  <si>
    <t>DRAYTON - HARRISTOWN</t>
  </si>
  <si>
    <t>DOWNS HOTEL TOOWOOMBA PTY LTD</t>
  </si>
  <si>
    <t>DOUGLAS COMMUNITY &amp; SPORTS CLUB INC.</t>
  </si>
  <si>
    <t>MOFFAT BEACH - BATTERY HILL</t>
  </si>
  <si>
    <t>CURRIMUNDI COOLABAH HOTEL MOTEL</t>
  </si>
  <si>
    <t>CROWN HOTEL (CAIRNS)</t>
  </si>
  <si>
    <t>COURT HOUSE HOTEL, PORT DOUGLAS</t>
  </si>
  <si>
    <t>COMMONWEALTH HOTEL (INNISFAIL)</t>
  </si>
  <si>
    <t>CAPRICORN TAVERN</t>
  </si>
  <si>
    <t>KURANDA</t>
  </si>
  <si>
    <t>BARRON FALLS HOTEL</t>
  </si>
  <si>
    <t>WOODGATE CLUB INCORPORATED</t>
  </si>
  <si>
    <t>UPPER KEDRON - FERNY GROVE</t>
  </si>
  <si>
    <t>THE GROVE SPORTS CLUB</t>
  </si>
  <si>
    <t>TANDARA HOTEL MOTEL</t>
  </si>
  <si>
    <t>MANSFIELD (QLD)</t>
  </si>
  <si>
    <t>MANSFIELD TAVERN</t>
  </si>
  <si>
    <t>KALKA PALMS HOTEL MOTEL</t>
  </si>
  <si>
    <t>YOUNG AUSTRALIAN HOTEL</t>
  </si>
  <si>
    <t>WOODFORD VILLAGE HOTEL MOTEL</t>
  </si>
  <si>
    <t>WEST END HOTEL</t>
  </si>
  <si>
    <t>THE WHITE BULL TAVERN</t>
  </si>
  <si>
    <t>THE DUPORTH TAVERN</t>
  </si>
  <si>
    <t>REDCLIFFE TAVERN</t>
  </si>
  <si>
    <t>MERMAID BEACH TAVERN</t>
  </si>
  <si>
    <t>MERMAID BEACH BOWLS CLUB INC</t>
  </si>
  <si>
    <t>LONGREACH RSL MEMORIAL SERVICES CLUB INC</t>
  </si>
  <si>
    <t>BUNDALL</t>
  </si>
  <si>
    <t>GOLD COAST TAVERN</t>
  </si>
  <si>
    <t>CLUB GLASS HOUSE INC.</t>
  </si>
  <si>
    <t>ORMISTON</t>
  </si>
  <si>
    <t>CLEVELAND TAVERN</t>
  </si>
  <si>
    <t>AGNES WATER TAVERN</t>
  </si>
  <si>
    <t>ROYAL HOTEL GATTON</t>
  </si>
  <si>
    <t>WEST GLADSTONE</t>
  </si>
  <si>
    <t>DICEY'S</t>
  </si>
  <si>
    <t>COMMERCIAL HOTEL (REDBANK)</t>
  </si>
  <si>
    <t>CLUB TOOWOOMBA</t>
  </si>
  <si>
    <t>CALOUNDRA SURF CLUB</t>
  </si>
  <si>
    <t>BARGARA LAKES TAVERN</t>
  </si>
  <si>
    <t>AUSTRALIAN HOTEL MURGON</t>
  </si>
  <si>
    <t>NUNDAH</t>
  </si>
  <si>
    <t>THE ROYAL HOTEL NUNDAH</t>
  </si>
  <si>
    <t>AYR</t>
  </si>
  <si>
    <t>QUEENS HOTEL (AYR)</t>
  </si>
  <si>
    <t>POINT LOOKOUT BOWLS CLUB INCORPORATED</t>
  </si>
  <si>
    <t>GEM HOTEL</t>
  </si>
  <si>
    <t>CARROLLEE HOTEL</t>
  </si>
  <si>
    <t>YOUNG AUSTRALIAN HOTEL (GLADSTONE)</t>
  </si>
  <si>
    <t>WYNNUM TAVERN</t>
  </si>
  <si>
    <t>WAXY'S</t>
  </si>
  <si>
    <t>MOOROOKA</t>
  </si>
  <si>
    <t>THE WILLOW HOTEL</t>
  </si>
  <si>
    <t>THE SURF CLUB BURLEIGH HEADS</t>
  </si>
  <si>
    <t>THE ROCK TOOWOOMBA</t>
  </si>
  <si>
    <t>MOOLOOLABA - ALEXANDRA HEADLAND</t>
  </si>
  <si>
    <t>THE PUB MOOLOOLABA</t>
  </si>
  <si>
    <t>THE GRAND HOTEL CAIRNS</t>
  </si>
  <si>
    <t>SANDGATE - SHORNCLIFFE</t>
  </si>
  <si>
    <t>THE FULL MOON HOTEL ON BRAMBLE BAY</t>
  </si>
  <si>
    <t>THE CECIL HOTEL</t>
  </si>
  <si>
    <t>THE AMBASSADOR OF REDCLIFFE</t>
  </si>
  <si>
    <t>BELMONT - GUMDALE</t>
  </si>
  <si>
    <t>T.C.B. BELMONT</t>
  </si>
  <si>
    <t>SURFERS PAVILION GOLD COAST</t>
  </si>
  <si>
    <t>SOFITEL GOLD COAST</t>
  </si>
  <si>
    <t>ROYAL MAIL HOTEL (TEWANTIN)</t>
  </si>
  <si>
    <t>REGATTA HOTEL</t>
  </si>
  <si>
    <t>RED LION HOTEL</t>
  </si>
  <si>
    <t>QUEENSLANDER HOTEL BUNDABERG</t>
  </si>
  <si>
    <t>PHOENIX HOTEL</t>
  </si>
  <si>
    <t>PEREGIAN SPRINGS</t>
  </si>
  <si>
    <t>PEREGIAN SPRINGS TAVERN</t>
  </si>
  <si>
    <t>PADDINGTON - MILTON</t>
  </si>
  <si>
    <t>PADDINGTON TAVERN</t>
  </si>
  <si>
    <t>NORTH SHORE TAVERN</t>
  </si>
  <si>
    <t>NORFOLK TAVERN</t>
  </si>
  <si>
    <t>NANANGO SERVICES CLUB</t>
  </si>
  <si>
    <t>MOSS ON WOOD</t>
  </si>
  <si>
    <t>MISSION BEACH HOTEL-MOTEL</t>
  </si>
  <si>
    <t>MELBOURNE HOTEL (BUNDABERG)</t>
  </si>
  <si>
    <t>MAYFAIR RIDGE TAVERN</t>
  </si>
  <si>
    <t>MAROOCHY BRIDGE HOTEL</t>
  </si>
  <si>
    <t>MANLY - LOTA</t>
  </si>
  <si>
    <t>MANLY HARBOUR BOAT CLUB</t>
  </si>
  <si>
    <t>LEES HOTEL (INGHAM)</t>
  </si>
  <si>
    <t>WOOLOOWIN - LUTWYCHE</t>
  </si>
  <si>
    <t>KEDRON PARK HOTEL</t>
  </si>
  <si>
    <t>BUDDINA - MINYAMA</t>
  </si>
  <si>
    <t>KAWANA WATERS SURF LIFE SAVING SUPPORTERS CLUB INCORPORATED</t>
  </si>
  <si>
    <t>KALAMIA HOTEL</t>
  </si>
  <si>
    <t>GYMPIE - SOUTH</t>
  </si>
  <si>
    <t>JOCKEY CLUB HOTEL</t>
  </si>
  <si>
    <t>HOTEL PACIFIC</t>
  </si>
  <si>
    <t>HOTEL MAROOCHYDORE PTY LTD</t>
  </si>
  <si>
    <t>HOTEL EMERALD</t>
  </si>
  <si>
    <t>HIGHFIELDS TAVERN</t>
  </si>
  <si>
    <t>HAY POINT HOTEL MOTEL</t>
  </si>
  <si>
    <t>GRAND VIEW HOTEL</t>
  </si>
  <si>
    <t>FALVEY'S HOTEL GATTON</t>
  </si>
  <si>
    <t>CRITERION HOTEL WARWICK</t>
  </si>
  <si>
    <t>COOROY R.S.L &amp; CITIZENS CLUB INC.</t>
  </si>
  <si>
    <t>COMMONWEALTH HOTEL</t>
  </si>
  <si>
    <t>CHATSWOOD HILLS TAVERN</t>
  </si>
  <si>
    <t>BRUNSWICK HOTEL (NEW FARM)</t>
  </si>
  <si>
    <t>ALBION</t>
  </si>
  <si>
    <t>BREAKFAST CREEK HOTEL</t>
  </si>
  <si>
    <t>BLUE PACIFIC HOTEL (BRIBIE ISLAND)</t>
  </si>
  <si>
    <t>BLUE MOUNTAIN HOTEL</t>
  </si>
  <si>
    <t>BELLBOWRIE - MOGGILL</t>
  </si>
  <si>
    <t>BELLBOWRIE SPORTS AND COMMUNITY CLUB INC.</t>
  </si>
  <si>
    <t>BEAUDESERT HOTEL</t>
  </si>
  <si>
    <t>FRESHWATER - STRATFORD</t>
  </si>
  <si>
    <t>BARRON RIVER HOTEL</t>
  </si>
  <si>
    <t>MOUNT ISA</t>
  </si>
  <si>
    <t>BARKLY HOTEL</t>
  </si>
  <si>
    <t>TIGERS LEAGUES CLUB INC</t>
  </si>
  <si>
    <t>ROYAL HOTEL (GOONDIWINDI)</t>
  </si>
  <si>
    <t>RIVERVIEW TAVERN</t>
  </si>
  <si>
    <t>PINEAPPLE HOTEL</t>
  </si>
  <si>
    <t>MARCOOLA SURF LIFESAVING SUPPORTERS CLUB INCORPORATED</t>
  </si>
  <si>
    <t>COOLUM BEACH BOWLS CLUB INCORPORATED</t>
  </si>
  <si>
    <t>HYDE PARK - PIMLICO</t>
  </si>
  <si>
    <t>CENTENARY HOTEL</t>
  </si>
  <si>
    <t>TUGUN SURF LIFE SAVING SUPPORTERS ASSOCIATION INC.</t>
  </si>
  <si>
    <t>THE GRACEMERE HOTEL</t>
  </si>
  <si>
    <t>THE BOARDWALK TAVERN</t>
  </si>
  <si>
    <t>SLADE POINT</t>
  </si>
  <si>
    <t>SEABREEZE MACKAY</t>
  </si>
  <si>
    <t>SAMFORD VALLEY</t>
  </si>
  <si>
    <t>SAMFORD VALLEY HOTEL</t>
  </si>
  <si>
    <t>PALM COVE TAVERN</t>
  </si>
  <si>
    <t>PALM BEACH SOCCER CLUB LIMITED</t>
  </si>
  <si>
    <t>HOTEL BEACH HOUSE NAMBOUR</t>
  </si>
  <si>
    <t>CHARLEVILLE RSL MEMORIAL CLUB INC.</t>
  </si>
  <si>
    <t>TINGALPA</t>
  </si>
  <si>
    <t>TINGALPA HOTEL</t>
  </si>
  <si>
    <t>THE WINDSOR HOTEL AND MOTEL, DALBY</t>
  </si>
  <si>
    <t>THE CENTRAL TAVERN BURPENGARY</t>
  </si>
  <si>
    <t>HELENSVALE</t>
  </si>
  <si>
    <t>SALT WATER CREEK HOTEL</t>
  </si>
  <si>
    <t>PACIFIC HOTEL YEPPOON</t>
  </si>
  <si>
    <t>MISS MONEYPENNY'S BROADBEACH</t>
  </si>
  <si>
    <t>CLUB HOTEL CHINCHILLA</t>
  </si>
  <si>
    <t>BURDELL - MOUNT LOW</t>
  </si>
  <si>
    <t>BUSHLAND BEACH TAVERN</t>
  </si>
  <si>
    <t>BLACKWATER COUNTRY CLUB (IN LIQUIDATION)</t>
  </si>
  <si>
    <t>BEERWAH HOTEL</t>
  </si>
  <si>
    <t>THE ENVY HOTEL</t>
  </si>
  <si>
    <t>GRAND HOTEL THURSDAY ISLAND</t>
  </si>
  <si>
    <t>GRAHAM HOTEL</t>
  </si>
  <si>
    <t>CARRARA</t>
  </si>
  <si>
    <t>EMERALD LAKES GOLF CLUB</t>
  </si>
  <si>
    <t>BEACHMERE HOTEL</t>
  </si>
  <si>
    <t>(S2) KEPPEL BAY SAILING CLUB LIMITED</t>
  </si>
  <si>
    <t>CHURCHILL - YAMANTO</t>
  </si>
  <si>
    <t>YAMANTO TAVERN</t>
  </si>
  <si>
    <t>MOUNT WARREN PARK</t>
  </si>
  <si>
    <t>WINDAROO TAVERN</t>
  </si>
  <si>
    <t>WHITSUNDAY SAILING CLUB LIMITED</t>
  </si>
  <si>
    <t>WELLINGTON POINT</t>
  </si>
  <si>
    <t>WELLINGTON POINT HOTEL</t>
  </si>
  <si>
    <t>UPPER COOMERA - NORTH</t>
  </si>
  <si>
    <t>WATTLE HOTEL COOMERA</t>
  </si>
  <si>
    <t>DIDDILLIBAH - ROSEMOUNT</t>
  </si>
  <si>
    <t>WATERFRONT HOTEL</t>
  </si>
  <si>
    <t>WALRUS SOCIAL HOUSE</t>
  </si>
  <si>
    <t>BURLEIGH WATERS</t>
  </si>
  <si>
    <t>VARSITY LAKES TAVERN</t>
  </si>
  <si>
    <t>TUGUN HOTEL-MOTEL</t>
  </si>
  <si>
    <t>TRINITY BEACH TAVERN</t>
  </si>
  <si>
    <t>THE SAVVY SQUIRE</t>
  </si>
  <si>
    <t>THE PUB ON PALMER</t>
  </si>
  <si>
    <t>THE MANLY HOTEL BRISBANE</t>
  </si>
  <si>
    <t>ANNERLEY</t>
  </si>
  <si>
    <t>THE JUNCTION @ ANNERLEY</t>
  </si>
  <si>
    <t>THE JOLLY COLLIER HOTEL MOTEL</t>
  </si>
  <si>
    <t>THE HOPE ISLAND TAVERN</t>
  </si>
  <si>
    <t>LABRADOR</t>
  </si>
  <si>
    <t>THE GRAND HOTEL LABRADOR</t>
  </si>
  <si>
    <t>ASHGROVE</t>
  </si>
  <si>
    <t>THE GAP TAVERN</t>
  </si>
  <si>
    <t>THE CREEK TAVERN</t>
  </si>
  <si>
    <t>THE CAVILL HOTEL</t>
  </si>
  <si>
    <t>THE BOATHOUSE TAVERN COOMERA</t>
  </si>
  <si>
    <t>OXLEY (QLD)</t>
  </si>
  <si>
    <t>T.C.B. OXLEY</t>
  </si>
  <si>
    <t>IPSWICH - EAST</t>
  </si>
  <si>
    <t>SWIFTS LEAGUES CLUB LTD</t>
  </si>
  <si>
    <t>MILLBANK - AVOCA</t>
  </si>
  <si>
    <t>SUGARLAND TAVERN</t>
  </si>
  <si>
    <t>GREENSLOPES</t>
  </si>
  <si>
    <t>STONES CORNER HOTEL</t>
  </si>
  <si>
    <t>SHAMROCK HOTEL (MACKAY)</t>
  </si>
  <si>
    <t>SEAVIEW HOTEL</t>
  </si>
  <si>
    <t>SANDS TAVERN</t>
  </si>
  <si>
    <t>ROYAL HOTEL TOOWOOMBA</t>
  </si>
  <si>
    <t>ROCKY GLEN HOTEL-MOTEL</t>
  </si>
  <si>
    <t>ROBINA PAVILION</t>
  </si>
  <si>
    <t>REDLAND BAY</t>
  </si>
  <si>
    <t>REDLAND BAY HOTEL</t>
  </si>
  <si>
    <t>REDLYNCH</t>
  </si>
  <si>
    <t>RED BERET HOTEL</t>
  </si>
  <si>
    <t>RAINTREES TAVERN</t>
  </si>
  <si>
    <t>RAFFLES HOTEL</t>
  </si>
  <si>
    <t>PUB LANE TAVERN</t>
  </si>
  <si>
    <t>PLAINLAND HOTEL</t>
  </si>
  <si>
    <t>PETRIE</t>
  </si>
  <si>
    <t>PETRIE HOTEL</t>
  </si>
  <si>
    <t>PELICAN WATERS TAVERN</t>
  </si>
  <si>
    <t>MERIDAN PLAINS - LITTLE MOUNTAIN (NORTH)</t>
  </si>
  <si>
    <t>PARKLANDS TAVERN</t>
  </si>
  <si>
    <t>OXLEY HOTEL</t>
  </si>
  <si>
    <t>BULIMBA</t>
  </si>
  <si>
    <t>OXFORD 152</t>
  </si>
  <si>
    <t>OVERLANDER HOTEL (MT ISA)</t>
  </si>
  <si>
    <t>WISHART</t>
  </si>
  <si>
    <t>NEWNHAM HOTEL</t>
  </si>
  <si>
    <t>NEWMARKET</t>
  </si>
  <si>
    <t>NEWMARKET HOTEL (BRISBANE)</t>
  </si>
  <si>
    <t>MURRUMBA DOWNS - GRIFFIN</t>
  </si>
  <si>
    <t>MURRUMBA DOWNS TAVERN</t>
  </si>
  <si>
    <t>MURGON &amp; DISTRICT SERVICES &amp; CITIZENS MEMORIAL CLUB INC</t>
  </si>
  <si>
    <t>MOUNT SHERIDAN</t>
  </si>
  <si>
    <t>MT SHERIDAN TAVERN</t>
  </si>
  <si>
    <t>MOUNT GRAVATT</t>
  </si>
  <si>
    <t>MOUNT GRAVATT HOTEL</t>
  </si>
  <si>
    <t>MOOLOOLABA SURF LIFE SAVING SUPPORTERS ASSOCIATION INC</t>
  </si>
  <si>
    <t>MOOLOOLABA BOWLS CLUB INC.</t>
  </si>
  <si>
    <t>BRASSALL</t>
  </si>
  <si>
    <t>MI HI TAVERN</t>
  </si>
  <si>
    <t>METROPOLITAN HOTEL (MACKAY)</t>
  </si>
  <si>
    <t>MAGNUMS AIRLIE BEACH HOTEL</t>
  </si>
  <si>
    <t>EAST BRISBANE</t>
  </si>
  <si>
    <t>LORD STANLEY HOTEL</t>
  </si>
  <si>
    <t>LOGAN CENTRAL</t>
  </si>
  <si>
    <t>LOGAN CITY TAVERN</t>
  </si>
  <si>
    <t>NORTH MACKAY</t>
  </si>
  <si>
    <t>KOOYONG MOTOR HOTEL</t>
  </si>
  <si>
    <t>KIRRA BEACH HOTEL</t>
  </si>
  <si>
    <t>KINGS BEACH TAVERN</t>
  </si>
  <si>
    <t>CHAPEL HILL</t>
  </si>
  <si>
    <t>KENMORE TAVERN</t>
  </si>
  <si>
    <t>ISLAND HOTEL</t>
  </si>
  <si>
    <t>INDOOROOPILLY</t>
  </si>
  <si>
    <t>INDOOROOPILLY HOTEL</t>
  </si>
  <si>
    <t>INALA - RICHLANDS</t>
  </si>
  <si>
    <t>INALA HOTEL</t>
  </si>
  <si>
    <t>BEENLEIGH</t>
  </si>
  <si>
    <t>IMPERIAL HOTEL (BEENLEIGH)</t>
  </si>
  <si>
    <t>HOTEL WEST END BRISBANE</t>
  </si>
  <si>
    <t>HOTEL MONIER</t>
  </si>
  <si>
    <t>VARSITY LAKES</t>
  </si>
  <si>
    <t>HOTEL CBD - VARSITY LAKES</t>
  </si>
  <si>
    <t>HERMIT PARK - ROSSLEA</t>
  </si>
  <si>
    <t>HERMIT PARK HOTEL MOTEL</t>
  </si>
  <si>
    <t>EDMONTON</t>
  </si>
  <si>
    <t>HAMBLEDON HOTEL</t>
  </si>
  <si>
    <t>GRAND HOTEL (GLADSTONE)</t>
  </si>
  <si>
    <t>GRAFTON HOTEL</t>
  </si>
  <si>
    <t>GILLIGANS BACKPACKERS HOTEL AND RESORT</t>
  </si>
  <si>
    <t>FERNY GROVE TAVERN</t>
  </si>
  <si>
    <t>EMBASSY HOTEL (BRISBANE)</t>
  </si>
  <si>
    <t>EDINBURGH CASTLE HOTEL</t>
  </si>
  <si>
    <t>EAST END HOTEL (BUNDABERG)</t>
  </si>
  <si>
    <t>DUNWOODYS HOTEL</t>
  </si>
  <si>
    <t>DIAMONDS TAVERN KALLANGUR</t>
  </si>
  <si>
    <t>DALBY LEAGUES CLUB INC.</t>
  </si>
  <si>
    <t>CROWN HOTEL LUTWYCHE</t>
  </si>
  <si>
    <t>CROWN HOTEL INNISFAIL</t>
  </si>
  <si>
    <t>COUTTS COMMERCIAL TAVERN</t>
  </si>
  <si>
    <t>OXENFORD - MAUDSLAND</t>
  </si>
  <si>
    <t>COOMERA LODGE HOTEL</t>
  </si>
  <si>
    <t>NERANG - MOUNT NATHAN</t>
  </si>
  <si>
    <t>COMMERCIAL HOTEL NERANG</t>
  </si>
  <si>
    <t>CLUB HOTEL (GLADSTONE)</t>
  </si>
  <si>
    <t>CHARDONS HOTEL</t>
  </si>
  <si>
    <t>SIPPY DOWNS</t>
  </si>
  <si>
    <t>CHANCELLORS TAVERN</t>
  </si>
  <si>
    <t>CANNON HILL</t>
  </si>
  <si>
    <t>CANNON HILL TAVERN</t>
  </si>
  <si>
    <t>CABOOLTURE SUNDOWNER HOTEL MOTEL</t>
  </si>
  <si>
    <t>DECEPTION BAY</t>
  </si>
  <si>
    <t>BURPENGARY TAVERN</t>
  </si>
  <si>
    <t>MOUNTAIN CREEK</t>
  </si>
  <si>
    <t>BRIGHTWATER HOTEL</t>
  </si>
  <si>
    <t>BRIGHTON HOTEL</t>
  </si>
  <si>
    <t>BRIBIE ISLAND HOTEL</t>
  </si>
  <si>
    <t>BOOMERANG MOTOR HOTEL</t>
  </si>
  <si>
    <t>BALD HILLS</t>
  </si>
  <si>
    <t>BONNY VIEW HOTEL</t>
  </si>
  <si>
    <t>BLACKWATER HOTEL</t>
  </si>
  <si>
    <t>BLACK NUGGET HOTEL MOTEL</t>
  </si>
  <si>
    <t>BELVEDERE HOTEL</t>
  </si>
  <si>
    <t>BELLBOWRIE TAVERN</t>
  </si>
  <si>
    <t>EAGLEBY</t>
  </si>
  <si>
    <t>BEENLEIGH TAVERN</t>
  </si>
  <si>
    <t>BARGARA BEACH HOTEL MOTEL</t>
  </si>
  <si>
    <t>AUSTRALIAN NATIONAL HOTEL WOOLLOONGABBA</t>
  </si>
  <si>
    <t>ASPLEY</t>
  </si>
  <si>
    <t>ASPLEY HOTEL</t>
  </si>
  <si>
    <t>SOUTHPORT - SOUTH</t>
  </si>
  <si>
    <t>ANGLERS ARMS HOTEL</t>
  </si>
  <si>
    <t>ALLENSTOWN HOTEL</t>
  </si>
  <si>
    <t>THE COMMONWEALTH HOTEL ROMA</t>
  </si>
  <si>
    <t>NORTH BURLEIGH SURF LIFE SAVING SUPPORTERS ASSOCIATION INC</t>
  </si>
  <si>
    <t>THE PRINCE CONSORT HOTEL</t>
  </si>
  <si>
    <t>RED EARTH HOTEL</t>
  </si>
  <si>
    <t>PARKHURST TAVERN</t>
  </si>
  <si>
    <t>KONDARI HOTEL</t>
  </si>
  <si>
    <t>TOOWOOMBA - WEST</t>
  </si>
  <si>
    <t>WESTBROOK TAVERN</t>
  </si>
  <si>
    <t>WALLOON HOTEL</t>
  </si>
  <si>
    <t>SHAFSTON HOTEL</t>
  </si>
  <si>
    <t>RAILWAY HOTEL YEPPOON</t>
  </si>
  <si>
    <t>DURACK</t>
  </si>
  <si>
    <t>LUCKY TREE TAVERN</t>
  </si>
  <si>
    <t>WULGURU - ROSENEATH</t>
  </si>
  <si>
    <t>HOTEL STUART</t>
  </si>
  <si>
    <t>FALVEY'S HOTEL YAMANTO</t>
  </si>
  <si>
    <t>COLLINSVILLE - SCOTTSVILLE WORKERS CLUB INCORPORATED</t>
  </si>
  <si>
    <t>(S2) SOUTHS SUBURBAN MENS BOWLS CLUB</t>
  </si>
  <si>
    <t>THE CENTRAL LANE HOTEL</t>
  </si>
  <si>
    <t>THE CARRINGTON HOTEL</t>
  </si>
  <si>
    <t>ROYAL HOTEL THURSDAY ISLAND</t>
  </si>
  <si>
    <t>NERANG COMMUNITY BOWLS CLUB INCORPORATED</t>
  </si>
  <si>
    <t>BILOELA ANZAC MEMORIAL CLUB INC</t>
  </si>
  <si>
    <t>YORKEYS KNOB BOATING CLUB INC</t>
  </si>
  <si>
    <t>YARRABILBA</t>
  </si>
  <si>
    <t>YARRABILBA HOTEL</t>
  </si>
  <si>
    <t>WOREE</t>
  </si>
  <si>
    <t>WOREE TAVERN</t>
  </si>
  <si>
    <t>WILSONTON</t>
  </si>
  <si>
    <t>WILSONTON HOTEL</t>
  </si>
  <si>
    <t>WATERLOO BAY HOTEL</t>
  </si>
  <si>
    <t>CASHMERE</t>
  </si>
  <si>
    <t>WARNER TAVERN</t>
  </si>
  <si>
    <t>WALLABY HOTEL</t>
  </si>
  <si>
    <t>VILLA NOOSA HOTEL/MOTEL</t>
  </si>
  <si>
    <t>VICTORIA POINT TAVERN</t>
  </si>
  <si>
    <t>AITKENVALE</t>
  </si>
  <si>
    <t>VALE HOTEL</t>
  </si>
  <si>
    <t>CONDON - RASMUSSEN</t>
  </si>
  <si>
    <t>UPPER ROSS HOTEL</t>
  </si>
  <si>
    <t>TWIN CITY HOTEL</t>
  </si>
  <si>
    <t>TREETOPS TAVERN</t>
  </si>
  <si>
    <t>TRADIES BAR</t>
  </si>
  <si>
    <t>TORQUAY HOTEL</t>
  </si>
  <si>
    <t>TOM'S TAVERN</t>
  </si>
  <si>
    <t>THE SUN HOTEL</t>
  </si>
  <si>
    <t>THE QUEENS ARMS SOUTHPORT</t>
  </si>
  <si>
    <t>THE OX TAVERN (QLD)</t>
  </si>
  <si>
    <t>LOGANLEA</t>
  </si>
  <si>
    <t>THE MEADOWBROOK HOTEL</t>
  </si>
  <si>
    <t>THE LUCKY SQUIRE</t>
  </si>
  <si>
    <t>THE KAWANA WATERS HOTEL</t>
  </si>
  <si>
    <t>THE HURSLEY</t>
  </si>
  <si>
    <t>THE COOLANGATTA HOTEL</t>
  </si>
  <si>
    <t>THE COCK &amp; BULL</t>
  </si>
  <si>
    <t>WESTCOURT - BUNGALOW</t>
  </si>
  <si>
    <t>THE BUNGALOW HOTEL</t>
  </si>
  <si>
    <t>MITCHELTON</t>
  </si>
  <si>
    <t>THE BROOK HOTEL MOTEL</t>
  </si>
  <si>
    <t>THE BROADBEACH TAVERN</t>
  </si>
  <si>
    <t>THE BEACH HOUSE HOTEL</t>
  </si>
  <si>
    <t>KIRWAN - WEST</t>
  </si>
  <si>
    <t>THE AVENUES TAVERN</t>
  </si>
  <si>
    <t>THE AUSTRALIAN HOTEL DALBY</t>
  </si>
  <si>
    <t>THE ALEX HOTEL</t>
  </si>
  <si>
    <t>BOYNE ISLAND - TANNUM SANDS</t>
  </si>
  <si>
    <t>TANNUM SANDS HOTEL MOTEL</t>
  </si>
  <si>
    <t>MORETON ISLAND</t>
  </si>
  <si>
    <t>TANGALOOMA WILD DOLPHIN RESORT</t>
  </si>
  <si>
    <t>TAIGUM - FITZGIBBON</t>
  </si>
  <si>
    <t>TAIGUM TAVERN</t>
  </si>
  <si>
    <t>SURFERS PARADISE TAVERN</t>
  </si>
  <si>
    <t>SUNNYBANK</t>
  </si>
  <si>
    <t>SUNNYBANK HOTEL</t>
  </si>
  <si>
    <t>STAFFORD</t>
  </si>
  <si>
    <t>STAFFORD TAVERN</t>
  </si>
  <si>
    <t>SPRINGWOOD HOTEL</t>
  </si>
  <si>
    <t>SPRINGFIELD</t>
  </si>
  <si>
    <t>SPRINGFIELD TAVERN</t>
  </si>
  <si>
    <t>SPRINGFIELD LAKES</t>
  </si>
  <si>
    <t>SPRING LAKE HOTEL</t>
  </si>
  <si>
    <t>MAIN BEACH</t>
  </si>
  <si>
    <t>SOUTHPORT SURF CLUB SUPPORTERS CLUB INC</t>
  </si>
  <si>
    <t>DARLING HEIGHTS</t>
  </si>
  <si>
    <t>SOUTHERN HOTEL-MOTEL</t>
  </si>
  <si>
    <t>SMITHFIELD TAVERN</t>
  </si>
  <si>
    <t>SHEARERS ARMS TAVERN</t>
  </si>
  <si>
    <t>SHAMROCK HOTEL MOTEL TOOWOOMBA</t>
  </si>
  <si>
    <t>SANDSTONE POINT HOTEL &amp; FUNCTION CENTRE</t>
  </si>
  <si>
    <t>SALISBURY HOTEL</t>
  </si>
  <si>
    <t>RUNCORN</t>
  </si>
  <si>
    <t>RUNCORN TAVERN</t>
  </si>
  <si>
    <t>RUNAWAY BAY</t>
  </si>
  <si>
    <t>RUNAWAY BAY TAVERN</t>
  </si>
  <si>
    <t>ROBINA - WEST</t>
  </si>
  <si>
    <t>RQS TAVERN</t>
  </si>
  <si>
    <t>ROYAL HOTEL BEENLEIGH</t>
  </si>
  <si>
    <t>ROYAL GEORGE HOTEL (FORTITUDE VALLEY)</t>
  </si>
  <si>
    <t>ROYAL EXCHANGE HOTEL</t>
  </si>
  <si>
    <t>CORNUBIA - CARBROOK</t>
  </si>
  <si>
    <t>RIVERLAKES TAVERN</t>
  </si>
  <si>
    <t>RIVER ROAD TAVERN</t>
  </si>
  <si>
    <t>REDLAND BAY GOLF CLUB INCORPORATED</t>
  </si>
  <si>
    <t>REDBANK PLAINS</t>
  </si>
  <si>
    <t>REDBANK PLAINS TAVERN</t>
  </si>
  <si>
    <t>RACEVIEW</t>
  </si>
  <si>
    <t>RACEVIEW HOTEL</t>
  </si>
  <si>
    <t>RACEHORSE HOTEL</t>
  </si>
  <si>
    <t>WATERFORD WEST</t>
  </si>
  <si>
    <t>QUEENSLANDER - MARSDEN TAVERN</t>
  </si>
  <si>
    <t>PRINCE OF WALES HOTEL (NUNDAH)</t>
  </si>
  <si>
    <t>PRINCE ALFRED HOTEL</t>
  </si>
  <si>
    <t>PIMPAMA - NORTH</t>
  </si>
  <si>
    <t>PIMPAMA TAVERN</t>
  </si>
  <si>
    <t>PIMPAMA - SOUTH</t>
  </si>
  <si>
    <t>PIMPAMA CENTRAL TAVERN</t>
  </si>
  <si>
    <t>PIG N WHISTLE INDOOROOPILLY</t>
  </si>
  <si>
    <t>PARKWOOD</t>
  </si>
  <si>
    <t>PARKWOOD VILLAGE</t>
  </si>
  <si>
    <t>PARKWOOD TAVERN</t>
  </si>
  <si>
    <t>PARK AVENUE</t>
  </si>
  <si>
    <t>PARK AVENUE HOTEL</t>
  </si>
  <si>
    <t>PALM BEACH HOTEL</t>
  </si>
  <si>
    <t>PACIFIC PINES - GAVEN</t>
  </si>
  <si>
    <t>PACIFIC PINES TAVERN</t>
  </si>
  <si>
    <t>PACIFIC GOLF CLUB INCORPORATED</t>
  </si>
  <si>
    <t>OXENFORD TAVERN</t>
  </si>
  <si>
    <t>ORION HOTEL</t>
  </si>
  <si>
    <t>NUDGEE BEACH HOTEL</t>
  </si>
  <si>
    <t>NORTH SHORE TAVERN TOWNSVILLE</t>
  </si>
  <si>
    <t>NOOSA REEF HOTEL</t>
  </si>
  <si>
    <t>NEWTOWN (QLD)</t>
  </si>
  <si>
    <t>NEWTOWN HOTEL</t>
  </si>
  <si>
    <t>NARANGBA</t>
  </si>
  <si>
    <t>NARANGBA VALLEY TAVERN</t>
  </si>
  <si>
    <t>MOUNT PLEASANT - GLENELLA</t>
  </si>
  <si>
    <t>MOUNT PLEASANT TAVERN</t>
  </si>
  <si>
    <t>CABOOLTURE - SOUTH</t>
  </si>
  <si>
    <t>MORAYFIELD TAVERN</t>
  </si>
  <si>
    <t>MORAYFIELD - EAST</t>
  </si>
  <si>
    <t>MORAYFIELD HOTEL</t>
  </si>
  <si>
    <t>MIAMI TAVERN</t>
  </si>
  <si>
    <t>MERMAID WATERS</t>
  </si>
  <si>
    <t>MERMAID WATERS HOTEL</t>
  </si>
  <si>
    <t>MANGO HILL</t>
  </si>
  <si>
    <t>MANGO HILL TAVERN</t>
  </si>
  <si>
    <t>MACKAY CBD HOTEL</t>
  </si>
  <si>
    <t>SUNNYBANK HILLS</t>
  </si>
  <si>
    <t>LUCKY STAR TAVERN (SUNNYBANK)</t>
  </si>
  <si>
    <t>LOGAN VILLAGE</t>
  </si>
  <si>
    <t>LOGAN VILLAGE HOTEL</t>
  </si>
  <si>
    <t>LAWNTON</t>
  </si>
  <si>
    <t>LAWNTON TAVERN</t>
  </si>
  <si>
    <t>CAPALABA</t>
  </si>
  <si>
    <t>KOALA TAVERN</t>
  </si>
  <si>
    <t>KIRWAN TAVERN</t>
  </si>
  <si>
    <t>CRESTMEAD</t>
  </si>
  <si>
    <t>KENSINGTON JUNCTION</t>
  </si>
  <si>
    <t>KALLANGUR TAVERN</t>
  </si>
  <si>
    <t>JUBILEE TAVERN</t>
  </si>
  <si>
    <t>SEVENTEEN MILE ROCKS - SINNAMON PARK</t>
  </si>
  <si>
    <t>JINDALEE HOTEL</t>
  </si>
  <si>
    <t>JIMBOOMBA COUNTRY TAVERN</t>
  </si>
  <si>
    <t>ISA HOTEL</t>
  </si>
  <si>
    <t>IRISH FINNEGANS</t>
  </si>
  <si>
    <t>FOREST LAKE - ELLEN GROVE</t>
  </si>
  <si>
    <t>HOTEL RICHLANDS</t>
  </si>
  <si>
    <t>UNDERWOOD</t>
  </si>
  <si>
    <t>HOTEL HQ</t>
  </si>
  <si>
    <t>MORNINGSIDE - SEVEN HILLS</t>
  </si>
  <si>
    <t>HOTEL COLMSLIE</t>
  </si>
  <si>
    <t>GEEBUNG</t>
  </si>
  <si>
    <t>HOMESTEAD TAVERN-BOONDALL</t>
  </si>
  <si>
    <t>HOLLAND PARK WEST</t>
  </si>
  <si>
    <t>HOLLAND PARK HOTEL</t>
  </si>
  <si>
    <t>HINTERLAND HOTEL</t>
  </si>
  <si>
    <t>HELENSVALE TAVERN</t>
  </si>
  <si>
    <t>CLINTON - NEW AUCKLAND</t>
  </si>
  <si>
    <t>HARVEY ROAD TAVERN</t>
  </si>
  <si>
    <t>HAMILTON (QLD)</t>
  </si>
  <si>
    <t>HAMILTON HOTEL</t>
  </si>
  <si>
    <t>WAKERLEY</t>
  </si>
  <si>
    <t>GUMDALE TAVERN</t>
  </si>
  <si>
    <t>BORONIA HEIGHTS - PARK RIDGE</t>
  </si>
  <si>
    <t>GREENBANK/PARK RIDGE TAVERN</t>
  </si>
  <si>
    <t>GRAND VIEW HOTEL (BOWEN)</t>
  </si>
  <si>
    <t>GRACELYN TAVERN</t>
  </si>
  <si>
    <t>GOLDEN BEACH TAVERN</t>
  </si>
  <si>
    <t>GLENMORE TAVERN</t>
  </si>
  <si>
    <t>EIGHT MILE PLAINS</t>
  </si>
  <si>
    <t>GLEN HOTEL</t>
  </si>
  <si>
    <t>GLADSTONE REEF HOTEL MOTEL</t>
  </si>
  <si>
    <t>FOUR MILE CREEK HOTEL</t>
  </si>
  <si>
    <t>FOREST LAKE HOTEL</t>
  </si>
  <si>
    <t>FLAGSTONE (EAST) - RIVERBEND</t>
  </si>
  <si>
    <t>FLAGSTONE TAVERN</t>
  </si>
  <si>
    <t>BETHANIA - WATERFORD</t>
  </si>
  <si>
    <t>FITZYS WATERFORD</t>
  </si>
  <si>
    <t>FITZY'S TOOWOOMBA</t>
  </si>
  <si>
    <t>LOGANHOLME - TANAH MERAH</t>
  </si>
  <si>
    <t>FITZY`S LOGANHOLME</t>
  </si>
  <si>
    <t>FERRY ROAD TAVERN</t>
  </si>
  <si>
    <t>TOOWOOMBA - EAST</t>
  </si>
  <si>
    <t>FEDERAL HOTEL TOOWOOMBA</t>
  </si>
  <si>
    <t>FALVEY'S STOCK HOTEL</t>
  </si>
  <si>
    <t>FALVEY'S GOWRIE ROAD HOTEL</t>
  </si>
  <si>
    <t>FALVEY'S CECIL HOTEL</t>
  </si>
  <si>
    <t>MCDOWALL</t>
  </si>
  <si>
    <t>EVERTON PARK HOTEL</t>
  </si>
  <si>
    <t>EMERALD STAR HOTEL MOTEL</t>
  </si>
  <si>
    <t>EMERALD MARABOON TAVERN</t>
  </si>
  <si>
    <t>MANOORA</t>
  </si>
  <si>
    <t>EDGE HILL TAVERN</t>
  </si>
  <si>
    <t>EDEN BREWHOUSE</t>
  </si>
  <si>
    <t>EATONS HILL HOTEL &amp; FUNCTION CENTRE</t>
  </si>
  <si>
    <t>EAGLE TAVERN</t>
  </si>
  <si>
    <t>BIGGERA WATERS</t>
  </si>
  <si>
    <t>DUBLIN DOCKS - HARBOURTOWN</t>
  </si>
  <si>
    <t>DOG AND PARROT TAVERN</t>
  </si>
  <si>
    <t>DIAMONDS TAVERN</t>
  </si>
  <si>
    <t>DECEPTION BAY TAVERN</t>
  </si>
  <si>
    <t>DALRYMPLE HOTEL</t>
  </si>
  <si>
    <t>DAKABIN</t>
  </si>
  <si>
    <t>DAKABIN HOTEL</t>
  </si>
  <si>
    <t>CUBE HOTEL</t>
  </si>
  <si>
    <t>COUNTRY CLUB HOTEL STRATHPINE</t>
  </si>
  <si>
    <t>COOMERA TAVERN</t>
  </si>
  <si>
    <t>COOLUM BEACH HOTEL</t>
  </si>
  <si>
    <t>COOLANGATTA SURF LIFE SAVING SUPPORTERS CLUB INC</t>
  </si>
  <si>
    <t>COOLANGATTA SANDS</t>
  </si>
  <si>
    <t>CLUB TAVERN CABOOLTURE</t>
  </si>
  <si>
    <t>CLUB HOTEL-MOTEL ROMA</t>
  </si>
  <si>
    <t>CLUB HOTEL - WATERFORD</t>
  </si>
  <si>
    <t>CLEVELAND SANDS HOTEL</t>
  </si>
  <si>
    <t>CHERRABAH HOMESTEAD RESORT</t>
  </si>
  <si>
    <t>CENTENARY TAVERN</t>
  </si>
  <si>
    <t>CARRIERS ARMS HOTEL (MARYBOROUGH)</t>
  </si>
  <si>
    <t>ROTHWELL - KIPPA-RING</t>
  </si>
  <si>
    <t>CAPTAIN COOK'S TAVERN KIPPA-RING</t>
  </si>
  <si>
    <t>CAPALABA TAVERN</t>
  </si>
  <si>
    <t>CANNONVALE REEF GATEWAY HOTEL MOTEL</t>
  </si>
  <si>
    <t>CAMP HILL</t>
  </si>
  <si>
    <t>CAMP HILL HOTEL</t>
  </si>
  <si>
    <t>CALOUNDRA HOTEL</t>
  </si>
  <si>
    <t>CALAMVALE - STRETTON</t>
  </si>
  <si>
    <t>CALAMVALE HOTEL MOTEL</t>
  </si>
  <si>
    <t>BURLEIGH TOWN HOTEL</t>
  </si>
  <si>
    <t>BURLEIGH HEADS HOTEL</t>
  </si>
  <si>
    <t>BURKE AND WILLS HOTEL</t>
  </si>
  <si>
    <t>BUDERIM TAVERN</t>
  </si>
  <si>
    <t>BROWNS PLAINS</t>
  </si>
  <si>
    <t>BROWNS PLAINS HOTEL</t>
  </si>
  <si>
    <t>BRACKEN RIDGE</t>
  </si>
  <si>
    <t>BRACKEN RIDGE TAVERN</t>
  </si>
  <si>
    <t>BOWEN HOTEL (BOWEN)</t>
  </si>
  <si>
    <t>BOHLE BARN</t>
  </si>
  <si>
    <t>BLI BLI</t>
  </si>
  <si>
    <t>BLI BLI HOTEL</t>
  </si>
  <si>
    <t>EIMEO - RURAL VIEW</t>
  </si>
  <si>
    <t>BLACKS BEACH TAVERN</t>
  </si>
  <si>
    <t>FRENCHVILLE - MOUNT ARCHER</t>
  </si>
  <si>
    <t>BERSERKER TAVERN</t>
  </si>
  <si>
    <t>BENOWA TAVERN</t>
  </si>
  <si>
    <t>BAYSWATER BAR AND GRILL</t>
  </si>
  <si>
    <t>BAY CENTRAL TAVERN</t>
  </si>
  <si>
    <t>BARTLETTS TAVERN</t>
  </si>
  <si>
    <t>CALOUNDRA WEST - BARINGA</t>
  </si>
  <si>
    <t>BARINGA TAVERN</t>
  </si>
  <si>
    <t>BARGARA CENTRAL HOTEL</t>
  </si>
  <si>
    <t>EARLVILLE - BAYVIEW HEIGHTS</t>
  </si>
  <si>
    <t>BALACLAVA HOTEL</t>
  </si>
  <si>
    <t>AUSTRAL HOTEL</t>
  </si>
  <si>
    <t>AURA HOTEL &amp; ENTERTAINMENT CENTRE</t>
  </si>
  <si>
    <t>ASPLEY CENTRAL TAVERN</t>
  </si>
  <si>
    <t>ASHMORE TAVERN</t>
  </si>
  <si>
    <t>ARUNDEL TAVERN</t>
  </si>
  <si>
    <t>ANDERGROVE - BEACONSFIELD</t>
  </si>
  <si>
    <t>ANDERGROVE TAVERN</t>
  </si>
  <si>
    <t>ALEXANDRA HILLS</t>
  </si>
  <si>
    <t>ALEXANDRA HILLS HOTEL-MOTEL</t>
  </si>
  <si>
    <t>ALDERLEY</t>
  </si>
  <si>
    <t>ALDERLEY ARMS HOTEL</t>
  </si>
  <si>
    <t>ALBION HOTEL</t>
  </si>
  <si>
    <t>ALBATROSS HOTEL</t>
  </si>
  <si>
    <t>ALBANY CREEK</t>
  </si>
  <si>
    <t>ALBANY CREEK TAVERN</t>
  </si>
  <si>
    <t>AIRLIE BEACH HOTEL</t>
  </si>
  <si>
    <t>ACACIA RIDGE HOTEL MOTEL</t>
  </si>
  <si>
    <t>MOSSMAN MEMORIAL BOWLS CLUB INC.</t>
  </si>
  <si>
    <t>CLUB WHITSUNDAY</t>
  </si>
  <si>
    <t>COOLUM BEACH SURF LIFESAVING SUPPORTERS ASSOCIATION INC</t>
  </si>
  <si>
    <t>BROADBEACH BOWLS &amp; COMMUNITY CLUB INC.</t>
  </si>
  <si>
    <t>THE GIBSON SPORTS CLUB</t>
  </si>
  <si>
    <t>RETURNED &amp; SERVICES LEAGUE OF AUSTRALIA (QUEENSLAND BRANCH) OAKEY SUB BRANCH INC</t>
  </si>
  <si>
    <t>RETURNED &amp; SERVICES LEAGUE OF AUSTRALIA (QUEENSLAND BRANCH) INNISFAIL SUB-BRANCH INC.</t>
  </si>
  <si>
    <t>RAINBOW BEACH SPORTS RECREATION AND MEMORIAL CLUB INC</t>
  </si>
  <si>
    <t>PALM BEACH (QLD) SURF LIFE SAVING CLUB SUPPORTERS CLUB INC.</t>
  </si>
  <si>
    <t>MEADOWBROOK GOLF CLUB</t>
  </si>
  <si>
    <t>LABRADOR AFL SPORTS CLUB INC.</t>
  </si>
  <si>
    <t>COORPAROO</t>
  </si>
  <si>
    <t>COORPAROO RSL AND COMMUNITY CLUB</t>
  </si>
  <si>
    <t>CLUB BURLEIGH</t>
  </si>
  <si>
    <t>CHINCHILLA R.S.L. MEMORIAL CLUB INC</t>
  </si>
  <si>
    <t>NORTHCLIFFE SURF LIFE SAVING SUPPORTERS ASSOCIATION INC</t>
  </si>
  <si>
    <t>KURRAWA S.L.S.C. SUPPORTERS ASSOCIATION INC</t>
  </si>
  <si>
    <t>WALKERSTON - ETON</t>
  </si>
  <si>
    <t>WESTERN SUBURBS RUGBY LEAGUE FOOTBALL CLUB (MACKAY)</t>
  </si>
  <si>
    <t>BARGARA GOLF CLUB</t>
  </si>
  <si>
    <t>LEICHHARDT - ONE MILE</t>
  </si>
  <si>
    <t>IPSWICH SPORTS CLUB</t>
  </si>
  <si>
    <t>TALLEBUDGERA SURF LIFESAVING SUPPORTERS ASSOCIATION INC</t>
  </si>
  <si>
    <t>STANTHORPE RSL SERVICES CLUB INC.</t>
  </si>
  <si>
    <t>MARYBOROUGH SPORTS CLUB INC.</t>
  </si>
  <si>
    <t>CLUB PARKHURST</t>
  </si>
  <si>
    <t>ATHERTON INTERNATIONAL CLUB INC</t>
  </si>
  <si>
    <t>MOUNT LOUISA</t>
  </si>
  <si>
    <t>(S2) COWBOYS LEAGUES CLUB LIMITED</t>
  </si>
  <si>
    <t>(S2) BURLEIGH SPORTS CLUB</t>
  </si>
  <si>
    <t>UNITED SPORTS CLUB LTD</t>
  </si>
  <si>
    <t>KINGAROY AND DISTRICT R.S.L. &amp; CITIZENS MEMORIAL CLUB INC</t>
  </si>
  <si>
    <t>DICKY BEACH SUPPORTERS CLUB INC.</t>
  </si>
  <si>
    <t>THE GYMPIE SPORTS CLUB</t>
  </si>
  <si>
    <t>CAIRNS R.S.L. CLUB LTD.</t>
  </si>
  <si>
    <t>THE WAVES CLUB CALOUNDRA</t>
  </si>
  <si>
    <t>KELSO</t>
  </si>
  <si>
    <t>THURINGOWA RSL CLUB</t>
  </si>
  <si>
    <t>THE CLUBHOUSE HERVEY BAY</t>
  </si>
  <si>
    <t>THE BEENLEIGH BOWLS AND RECREATION CLUB INCORPORATED</t>
  </si>
  <si>
    <t>SPORTS CENTRAL CABOOLTURE</t>
  </si>
  <si>
    <t>UPPER MOUNT GRAVATT</t>
  </si>
  <si>
    <t>SOUTHERN CROSS SPORTS CLUB</t>
  </si>
  <si>
    <t>RUNAWAY BAY JUNIOR LEAGUES CLUB LIMITED</t>
  </si>
  <si>
    <t>NORTH MACKAY BOWLS CLUB INC</t>
  </si>
  <si>
    <t>MAROOCHYDORE SURF LIFE SAVING SUPPORTERS ASSOCIATION INC</t>
  </si>
  <si>
    <t>DIGGERS AND SPORTS CLUB</t>
  </si>
  <si>
    <t>BEAUDESERT R.S.L. SERVICES CLUB INC</t>
  </si>
  <si>
    <t>AYR ANZAC MEMORIAL CLUB INC</t>
  </si>
  <si>
    <t>ALGESTER</t>
  </si>
  <si>
    <t>ALGESTER SPORTS INC.</t>
  </si>
  <si>
    <t>PARADISE POINT - HOLLYWELL</t>
  </si>
  <si>
    <t>PARADISE POINT BOWLS CLUB INC.</t>
  </si>
  <si>
    <t>MAREEBA LEAGUES CLUB INC</t>
  </si>
  <si>
    <t>(S1) CONDAMINE SPORTS CLUB OF WARWICK INC.</t>
  </si>
  <si>
    <t>SOUTHS SPORTS CLUB</t>
  </si>
  <si>
    <t>FIELDERS CLUB</t>
  </si>
  <si>
    <t>THE SANDS SOCIAL</t>
  </si>
  <si>
    <t>SANDHILLS SPORTS CLUB</t>
  </si>
  <si>
    <t>ROCKY SPORTS CLUB LIMITED</t>
  </si>
  <si>
    <t>PAST BROTHERS LEAGUES CLUB (INNISFAIL) LIMITED</t>
  </si>
  <si>
    <t>CALOUNDRA POWER BOAT CLUB LTD</t>
  </si>
  <si>
    <t>BEENLEIGH RSL</t>
  </si>
  <si>
    <t>CLUB GLENVALE</t>
  </si>
  <si>
    <t>ZILLMERE SPORTS</t>
  </si>
  <si>
    <t>TRINITY BEACH SPORTS CLUB</t>
  </si>
  <si>
    <t>MORANBAH COMMUNITY WORKERS CLUB INC</t>
  </si>
  <si>
    <t>ALEX SUPPORTERS ASSOCIATION INCORPORATED</t>
  </si>
  <si>
    <t>ASCOT</t>
  </si>
  <si>
    <t>GALLOPERS SPORTS CLUB</t>
  </si>
  <si>
    <t>MACKAY NORTHERN BEACHES BOWLS CLUB INC.</t>
  </si>
  <si>
    <t>WARWICK RSL SERVICES AND CITIZENS MEMORIAL CLUB INC.</t>
  </si>
  <si>
    <t>BENTLEY PARK</t>
  </si>
  <si>
    <t>SOUTH CAIRNS SPORTS CLUB</t>
  </si>
  <si>
    <t>YERONGA</t>
  </si>
  <si>
    <t>YERONGA SERVICES AND COMMUNITY CLUB INC.</t>
  </si>
  <si>
    <t>RETURNED &amp; SERVICES LEAGUE OF AUSTRALIA (QUEENSLAND BRANCH) GYMPIE SUB-BRANCH INC</t>
  </si>
  <si>
    <t>VICTORIA POINT SHARKS SPORTING CLUB</t>
  </si>
  <si>
    <t>MUSGRAVE HILL BOWLS CLUB INC.</t>
  </si>
  <si>
    <t>CLUB BEENLEIGH</t>
  </si>
  <si>
    <t>YARALLA SPORTS CLUB</t>
  </si>
  <si>
    <t>NORTHS DEVILS LEAGUES CLUB</t>
  </si>
  <si>
    <t>WYNNUM RSL SUB BRANCH</t>
  </si>
  <si>
    <t>MOUNT ISA IRISH ASSOCIATION FRIENDLY SOCIETY LTD</t>
  </si>
  <si>
    <t>KIRWAN - EAST</t>
  </si>
  <si>
    <t>KIRWAN SPORTS AND COMMUNITY CLUB</t>
  </si>
  <si>
    <t>MARYBOROUGH SERVICES AND CITIZENS' MEMORIAL CLUB LTD</t>
  </si>
  <si>
    <t>WURTULLA - BIRTINYA</t>
  </si>
  <si>
    <t>CLUB KAWANA</t>
  </si>
  <si>
    <t>BRIBIE ISLAND BOWLS CLUB INC</t>
  </si>
  <si>
    <t>GEEBUNG RSL</t>
  </si>
  <si>
    <t>HERVEY BAY BOAT CLUB INC. (BUCCANEER DRIVE)</t>
  </si>
  <si>
    <t>CARPENTARIA BUFFALO CLUB MOUNT ISA INCORPORATED</t>
  </si>
  <si>
    <t>RETURNED &amp; SERVICES LEAGUE OF AUSTRALIA (QUEENSLAND BRANCH) GAYTHORNE SUB BRANCH INC</t>
  </si>
  <si>
    <t>SOUTH MACKAY</t>
  </si>
  <si>
    <t>(S1) SOUTHERN SUBURBS FOOTBALL CLUB (MACKAY) INC</t>
  </si>
  <si>
    <t>FULLER SPORTS</t>
  </si>
  <si>
    <t>(S1) KEPPEL BAY SAILING CLUB LIMITED</t>
  </si>
  <si>
    <t>LOGAN CITY RECREATIONAL AND SPORTING CLUB INCORPORATED</t>
  </si>
  <si>
    <t>CARSELDINE</t>
  </si>
  <si>
    <t>ASPLEY AUSTRALIAN FOOTBALL AND SPORTING CLUB LIMITED</t>
  </si>
  <si>
    <t>ROCKHAMPTON LEAGUES CLUB LIMITED</t>
  </si>
  <si>
    <t>BURPENGARY COMMUNITY CLUB</t>
  </si>
  <si>
    <t>(S1) BURLEIGH HEADS RUGBY LEAGUE FOOTBALL CLUB INC</t>
  </si>
  <si>
    <t>CURRUMBIN PALM BEACH R.S.L. &amp; SERVICES MEMORIAL CLUB INCORPORATED</t>
  </si>
  <si>
    <t>THE BLUE FIN FISHING CLUB INC.</t>
  </si>
  <si>
    <t>BUNDABERG &amp; DISTRICT R.S.L. AND CITIZENS MEMORIAL CLUB INC</t>
  </si>
  <si>
    <t>ASPLEY LEAGUES CLUB LIMITED</t>
  </si>
  <si>
    <t>RETURNED AND SERVICES LEAGUE OF AUSTRALIA (QUEENSLAND BRANCH) REDCLIFFE SUB-BRANCH INC.</t>
  </si>
  <si>
    <t>(S1) RETURNED &amp; SERVICES LEAGUE OF AUSTRALIA (QUEENSLAND BRANCH) REDLANDS SUB BRANCH INC</t>
  </si>
  <si>
    <t>SOUTHPORT R.S.L. MEMORIAL CLUB INCORPORATED</t>
  </si>
  <si>
    <t>NORTH LAKES</t>
  </si>
  <si>
    <t>NORTH LAKES SPORTS CLUB</t>
  </si>
  <si>
    <t>WESTSIDE HQ</t>
  </si>
  <si>
    <t>IPSWICH JETS RUGBY LEAGUE FOOTBALL CLUB INCORPORATED</t>
  </si>
  <si>
    <t>CLUB HELENSVALE</t>
  </si>
  <si>
    <t>TEWANTIN-NOOSA R.S.L. &amp; CITIZENS MEMORIAL CLUB INCORPORATED</t>
  </si>
  <si>
    <t>REDLANDS SPORTING CLUB INC.</t>
  </si>
  <si>
    <t>MACKAY CRICKET ASSOCIATION INC. T/A HARRUP PARK COUNTRY CLUB</t>
  </si>
  <si>
    <t>IPSWICH R.S.L. SERVICES CLUB INC</t>
  </si>
  <si>
    <t>DIGGERS SERVICES CLUB</t>
  </si>
  <si>
    <t>CAPALABA SPORTS CLUB</t>
  </si>
  <si>
    <t>BROTHERS LEAGUES CLUB (CAIRNS) LIMITED</t>
  </si>
  <si>
    <t>ROCHEDALE SOUTH - PRIESTDALE</t>
  </si>
  <si>
    <t>BRISBANE BEARS-FITZROY FOOTBALL CLUB</t>
  </si>
  <si>
    <t>THE BOWER TREE</t>
  </si>
  <si>
    <t>SOUTHSIDE SPORT AND COMMUNITY CLUB INC</t>
  </si>
  <si>
    <t>CLUB PARKVIEW COMMUNITY &amp; SERVICES</t>
  </si>
  <si>
    <t>BRANYAN - KENSINGTON</t>
  </si>
  <si>
    <t>BROTHERS SPORTS CLUB BUNDABERG INCORPORATED</t>
  </si>
  <si>
    <t>BRIBIE ISLAND R.S.L. &amp; CITIZENS MEMORIAL CLUB INC</t>
  </si>
  <si>
    <t>PINE RIVERS MEMORIAL BOWLS CLUB LIMITED</t>
  </si>
  <si>
    <t>MAGPIES SPORTING CLUB LTD</t>
  </si>
  <si>
    <t>TOOWOOMBA SPORTS CLUB INC</t>
  </si>
  <si>
    <t>BROTHERS LEAGUES CLUB (TOWNSVILLE) LTD</t>
  </si>
  <si>
    <t>NAMBOUR RSL CLUB</t>
  </si>
  <si>
    <t>THE FRENCHVILLE SPORTS CLUB LTD</t>
  </si>
  <si>
    <t>CABOOLTURE SPORTS CLUB LIMITED</t>
  </si>
  <si>
    <t>RETURNED &amp; SERVICES LEAGUE OF AUSTRALIA (QUEENSLAND BRANCH) TOWNSVILLE SUB BRANCH INC.</t>
  </si>
  <si>
    <t>CLUB SOUTHPORT INC</t>
  </si>
  <si>
    <t>NORTHS LEAGUES &amp; SERVICES CLUB</t>
  </si>
  <si>
    <t>HERVEY BAY RSL AND SERVICES MEMORIAL CLUB INC</t>
  </si>
  <si>
    <t>THE CITY GOLF CLUB INC.</t>
  </si>
  <si>
    <t>(S1) COWBOYS LEAGUES CLUB LIMITED</t>
  </si>
  <si>
    <t>WYNNUM MANLY LEAGUES CLUB LIMITED</t>
  </si>
  <si>
    <t>SVENSSON HEIGHTS - NORVILLE</t>
  </si>
  <si>
    <t>THE WAVES SPORTS CLUB</t>
  </si>
  <si>
    <t>THE LION RICHLANDS</t>
  </si>
  <si>
    <t>MACGREGOR (QLD)</t>
  </si>
  <si>
    <t>SUNNYBANK RUGBY UNION CLUB LTD</t>
  </si>
  <si>
    <t>SOUTHPORT AUSTRALIAN RULES FOOTBALL CLUB LTD.</t>
  </si>
  <si>
    <t>REDCLIFFE LEAGUES CLUB LIMITED</t>
  </si>
  <si>
    <t>NERANG RSL AND MEMORIAL CLUB INC</t>
  </si>
  <si>
    <t>MAROOCHY RSL</t>
  </si>
  <si>
    <t>CHERMSIDE</t>
  </si>
  <si>
    <t>KEDRON-WAVELL</t>
  </si>
  <si>
    <t>HILLCREST</t>
  </si>
  <si>
    <t>GREENBANK SERVICES CLUB</t>
  </si>
  <si>
    <t>EASTS LEAGUES CLUB</t>
  </si>
  <si>
    <t>CAZALYS CAIRNS LIMITED</t>
  </si>
  <si>
    <t>CARINA LEAGUES CLUB LIMITED</t>
  </si>
  <si>
    <t>CALOUNDRA SUB-BRANCH R.S.L. SERVICES CLUB INCORPORATED</t>
  </si>
  <si>
    <t>BROTHERS LEAGUES CLUB IPSWICH LIMITED</t>
  </si>
  <si>
    <t>BRISBANE BRONCOS LEAGUES CLUB LIMITED</t>
  </si>
  <si>
    <t>KEPERRA</t>
  </si>
  <si>
    <t>ARANA LEAGUES CLUB LIMITED</t>
  </si>
  <si>
    <t>Total Approved EGMs:</t>
  </si>
  <si>
    <t>Total sites: 1075</t>
  </si>
  <si>
    <t>Approved EGMs</t>
  </si>
  <si>
    <t>Census</t>
  </si>
  <si>
    <t>Statistical Area 2</t>
  </si>
  <si>
    <t>Local Government Area</t>
  </si>
  <si>
    <t>Statistical Area 4</t>
  </si>
  <si>
    <t>Site name</t>
  </si>
  <si>
    <t>All gaming sites</t>
  </si>
  <si>
    <t>Published: 26 July 2024</t>
  </si>
  <si>
    <t>Club</t>
  </si>
  <si>
    <t>City of Manningham</t>
  </si>
  <si>
    <t>Metro</t>
  </si>
  <si>
    <t>YARRA VALLEY COUNTRY CLUB</t>
  </si>
  <si>
    <t>Hotel</t>
  </si>
  <si>
    <t>City of Greater Dandenong</t>
  </si>
  <si>
    <t>THE JIM DANDY HOTEL</t>
  </si>
  <si>
    <t>City of Glen Eira</t>
  </si>
  <si>
    <t>SOUTH OAKLEIGH CLUB</t>
  </si>
  <si>
    <t>City of Yarra</t>
  </si>
  <si>
    <t>PUNTERS PALACE</t>
  </si>
  <si>
    <t>City of Bayside</t>
  </si>
  <si>
    <t>MILANO'S HOTEL</t>
  </si>
  <si>
    <t>City of Maroondah</t>
  </si>
  <si>
    <t>MAROONDAH SPORTS CLUB</t>
  </si>
  <si>
    <t>CLUB HOTEL</t>
  </si>
  <si>
    <t>BENTLEIGH CLUB</t>
  </si>
  <si>
    <t>City of Melbourne</t>
  </si>
  <si>
    <t>BATMAN'S HILL ON COLLINS</t>
  </si>
  <si>
    <t>City of Stonnington</t>
  </si>
  <si>
    <t>ANGEL TAVERN</t>
  </si>
  <si>
    <t>HAMPTON BOWLS CLUB</t>
  </si>
  <si>
    <t>EASTWOOD GOLF CLUB</t>
  </si>
  <si>
    <t>City of Darebin</t>
  </si>
  <si>
    <t>FURLAN CLUB</t>
  </si>
  <si>
    <t>Rural City of Mildura</t>
  </si>
  <si>
    <t>Country</t>
  </si>
  <si>
    <t>OUYEN CLUB</t>
  </si>
  <si>
    <t>MARINE HOTEL</t>
  </si>
  <si>
    <t>City of Warrnambool</t>
  </si>
  <si>
    <t>FLYING HORSE BAR AND BREWERY</t>
  </si>
  <si>
    <t>Shire of Towong</t>
  </si>
  <si>
    <t>CORRYONG SPORTING COMPLEX</t>
  </si>
  <si>
    <t>Shire of Bass Coast</t>
  </si>
  <si>
    <t>WONTHAGGI GOLF CLUB</t>
  </si>
  <si>
    <t>City of Greater Shepparton</t>
  </si>
  <si>
    <t>HILL TOP GOLF AND COUNTRY CLUB</t>
  </si>
  <si>
    <t>City of Kingston</t>
  </si>
  <si>
    <t>MENTONE RSL</t>
  </si>
  <si>
    <t>Shire of Surf Coast</t>
  </si>
  <si>
    <t>LORNE HOTEL</t>
  </si>
  <si>
    <t>City of Greater Geelong</t>
  </si>
  <si>
    <t>BELL PARK SPORT &amp; RECREATION CLUB</t>
  </si>
  <si>
    <t>ANGLESEA GOLF CLUB</t>
  </si>
  <si>
    <t>City of Wyndham</t>
  </si>
  <si>
    <t>CLUB TARNEIT</t>
  </si>
  <si>
    <t>THE BRASS MONKEY ON LONSDALE</t>
  </si>
  <si>
    <t>City of Port Phillip</t>
  </si>
  <si>
    <t>GROSVENOR HOTEL</t>
  </si>
  <si>
    <t>Shire of Wellington</t>
  </si>
  <si>
    <t>LAKESIDE CLUB</t>
  </si>
  <si>
    <t>Shire of Yarra Ranges</t>
  </si>
  <si>
    <t>TERMINUS HOTEL</t>
  </si>
  <si>
    <t>Shire of Mornington Peninsula</t>
  </si>
  <si>
    <t>ROSEBUD COUNTRY CLUB</t>
  </si>
  <si>
    <t>MILDURA GOLF CLUB</t>
  </si>
  <si>
    <t>City of Brimbank</t>
  </si>
  <si>
    <t>SUNSHINE CITY CLUB</t>
  </si>
  <si>
    <t>Shire of Colac-Otway</t>
  </si>
  <si>
    <t>COLAC RSL</t>
  </si>
  <si>
    <t>Shire of East Gippsland</t>
  </si>
  <si>
    <t>THE ORBOST CLUB</t>
  </si>
  <si>
    <t>Shire of South Gippsland</t>
  </si>
  <si>
    <t>FOSTER GOLF CLUB</t>
  </si>
  <si>
    <t>THE ELSTERNWICK CLUB</t>
  </si>
  <si>
    <t>City of Hume</t>
  </si>
  <si>
    <t>SUNBURY SOCIAL CLUB</t>
  </si>
  <si>
    <t>City of Latrobe</t>
  </si>
  <si>
    <t>NEWBOROUGH BOWLING CLUB</t>
  </si>
  <si>
    <t>COLAC BOWLING CLUB</t>
  </si>
  <si>
    <t>BAIRNSDALE CLUB</t>
  </si>
  <si>
    <t>Shire of Campaspe</t>
  </si>
  <si>
    <t>ECHUCA HOTEL</t>
  </si>
  <si>
    <t>CITY BOWLS CLUB COLAC</t>
  </si>
  <si>
    <t>Shire of Corangamite</t>
  </si>
  <si>
    <t>COBDEN GOLF CLUB</t>
  </si>
  <si>
    <t>MOE HOTEL</t>
  </si>
  <si>
    <t>Rural City of Benalla</t>
  </si>
  <si>
    <t>BENALLA GOLF CLUB</t>
  </si>
  <si>
    <t>Shire of Glenelg</t>
  </si>
  <si>
    <t>PORTLAND FOOTBALL NETBALL CRICKET CLUB</t>
  </si>
  <si>
    <t>Shire of Alpine</t>
  </si>
  <si>
    <t>MYRTLEFORD SAVOY SPORTING CLUB</t>
  </si>
  <si>
    <t>KIRKPATRICKS HOTEL</t>
  </si>
  <si>
    <t>City of Moreland</t>
  </si>
  <si>
    <t>THE BRUNSWICK CLUB</t>
  </si>
  <si>
    <t>Borough of Queenscliffe</t>
  </si>
  <si>
    <t>QUEENSCLIFF BOWLING TENNIS AND CROQUET C</t>
  </si>
  <si>
    <t>City of Knox</t>
  </si>
  <si>
    <t>FERNTREE GULLY BOWLING CLUB</t>
  </si>
  <si>
    <t>WARRNAMBOOL RSL</t>
  </si>
  <si>
    <t>FAWKNER RSL</t>
  </si>
  <si>
    <t>Shire of Moorabool</t>
  </si>
  <si>
    <t>BACCHUS MARSH GOLF CLUB</t>
  </si>
  <si>
    <t>MCCARTINS HOTEL</t>
  </si>
  <si>
    <t>MERBEIN CITIZENS CLUB</t>
  </si>
  <si>
    <t>Rural City of Ararat</t>
  </si>
  <si>
    <t>CHALAMBAR GOLF CLUB</t>
  </si>
  <si>
    <t>Rural City of Swan Hill</t>
  </si>
  <si>
    <t>SWAN HILL RSL</t>
  </si>
  <si>
    <t>ESPLANADE HOTEL (INVERLOCH)</t>
  </si>
  <si>
    <t>City of Greater Bendigo</t>
  </si>
  <si>
    <t>THE FOUNDRY HOTEL COMPLEX</t>
  </si>
  <si>
    <t>Shire of Hepburn</t>
  </si>
  <si>
    <t>DAYLESFORD BOWLING CLUB</t>
  </si>
  <si>
    <t>City of Banyule</t>
  </si>
  <si>
    <t>WEST HEIDELBERG RSL</t>
  </si>
  <si>
    <t>MITCHELL RIVER TAVERN</t>
  </si>
  <si>
    <t>GRAND ON DEAKIN</t>
  </si>
  <si>
    <t>AMERICAN HOTEL</t>
  </si>
  <si>
    <t>Rural City of Wangaratta</t>
  </si>
  <si>
    <t>WANGARATTA CLUB</t>
  </si>
  <si>
    <t>UPPER YARRA RSL</t>
  </si>
  <si>
    <t>MORWELL CLUB</t>
  </si>
  <si>
    <t>Shire of Murrindindi</t>
  </si>
  <si>
    <t>RUBICON HOTEL</t>
  </si>
  <si>
    <t>Shire of Northern Grampians</t>
  </si>
  <si>
    <t>ST ARNAUD SPORTING CLUB</t>
  </si>
  <si>
    <t>Shire of Macedon Ranges</t>
  </si>
  <si>
    <t>KYNETON BOWLING CLUB</t>
  </si>
  <si>
    <t>Shire of Mansfield</t>
  </si>
  <si>
    <t>MANSFIELD GOLF CLUB</t>
  </si>
  <si>
    <t>MORWELL HOTEL</t>
  </si>
  <si>
    <t>FRECCIA AZZURRA CLUB</t>
  </si>
  <si>
    <t>ELSTERNWICK HOTEL</t>
  </si>
  <si>
    <t>THE SALE RSL &amp; COMMUNITY SUB-BRANCH</t>
  </si>
  <si>
    <t>MONBULK BOWLING CLUB</t>
  </si>
  <si>
    <t>ST KILDA FOOTBALL SOCIAL CLUB</t>
  </si>
  <si>
    <t>STAR HOTEL BRIGHT</t>
  </si>
  <si>
    <t>POLISH COMMUNITY ASSOC IN GEELONG</t>
  </si>
  <si>
    <t>GORDON HOTEL</t>
  </si>
  <si>
    <t>City of Hobsons Bay</t>
  </si>
  <si>
    <t>ALTONA BOWLING CLUB</t>
  </si>
  <si>
    <t>City of Ballarat</t>
  </si>
  <si>
    <t>GEORGE HOTEL</t>
  </si>
  <si>
    <t>SWAN HILL CLUB</t>
  </si>
  <si>
    <t>DICK WHITTINGTON TAVERN</t>
  </si>
  <si>
    <t>ABRUZZO CLUB</t>
  </si>
  <si>
    <t>GOLF HOUSE HOTEL</t>
  </si>
  <si>
    <t>City of Maribyrnong</t>
  </si>
  <si>
    <t>YARRAVILLE-FOOTSCRAY BOWLING CLUB</t>
  </si>
  <si>
    <t>Shire of Central Goldfields</t>
  </si>
  <si>
    <t>MARYBOROUGH GOLF CLUB</t>
  </si>
  <si>
    <t>Rural City of Horsham</t>
  </si>
  <si>
    <t>WEST SIDE HORSHAM</t>
  </si>
  <si>
    <t>ROYAL HOTEL (DAYLESFORD)</t>
  </si>
  <si>
    <t>City of Frankston</t>
  </si>
  <si>
    <t>SEAFORD RSL</t>
  </si>
  <si>
    <t>RACECOURSE HOTEL (MALVERN EAST)</t>
  </si>
  <si>
    <t>MONTMORENCY RSL</t>
  </si>
  <si>
    <t>PORTLAND RSL MEMORIAL BOWLING CLUB</t>
  </si>
  <si>
    <t>CITY FAMILY HOTEL</t>
  </si>
  <si>
    <t>KARINGAL BOWLING CLUB</t>
  </si>
  <si>
    <t>City of Whittlesea</t>
  </si>
  <si>
    <t>LALOR BOWLING CLUB</t>
  </si>
  <si>
    <t>THE BEACH</t>
  </si>
  <si>
    <t>Rural City of Wodonga</t>
  </si>
  <si>
    <t>BIRALLEE TAVERN</t>
  </si>
  <si>
    <t>KORUMBURRA HOTEL</t>
  </si>
  <si>
    <t>RAFFERTY'S TAVERN</t>
  </si>
  <si>
    <t>CHELTENHAM MOORABBIN RSL</t>
  </si>
  <si>
    <t>ROBIN HOOD HOTEL</t>
  </si>
  <si>
    <t>Shire of Baw Baw</t>
  </si>
  <si>
    <t>CLUB HOTEL (WARRAGUL)</t>
  </si>
  <si>
    <t>CLAYTON BOWLS CLUB</t>
  </si>
  <si>
    <t>HASTINGS CRICKET &amp; FOOTBALL SOCIAL CLUB</t>
  </si>
  <si>
    <t>STAR HOTEL (SALE)</t>
  </si>
  <si>
    <t>PEPPERMILL INN HOTEL MOTEL</t>
  </si>
  <si>
    <t>BROADMEADOWS SPORTING CLUB</t>
  </si>
  <si>
    <t>BLAZING STUMP HOTEL</t>
  </si>
  <si>
    <t>RIFLE CLUB HOTEL</t>
  </si>
  <si>
    <t>HORSHAM RSL</t>
  </si>
  <si>
    <t>Shire of Gannawarra</t>
  </si>
  <si>
    <t>KERANG SPORTS AND ENTERTAINMENT VENUE</t>
  </si>
  <si>
    <t>CHIRNSIDE PARK COUNTRY CLUB</t>
  </si>
  <si>
    <t>Shire of Strathbogie</t>
  </si>
  <si>
    <t>NAGAMBIE LAKES ENTERTAINMENT CENTRE</t>
  </si>
  <si>
    <t>DANDENONG WORKERS SOCIAL CLUB</t>
  </si>
  <si>
    <t>SPORTSPARK GAMING AND ENTERTAINMENT CENT</t>
  </si>
  <si>
    <t>PASCOE VALE RSL</t>
  </si>
  <si>
    <t>GREENSBOROUGH HOTEL</t>
  </si>
  <si>
    <t>City of Casey</t>
  </si>
  <si>
    <t>TOORADIN &amp; DISTRICT SPORTS CLUB</t>
  </si>
  <si>
    <t>Shire of Moira</t>
  </si>
  <si>
    <t>NUMURKAH GOLF &amp; BOWLS CLUB</t>
  </si>
  <si>
    <t>KYNETON RSL</t>
  </si>
  <si>
    <t>THE OLD TOWN 'N' COUNTRY TAVERN</t>
  </si>
  <si>
    <t>BAIRNSDALE BOWLS CLUB</t>
  </si>
  <si>
    <t>LAKES ENTRANCE RSL</t>
  </si>
  <si>
    <t>Shire of Cardinia</t>
  </si>
  <si>
    <t>CARDINIA PARK HOTEL</t>
  </si>
  <si>
    <t>PENINSULA CLUB</t>
  </si>
  <si>
    <t>PARKVIEW HOTEL</t>
  </si>
  <si>
    <t>HEALESVILLE RSL</t>
  </si>
  <si>
    <t>COMMERCIAL HOTEL (SWAN HILL)</t>
  </si>
  <si>
    <t>SUNBURY UNITED SPORTING CLUB</t>
  </si>
  <si>
    <t>ROYAL HOTEL (BENALLA)</t>
  </si>
  <si>
    <t>WANGARATTA RSL</t>
  </si>
  <si>
    <t>Shire of Southern Grampians</t>
  </si>
  <si>
    <t>ALEXANDRA HOUSE SPORTS CLUB</t>
  </si>
  <si>
    <t>HIGHETT RETURNED &amp; SERVICES CLUB</t>
  </si>
  <si>
    <t>City of Moonee Valley</t>
  </si>
  <si>
    <t>THE MOONEE PONDS CLUB</t>
  </si>
  <si>
    <t>MIDLANDS GOLF CLUB</t>
  </si>
  <si>
    <t>VALLEY INN HOTEL</t>
  </si>
  <si>
    <t>RYE HOTEL</t>
  </si>
  <si>
    <t>CAULFIELD RSL</t>
  </si>
  <si>
    <t>TRARALGON RSL</t>
  </si>
  <si>
    <t>LARA SPORTING CLUB</t>
  </si>
  <si>
    <t>BENALLA BOWLS CLUB</t>
  </si>
  <si>
    <t>MORNINGTON ON TANTI HOTEL</t>
  </si>
  <si>
    <t>WERRIBEE RSL</t>
  </si>
  <si>
    <t>THE YARRAM COUNTRY CLUB</t>
  </si>
  <si>
    <t>HEADQUARTERS TAVERN</t>
  </si>
  <si>
    <t>COMMERCIAL HOTEL (CAMPERDOWN)</t>
  </si>
  <si>
    <t>THE BENDIGO CLUB</t>
  </si>
  <si>
    <t>NEW BAY HOTEL</t>
  </si>
  <si>
    <t>WARRNAMBOOL FOOTBALL CLUB SOCIAL CLUB</t>
  </si>
  <si>
    <t>GRAND TERMINUS HOTEL</t>
  </si>
  <si>
    <t>City of Boroondara</t>
  </si>
  <si>
    <t>TOWER HOTEL</t>
  </si>
  <si>
    <t>THE BAY &amp; BRIDGE HOTEL</t>
  </si>
  <si>
    <t>ACES SPORTING CLUB</t>
  </si>
  <si>
    <t>LEONGATHA RSL</t>
  </si>
  <si>
    <t>BALLARAT GOLF CLUB</t>
  </si>
  <si>
    <t>LARA HOTEL</t>
  </si>
  <si>
    <t>ST GEORGE WORKERS CLUB</t>
  </si>
  <si>
    <t>City of Whitehorse</t>
  </si>
  <si>
    <t>BOX HILL GOLF CLUB</t>
  </si>
  <si>
    <t>THE BOROUGH CLUB</t>
  </si>
  <si>
    <t>STAWELL HARNESS RACING CLUB</t>
  </si>
  <si>
    <t>FYANSFORD HOTEL</t>
  </si>
  <si>
    <t>KANGAROO FLAT SPORTS CLUB</t>
  </si>
  <si>
    <t>BALLARAT LEAGUES CLUB</t>
  </si>
  <si>
    <t>KEILOR EAST RSL</t>
  </si>
  <si>
    <t>RED CLIFFS CLUB</t>
  </si>
  <si>
    <t>ST KILDA ARMY &amp; NAVY CLUB</t>
  </si>
  <si>
    <t>VINE HOTEL RICHMOND</t>
  </si>
  <si>
    <t>Shire of Mount Alexander</t>
  </si>
  <si>
    <t>CUMBERLAND HOTEL</t>
  </si>
  <si>
    <t>MALVERNVALE HOTEL</t>
  </si>
  <si>
    <t>UNION CLUB HOTEL</t>
  </si>
  <si>
    <t>VILLAGE BELLE HOTEL</t>
  </si>
  <si>
    <t>MOOROOPNA GOLF CLUB</t>
  </si>
  <si>
    <t>THE BRIDGE HOTEL</t>
  </si>
  <si>
    <t>DAVA HOTEL</t>
  </si>
  <si>
    <t>THE RICHMOND HENTY HOTEL, PORTLAND</t>
  </si>
  <si>
    <t>MORDIALLOC SPORTING CLUB</t>
  </si>
  <si>
    <t>MCKINNON HOTEL</t>
  </si>
  <si>
    <t>MOE RSL CLUB</t>
  </si>
  <si>
    <t>CRANBOURNE SILKS</t>
  </si>
  <si>
    <t>PLAYERS HOTEL</t>
  </si>
  <si>
    <t>NORTHCOTE PARK FOOTBALL CLUB</t>
  </si>
  <si>
    <t>OLINDA CREEK HOTEL</t>
  </si>
  <si>
    <t>MANNINGHAM CLUB</t>
  </si>
  <si>
    <t>THE VIC INN</t>
  </si>
  <si>
    <t>RIVIERA HOTEL</t>
  </si>
  <si>
    <t>AUSTRALIAN CROATIAN NATIONAL HALL</t>
  </si>
  <si>
    <t>BELL'S HOTEL</t>
  </si>
  <si>
    <t>FERNTREE GULLY HOTEL</t>
  </si>
  <si>
    <t>Shire of Nillumbik</t>
  </si>
  <si>
    <t>ELTHAM HOTEL</t>
  </si>
  <si>
    <t>FAMILY HOTEL</t>
  </si>
  <si>
    <t>MOONEE VALLEY RACING CLUB</t>
  </si>
  <si>
    <t>RIVERSDALE HOTEL</t>
  </si>
  <si>
    <t>WARRNAMBOOL BOWLS CLUB</t>
  </si>
  <si>
    <t>NOBLE PARK RSL</t>
  </si>
  <si>
    <t>COBRAM HOTEL</t>
  </si>
  <si>
    <t>MAFFRA COMMUNITY SPORTS CLUB</t>
  </si>
  <si>
    <t>WHALERS HOTEL</t>
  </si>
  <si>
    <t>Shire of Mitchell</t>
  </si>
  <si>
    <t>SEYMOUR CLUB</t>
  </si>
  <si>
    <t>GREAT WESTERN HOTEL</t>
  </si>
  <si>
    <t>BAIRNSDALE SPORTING AND CONVENTION CENTR</t>
  </si>
  <si>
    <t>KOORINGAL GOLF CLUB</t>
  </si>
  <si>
    <t>COURT HOUSE HOTEL (FOOTSCRAY)</t>
  </si>
  <si>
    <t>STONEYS CLUB</t>
  </si>
  <si>
    <t>SUNSHINE RSL</t>
  </si>
  <si>
    <t>LINCOLNSHIRE ARMS HOTEL</t>
  </si>
  <si>
    <t>ITALIAN AUSTRALIAN SPORTING AND SOCIAL C</t>
  </si>
  <si>
    <t>ROSE SHAMROCK &amp; THISTLE HOTEL</t>
  </si>
  <si>
    <t>WHITTLESEA BOWLS CLUB</t>
  </si>
  <si>
    <t>ROBINVALE GOLF CLUB</t>
  </si>
  <si>
    <t>MORWELL RSL</t>
  </si>
  <si>
    <t>KYABRAM CLUB</t>
  </si>
  <si>
    <t>PINSENT HOTEL</t>
  </si>
  <si>
    <t>BRIGHTON BEACH HOTEL</t>
  </si>
  <si>
    <t>THE RICHMOND SOCIAL</t>
  </si>
  <si>
    <t>PRESTON HOTEL</t>
  </si>
  <si>
    <t>WANTIRNA HILL CLUB</t>
  </si>
  <si>
    <t>THE LAKES ENTERTAINMENT CENTRE</t>
  </si>
  <si>
    <t>City of Monash</t>
  </si>
  <si>
    <t>FORESTERS ARMS HOTEL</t>
  </si>
  <si>
    <t>THE PINK HILL HOTEL</t>
  </si>
  <si>
    <t>DROMANA HOTEL</t>
  </si>
  <si>
    <t>ALBION CHARLES HOTEL</t>
  </si>
  <si>
    <t>RINGWOOD RSL</t>
  </si>
  <si>
    <t>JOKERS ON RYRIE</t>
  </si>
  <si>
    <t>LAKES ENTRANCE BOWLS CLUB</t>
  </si>
  <si>
    <t>WHEELERS HILL HOTEL</t>
  </si>
  <si>
    <t>CLUB HOTEL (FERNTREE GULLY)</t>
  </si>
  <si>
    <t>RESERVOIR RSL</t>
  </si>
  <si>
    <t>ALTONA RSL</t>
  </si>
  <si>
    <t>GRAND CENTRAL HOTEL (HAMILTON)</t>
  </si>
  <si>
    <t>LEOPOLD SPORTSMANS CLUB</t>
  </si>
  <si>
    <t>SHANGHAI CLUB</t>
  </si>
  <si>
    <t>VENETO CLUB</t>
  </si>
  <si>
    <t>PALACE HOTEL</t>
  </si>
  <si>
    <t>NORTH BALLARAT SPORTS CLUB</t>
  </si>
  <si>
    <t>MAC'S HOTEL (WARRNAMBOOL)</t>
  </si>
  <si>
    <t>CLAYTON RSL</t>
  </si>
  <si>
    <t>WANTIRNA CLUB</t>
  </si>
  <si>
    <t>ALTONA SPORTS CLUB</t>
  </si>
  <si>
    <t>RAILWAY CLUB HOTEL</t>
  </si>
  <si>
    <t>ECHUCA WORKERS AND SERVICES CLUB</t>
  </si>
  <si>
    <t>CLIFTON SPRINGS GOLF CLUB</t>
  </si>
  <si>
    <t>WONTHAGGI WORKMEN'S CLUB</t>
  </si>
  <si>
    <t>EDITHVALE - CHELSEA RSL</t>
  </si>
  <si>
    <t>THE REX</t>
  </si>
  <si>
    <t>SEBASTOPOL BOWLING CLUB</t>
  </si>
  <si>
    <t>SUNBURY BOWLING CLUB</t>
  </si>
  <si>
    <t>CROXTON PARK HOTEL</t>
  </si>
  <si>
    <t>CITY MEMORIAL BOWLS CLUB</t>
  </si>
  <si>
    <t>KINGS CREEK HOTEL</t>
  </si>
  <si>
    <t>MONASH HOTEL</t>
  </si>
  <si>
    <t>RACECOURSE HOTEL (WERRIBEE)</t>
  </si>
  <si>
    <t>OAKLEIGH JUNCTION HOTEL</t>
  </si>
  <si>
    <t>CLUB RINGWOOD</t>
  </si>
  <si>
    <t>JUNCTION HOTEL</t>
  </si>
  <si>
    <t>OCEAN GROVE BOWLING CLUB</t>
  </si>
  <si>
    <t>CLUB LEEDS</t>
  </si>
  <si>
    <t>ROYAL OAK RICHMOND</t>
  </si>
  <si>
    <t>THE PRINCE OF WALES HOTEL - RICHMOND</t>
  </si>
  <si>
    <t>WESTERNPORT HOTEL</t>
  </si>
  <si>
    <t>The CAMDEN TOWN HOTEL</t>
  </si>
  <si>
    <t>CROSS KEYS HOTEL</t>
  </si>
  <si>
    <t>PIER HOTEL</t>
  </si>
  <si>
    <t>ARARAT RSL</t>
  </si>
  <si>
    <t>DAREBIN RSL</t>
  </si>
  <si>
    <t>LONG BEACH HOTEL</t>
  </si>
  <si>
    <t>SANDRINGHAM HOTEL</t>
  </si>
  <si>
    <t>TANKERVILLE ARMS HOTEL</t>
  </si>
  <si>
    <t>SHAMROCK HOTEL</t>
  </si>
  <si>
    <t>TUDOR INN HOTEL</t>
  </si>
  <si>
    <t>RYE RSL CLUB</t>
  </si>
  <si>
    <t>BAKERS ARMS HOTEL</t>
  </si>
  <si>
    <t>COURT HOUSE HOTEL (BACCHUS MARSH)</t>
  </si>
  <si>
    <t>BROWNS CORNER</t>
  </si>
  <si>
    <t>SOMERVILLE HOTEL</t>
  </si>
  <si>
    <t>CHELSEA HEIGHTS HOTEL</t>
  </si>
  <si>
    <t>PASCOE VALE TAVERNER HOTEL</t>
  </si>
  <si>
    <t>HOPPERS CROSSING SPORTS CLUB</t>
  </si>
  <si>
    <t>ST ALBANS SPORTS CLUB</t>
  </si>
  <si>
    <t>VICTORIAN TAVERN</t>
  </si>
  <si>
    <t>MVRC JUNCTION CLUB</t>
  </si>
  <si>
    <t>YORK ON LILYDALE TAVERNER RESORT</t>
  </si>
  <si>
    <t>DIAMOND CREEK HOTEL</t>
  </si>
  <si>
    <t>WAVERLEY RSL CLUB</t>
  </si>
  <si>
    <t>CROWN HOTEL</t>
  </si>
  <si>
    <t>GEELONG RSL</t>
  </si>
  <si>
    <t>PRAHRAN FOOTBALL SOCIAL CLUB</t>
  </si>
  <si>
    <t>MORWELL BOWLING CLUB</t>
  </si>
  <si>
    <t>GREENSBOROUGH RSL</t>
  </si>
  <si>
    <t>GREEN GULLY SOCCER CLUB</t>
  </si>
  <si>
    <t>NOBLE PARK FOOTBALL SOCIAL CLUB</t>
  </si>
  <si>
    <t>GRAND HOTEL (FRANKSTON)</t>
  </si>
  <si>
    <t>KEILOR HOTEL</t>
  </si>
  <si>
    <t>GOULBURN VALLEY HOTEL</t>
  </si>
  <si>
    <t>GLENROY RSL</t>
  </si>
  <si>
    <t>THE COACH AND HORSES</t>
  </si>
  <si>
    <t>BALLARAT &amp; DISTRICT TROTTING CLUB</t>
  </si>
  <si>
    <t>EPPING RSL</t>
  </si>
  <si>
    <t>PENINSULA HOTEL MOTEL</t>
  </si>
  <si>
    <t>GATEWAY HOTEL</t>
  </si>
  <si>
    <t>CRAIG'S ROYAL HOTEL</t>
  </si>
  <si>
    <t>WESTMEADOWS TAVERN</t>
  </si>
  <si>
    <t>MARYBOROUGH HIGHLAND SOCIETY</t>
  </si>
  <si>
    <t>THE ROYAL HOTEL FERNTREE GULLY</t>
  </si>
  <si>
    <t>ESSENDON FOOTBALL &amp; COMMUNITY SPORTING C</t>
  </si>
  <si>
    <t>ELGIN'S</t>
  </si>
  <si>
    <t>SPRINGVALE RSL CLUB</t>
  </si>
  <si>
    <t>GRAND JUNCTION HOTEL</t>
  </si>
  <si>
    <t>PORTARLINGTON GOLF CLUB</t>
  </si>
  <si>
    <t>CASTELLO'S CARDINIA HOTEL</t>
  </si>
  <si>
    <t>ROSEBUD RSL</t>
  </si>
  <si>
    <t>MITCHAM HOTEL</t>
  </si>
  <si>
    <t>OLIVE TREE HOTEL</t>
  </si>
  <si>
    <t>COOLAROO TAVERNER</t>
  </si>
  <si>
    <t>BENDIGO STADIUM</t>
  </si>
  <si>
    <t>SEAGULLS NEST</t>
  </si>
  <si>
    <t>WONTHAGGI CLUB</t>
  </si>
  <si>
    <t>MILDURA RSL</t>
  </si>
  <si>
    <t>PAKENHAM HOTEL</t>
  </si>
  <si>
    <t>HOPPERS CROSSING CLUB</t>
  </si>
  <si>
    <t>WINDERMERE HOTEL</t>
  </si>
  <si>
    <t>THE CLAYTON HOTEL</t>
  </si>
  <si>
    <t>THE INTERNATIONAL</t>
  </si>
  <si>
    <t>TRARALGON BOWLS CLUB</t>
  </si>
  <si>
    <t>PLAYERS ON LYGON</t>
  </si>
  <si>
    <t>CLUB OFFICER</t>
  </si>
  <si>
    <t>KILMORE TRACKSIDE</t>
  </si>
  <si>
    <t>HOGANS HOTEL</t>
  </si>
  <si>
    <t>POWELL HOTEL</t>
  </si>
  <si>
    <t>SHERBOURNE TERRACE</t>
  </si>
  <si>
    <t>SHEPPARTON CLUB</t>
  </si>
  <si>
    <t>DUKE OF EDINBURGH</t>
  </si>
  <si>
    <t>LORD OF THE ISLES TAVERN</t>
  </si>
  <si>
    <t>BAIRNSDALE RSL</t>
  </si>
  <si>
    <t>CLUB ITALIA SPORTING CLUB</t>
  </si>
  <si>
    <t>WARRAGUL CLUB</t>
  </si>
  <si>
    <t>SALE &amp; DISTRICT GREYHOUND RACING CLUB</t>
  </si>
  <si>
    <t>CHERRY HILL TAVERN</t>
  </si>
  <si>
    <t>ROYAL HOTEL (SUNBURY)</t>
  </si>
  <si>
    <t>BAXTER TAVERN HOTEL MOTEL</t>
  </si>
  <si>
    <t>MORELAND HOTEL</t>
  </si>
  <si>
    <t>ITALIAN SPORTS CLUB OF WERRIBEE</t>
  </si>
  <si>
    <t>BLUE BELL HOTEL</t>
  </si>
  <si>
    <t>HORSHAM SPORTS &amp; COMMUNITY CLUB</t>
  </si>
  <si>
    <t>CASA D'ABRUZZO CLUB</t>
  </si>
  <si>
    <t>PHILLIP ISLAND RSL</t>
  </si>
  <si>
    <t>WARRAGUL COUNTRY CLUB</t>
  </si>
  <si>
    <t>LOWER PLENTY HOTEL</t>
  </si>
  <si>
    <t>YARRAVILLE CLUB</t>
  </si>
  <si>
    <t>CLUB LAVERTON</t>
  </si>
  <si>
    <t>HARP OF ERIN HOTEL</t>
  </si>
  <si>
    <t>WATSONIA RSL</t>
  </si>
  <si>
    <t>MILDURA WORKING MANS SPORTS &amp; SOCIAL CLU</t>
  </si>
  <si>
    <t>VICTORIA HOTEL (SHEPPARTON)</t>
  </si>
  <si>
    <t>HIGHPOINT TAVERNER</t>
  </si>
  <si>
    <t>KNOX TAVERN</t>
  </si>
  <si>
    <t>Shire of Melton</t>
  </si>
  <si>
    <t>MELTON COUNTRY CLUB</t>
  </si>
  <si>
    <t>CLUB KILSYTH</t>
  </si>
  <si>
    <t>SPORTING LEGENDS CLUB</t>
  </si>
  <si>
    <t>ROYAL HOTEL (ESSENDON)</t>
  </si>
  <si>
    <t>BLACKBURN HOTEL</t>
  </si>
  <si>
    <t>AMSTEL GOLF CLUB</t>
  </si>
  <si>
    <t>THE PHOENIX HOTEL</t>
  </si>
  <si>
    <t>DERRIMUT HOTEL</t>
  </si>
  <si>
    <t>THE COVE HOTEL</t>
  </si>
  <si>
    <t>BOUNDARY TAVERNER</t>
  </si>
  <si>
    <t>MOE RACING CLUB</t>
  </si>
  <si>
    <t>LANGWARRIN HOTEL</t>
  </si>
  <si>
    <t>BERWICK INN TAVERNER</t>
  </si>
  <si>
    <t>WAURN PONDS HOTEL</t>
  </si>
  <si>
    <t>NORLANE HOTEL</t>
  </si>
  <si>
    <t>MOUNTAIN VIEW HOTEL</t>
  </si>
  <si>
    <t>DANDENONG RSL</t>
  </si>
  <si>
    <t>COURT JESTER HOTEL</t>
  </si>
  <si>
    <t>SIR HENRY BARKLY HOTEL</t>
  </si>
  <si>
    <t>THE VALE HOTEL</t>
  </si>
  <si>
    <t>TEMPLESTOWE HOTEL</t>
  </si>
  <si>
    <t>SHELL CLUB</t>
  </si>
  <si>
    <t>MANHATTAN HOTEL</t>
  </si>
  <si>
    <t>KNOX CLUB</t>
  </si>
  <si>
    <t>WERRIBEE PLAZA TAVERN</t>
  </si>
  <si>
    <t>MVRC LEIGHOAK CLUB</t>
  </si>
  <si>
    <t>SHEPPARTON RSL</t>
  </si>
  <si>
    <t>GOLDEN NUGGET</t>
  </si>
  <si>
    <t>DRUMS HOTEL</t>
  </si>
  <si>
    <t>BENTLEIGH RSL</t>
  </si>
  <si>
    <t>ASHLEY HOTEL</t>
  </si>
  <si>
    <t>BRAYBROOK HOTEL</t>
  </si>
  <si>
    <t>TABCORP PARK</t>
  </si>
  <si>
    <t>GLENGALA HOTEL</t>
  </si>
  <si>
    <t>BENDIGO DISTRICT RSL CLUB</t>
  </si>
  <si>
    <t>SPHINX ENTERTAINMENT CENTRE</t>
  </si>
  <si>
    <t>WESTSIDE TAVERNER</t>
  </si>
  <si>
    <t>GEELONG COMBINED LEAGUES CLUB</t>
  </si>
  <si>
    <t>BURVALE HOTEL</t>
  </si>
  <si>
    <t>CARDINIA CLUB</t>
  </si>
  <si>
    <t>IVANHOE HOTEL</t>
  </si>
  <si>
    <t>GOLDEN FLEECE HOTEL (MELTON)</t>
  </si>
  <si>
    <t>THE BROOK ON SNEYDES</t>
  </si>
  <si>
    <t>CAULFIELD GLASSHOUSE</t>
  </si>
  <si>
    <t>EPPING HOTEL</t>
  </si>
  <si>
    <t>CROYDON HOTEL</t>
  </si>
  <si>
    <t>OLYMPIC HOTEL</t>
  </si>
  <si>
    <t>FIRST &amp; LAST HOTEL</t>
  </si>
  <si>
    <t>NEWMARKET TAVERN</t>
  </si>
  <si>
    <t>BAYSWATER HOTEL</t>
  </si>
  <si>
    <t>GRAND HOTEL (MORNINGTON)</t>
  </si>
  <si>
    <t>ROYAL OAK HOTEL</t>
  </si>
  <si>
    <t>DANDENONG CLUB</t>
  </si>
  <si>
    <t>MEADOW INN HOTEL</t>
  </si>
  <si>
    <t>BORONIA CLUB HOTEL</t>
  </si>
  <si>
    <t>STEEPLES</t>
  </si>
  <si>
    <t>ZAGAME'S CAULFIELD CLUB HOTEL</t>
  </si>
  <si>
    <t>CRAMERS HOTEL</t>
  </si>
  <si>
    <t>SANCTUARY LAKES HOTEL</t>
  </si>
  <si>
    <t>MATTHEW FLINDERS TAVERNER</t>
  </si>
  <si>
    <t>SANDS TAVERNER</t>
  </si>
  <si>
    <t>LYNBROOK HOTEL</t>
  </si>
  <si>
    <t>BOX HILL RSL</t>
  </si>
  <si>
    <t>FRANKSTON RSL</t>
  </si>
  <si>
    <t>VILLAGE GREEN HOTEL</t>
  </si>
  <si>
    <t>MULGRAVE COUNTRY CLUB</t>
  </si>
  <si>
    <t>GROVEDALE HOTEL</t>
  </si>
  <si>
    <t>THE MEETING PLACE</t>
  </si>
  <si>
    <t>ST ALBANS HOTEL</t>
  </si>
  <si>
    <t>CRAIGIEBURN SPORTING CLUB</t>
  </si>
  <si>
    <t>MILLERS INN HOTEL</t>
  </si>
  <si>
    <t>OLD ENGLAND HOTEL</t>
  </si>
  <si>
    <t>VEGAS AT WAVERLEY GARDENS</t>
  </si>
  <si>
    <t>SYLVANIA HOTEL</t>
  </si>
  <si>
    <t>THE CLUB</t>
  </si>
  <si>
    <t>SANDBELT CLUB HOTEL</t>
  </si>
  <si>
    <t>WATERLOO CUP HOTEL</t>
  </si>
  <si>
    <t>ROSEBUD HOTEL</t>
  </si>
  <si>
    <t>CENTURY CITY WALK</t>
  </si>
  <si>
    <t>BRIDGE INN HOTEL</t>
  </si>
  <si>
    <t>TRIOS SPORTS CLUB</t>
  </si>
  <si>
    <t>MOTOR CLUB HOTEL</t>
  </si>
  <si>
    <t>BALLARAT CLUB HOTEL</t>
  </si>
  <si>
    <t>PRINCE MARK HOTEL</t>
  </si>
  <si>
    <t>STAMFORD HOTEL</t>
  </si>
  <si>
    <t>MAIL EXCHANGE HOTEL</t>
  </si>
  <si>
    <t>YARRAVILLE CLUB CRICKET CLUB</t>
  </si>
  <si>
    <t>ALL SEASONS INTERNATIONAL HOTEL BENDIGO</t>
  </si>
  <si>
    <t>SUGAR GUM HOTEL</t>
  </si>
  <si>
    <t>CLOCKS AT FLINDERS STREET STATION</t>
  </si>
  <si>
    <t>GREYHOUNDS ENTERTAINMENT</t>
  </si>
  <si>
    <t>EDWARDES LAKE HOTEL</t>
  </si>
  <si>
    <t>THE SETTLEMENT AT CRANBOURNE</t>
  </si>
  <si>
    <t>PULLMAN MELBOURNE ON SWANSTON</t>
  </si>
  <si>
    <t>HOTEL 520 ON SAYERS</t>
  </si>
  <si>
    <t>HALLAM TAVERNER</t>
  </si>
  <si>
    <t>FOUNTAIN GATE TAVERNER</t>
  </si>
  <si>
    <t>MILDURA GATEWAY TAVERN</t>
  </si>
  <si>
    <t>MAC'S HOTEL (MELTON)</t>
  </si>
  <si>
    <t>SEAFORD TAVERNER</t>
  </si>
  <si>
    <t>WALTZING MATILDA HOTEL</t>
  </si>
  <si>
    <t>SANDOWN PARK HOTEL</t>
  </si>
  <si>
    <t>DONCASTER HOTEL</t>
  </si>
  <si>
    <t>COMMERCIAL TAVERNER</t>
  </si>
  <si>
    <t>TAYLORS LAKES FAMILY HOTEL</t>
  </si>
  <si>
    <t>HAMPTON PARK TAVERN</t>
  </si>
  <si>
    <t>BOURKE HILL'S WELCOME STRANGER</t>
  </si>
  <si>
    <t>DINGLEY INTERNATIONAL HOTEL</t>
  </si>
  <si>
    <t>SUMMERHILL HOTEL</t>
  </si>
  <si>
    <t>DEER PARK CLUB</t>
  </si>
  <si>
    <t>THE TIGERS CLUBHOUSE</t>
  </si>
  <si>
    <t>WESTEND MARKET HOTEL</t>
  </si>
  <si>
    <t>DEER PARK HOTEL</t>
  </si>
  <si>
    <t>SHOPPINGTOWN HOTEL</t>
  </si>
  <si>
    <t>HIGHLANDS HOTEL</t>
  </si>
  <si>
    <t>WATERGARDENS HOTEL</t>
  </si>
  <si>
    <t>WEST WATERS HOTEL</t>
  </si>
  <si>
    <t>THE CHASE HOTEL</t>
  </si>
  <si>
    <t>ROSSTOWN HOTEL</t>
  </si>
  <si>
    <t>DORSET GARDENS HOTEL</t>
  </si>
  <si>
    <t>HIGHWAYS SANDOWN</t>
  </si>
  <si>
    <t>EXCELSIOR HOTEL</t>
  </si>
  <si>
    <t>BERWICK SPRINGS HOTEL</t>
  </si>
  <si>
    <t>GLADSTONE PARK HOTEL</t>
  </si>
  <si>
    <t>KEYSBOROUGH HOTEL</t>
  </si>
  <si>
    <t>SKYWAYS TAVERNER</t>
  </si>
  <si>
    <t>KEALBA HOTEL</t>
  </si>
  <si>
    <t>ROXBURGH PARK HOTEL</t>
  </si>
  <si>
    <t>PLOUGH HOTEL</t>
  </si>
  <si>
    <t>BUNDOORA TAVERNER</t>
  </si>
  <si>
    <t>EPPING PLAZA HOTEL</t>
  </si>
  <si>
    <t>Average EGM Numbers  
in June 2024</t>
  </si>
  <si>
    <t>Expenditure
01 Jul 23 - 30 Jun 24</t>
  </si>
  <si>
    <t>Expenditure
1 Jan 24 - 30 Jun 24</t>
  </si>
  <si>
    <t>Expenditure
1 Jul 23 - 31 Dec 23</t>
  </si>
  <si>
    <t xml:space="preserve">Ven type </t>
  </si>
  <si>
    <t>LGA Name</t>
  </si>
  <si>
    <t xml:space="preserve">Region </t>
  </si>
  <si>
    <t xml:space="preserve">Name </t>
  </si>
  <si>
    <t>Electronic Gaming Machine Venue Level Expenditure</t>
  </si>
  <si>
    <t>https://www.linkedin.com/in/john-connelly-iv-2003a8b8/</t>
  </si>
  <si>
    <t>John Connelly </t>
  </si>
  <si>
    <t>https://www.linkedin.com/in/matthew-wilson-94648b123/</t>
  </si>
  <si>
    <t>Matthew Wilson</t>
  </si>
  <si>
    <t>Oaktree Portfolio Manager/IB Board</t>
  </si>
  <si>
    <t>https://www.linkedin.com/in/david-quick-41a8884/</t>
  </si>
  <si>
    <t>David Quick</t>
  </si>
  <si>
    <t>https://www.linkedin.com/in/jeffrey-kowalchuk-916a027/</t>
  </si>
  <si>
    <t>Jeffrey Kowalchuk</t>
  </si>
  <si>
    <t>SVP of Innovation / VP Product Development</t>
  </si>
  <si>
    <t>Strong</t>
  </si>
  <si>
    <t>https://www.linkedin.com/in/joannahixon/</t>
  </si>
  <si>
    <t>Joanna Fray</t>
  </si>
  <si>
    <t>Director of Sales</t>
  </si>
  <si>
    <t>https://www.linkedin.com/in/john-marback-9b938651/</t>
  </si>
  <si>
    <t>John Marback</t>
  </si>
  <si>
    <t>Regional VP Sales</t>
  </si>
  <si>
    <t>https://www.linkedin.com/in/akonskey/</t>
  </si>
  <si>
    <t>Alesha Konskey</t>
  </si>
  <si>
    <t>Director of Gaming Operations</t>
  </si>
  <si>
    <t>Gaming Analytics</t>
  </si>
  <si>
    <t>https://www.linkedin.com/in/joe-friedman-539a2911/</t>
  </si>
  <si>
    <t>Joe Friedman</t>
  </si>
  <si>
    <t>https://www.linkedin.com/in/bob-ritter-0a758b5/</t>
  </si>
  <si>
    <t>Bob Ritter</t>
  </si>
  <si>
    <t>https://www.linkedin.com/in/klemen-sitar-48aa4425/</t>
  </si>
  <si>
    <t>Klemen SITAR</t>
  </si>
  <si>
    <t>Deputy Director of Sales at Interblock d.d.</t>
  </si>
  <si>
    <t>https://www.linkedin.com/in/jason-taylor-24749b18/</t>
  </si>
  <si>
    <t>Jason Taylor</t>
  </si>
  <si>
    <t>https://www.linkedin.com/in/scott-elliott-9782b32a/</t>
  </si>
  <si>
    <t>Scott Elliott</t>
  </si>
  <si>
    <t>https://www.linkedin.com/in/scottsniezek702/</t>
  </si>
  <si>
    <t>Scott Sniezek</t>
  </si>
  <si>
    <t>https://www.linkedin.com/in/richard-p-7bb24696/</t>
  </si>
  <si>
    <t>Richard P</t>
  </si>
  <si>
    <t>https://www.linkedin.com/in/bostjan-gustin-53b9b9153/</t>
  </si>
  <si>
    <t>Bostjan Gustin</t>
  </si>
  <si>
    <t>Product Manager</t>
  </si>
  <si>
    <t>Open to Work</t>
  </si>
  <si>
    <t>https://www.linkedin.com/in/toni-tekavec-6a95b1114/</t>
  </si>
  <si>
    <t>Toni Tekavec</t>
  </si>
  <si>
    <t>https://www.linkedin.com/in/nenadmilovic/</t>
  </si>
  <si>
    <t>Nenad Milović</t>
  </si>
  <si>
    <t>Sales Director EMEA</t>
  </si>
  <si>
    <t>https://www.linkedin.com/in/tomaz-bukovnik-mba/?originalSubdomain=si</t>
  </si>
  <si>
    <t>Tomaz Bukovnik</t>
  </si>
  <si>
    <t>Project and Product Manager - more iGaming</t>
  </si>
  <si>
    <t>Consultant</t>
  </si>
  <si>
    <t>https://www.linkedin.com/in/chris-munsterman-99392664/</t>
  </si>
  <si>
    <t>Chris Munsterman</t>
  </si>
  <si>
    <t>Senior Regional Manager</t>
  </si>
  <si>
    <t>https://www.linkedin.com/in/natalie-heldt-287094117/</t>
  </si>
  <si>
    <t>Natalie Heldt</t>
  </si>
  <si>
    <t>https://www.linkedin.com/in/samuel-drew-70b3531a1/</t>
  </si>
  <si>
    <t>https://www.linkedin.com/in/kimberly-cohn-1751b21a/</t>
  </si>
  <si>
    <t>https://www.linkedin.com/in/philoshaughnessy/</t>
  </si>
  <si>
    <t>https://www.linkedin.com/in/quyen-pham-47076091/</t>
  </si>
  <si>
    <t>Technical Director Asia Pacific</t>
  </si>
  <si>
    <t>https://www.linkedin.com/in/james-davison-52ab6066/</t>
  </si>
  <si>
    <t>iGaming B2B</t>
  </si>
  <si>
    <t>James Davison</t>
  </si>
  <si>
    <t>VP - Commercial (Casino)</t>
  </si>
  <si>
    <t>FanDuel</t>
  </si>
  <si>
    <t>https://www.linkedin.com/in/andrewgradwell/</t>
  </si>
  <si>
    <t>Andrew Gradwell</t>
  </si>
  <si>
    <t>Senior Vice President Product</t>
  </si>
  <si>
    <t>https://www.linkedin.com/in/vincent-tang-613b4753/</t>
  </si>
  <si>
    <t>Vice President of Sales Asia Pacific</t>
  </si>
  <si>
    <t>Vincent Tang</t>
  </si>
  <si>
    <t>Quyen Pham</t>
  </si>
  <si>
    <t>Chair</t>
  </si>
  <si>
    <t>https://www.linkedin.com/in/jason-laduke-7b6498/</t>
  </si>
  <si>
    <t>Game designer</t>
  </si>
  <si>
    <t>https://www.linkedin.com/in/al-majors-11183620/</t>
  </si>
  <si>
    <t>E-Bingo</t>
  </si>
  <si>
    <t>Marc DeTomaso</t>
  </si>
  <si>
    <t>https://www.linkedin.com/in/marc-detomaso-11097115/</t>
  </si>
  <si>
    <t>Corporate Development</t>
  </si>
  <si>
    <t>https://www.linkedin.com/in/erin-horstman-cpa-947a47117/</t>
  </si>
  <si>
    <t>https://www.linkedin.com/in/michelelsantana/</t>
  </si>
  <si>
    <t>Sales Exec</t>
  </si>
  <si>
    <t>https://www.linkedin.com/in/donna-smithexecutivesales/</t>
  </si>
  <si>
    <t>Arrow</t>
  </si>
  <si>
    <t>Account Executive / eGaming</t>
  </si>
  <si>
    <t>Mark Staudt</t>
  </si>
  <si>
    <t>https://www.linkedin.com/in/mark-staudt-0594081/</t>
  </si>
  <si>
    <t>Grover</t>
  </si>
  <si>
    <t>R&amp;D Generalist</t>
  </si>
  <si>
    <t>Alexander Chang</t>
  </si>
  <si>
    <t>https://www.linkedin.com/in/hailfiregames/</t>
  </si>
  <si>
    <t>R&amp;D Engineer</t>
  </si>
  <si>
    <t>Mark Buffelen</t>
  </si>
  <si>
    <t>https://www.linkedin.com/in/mark-buffelen-018a92172/</t>
  </si>
  <si>
    <t>Mark Morrison</t>
  </si>
  <si>
    <t>https://www.linkedin.com/in/mark-morrison-a3b359241/</t>
  </si>
  <si>
    <t>Product Management</t>
  </si>
  <si>
    <t>Jeff Gaddis</t>
  </si>
  <si>
    <t>https://www.linkedin.com/in/jeff-gaddis-53387011/</t>
  </si>
  <si>
    <t>Sales Manager</t>
  </si>
  <si>
    <t>Kevin Clarke</t>
  </si>
  <si>
    <t>https://www.linkedin.com/in/kevin-clarke-36b75747/</t>
  </si>
  <si>
    <t>Stormy Weisenstein</t>
  </si>
  <si>
    <t>https://www.linkedin.com/in/stormy-weisenstein-88461671/</t>
  </si>
  <si>
    <t>Relationship Manager</t>
  </si>
  <si>
    <t>Kayla Hayes</t>
  </si>
  <si>
    <t>https://www.linkedin.com/in/kayla-hayes-347872119/</t>
  </si>
  <si>
    <t>Account Manager</t>
  </si>
  <si>
    <t>Cyndee Morris</t>
  </si>
  <si>
    <t>https://www.linkedin.com/in/cyndee-morris-a72b0b34/</t>
  </si>
  <si>
    <t>Tyler Smith</t>
  </si>
  <si>
    <t>https://www.linkedin.com/in/tyler-smith-88bba31b7/</t>
  </si>
  <si>
    <t>Project Manager</t>
  </si>
  <si>
    <t>Emma McCarter</t>
  </si>
  <si>
    <t>https://www.linkedin.com/in/emmamccarter/</t>
  </si>
  <si>
    <t>Andrew Summey</t>
  </si>
  <si>
    <t>https://www.linkedin.com/in/andrew-summey-00159bb2/</t>
  </si>
  <si>
    <t>Matt Haswell</t>
  </si>
  <si>
    <t>https://www.linkedin.com/in/matthewhaswell/</t>
  </si>
  <si>
    <t>Cathy Holcomb</t>
  </si>
  <si>
    <t>https://www.linkedin.com/in/catherinestilesholcomb/</t>
  </si>
  <si>
    <t>Director of Operations</t>
  </si>
  <si>
    <t>Edwin Grabill</t>
  </si>
  <si>
    <t>https://www.linkedin.com/in/edwin-grabill-b89435179/</t>
  </si>
  <si>
    <t>Jacob Ledford</t>
  </si>
  <si>
    <t>https://www.linkedin.com/in/jacob-ledford/</t>
  </si>
  <si>
    <t>Market Manager</t>
  </si>
  <si>
    <t>Steve Krekel</t>
  </si>
  <si>
    <t>https://www.linkedin.com/in/steve-krekel-a3b4bb46/</t>
  </si>
  <si>
    <t>Lancaster</t>
  </si>
  <si>
    <t>https://www.linkedin.com/in/ms302307/</t>
  </si>
  <si>
    <t>Will Dangc</t>
  </si>
  <si>
    <t>VP Sales</t>
  </si>
  <si>
    <t>Jimmy Forrest</t>
  </si>
  <si>
    <t>https://www.linkedin.com/in/jimmy-forrest-b8a51653/</t>
  </si>
  <si>
    <t>Sales Director</t>
  </si>
  <si>
    <t>Morgan Carpenter</t>
  </si>
  <si>
    <t>COO</t>
  </si>
  <si>
    <t>Brian Brown</t>
  </si>
  <si>
    <t>https://www.linkedin.com/in/brianmathewbrown/</t>
  </si>
  <si>
    <t>Southport Sharks, Sunnyville Sports</t>
  </si>
  <si>
    <t>QLD OLGR</t>
  </si>
  <si>
    <t>OVERALL</t>
  </si>
  <si>
    <t>Star Casino</t>
  </si>
  <si>
    <t>CASINOS</t>
  </si>
  <si>
    <t>Racing QLD</t>
  </si>
  <si>
    <t>Odyssey</t>
  </si>
  <si>
    <t>Ladbrokes</t>
  </si>
  <si>
    <t>WAGERING</t>
  </si>
  <si>
    <t>RSL, YourTown, Mater, Surf Life Saving, Deaf Lottery, Endeavour Foundation</t>
  </si>
  <si>
    <t>Charity Lotteries</t>
  </si>
  <si>
    <t>MotorCulture</t>
  </si>
  <si>
    <t>Trade Promotions Companies</t>
  </si>
  <si>
    <t>Jumbo</t>
  </si>
  <si>
    <t>TLC Head Office</t>
  </si>
  <si>
    <t>LOTTERIES</t>
  </si>
  <si>
    <t>Australian Hotels Assosciation</t>
  </si>
  <si>
    <t>QLD Clubs</t>
  </si>
  <si>
    <t>SLOTS</t>
  </si>
  <si>
    <t>https://ahgexpo.com/floorplan/</t>
  </si>
  <si>
    <t>Usually in March</t>
  </si>
  <si>
    <t>AHG Expo</t>
  </si>
  <si>
    <t>EVENTS</t>
  </si>
  <si>
    <t>Notes</t>
  </si>
  <si>
    <t xml:space="preserve">Company </t>
  </si>
  <si>
    <t>VGCCC</t>
  </si>
  <si>
    <t>Crown</t>
  </si>
  <si>
    <t>BetMakers</t>
  </si>
  <si>
    <t>Racing Vic</t>
  </si>
  <si>
    <t>SportsBet</t>
  </si>
  <si>
    <t>BetR</t>
  </si>
  <si>
    <t>PointsBet</t>
  </si>
  <si>
    <t>TLC</t>
  </si>
  <si>
    <t>Con Nikitas</t>
  </si>
  <si>
    <t>Indianna Sales Manager</t>
  </si>
  <si>
    <t>https://www.linkedin.com/in/nate-macgregor-30298629/</t>
  </si>
  <si>
    <t>https://www.linkedin.com/in/jack-chesworth/</t>
  </si>
  <si>
    <t>https://www.linkedin.com/in/matt-middleton-white-62370621/</t>
  </si>
  <si>
    <t>Matt Middleton-White</t>
  </si>
  <si>
    <t>VP of Engineering</t>
  </si>
  <si>
    <t>https://www.linkedin.com/in/marcloney/</t>
  </si>
  <si>
    <t>Head of Security</t>
  </si>
  <si>
    <t>Marc Loney</t>
  </si>
  <si>
    <t>https://www.linkedin.com/in/camjnewton/</t>
  </si>
  <si>
    <t>Principal Software Engineer</t>
  </si>
  <si>
    <t>Cameron Newton</t>
  </si>
  <si>
    <t>Principal Engineer</t>
  </si>
  <si>
    <t>Bruce Dominguez</t>
  </si>
  <si>
    <t>https://www.linkedin.com/in/bruce-dominguez-18131424/</t>
  </si>
  <si>
    <t>https://www.linkedin.com/in/diana-mozo-anderson-a391537a/</t>
  </si>
  <si>
    <t>Diana Mozo - Anderson</t>
  </si>
  <si>
    <t>Head of Business Intelligence</t>
  </si>
  <si>
    <t>Head of Engineering, Chumba Casino &amp; Global Poker</t>
  </si>
  <si>
    <t>Cody Gough</t>
  </si>
  <si>
    <t>https://www.linkedin.com/in/cody-gough-6a4a4010a/</t>
  </si>
  <si>
    <t>Head of Engineering - Player Engagement Technologies</t>
  </si>
  <si>
    <t>https://www.linkedin.com/in/chriskruger/</t>
  </si>
  <si>
    <t>Chris Kruger</t>
  </si>
  <si>
    <t>https://www.linkedin.com/in/matsjohnson1/</t>
  </si>
  <si>
    <t>Mats Johnson</t>
  </si>
  <si>
    <t>President</t>
  </si>
  <si>
    <t>https://www.linkedin.com/in/camilopestana/</t>
  </si>
  <si>
    <t>Head of Data Science</t>
  </si>
  <si>
    <t>Camilo Pestana</t>
  </si>
  <si>
    <t>Chief Growth and Strategy Officer</t>
  </si>
  <si>
    <t>https://www.linkedin.com/in/lloydmelnick/</t>
  </si>
  <si>
    <t>Lloyd Melnick</t>
  </si>
  <si>
    <t>https://www.linkedin.com/in/brendon-l-bb369ab/</t>
  </si>
  <si>
    <t>Brendan L</t>
  </si>
  <si>
    <t>Head of Engineering</t>
  </si>
  <si>
    <t>https://www.linkedin.com/in/davidlyons1974/</t>
  </si>
  <si>
    <t>David Lyons</t>
  </si>
  <si>
    <t>GM</t>
  </si>
  <si>
    <t>Data &amp; Analytics</t>
  </si>
  <si>
    <t>James Lai</t>
  </si>
  <si>
    <t>https://www.linkedin.com/in/jamescmlai/</t>
  </si>
  <si>
    <t>Data Science Manager</t>
  </si>
  <si>
    <t>Luke Clapson</t>
  </si>
  <si>
    <t>https://www.linkedin.com/in/luke-clapson-378036150/</t>
  </si>
  <si>
    <t>https://www.linkedin.com/in/sshobson/</t>
  </si>
  <si>
    <t>Data Scientist</t>
  </si>
  <si>
    <t>Samuel Hobson</t>
  </si>
  <si>
    <t>https://www.linkedin.com/in/brian-mcevoy-27b8956/</t>
  </si>
  <si>
    <t>Head of Insights</t>
  </si>
  <si>
    <t>Tabcorp</t>
  </si>
  <si>
    <t>Brian McEvoy</t>
  </si>
  <si>
    <t>https://www.linkedin.com/in/rimma-shafikova-589a7689/</t>
  </si>
  <si>
    <t>Senior Data Scientist</t>
  </si>
  <si>
    <t>Rimma Shafikova</t>
  </si>
  <si>
    <t>https://www.linkedin.com/in/carlsonsmith/</t>
  </si>
  <si>
    <t>Senior Data Analyst</t>
  </si>
  <si>
    <t>Carlson Smith</t>
  </si>
  <si>
    <t>https://www.linkedin.com/in/tim-moore-barton-2b9754a/</t>
  </si>
  <si>
    <t>Tim Moore-Barton</t>
  </si>
  <si>
    <t>Betfair</t>
  </si>
  <si>
    <t>https://www.linkedin.com/in/tinaneill/</t>
  </si>
  <si>
    <t>VP Slots</t>
  </si>
  <si>
    <t>Tina Neill</t>
  </si>
  <si>
    <t>https://www.linkedin.com/in/hui-cheng-844714/</t>
  </si>
  <si>
    <t>VP Product</t>
  </si>
  <si>
    <t>Hui Cheng</t>
  </si>
  <si>
    <t>https://www.linkedin.com/in/alex-young-a27278145/</t>
  </si>
  <si>
    <t>Alex Young</t>
  </si>
  <si>
    <t>Senior Game Designer</t>
  </si>
  <si>
    <t>Roxor</t>
  </si>
  <si>
    <t>https://www.linkedin.com/in/derek-brinkman-a04398/</t>
  </si>
  <si>
    <t>GM US</t>
  </si>
  <si>
    <t>Derek Brinkman</t>
  </si>
  <si>
    <t>https://www.linkedin.com/in/jasminsehic/</t>
  </si>
  <si>
    <t>Jasmin Sehic</t>
  </si>
  <si>
    <t>https://www.linkedin.com/in/tehalvin/</t>
  </si>
  <si>
    <t>Alvin Teh</t>
  </si>
  <si>
    <t>Head of Platform Product</t>
  </si>
  <si>
    <t>https://www.linkedin.com/in/kevinhorne2/</t>
  </si>
  <si>
    <t>Head of Product</t>
  </si>
  <si>
    <t>Kevin Horne</t>
  </si>
  <si>
    <t>https://www.linkedin.com/in/terry-o-halloran/</t>
  </si>
  <si>
    <t>https://www.linkedin.com/in/simon-thomas-2522314/</t>
  </si>
  <si>
    <t>Simon Thomas</t>
  </si>
  <si>
    <t>UK Casinos &amp; Boards</t>
  </si>
  <si>
    <t>https://www.linkedin.com/in/peterarceo/</t>
  </si>
  <si>
    <t>Peter Acreo</t>
  </si>
  <si>
    <t>Yaamava Tribe Chief Gaming Officer</t>
  </si>
  <si>
    <t>https://www.linkedin.com/in/victor-duarte/</t>
  </si>
  <si>
    <t>https://www.linkedin.com/in/alaa-aziz-89179536/</t>
  </si>
  <si>
    <t>https://www.linkedin.com/in/forsterkevin/</t>
  </si>
  <si>
    <t>https://www.linkedin.com/in/brad-rowlette-8b21ab20/</t>
  </si>
  <si>
    <t>Texas Slots</t>
  </si>
  <si>
    <t>Brad Rowlette</t>
  </si>
  <si>
    <t>https://www.linkedin.com/in/chris-day-a67a0625/</t>
  </si>
  <si>
    <t>Chris Day</t>
  </si>
  <si>
    <t>Used Slot Machines</t>
  </si>
  <si>
    <t>https://www.linkedin.com/in/desire%C3%A9-treeby-4446b361/</t>
  </si>
  <si>
    <t>Desireé Treeby</t>
  </si>
  <si>
    <t>https://www.linkedin.com/in/john-strauss-612b6741/</t>
  </si>
  <si>
    <t>John Strauss</t>
  </si>
  <si>
    <t>https://www.linkedin.com/in/eric-silverstein-76101739/</t>
  </si>
  <si>
    <t>Eric Silverstei</t>
  </si>
  <si>
    <t>https://www.linkedin.com/in/derik-mooberry-917340101/</t>
  </si>
  <si>
    <t>Zitro CEO</t>
  </si>
  <si>
    <t>https://www.linkedin.com/in/mike-medlin-tulsa/</t>
  </si>
  <si>
    <t>FBM</t>
  </si>
  <si>
    <t>General</t>
  </si>
  <si>
    <t>Mike Medlin</t>
  </si>
  <si>
    <t>Derik Mooberry</t>
  </si>
  <si>
    <t>https://www.linkedin.com/in/troy-rose-a7984b149/</t>
  </si>
  <si>
    <t>Troy Rose</t>
  </si>
  <si>
    <t>Velvix</t>
  </si>
  <si>
    <t>Studio Lead</t>
  </si>
  <si>
    <t>https://www.linkedin.com/in/katherine-spilde-phd-mba-2583a74/</t>
  </si>
  <si>
    <t>Katherine Spilde</t>
  </si>
  <si>
    <t>Tribal Gaming</t>
  </si>
  <si>
    <t>UK iGaming</t>
  </si>
  <si>
    <t>https://www.linkedin.com/in/james-ford-8365a730/</t>
  </si>
  <si>
    <t>James Ford</t>
  </si>
  <si>
    <t>Senior Director of Gaming</t>
  </si>
  <si>
    <t>LeoVegas Group</t>
  </si>
  <si>
    <t>https://www.linkedin.com/in/thomassmallwood/</t>
  </si>
  <si>
    <t>Thomas Smallwood</t>
  </si>
  <si>
    <t>CCO</t>
  </si>
  <si>
    <t>ESA Gaming</t>
  </si>
  <si>
    <t>https://www.linkedin.com/in/sam-leggott/</t>
  </si>
  <si>
    <t>Sam Leggott</t>
  </si>
  <si>
    <t>https://www.linkedin.com/in/bishop-woosley-4ba71b45/</t>
  </si>
  <si>
    <t>US Lottery</t>
  </si>
  <si>
    <t>Bishop Woosley</t>
  </si>
  <si>
    <t>US iGaming</t>
  </si>
  <si>
    <t>US iLottery</t>
  </si>
  <si>
    <t>https://www.linkedin.com/in/maxmeltzer1/</t>
  </si>
  <si>
    <t>Strive Gaming</t>
  </si>
  <si>
    <t>Kambi</t>
  </si>
  <si>
    <t>US State Gaming</t>
  </si>
  <si>
    <t>https://www.linkedin.com/in/johnmartin2011/</t>
  </si>
  <si>
    <t>Maryland Lottery &amp; Gaming</t>
  </si>
  <si>
    <t>Lottery &amp; 6x Land based Casinos</t>
  </si>
  <si>
    <t>Director</t>
  </si>
  <si>
    <t>https://www.linkedin.com/in/mary-harville-864a2420/</t>
  </si>
  <si>
    <t>Kentucky Lottery</t>
  </si>
  <si>
    <t>Retiring in Feb. 3% of E-Pull Tabs</t>
  </si>
  <si>
    <t>Nebraska Lottery &amp; Charitable Gaming</t>
  </si>
  <si>
    <t>https://www.linkedin.com/in/kurt-freedlund-08807a9b/</t>
  </si>
  <si>
    <t>Kurt Freedlund</t>
  </si>
  <si>
    <t>Gaming Labs</t>
  </si>
  <si>
    <t>Lotttery Testing</t>
  </si>
  <si>
    <t>https://www.linkedin.com/in/cameronlouis/</t>
  </si>
  <si>
    <t>Aus Slots</t>
  </si>
  <si>
    <t>Aruze</t>
  </si>
  <si>
    <t>Cameron Louis</t>
  </si>
  <si>
    <t>https://www.linkedin.com/in/jinjpatel/</t>
  </si>
  <si>
    <t>Jinesh Patel</t>
  </si>
  <si>
    <t>Gaming Technologies</t>
  </si>
  <si>
    <t>https://www.linkedin.com/in/anthony-ball-69a804125/</t>
  </si>
  <si>
    <t>https://www.linkedin.com/in/douglas-bertinshaw-363803/</t>
  </si>
  <si>
    <t>Philippines Gaming</t>
  </si>
  <si>
    <t>Douglas Bertinshaw</t>
  </si>
  <si>
    <t>Land &amp; Online Gaming Consultant</t>
  </si>
  <si>
    <t>https://www.linkedin.com/in/jdavejosh/</t>
  </si>
  <si>
    <t>David A Lawrence</t>
  </si>
  <si>
    <t>Land Based Gaming</t>
  </si>
  <si>
    <t>https://www.linkedin.com/in/matthew-philippsen-356b683/</t>
  </si>
  <si>
    <t>Matthew Philipps</t>
  </si>
  <si>
    <t>US Gambling Law</t>
  </si>
  <si>
    <t>https://www.linkedin.com/in/rickarmstrong/</t>
  </si>
  <si>
    <t>Richard Armstrong</t>
  </si>
  <si>
    <t>https://www.linkedin.com/in/tim-gilbert-a351ba15/</t>
  </si>
  <si>
    <t>Ex LNW</t>
  </si>
  <si>
    <t>Tim Gilbert</t>
  </si>
  <si>
    <t>https://www.linkedin.com/in/terry-dunfordii/</t>
  </si>
  <si>
    <t>iLottery too small in WV</t>
  </si>
  <si>
    <t>Terry Dunford</t>
  </si>
  <si>
    <t>iLottery Supervisor</t>
  </si>
  <si>
    <t>West Virginia Lottery</t>
  </si>
  <si>
    <t>https://www.linkedin.com/in/mikedreitzer/</t>
  </si>
  <si>
    <t>Nevada Gaming Board Chairman</t>
  </si>
  <si>
    <t>Mike Dreitzer</t>
  </si>
  <si>
    <t>https://www.linkedin.com/in/emerdc/</t>
  </si>
  <si>
    <t>Emerson D</t>
  </si>
  <si>
    <t>Land Based EGM's</t>
  </si>
  <si>
    <t>E-Pull Tabs</t>
  </si>
  <si>
    <t>https://www.linkedin.com/in/larry-masters-05663268/</t>
  </si>
  <si>
    <t>Larry Masters</t>
  </si>
  <si>
    <t>Looks Old</t>
  </si>
  <si>
    <t>Regulators/Policy</t>
  </si>
  <si>
    <t>https://www.linkedin.com/in/robert-williams-4664bbb/</t>
  </si>
  <si>
    <t>Robert Williams</t>
  </si>
  <si>
    <t>New York Policy</t>
  </si>
  <si>
    <t>Smaller Manufacturers</t>
  </si>
  <si>
    <t>https://www.linkedin.com/in/travis-gulick-37478783/</t>
  </si>
  <si>
    <t>Travis Gulick</t>
  </si>
  <si>
    <t>Trestle Gaming, Ex Accel</t>
  </si>
  <si>
    <t>https://www.linkedin.com/in/stefanhuba/</t>
  </si>
  <si>
    <t>New Hampshire Charitable Gaming</t>
  </si>
  <si>
    <t>Small Market</t>
  </si>
  <si>
    <t>Stefan Huba</t>
  </si>
  <si>
    <t>https://www.linkedin.com/in/kevin-andrade-11050631/</t>
  </si>
  <si>
    <t>Global iLottery</t>
  </si>
  <si>
    <t>https://www.linkedin.com/in/rjgood/</t>
  </si>
  <si>
    <t>Sr Product Manager</t>
  </si>
  <si>
    <t>Vice President</t>
  </si>
  <si>
    <t>Karri Paavilainen</t>
  </si>
  <si>
    <t>https://www.linkedin.com/in/karri-paavilainen-a4773a/</t>
  </si>
  <si>
    <t>Ron Goodrich</t>
  </si>
  <si>
    <t>Game Designer</t>
  </si>
  <si>
    <t>Steve Russel-Boulton</t>
  </si>
  <si>
    <t>https://www.linkedin.com/in/steve-russel-boulton-a9947449/</t>
  </si>
  <si>
    <t>https://www.linkedin.com/in/simon-bucknall-44b0424/</t>
  </si>
  <si>
    <t>IWG</t>
  </si>
  <si>
    <t>Kevin Andrade</t>
  </si>
  <si>
    <t>Simon Bucknall</t>
  </si>
  <si>
    <t>Delivery Director</t>
  </si>
  <si>
    <t>https://www.linkedin.com/in/simon-connors-b6a91a48/?originalSubdomain=uk</t>
  </si>
  <si>
    <t>Simon Connors</t>
  </si>
  <si>
    <t>Content Delivery Manager</t>
  </si>
  <si>
    <t>https://www.linkedin.com/in/adamsenger/</t>
  </si>
  <si>
    <t>Game Developer</t>
  </si>
  <si>
    <t>Adam Senger</t>
  </si>
  <si>
    <t>https://www.linkedin.com/in/gavin-horricks-38617173/</t>
  </si>
  <si>
    <t>Gavin Horricks</t>
  </si>
  <si>
    <t>EQL &amp; IGT</t>
  </si>
  <si>
    <t>FDJ</t>
  </si>
  <si>
    <t>https://www.linkedin.com/in/giannella-rivera-richards-msm-6b683646/</t>
  </si>
  <si>
    <t>Global Insights Manager</t>
  </si>
  <si>
    <t>Giannella Rivera-Richards</t>
  </si>
  <si>
    <t>https://www.linkedin.com/in/brad-cummings-2283851/</t>
  </si>
  <si>
    <t>Deal with Hilli</t>
  </si>
  <si>
    <t>Brad Cummins</t>
  </si>
  <si>
    <t>https://www.linkedin.com/in/ryan-powell-15a102164/</t>
  </si>
  <si>
    <t>EQL</t>
  </si>
  <si>
    <t>Ryan Powell</t>
  </si>
  <si>
    <t>US Development</t>
  </si>
  <si>
    <t>https://www.linkedin.com/in/shaun-rebello/</t>
  </si>
  <si>
    <t>Vice President of Product</t>
  </si>
  <si>
    <t>Shaun Rebello</t>
  </si>
  <si>
    <t>https://www.linkedin.com/in/chris-costello-99053711/</t>
  </si>
  <si>
    <t>Director Content</t>
  </si>
  <si>
    <t>Chris Costello</t>
  </si>
  <si>
    <t>https://www.linkedin.com/in/jimacton/</t>
  </si>
  <si>
    <t>Jim Acton</t>
  </si>
  <si>
    <t>https://www.linkedin.com/in/derek-levesque-mba-52336b8/</t>
  </si>
  <si>
    <t>DraftKings</t>
  </si>
  <si>
    <t>Derek Levesque</t>
  </si>
  <si>
    <t>Vicky (Wasinee) Scott</t>
  </si>
  <si>
    <t>North Carolina Lottery</t>
  </si>
  <si>
    <t>https://www.linkedin.com/in/vicky-wasinee-scott-80718188/</t>
  </si>
  <si>
    <t>Asia Gaming</t>
  </si>
  <si>
    <t>China Importer</t>
  </si>
  <si>
    <t>https://www.linkedin.com/in/grant-c-cheeseman-91691791/</t>
  </si>
  <si>
    <t>Thailand</t>
  </si>
  <si>
    <t>Grant C. Cheeseman</t>
  </si>
  <si>
    <t>https://www.linkedin.com/in/benlee1/</t>
  </si>
  <si>
    <t>Macao</t>
  </si>
  <si>
    <t>Ben Lee</t>
  </si>
  <si>
    <t>Casino Software</t>
  </si>
  <si>
    <t>https://www.linkedin.com/in/kiranbrahmandam/</t>
  </si>
  <si>
    <t>Kiran Brahmandam</t>
  </si>
  <si>
    <t>https://www.linkedin.com/in/stevenflambert/</t>
  </si>
  <si>
    <t>Business Development</t>
  </si>
  <si>
    <t>Steven Lambert</t>
  </si>
  <si>
    <t>https://www.linkedin.com/in/ashley-skeen-unga-48140615/</t>
  </si>
  <si>
    <t>Ashley Skeen Unga</t>
  </si>
  <si>
    <t>Customer Success</t>
  </si>
  <si>
    <t>https://www.linkedin.com/in/troy-d-hall-9935824/</t>
  </si>
  <si>
    <t>Senior Director</t>
  </si>
  <si>
    <t>Slot Director</t>
  </si>
  <si>
    <t>Troy D. Hall</t>
  </si>
  <si>
    <t>Game Testers</t>
  </si>
  <si>
    <t>https://www.linkedin.com/in/hollydbilly/</t>
  </si>
  <si>
    <t>Holly Billy</t>
  </si>
  <si>
    <t>BMM TestLabs</t>
  </si>
  <si>
    <t>https://www.linkedin.com/in/kelly-myers-28064699/</t>
  </si>
  <si>
    <t>plus Game Testing</t>
  </si>
  <si>
    <t>Kelly Myers</t>
  </si>
  <si>
    <t>Tribal Specialist</t>
  </si>
  <si>
    <t>https://www.linkedin.com/in/dennis-welsh-4909651a/</t>
  </si>
  <si>
    <t>Dennis Welsh</t>
  </si>
  <si>
    <t>Arizona</t>
  </si>
  <si>
    <t>https://www.linkedin.com/in/jamie-hummingbird-740645a8/</t>
  </si>
  <si>
    <t>Oklahoma</t>
  </si>
  <si>
    <t>Jamie Hummingbird</t>
  </si>
  <si>
    <t>https://www.linkedin.com/in/jeannie-hovland-549060156/</t>
  </si>
  <si>
    <t>Jeannie Hovland</t>
  </si>
  <si>
    <t>NIGC</t>
  </si>
  <si>
    <t>https://www.linkedin.com/in/dpforman/</t>
  </si>
  <si>
    <t>David Forman</t>
  </si>
  <si>
    <t>AGA</t>
  </si>
  <si>
    <t>https://www.linkedin.com/in/adam-rosenberg-aba5b369/</t>
  </si>
  <si>
    <t>Investors</t>
  </si>
  <si>
    <t>Adam Rosenberg</t>
  </si>
  <si>
    <t>Blackstone</t>
  </si>
  <si>
    <t>https://www.linkedin.com/in/tres-york-93ba7566/</t>
  </si>
  <si>
    <t>Tres York</t>
  </si>
  <si>
    <t>https://www.linkedin.com/in/chris-cylke-7495806/</t>
  </si>
  <si>
    <t>Chris Cylke</t>
  </si>
  <si>
    <t>https://www.linkedin.com/in/nick-nistler-4228383a/</t>
  </si>
  <si>
    <t>https://www.linkedin.com/in/roberto-%E2%80%9Cfuzz%E2%80%9D-orellana-571aaa6a/</t>
  </si>
  <si>
    <t>https://www.linkedin.com/in/samantha-irish/</t>
  </si>
  <si>
    <t>https://www.linkedin.com/in/audreyh/</t>
  </si>
  <si>
    <t>Game Development</t>
  </si>
  <si>
    <t>https://www.linkedin.com/in/christina-macarthur-0178b428b/</t>
  </si>
  <si>
    <t>Senior Councel</t>
  </si>
  <si>
    <t>https://www.linkedin.com/in/wade-weber-b5a02439/</t>
  </si>
  <si>
    <t>General Councel</t>
  </si>
  <si>
    <t>https://www.linkedin.com/in/matthew-oberg-312454a9/</t>
  </si>
  <si>
    <t>Skywind</t>
  </si>
  <si>
    <t>Ex HRG</t>
  </si>
  <si>
    <t>Matthew Oberg</t>
  </si>
  <si>
    <t>https://www.linkedin.com/in/richard-scheer-2380427/</t>
  </si>
  <si>
    <t>Slot Directors</t>
  </si>
  <si>
    <t>Unemployed</t>
  </si>
  <si>
    <t>https://www.linkedin.com/in/dana-dubois-300636b/</t>
  </si>
  <si>
    <t>Recently Started</t>
  </si>
  <si>
    <t>https://www.linkedin.com/in/derek-j-amundson/</t>
  </si>
  <si>
    <t>Timeline Unclear</t>
  </si>
  <si>
    <t>https://www.linkedin.com/in/mark-b-88b5a048/</t>
  </si>
  <si>
    <t>Role Unclear</t>
  </si>
  <si>
    <t>https://www.linkedin.com/in/kurt-janzen-mba-6a7bab101/</t>
  </si>
  <si>
    <t>Canada</t>
  </si>
  <si>
    <t>https://www.linkedin.com/in/mike-colton-b8488213/</t>
  </si>
  <si>
    <t>https://www.linkedin.com/in/patrick-castanon-b3015b5/</t>
  </si>
  <si>
    <t>Oregon - Check with SK</t>
  </si>
  <si>
    <t>https://www.linkedin.com/in/sara-planicka-5140a78/</t>
  </si>
  <si>
    <t>https://www.linkedin.com/in/shawn-seymour-ab4b5b1b/</t>
  </si>
  <si>
    <t>https://www.linkedin.com/in/rich-smith-4a5388126/</t>
  </si>
  <si>
    <t>https://www.linkedin.com/in/matthew-d-95893123/</t>
  </si>
  <si>
    <t>https://www.linkedin.com/in/kirk-devitte-3ab0a312/</t>
  </si>
  <si>
    <t>https://www.linkedin.com/in/stephany-tuttle-26242110a/</t>
  </si>
  <si>
    <t>https://www.linkedin.com/in/rick-gilbert-14829365/</t>
  </si>
  <si>
    <t>Size Unknown</t>
  </si>
  <si>
    <t>https://www.linkedin.com/in/jacksmartt/</t>
  </si>
  <si>
    <t>Jack Smart</t>
  </si>
  <si>
    <t>VP of Data</t>
  </si>
  <si>
    <t>https://www.linkedin.com/in/john-briggs-221668112/</t>
  </si>
  <si>
    <t>Grover / LNW</t>
  </si>
  <si>
    <t>Valicy - Ex Grover</t>
  </si>
  <si>
    <t>https://www.linkedin.com/in/chad-rogers-106212141/</t>
  </si>
  <si>
    <t>https://www.linkedin.com/in/ken-carnahan-18a9b748/</t>
  </si>
  <si>
    <t>https://www.linkedin.com/in/giorgioisella/</t>
  </si>
  <si>
    <t>https://www.linkedin.com/in/brent-colston-6213696/</t>
  </si>
  <si>
    <t>https://www.linkedin.com/in/john-iveson-98991112/</t>
  </si>
  <si>
    <t>https://www.linkedin.com/in/steven-carlson-35928ba4/</t>
  </si>
  <si>
    <t>https://www.linkedin.com/in/wyatt-falcon-142b66272/</t>
  </si>
  <si>
    <t>Minimal LinkedIn Prescence</t>
  </si>
  <si>
    <t>https://www.linkedin.com/in/thomas-frank-8013333/</t>
  </si>
  <si>
    <t>https://www.linkedin.com/in/rick-locke-1041018/</t>
  </si>
  <si>
    <t>https://www.linkedin.com/in/roger-hering-01363b5a/</t>
  </si>
  <si>
    <t>https://www.linkedin.com/in/joshua-weston-mba-6411719/</t>
  </si>
  <si>
    <t>https://www.linkedin.com/in/travis-thomas-1531b614a/</t>
  </si>
  <si>
    <t>https://www.linkedin.com/in/eric-mcdonald-a02391270/</t>
  </si>
  <si>
    <t>https://www.linkedin.com/in/anthony-jones-241857133/</t>
  </si>
  <si>
    <t>https://www.linkedin.com/in/laura-dangelo-mba-jd/</t>
  </si>
  <si>
    <t xml:space="preserve">Kentucky, mostly Horse Racing </t>
  </si>
  <si>
    <t>https://www.linkedin.com/in/terry-o-hara-71787757/</t>
  </si>
  <si>
    <t>Minnesota Distributor</t>
  </si>
  <si>
    <t>https://www.linkedin.com/in/jeff-stark-b0951a43/</t>
  </si>
  <si>
    <t>https://www.linkedin.com/in/nathan-avenson-248095166/</t>
  </si>
  <si>
    <t>https://www.linkedin.com/in/spanky-kuhlman-62125853/</t>
  </si>
  <si>
    <t>https://www.linkedin.com/in/derek-kuhlman-20027853/</t>
  </si>
  <si>
    <t>https://www.linkedin.com/in/raymondjkane/</t>
  </si>
  <si>
    <t>https://www.linkedin.com/in/victor-grell-aab0792b/</t>
  </si>
  <si>
    <t>https://www.linkedin.com/in/todd-smith-b55a6211/</t>
  </si>
  <si>
    <t>Minnesota Charity Gaming Manager</t>
  </si>
  <si>
    <t>UK Gaming</t>
  </si>
  <si>
    <t>Regional Slots Manager</t>
  </si>
  <si>
    <t>https://www.linkedin.com/in/mark-jepp-31a0601b2/</t>
  </si>
  <si>
    <t>https://www.linkedin.com/in/lamberto-graglia-542a422/</t>
  </si>
  <si>
    <t>Casino Director</t>
  </si>
  <si>
    <t>Recheck Regularly</t>
  </si>
  <si>
    <t>https://www.linkedin.com/in/richbozzuto/</t>
  </si>
  <si>
    <t>https://www.linkedin.com/in/mike-schulz-51477963/</t>
  </si>
  <si>
    <t>Mike Schulz</t>
  </si>
  <si>
    <t>Business Development Indiana</t>
  </si>
  <si>
    <t>https://www.linkedin.com/in/amier-ali-siddique-2bb522393/</t>
  </si>
  <si>
    <t>Amier Ali Siddique</t>
  </si>
  <si>
    <t>Texas Skill Games</t>
  </si>
  <si>
    <t>Potential</t>
  </si>
  <si>
    <t>https://www.linkedin.com/in/phil-burke-918a9924/</t>
  </si>
  <si>
    <t>https://www.linkedin.com/in/paul-datt-875332a/</t>
  </si>
  <si>
    <t>https://www.linkedin.com/in/ian-thomas-martin/</t>
  </si>
  <si>
    <t>Gaming Manager</t>
  </si>
  <si>
    <t>https://www.linkedin.com/in/mark-hutchinson-31b5a373/</t>
  </si>
  <si>
    <t>Mark Hutchinson</t>
  </si>
  <si>
    <t>Electronic Gaming Operations Manager</t>
  </si>
  <si>
    <t>The Rank Group</t>
  </si>
  <si>
    <t>https://www.linkedin.com/in/simon-daykin-7a8808b1/</t>
  </si>
  <si>
    <t>Simon Daykin</t>
  </si>
  <si>
    <t>Electronic Gaming Manager</t>
  </si>
  <si>
    <t>https://www.linkedin.com/in/rohan-suryawanshi-b6a87252/</t>
  </si>
  <si>
    <t>Rohan Suryawanshi</t>
  </si>
  <si>
    <t>https://www.linkedin.com/in/james-scully-2a1157165/</t>
  </si>
  <si>
    <t>James Scully</t>
  </si>
  <si>
    <t>Casino Manager</t>
  </si>
  <si>
    <t>Merkur Casino</t>
  </si>
  <si>
    <t>https://www.linkedin.com/in/terry-sutton-41498038/</t>
  </si>
  <si>
    <t>Terry Sutton</t>
  </si>
  <si>
    <t>Bally’s Casino (Newcastle)</t>
  </si>
  <si>
    <t>https://www.linkedin.com/in/leigh-pender-425b4412/</t>
  </si>
  <si>
    <t>Leigh Pender</t>
  </si>
  <si>
    <t>Electronic Gaming Specialist</t>
  </si>
  <si>
    <t>https://www.linkedin.com/in/david-wild-136717b4/</t>
  </si>
  <si>
    <t>David Wild</t>
  </si>
  <si>
    <t>SSBT Operations Manager</t>
  </si>
  <si>
    <t>Gvc Holding Inc</t>
  </si>
  <si>
    <t>https://www.linkedin.com/in/mila-waller-5b3779/</t>
  </si>
  <si>
    <t>Mila Waller</t>
  </si>
  <si>
    <t>https://www.linkedin.com/in/quentin-kozma-b792ba54/</t>
  </si>
  <si>
    <t>Quentin Kozma</t>
  </si>
  <si>
    <t>Grosvenor</t>
  </si>
  <si>
    <t>Mecca</t>
  </si>
  <si>
    <t>Entain</t>
  </si>
  <si>
    <t>Betfred</t>
  </si>
  <si>
    <t>Paddy Power</t>
  </si>
  <si>
    <t>Boyle Sports</t>
  </si>
  <si>
    <t>https://www.linkedin.com/in/dennis-andreaci-2338b11b/</t>
  </si>
  <si>
    <t>Hann Casino</t>
  </si>
  <si>
    <t>Dennis Andreaci</t>
  </si>
  <si>
    <t>Senior Vice President Casino Operations</t>
  </si>
  <si>
    <t>https://www.linkedin.com/in/kevin-farnsworth-mba-67436523/</t>
  </si>
  <si>
    <t>Kevin Farnsworth</t>
  </si>
  <si>
    <t>Regional Operations Director</t>
  </si>
  <si>
    <t>Novomatic</t>
  </si>
  <si>
    <t>E-gaming Developer</t>
  </si>
  <si>
    <t>Les Ambassadeurs Casino</t>
  </si>
  <si>
    <t>Paul Datt</t>
  </si>
  <si>
    <t>Ian Thomas</t>
  </si>
  <si>
    <t>Lamberto Graglia</t>
  </si>
  <si>
    <t>Genting</t>
  </si>
  <si>
    <t>Mark Jepp</t>
  </si>
  <si>
    <t>City Gaming Limited</t>
  </si>
  <si>
    <t>Phil Burke</t>
  </si>
  <si>
    <t>Managing Director </t>
  </si>
  <si>
    <t>https://www.linkedin.com/in/ciaranicliam/</t>
  </si>
  <si>
    <t>Managing Director</t>
  </si>
  <si>
    <t>Entain Group</t>
  </si>
  <si>
    <t>Ciara Nic Liam</t>
  </si>
  <si>
    <t>https://www.linkedin.com/in/thomas-parker-25752616a/</t>
  </si>
  <si>
    <t>Thomas Parker</t>
  </si>
  <si>
    <t>Brent Colston</t>
  </si>
  <si>
    <t>https://www.linkedin.com/in/rick-castillo-1b740a74/</t>
  </si>
  <si>
    <t>Rick Castillo</t>
  </si>
  <si>
    <t>https://www.linkedin.com/in/joshua-smith-2abaa3100/</t>
  </si>
  <si>
    <t>Joshua Smith</t>
  </si>
  <si>
    <t>https://www.linkedin.com/in/philip-pinson-25821515a/</t>
  </si>
  <si>
    <t>Philip Pinson</t>
  </si>
  <si>
    <t>https://www.linkedin.com/in/jake-isham-a4b5568a/</t>
  </si>
  <si>
    <t>Jake Isham</t>
  </si>
  <si>
    <t>https://www.linkedin.com/in/rolandoguerrero/</t>
  </si>
  <si>
    <t>Rolando Guerrero</t>
  </si>
  <si>
    <t>Giorgio Isella</t>
  </si>
  <si>
    <t>https://www.linkedin.com/in/jhonathan-velez-460b50a3/</t>
  </si>
  <si>
    <t>Jhonathan Velez</t>
  </si>
  <si>
    <t>https://www.linkedin.com/in/doug-lovett-9a5a933a/</t>
  </si>
  <si>
    <t>Doug Lovett</t>
  </si>
  <si>
    <t>https://www.linkedin.com/in/michael-altizer-a8827341/</t>
  </si>
  <si>
    <t>Michael Altizer</t>
  </si>
  <si>
    <t>https://www.linkedin.com/in/josh-lange-40234b3a/</t>
  </si>
  <si>
    <t>Josh Lange</t>
  </si>
  <si>
    <t>https://www.linkedin.com/in/colton-short-53111873/</t>
  </si>
  <si>
    <t>Colton Short</t>
  </si>
  <si>
    <t>https://www.linkedin.com/in/kevin-blevins-269b899b/</t>
  </si>
  <si>
    <t>Kevin Blevins</t>
  </si>
  <si>
    <t>https://www.linkedin.com/in/hector-moreno-52560897/</t>
  </si>
  <si>
    <t>Hector Moreno</t>
  </si>
  <si>
    <t>https://www.linkedin.com/in/rob-testi-a621301ab/</t>
  </si>
  <si>
    <t>Rob Testi</t>
  </si>
  <si>
    <t>https://www.linkedin.com/in/ken-white-b386283b/</t>
  </si>
  <si>
    <t>Ken White</t>
  </si>
  <si>
    <t>https://www.linkedin.com/in/raymond-velasquez-2b3373130/</t>
  </si>
  <si>
    <t>Raymond Velasquez</t>
  </si>
  <si>
    <t>https://www.linkedin.com/in/scott-reams-84926a9a/</t>
  </si>
  <si>
    <t>Scott Reams</t>
  </si>
  <si>
    <t>https://www.linkedin.com/in/marcela-sada-1291778/</t>
  </si>
  <si>
    <t>Marcela Sada</t>
  </si>
  <si>
    <t>https://www.linkedin.com/in/mark-parent-01438651/?originalSubdomain=ca</t>
  </si>
  <si>
    <t>Mark Parent</t>
  </si>
  <si>
    <t>VP of Casino Operations and Hospitality</t>
  </si>
  <si>
    <t>Remington Park Racetrack Casino</t>
  </si>
  <si>
    <t>VP of Gaming Operations</t>
  </si>
  <si>
    <t>Live Casino Pittsburgh</t>
  </si>
  <si>
    <t>Director of Slots</t>
  </si>
  <si>
    <t>Augustine Casino</t>
  </si>
  <si>
    <t>Director of Slot / VLT Operations</t>
  </si>
  <si>
    <t>Zia Park Casino, Hotel &amp; Racetrack</t>
  </si>
  <si>
    <t>Director Of Gaming</t>
  </si>
  <si>
    <t>Mardi Gras Casino</t>
  </si>
  <si>
    <t>Slot Operations Manager</t>
  </si>
  <si>
    <t>Three Rivers Casino Resort</t>
  </si>
  <si>
    <t>Director Of Slot Operations</t>
  </si>
  <si>
    <t>Grand Victoria Casino</t>
  </si>
  <si>
    <t>Lakeside Hotel &amp; Casino</t>
  </si>
  <si>
    <t>Director of Slot Operations</t>
  </si>
  <si>
    <t>Avi Resort &amp; Casino</t>
  </si>
  <si>
    <t>Owensboro Racing &amp; Gaming</t>
  </si>
  <si>
    <t>Executive Director Of Casino Operations</t>
  </si>
  <si>
    <t>Sahara Las Vegas</t>
  </si>
  <si>
    <t>Director of SLOT (HHR) Operations</t>
  </si>
  <si>
    <t>The Brook Casino</t>
  </si>
  <si>
    <t>Director of Casino Operations</t>
  </si>
  <si>
    <t>Argosy Casino Alton</t>
  </si>
  <si>
    <t>Golden Nugget Cripple Creek</t>
  </si>
  <si>
    <t>Slot Manager</t>
  </si>
  <si>
    <t>Golden Nugget Lake Tahoe</t>
  </si>
  <si>
    <t>Regional Slot Director</t>
  </si>
  <si>
    <t>Gold Dust West Casino</t>
  </si>
  <si>
    <t>General Manager</t>
  </si>
  <si>
    <t>Lucky 7 Casino &amp; Howonquet Lodge</t>
  </si>
  <si>
    <t>Cahuilla Casino Hotel</t>
  </si>
  <si>
    <t>Regional Director of HHR</t>
  </si>
  <si>
    <t>Granite State Gaming &amp; Hospitality</t>
  </si>
  <si>
    <t>The Heights Casino</t>
  </si>
  <si>
    <t>Grey Rock Casino</t>
  </si>
  <si>
    <t>Mark Harper</t>
  </si>
  <si>
    <t>https://www.linkedin.com/in/mark-harper-a3565a18/</t>
  </si>
  <si>
    <t>Probably too high ranking</t>
  </si>
  <si>
    <t>PAGCOR</t>
  </si>
  <si>
    <t>Hann Casino Resort</t>
  </si>
  <si>
    <t>Director of Slot</t>
  </si>
  <si>
    <t>Cheryl Ayson Tiglao</t>
  </si>
  <si>
    <t>Kitty Kwok</t>
  </si>
  <si>
    <t>https://www.linkedin.com/in/kitty-kwok-59a89749/</t>
  </si>
  <si>
    <t>Sands China</t>
  </si>
  <si>
    <t>https://www.linkedin.com/in/karl-grossmann-0876a5172/</t>
  </si>
  <si>
    <t>Karl Grossmann</t>
  </si>
  <si>
    <t>Grosvenor Casino</t>
  </si>
  <si>
    <t>https://www.linkedin.com/in/rachel-marston-534542b4/</t>
  </si>
  <si>
    <t>Rachel Marston</t>
  </si>
  <si>
    <t>Product Manager Slots &amp; Games</t>
  </si>
  <si>
    <t>Buzz Bingo</t>
  </si>
  <si>
    <t>MGM</t>
  </si>
  <si>
    <t>https://www.linkedin.com/in/mee-cheang-1aa31956/</t>
  </si>
  <si>
    <t>Mee Cheang</t>
  </si>
  <si>
    <t>https://www.linkedin.com/in/yik-kah-fai-559360167/</t>
  </si>
  <si>
    <t>Yik Kah Fai</t>
  </si>
  <si>
    <t>Executive Director, Slot Operations</t>
  </si>
  <si>
    <t>https://www.linkedin.com/in/gotha-cheong-a8441393/</t>
  </si>
  <si>
    <t>Gotha Cheong</t>
  </si>
  <si>
    <t>Associate Director of Slot Operation</t>
  </si>
  <si>
    <t>https://www.linkedin.com/in/lennard-james-baetiong-280218111/</t>
  </si>
  <si>
    <t>https://www.linkedin.com/in/cheryl-ayson-tiglao-a15323b6/</t>
  </si>
  <si>
    <t>Lennard James Baetiong</t>
  </si>
  <si>
    <t>https://www.linkedin.com/in/james-darrell-bolos-524226104/</t>
  </si>
  <si>
    <t>James Darrell Bolo</t>
  </si>
  <si>
    <t>Midori Clark Hotel and Casino</t>
  </si>
  <si>
    <t>140 slots</t>
  </si>
  <si>
    <t>https://www.linkedin.com/in/jaime-badoy-668ab068/</t>
  </si>
  <si>
    <t>600 slots</t>
  </si>
  <si>
    <t>EGM (Slots) Operations Manager</t>
  </si>
  <si>
    <t>Jaime Badoy</t>
  </si>
  <si>
    <t>D'Heights Resorts &amp; Casino</t>
  </si>
  <si>
    <t>https://www.linkedin.com/in/jasonchabi/</t>
  </si>
  <si>
    <t>https://www.linkedin.com/in/nicholas-tzaferis-ba120318/</t>
  </si>
  <si>
    <t>https://www.linkedin.com/in/sharonkateanderson/</t>
  </si>
  <si>
    <t>https://www.linkedin.com/in/emma-liversidge/</t>
  </si>
  <si>
    <t>https://www.linkedin.com/in/emma-murphy-47183750/</t>
  </si>
  <si>
    <t>https://www.linkedin.com/in/antony-moore-cco-tlc/</t>
  </si>
  <si>
    <t>https://www.linkedin.com/in/lorensomerville/</t>
  </si>
  <si>
    <t>https://www.linkedin.com/in/nick-mcguire-32398926/</t>
  </si>
  <si>
    <t>https://www.linkedin.com/in/chris-lang-9223527b/</t>
  </si>
  <si>
    <t>https://www.linkedin.com/in/matthewhart3/</t>
  </si>
  <si>
    <t>https://www.linkedin.com/in/brendan-hodgkinson/</t>
  </si>
  <si>
    <t>https://www.linkedin.com/in/anna-hobdell/</t>
  </si>
  <si>
    <t>https://www.linkedin.com/in/ben-johnson-83769b5/</t>
  </si>
  <si>
    <t>https://www.linkedin.com/in/david-lee-4271762/</t>
  </si>
  <si>
    <t>https://www.linkedin.com/in/leahsoutar/</t>
  </si>
  <si>
    <t>https://www.linkedin.com/in/paul-malek-75a49246/</t>
  </si>
  <si>
    <t>https://www.linkedin.com/in/khat-mcintyre-intrachai-5b3534209/</t>
  </si>
  <si>
    <t>https://www.linkedin.com/in/megan-miller-98a4ba33/</t>
  </si>
  <si>
    <t>https://www.linkedin.com/in/eliza-wregg-32aa091a5/</t>
  </si>
  <si>
    <t>https://www.linkedin.com/in/tammy-hall-51598322/</t>
  </si>
  <si>
    <t>https://www.linkedin.com/in/nathanpedwell/</t>
  </si>
  <si>
    <t>https://www.linkedin.com/in/leslie-desmond-5506a958/</t>
  </si>
  <si>
    <t>https://www.linkedin.com/in/kerri-russell-7a694218/</t>
  </si>
  <si>
    <t>https://www.linkedin.com/in/alex-anthoness-45326ba6/</t>
  </si>
  <si>
    <t>https://www.linkedin.com/in/tina-d-ettorre-98938977/</t>
  </si>
  <si>
    <t>https://www.linkedin.com/in/darren-mcnamara/</t>
  </si>
  <si>
    <t>https://www.linkedin.com/in/kate-goos-48502611/</t>
  </si>
  <si>
    <t>https://www.linkedin.com/in/kirsten-read/</t>
  </si>
  <si>
    <t>https://www.linkedin.com/in/scott-colvin-b3055a1a/</t>
  </si>
  <si>
    <t>https://www.linkedin.com/in/sam-carlson-86613015/</t>
  </si>
  <si>
    <t>Head of Regulatory Strategy</t>
  </si>
  <si>
    <t>Amanda Rohan</t>
  </si>
  <si>
    <t>https://www.linkedin.com/in/amanda-rohan/</t>
  </si>
  <si>
    <t>Mark D'Andrea</t>
  </si>
  <si>
    <t>Regulatory Manager</t>
  </si>
  <si>
    <t>https://www.linkedin.com/in/mark-d-andrea-8b97065/</t>
  </si>
  <si>
    <t>https://www.linkedin.com/in/zac-murphy/?original_referer=https%3A%2F%2Fwww%2Egoogle%2Ecom%2F</t>
  </si>
  <si>
    <t>https://www.linkedin.com/in/danny-winata-b2329239/</t>
  </si>
  <si>
    <t>https://www.linkedin.com/in/mike-jr-1563b746/</t>
  </si>
  <si>
    <t>https://www.linkedin.com/in/stacy-phillips-05909654/</t>
  </si>
  <si>
    <t>https://www.linkedin.com/in/scott-dickerson-47b4874/</t>
  </si>
  <si>
    <t>https://www.linkedin.com/in/edward-murzyn-779a3816/</t>
  </si>
  <si>
    <t>https://www.linkedin.com/in/mike-katz-mountainview/</t>
  </si>
  <si>
    <t>https://www.linkedin.com/in/erin-chou-04a4157/</t>
  </si>
  <si>
    <t>https://www.linkedin.com/in/joey-petrella-74b67263/</t>
  </si>
  <si>
    <t>https://www.linkedin.com/in/chrisflangas/</t>
  </si>
  <si>
    <t>https://www.linkedin.com/in/kristin-orcutt-90491458/</t>
  </si>
  <si>
    <t>https://www.linkedin.com/in/michael-lamers-9a6ab339/</t>
  </si>
  <si>
    <t>https://www.linkedin.com/in/jaime-marines-792b5717/</t>
  </si>
  <si>
    <t>https://www.linkedin.com/in/phil-valente/</t>
  </si>
  <si>
    <t>https://www.linkedin.com/in/oz-goldberg-b2056b73/</t>
  </si>
  <si>
    <t>https://www.linkedin.com/in/michael-spada-11b111114/</t>
  </si>
  <si>
    <t>https://www.linkedin.com/in/darren-simmons-22264135/</t>
  </si>
  <si>
    <t>https://www.linkedin.com/in/j-boon-a18045304/</t>
  </si>
  <si>
    <t>Golden Pony Casino</t>
  </si>
  <si>
    <t>https://www.linkedin.com/in/gabrielle-star/</t>
  </si>
  <si>
    <t>https://www.linkedin.com/in/emma-barrett-8a86b58b/</t>
  </si>
  <si>
    <t>https://www.linkedin.com/in/dan-rostron-3b281913/</t>
  </si>
  <si>
    <t>https://www.linkedin.com/in/frank-mcpolin-10103a23/</t>
  </si>
  <si>
    <t>https://www.linkedin.com/in/tatiana-g-barrenechea-6a11268/</t>
  </si>
  <si>
    <t>https://www.linkedin.com/in/sam-hobcraft-594b997/</t>
  </si>
  <si>
    <t>https://www.linkedin.com/in/antoniomateus/</t>
  </si>
  <si>
    <t>https://www.linkedin.com/in/jboschayguade/</t>
  </si>
  <si>
    <t>https://www.linkedin.com/in/picoito/</t>
  </si>
  <si>
    <t>https://www.linkedin.com/in/dimitri-di-giacomo-2875a491/</t>
  </si>
  <si>
    <t>https://www.linkedin.com/in/vergilazarova/</t>
  </si>
  <si>
    <t xml:space="preserve">                                          </t>
  </si>
  <si>
    <t>https://www.linkedin.com/in/will-shuirman-370b9511/</t>
  </si>
  <si>
    <t>https://www.linkedin.com/in/luigi-cacciapuoti/</t>
  </si>
  <si>
    <t>https://www.linkedin.com/in/byron-bridger-0863a11/</t>
  </si>
  <si>
    <t>https://www.linkedin.com/in/luke-dimech-72b8b2127/</t>
  </si>
  <si>
    <t>https://www.linkedin.com/in/james-costantini-89463279/</t>
  </si>
  <si>
    <t>https://www.linkedin.com/in/jkkearns/</t>
  </si>
  <si>
    <t>https://www.linkedin.com/in/knute-k-3609959/</t>
  </si>
  <si>
    <t>https://www.linkedin.com/in/jonathanaaronsmith/</t>
  </si>
  <si>
    <t>https://www.linkedin.com/in/jeff-laseur-4222474/</t>
  </si>
  <si>
    <t>https://www.linkedin.com/in/dan-ciccarelli/</t>
  </si>
  <si>
    <t>https://www.linkedin.com/in/jacob-lanning-4b594b1/</t>
  </si>
  <si>
    <t>https://www.linkedin.com/in/stephanietbarrett/</t>
  </si>
  <si>
    <t>https://www.linkedin.com/in/helen-ingrey-54700a57/</t>
  </si>
  <si>
    <t>https://www.linkedin.com/in/dallas-orchard-962a21a4/</t>
  </si>
  <si>
    <t>https://www.linkedin.com/in/kileyproffitt/</t>
  </si>
  <si>
    <t>https://www.linkedin.com/in/ilkov/</t>
  </si>
  <si>
    <t>https://www.linkedin.com/in/kristian-soriano/</t>
  </si>
  <si>
    <t>https://www.linkedin.com/in/vanessa-kelley-04724527/</t>
  </si>
  <si>
    <t>https://www.linkedin.com/in/mark-dunn-5b1992a/</t>
  </si>
  <si>
    <t>https://www.linkedin.com/in/scott-richards-6b0b142/</t>
  </si>
  <si>
    <t>https://www.linkedin.com/in/jenniferekholtz/</t>
  </si>
  <si>
    <t>https://www.linkedin.com/in/glenn-e-wichinsky-attorney-98b460/</t>
  </si>
  <si>
    <t>Glenn E. Wichinsky</t>
  </si>
  <si>
    <t>Gambling Law</t>
  </si>
  <si>
    <t>FANDUAL</t>
  </si>
  <si>
    <t>https://www.linkedin.com/in/daniel-labrada-37864031/</t>
  </si>
  <si>
    <t>https://www.linkedin.com/in/matthew-feeley/</t>
  </si>
  <si>
    <t>https://www.linkedin.com/in/ryan-doner-05296133/</t>
  </si>
  <si>
    <t>https://www.linkedin.com/in/ryan-mcglone-929a10122/</t>
  </si>
  <si>
    <t>https://www.linkedin.com/in/dannyscaramella/</t>
  </si>
  <si>
    <t>https://www.linkedin.com/in/acaciah-glaze-b2131167/</t>
  </si>
  <si>
    <t>https://www.linkedin.com/in/zacharyjuviler/</t>
  </si>
  <si>
    <t>https://www.linkedin.com/in/nick-amadruto-779599172/</t>
  </si>
  <si>
    <t>https://www.linkedin.com/in/holly-f-918b4029/</t>
  </si>
  <si>
    <t>WHITEW HAT</t>
  </si>
  <si>
    <t>https://www.linkedin.com/in/daniel-lechner-6b5b96116/</t>
  </si>
  <si>
    <t>https://www.linkedin.com/in/bradley-wise-5384b986/</t>
  </si>
  <si>
    <t>https://www.linkedin.com/in/musomatt/</t>
  </si>
  <si>
    <t>https://www.linkedin.com/in/per-emtfors-7441724/</t>
  </si>
  <si>
    <t>https://www.linkedin.com/in/christian-tirabassi-767292/</t>
  </si>
  <si>
    <t>ROW Gambling law</t>
  </si>
  <si>
    <t>https://www.linkedin.com/in/phil-satre-01260915/</t>
  </si>
  <si>
    <t>https://www.linkedin.com/in/baballance/</t>
  </si>
  <si>
    <t>https://www.linkedin.com/in/ignacio-vargas-4a59881ba/</t>
  </si>
  <si>
    <t>Pit River Casino</t>
  </si>
  <si>
    <t>https://www.linkedin.com/in/jonathan-zachem-50a444142/</t>
  </si>
  <si>
    <t>Florida Skill Games</t>
  </si>
  <si>
    <t>https://www.linkedin.com/in/brennan-mccall-66486385/</t>
  </si>
  <si>
    <t>Revo Casino and Social House</t>
  </si>
  <si>
    <t>https://www.linkedin.com/in/vernon-w-48721419/</t>
  </si>
  <si>
    <t>https://www.linkedin.com/in/daniel-burdalski-529bb020/</t>
  </si>
  <si>
    <t>https://www.linkedin.com/in/viry-alcantara-aa1975190/</t>
  </si>
  <si>
    <t>Role looks more Host</t>
  </si>
  <si>
    <t>https://www.linkedin.com/in/steve-osborn-a85b35b1/</t>
  </si>
  <si>
    <t>A bit odd</t>
  </si>
  <si>
    <t>https://www.linkedin.com/in/doug-hudson-01b1b417/</t>
  </si>
  <si>
    <t>Role</t>
  </si>
  <si>
    <t>https://www.linkedin.com/in/peter-vandenburg-a98b8012/</t>
  </si>
  <si>
    <t>https://www.linkedin.com/in/mark-mueller-59b41013a/</t>
  </si>
  <si>
    <t>Activity</t>
  </si>
  <si>
    <t>https://www.linkedin.com/in/john-green-bb635951/</t>
  </si>
  <si>
    <t>More tech/manager</t>
  </si>
  <si>
    <t>https://www.linkedin.com/in/wesley-bayless-b09a7412b/</t>
  </si>
  <si>
    <t>https://www.linkedin.com/in/angelica-orme/</t>
  </si>
  <si>
    <t>More Ops</t>
  </si>
  <si>
    <t>https://www.linkedin.com/in/nikki-cervenka-228201189/</t>
  </si>
  <si>
    <t>https://www.linkedin.com/in/tommy-hua-705580194/</t>
  </si>
  <si>
    <t>Tech but it is New York</t>
  </si>
  <si>
    <t>https://www.linkedin.com/in/dana-kissinger-1914a797/</t>
  </si>
  <si>
    <t>https://www.linkedin.com/in/jesse-haley-a97a869b/</t>
  </si>
  <si>
    <t>https://www.linkedin.com/in/erik-gutierrez-72346430a/</t>
  </si>
  <si>
    <t>https://www.linkedin.com/in/marty-b-54590832/</t>
  </si>
  <si>
    <t>https://www.linkedin.com/in/daniel-stevens-b6384334/</t>
  </si>
  <si>
    <t>Magnolia Bluffs Casino</t>
  </si>
  <si>
    <t>https://www.linkedin.com/in/joelawrenson/</t>
  </si>
  <si>
    <t>https://www.linkedin.com/in/michael-rex-a2b98134/</t>
  </si>
  <si>
    <t>https://www.linkedin.com/in/ed-birkin-55b209a/?originalSubdomain=uk</t>
  </si>
  <si>
    <t>H2 Gambling Capital</t>
  </si>
  <si>
    <t>https://www.linkedin.com/in/michael-waterfield-5b54311a/</t>
  </si>
  <si>
    <t>https://www.linkedin.com/in/erland-hellstr%C3%B6m-91188459/?originalSubdomain=mt</t>
  </si>
  <si>
    <t>https://www.linkedin.com/in/claire-osborne-1552481/</t>
  </si>
  <si>
    <t>https://www.linkedin.com/in/paolorobertodeleon/</t>
  </si>
  <si>
    <t>https://www.linkedin.com/in/antony-abrahamson-292246/</t>
  </si>
  <si>
    <t>https://www.linkedin.com/in/igaming-business-development/</t>
  </si>
  <si>
    <t>https://www.linkedin.com/in/jaredbondgovernmentaffairs/</t>
  </si>
  <si>
    <t>If Indianna legalises</t>
  </si>
  <si>
    <t>https://www.linkedin.com/in/vikshrestha/</t>
  </si>
  <si>
    <t>Other iGaming</t>
  </si>
  <si>
    <t>https://www.linkedin.com/in/robertpasserino/</t>
  </si>
  <si>
    <t>https://www.linkedin.com/in/brett-g-brogan-094892119/</t>
  </si>
  <si>
    <t>Chicago VGT backup</t>
  </si>
  <si>
    <t>https://www.linkedin.com/in/jason-wong-340169b5/</t>
  </si>
  <si>
    <t>https://www.linkedin.com/in/chris-rowe-b639763/</t>
  </si>
  <si>
    <t>Wasn’t at Grover</t>
  </si>
  <si>
    <t>https://www.linkedin.com/in/jacob-wetterlind-2a4466181/</t>
  </si>
  <si>
    <t>https://www.linkedin.com/in/marty-mcalpin-72787050/</t>
  </si>
  <si>
    <t>https://www.linkedin.com/in/timgmiller/</t>
  </si>
  <si>
    <t>UK Gambling Commmission</t>
  </si>
  <si>
    <t>https://www.linkedin.com/in/stewart-campbell-588b3287/</t>
  </si>
  <si>
    <t>https://www.linkedin.com/in/jason-martin-031b90a2/</t>
  </si>
  <si>
    <t>https://www.linkedin.com/in/brian-pierce-68a5a2126/</t>
  </si>
  <si>
    <t>https://www.linkedin.com/in/bob-parente-b909a24/</t>
  </si>
  <si>
    <t>https://www.linkedin.com/in/avrilbaynes/</t>
  </si>
  <si>
    <t>https://www.linkedin.com/in/brad-burnett-01770083/</t>
  </si>
  <si>
    <t>SKC</t>
  </si>
  <si>
    <t>https://www.linkedin.com/in/rob-ure-8a893352/</t>
  </si>
  <si>
    <t>https://www.linkedin.com/in/joe-kaminkow-20562180/</t>
  </si>
  <si>
    <t>https://www.linkedin.com/in/michelle-bruback-55170615/</t>
  </si>
  <si>
    <t>https://www.linkedin.com/in/josh-coon-bb221785/?originalSubdomain=au</t>
  </si>
  <si>
    <t>Star</t>
  </si>
  <si>
    <t>https://www.linkedin.com/in/charles-seo-4ab62914/</t>
  </si>
  <si>
    <t>https://www.linkedin.com/in/danielleakristensen/</t>
  </si>
  <si>
    <t>https://www.linkedin.com/in/eamonn-beardsley-3667b367/</t>
  </si>
  <si>
    <t>https://www.linkedin.com/in/mai-lynne-dinkins-jackson-6b7a71201/</t>
  </si>
  <si>
    <t>https://www.linkedin.com/in/christian-masters-39395b168/</t>
  </si>
  <si>
    <t>https://www.linkedin.com/in/sarah-base-8bb755118/</t>
  </si>
  <si>
    <t>https://www.linkedin.com/in/ashleychouramanis/</t>
  </si>
  <si>
    <t>https://www.linkedin.com/in/andrew-smith-006387a2/</t>
  </si>
  <si>
    <t>https://www.linkedin.com/in/mattwardlinked/</t>
  </si>
  <si>
    <t>https://www.linkedin.com/in/philotoole/</t>
  </si>
  <si>
    <t>https://www.linkedin.com/in/natebreighner/</t>
  </si>
  <si>
    <t>https://www.linkedin.com/in/elen-barber/</t>
  </si>
  <si>
    <t>https://www.linkedin.com/in/becky-harris-b8538635/</t>
  </si>
  <si>
    <t>Becky Harris</t>
  </si>
  <si>
    <t>Nevada Regulator</t>
  </si>
  <si>
    <t>https://www.linkedin.com/in/matthew-welsh-b222aa139/</t>
  </si>
  <si>
    <t>https://www.linkedin.com/in/vaughn-lynch-1128bb94/</t>
  </si>
  <si>
    <t>https://www.linkedin.com/in/paul-bloodworth-b7650225/</t>
  </si>
  <si>
    <t>https://www.linkedin.com/in/amyzavros/</t>
  </si>
  <si>
    <t>Amy Zavros</t>
  </si>
  <si>
    <t>Betfair CEO</t>
  </si>
  <si>
    <t>https://www.linkedin.com/in/andy-hoad-sport-content/</t>
  </si>
  <si>
    <t>https://www.linkedin.com/in/rob-annable/</t>
  </si>
  <si>
    <t>Picklebet COO</t>
  </si>
  <si>
    <t>Rob Annable</t>
  </si>
  <si>
    <t>General Counsel</t>
  </si>
  <si>
    <t>https://www.linkedin.com/in/andrew-catterall-605b5460/</t>
  </si>
  <si>
    <t>https://www.linkedin.com/in/chris-ward-b9347a20/</t>
  </si>
  <si>
    <t>https://www.linkedin.com/in/andrew-prebble-0a808641/</t>
  </si>
  <si>
    <t>Andrew Prebble</t>
  </si>
  <si>
    <t>Picklebet CFO</t>
  </si>
  <si>
    <t>https://www.linkedin.com/in/michelle-fielding-89305248/?originalSubdomain=au</t>
  </si>
  <si>
    <t>Dabble</t>
  </si>
  <si>
    <t>CTO</t>
  </si>
  <si>
    <t>https://www.linkedin.com/in/ben-stevens-204a013b/</t>
  </si>
  <si>
    <t>Picklebet CCO</t>
  </si>
  <si>
    <t>https://www.linkedin.com/in/ben-jesse/?originalSubdomain=au</t>
  </si>
  <si>
    <t>https://www.linkedin.com/in/david-hunter-141a5663/</t>
  </si>
  <si>
    <t>Media</t>
  </si>
  <si>
    <t>https://www.linkedin.com/in/emilie-jirsch-0b522238/</t>
  </si>
  <si>
    <t>https://www.linkedin.com/in/sascha-coglan-ba81011b/</t>
  </si>
  <si>
    <t>https://www.linkedin.com/in/davevwalker/</t>
  </si>
  <si>
    <t>JIN</t>
  </si>
  <si>
    <t>https://www.linkedin.com/in/croweliam/</t>
  </si>
  <si>
    <t>https://www.linkedin.com/in/nicoleminty/</t>
  </si>
  <si>
    <t>Marketer</t>
  </si>
  <si>
    <t>https://www.linkedin.com/in/tam-watson/</t>
  </si>
  <si>
    <t>https://www.linkedin.com/in/michael-driver-2117b233/</t>
  </si>
  <si>
    <t>Public Affairs Specialist</t>
  </si>
  <si>
    <t>https://www.linkedin.com/in/levi-putna-59041051/</t>
  </si>
  <si>
    <t>https://www.linkedin.com/in/simondarcy1/</t>
  </si>
  <si>
    <t>https://www.linkedin.com/in/damian-harte-785b9331/</t>
  </si>
  <si>
    <t>Product Lead</t>
  </si>
  <si>
    <t>https://www.linkedin.com/in/alister-lui-a353468/</t>
  </si>
  <si>
    <t>https://www.linkedin.com/in/david-kearney-6787363a/</t>
  </si>
  <si>
    <t>https://www.linkedin.com/in/david-beirne-18852a100/</t>
  </si>
  <si>
    <t>https://www.linkedin.com/in/shane-baker-5b2737b5/</t>
  </si>
  <si>
    <t>https://www.linkedin.com/in/barryjpope/</t>
  </si>
  <si>
    <t>https://www.linkedin.com/in/kayelene-snowden-7186b723/</t>
  </si>
  <si>
    <t>https://www.linkedin.com/in/richard-graham-b02996139/</t>
  </si>
  <si>
    <t>Bet365</t>
  </si>
  <si>
    <t>https://www.linkedin.com/in/markwilliambracken/</t>
  </si>
  <si>
    <t>https://www.linkedin.com/in/francesco-condoleo/</t>
  </si>
  <si>
    <t>https://www.linkedin.com/in/david-atik/</t>
  </si>
  <si>
    <t>https://www.linkedin.com/in/zoeuhl/</t>
  </si>
  <si>
    <t>https://www.linkedin.com/in/stephanie-duval-71619011/</t>
  </si>
  <si>
    <t>https://www.linkedin.com/in/dallas-holmes-a7ab0b2b/</t>
  </si>
  <si>
    <t>https://www.linkedin.com/in/mark-douglas-32716794/</t>
  </si>
  <si>
    <t>https://www.linkedin.com/in/jarryd-williamson-b052905b/</t>
  </si>
  <si>
    <t>https://www.linkedin.com/in/suzy-raymer/</t>
  </si>
  <si>
    <t>https://www.linkedin.com/in/kishanvyas/</t>
  </si>
  <si>
    <t>https://www.linkedin.com/in/adrian-benfield-7b4562247/</t>
  </si>
  <si>
    <t>https://www.linkedin.com/in/phil-wright-gatherwell/</t>
  </si>
  <si>
    <t>https://www.linkedin.com/in/jonathan-poulton-b07b40a3/</t>
  </si>
  <si>
    <t>https://www.linkedin.com/in/luke-drummond-80952160/</t>
  </si>
  <si>
    <t>https://www.linkedin.com/in/jess-cheng-a8473270/</t>
  </si>
  <si>
    <t>https://www.linkedin.com/in/luke-brill-745113b/</t>
  </si>
  <si>
    <t>https://www.linkedin.com/in/adam-pustetto-60615734b/</t>
  </si>
  <si>
    <t>https://www.linkedin.com/in/emmakasbarian/</t>
  </si>
  <si>
    <t>https://www.linkedin.com/in/oliver-scott-18847821/</t>
  </si>
  <si>
    <t>https://www.linkedin.com/in/dafnegui/</t>
  </si>
  <si>
    <t>https://www.linkedin.com/in/michaelrprobert/</t>
  </si>
  <si>
    <t>https://www.linkedin.com/in/miritbh/</t>
  </si>
  <si>
    <t>https://www.linkedin.com/in/lewis-essam/</t>
  </si>
  <si>
    <t>https://www.linkedin.com/in/andrew-bonnici-mt/</t>
  </si>
  <si>
    <t>https://www.linkedin.com/in/doron-shavit/</t>
  </si>
  <si>
    <t>https://www.linkedin.com/in/alexandraoheir/</t>
  </si>
  <si>
    <t>https://www.linkedin.com/in/jetaylorjr/</t>
  </si>
  <si>
    <t>https://www.linkedin.com/in/harper-stephens/</t>
  </si>
  <si>
    <t>https://www.linkedin.com/in/bobserr/</t>
  </si>
  <si>
    <t>https://www.linkedin.com/in/eloy-martinez-52b04055/</t>
  </si>
  <si>
    <t>https://www.linkedin.com/in/tabustamante/</t>
  </si>
  <si>
    <t>https://www.linkedin.com/in/tony-lewin-5682358/</t>
  </si>
  <si>
    <t>https://www.linkedin.com/in/ian-mclean-bus-adv/</t>
  </si>
  <si>
    <t>https://www.linkedin.com/in/da-silva-julian/</t>
  </si>
  <si>
    <t>https://www.linkedin.com/in/chris-hebrard-3ab7b340/</t>
  </si>
  <si>
    <t>https://www.linkedin.com/in/josiah-dunmore-09a6b21b8/</t>
  </si>
  <si>
    <t>https://www.linkedin.com/in/bradley-presley-mls-bsss-b6a46a65/</t>
  </si>
  <si>
    <t>https://www.linkedin.com/in/bruce-morrison-60601540/</t>
  </si>
  <si>
    <t>Bodines Casino and Carson Valley Inn</t>
  </si>
  <si>
    <t>https://www.linkedin.com/in/jesus-villa-4b645a15b/</t>
  </si>
  <si>
    <t>role unclear</t>
  </si>
  <si>
    <t>https://www.linkedin.com/in/thomas-rigg-46b4471b6/</t>
  </si>
  <si>
    <t>https://www.linkedin.com/in/michael-memmo-b688a3b/</t>
  </si>
  <si>
    <t>https://www.linkedin.com/in/leah-goodnature-389a3349/</t>
  </si>
  <si>
    <t>https://www.linkedin.com/in/justin-ethier-9bb18427b/</t>
  </si>
  <si>
    <t>https://www.linkedin.com/in/chuck-oswald-19830419a/</t>
  </si>
  <si>
    <t>https://www.linkedin.com/in/neil-baxley-ab1600199/?trk=public_profile_browsemap</t>
  </si>
  <si>
    <t>https://www.linkedin.com/in/williammacek</t>
  </si>
  <si>
    <t>https://www.linkedin.com/in/monica-ramos-b9140334</t>
  </si>
  <si>
    <t>https://ca.linkedin.com/in/joseph-keller-940019127</t>
  </si>
  <si>
    <t>https://www.linkedin.com/in/john-tanner-b5b9b5368</t>
  </si>
  <si>
    <t>https://www.linkedin.com/in/tim-dirksen-521878aa/</t>
  </si>
  <si>
    <t>Superceded by Fred</t>
  </si>
  <si>
    <t>https://www.linkedin.com/in/cheryl-richeal-a5482b70/</t>
  </si>
  <si>
    <t>https://www.linkedin.com/in/israel-rodriguez-0b4a91247/</t>
  </si>
  <si>
    <t>https://www.linkedin.com/in/mike-trejo-0993b556/</t>
  </si>
  <si>
    <t>https://www.linkedin.com/in/antonio-siordia-a09ab2a4/</t>
  </si>
  <si>
    <t>https://www.linkedin.com/in/robert-kersting-64223589/</t>
  </si>
  <si>
    <t>https://www.linkedin.com/in/carlos-gonzalez-23a20b137/</t>
  </si>
  <si>
    <t>https://www.linkedin.com/in/clayton-rodekamp-71642757/</t>
  </si>
  <si>
    <t>https://www.linkedin.com/in/brandon-tarchis-936360133/</t>
  </si>
  <si>
    <t>https://www.linkedin.com/in/daniel-kenneth-83262927/</t>
  </si>
  <si>
    <t>Eilers</t>
  </si>
  <si>
    <t>https://www.linkedin.com/in/conor-paravia-4a7a7b22b/</t>
  </si>
  <si>
    <t>https://www.linkedin.com/in/jay-roper-9bb9954/</t>
  </si>
  <si>
    <t>https://www.linkedin.com/in/anna-pavlenko-328b9a77/</t>
  </si>
  <si>
    <t>https://www.linkedin.com/in/molly-mueller-57279714/</t>
  </si>
  <si>
    <t>https://www.linkedin.com/in/mariia-mcgovern/</t>
  </si>
  <si>
    <t>https://www.linkedin.com/in/matthew-kline-05684b26a/</t>
  </si>
  <si>
    <t>https://www.linkedin.com/in/mervhuber/</t>
  </si>
  <si>
    <t>Independent Game Designer</t>
  </si>
  <si>
    <t>SciGames</t>
  </si>
  <si>
    <t>Merv Huber</t>
  </si>
  <si>
    <t>https://www.linkedin.com/in/john-myers-7607b37/</t>
  </si>
  <si>
    <t>John Myers</t>
  </si>
  <si>
    <t>Matthew Kline</t>
  </si>
  <si>
    <t>CASINO SOFTWARE</t>
  </si>
  <si>
    <t>https://www.linkedin.com/in/michael-crooks-5a398710/</t>
  </si>
  <si>
    <t>https://www.linkedin.com/in/kyle-gray-b33707183/</t>
  </si>
  <si>
    <t>North Carolina backup</t>
  </si>
  <si>
    <t>https://www.linkedin.com/in/allanaltholz/</t>
  </si>
  <si>
    <t>https://www.linkedin.com/in/scott-platz/</t>
  </si>
  <si>
    <t>Superceded - Jeff</t>
  </si>
  <si>
    <t>https://www.linkedin.com/in/dylan-allums-49351b16a/</t>
  </si>
  <si>
    <t>https://www.linkedin.com/in/michaeljmdaly/</t>
  </si>
  <si>
    <t>https://www.linkedin.com/in/russell-collard-81423411b/</t>
  </si>
  <si>
    <t>https://www.linkedin.com/in/samantha-archer-81141013/</t>
  </si>
  <si>
    <t>Bingo</t>
  </si>
  <si>
    <t>https://www.linkedin.com/in/scott-rowan-448867a3/</t>
  </si>
  <si>
    <t>iGaming AI</t>
  </si>
  <si>
    <t>https://www.linkedin.com/in/christianbogstrand/</t>
  </si>
  <si>
    <t>https://www.linkedin.com/in/jason-march-084a636b/</t>
  </si>
  <si>
    <t>https://www.linkedin.com/in/garett-van-winkle-b44992104/</t>
  </si>
  <si>
    <t>https://www.linkedin.com/in/matthew-pond-081978139/</t>
  </si>
  <si>
    <t>https://www.linkedin.com/in/chris-wright-799b0bb2/</t>
  </si>
  <si>
    <t>IGT iLottery</t>
  </si>
  <si>
    <t>https://www.linkedin.com/in/lesliebadger/</t>
  </si>
  <si>
    <t>SciPla iLottery</t>
  </si>
  <si>
    <t>https://www.linkedin.com/in/mikecampos/</t>
  </si>
  <si>
    <t>https://www.linkedin.com/in/kyle-winschel-79b001115/</t>
  </si>
  <si>
    <t>https://www.linkedin.com/in/yossi-koka-a2985534/</t>
  </si>
  <si>
    <t>https://www.linkedin.com/in/chris-fewell-915978348/</t>
  </si>
  <si>
    <t>https://www.linkedin.com/in/richard-thomas-b570b389/</t>
  </si>
  <si>
    <t>Vietnam + ex IGT</t>
  </si>
  <si>
    <t>https://www.linkedin.com/in/don-chapin-43332b101/</t>
  </si>
  <si>
    <t>https://www.linkedin.com/in/benjamin-boucher-61a99696/</t>
  </si>
  <si>
    <t>https://www.linkedin.com/in/darrion-terrell-b98956b4/</t>
  </si>
  <si>
    <t>https://www.linkedin.com/in/jen-young-75746621/</t>
  </si>
  <si>
    <t>Omaze Director</t>
  </si>
  <si>
    <t>https://www.linkedin.com/in/bull-marketing/</t>
  </si>
  <si>
    <t>Classics for a Casuse</t>
  </si>
  <si>
    <t>https://www.linkedin.com/in/daniel-may-34999b17/</t>
  </si>
  <si>
    <t>https://www.linkedin.com/in/natevsullivan/</t>
  </si>
  <si>
    <t>https://www.linkedin.com/in/lauren-caruana-339a703a/</t>
  </si>
  <si>
    <t>Sean Murphy</t>
  </si>
  <si>
    <t>https://www.linkedin.com/in/david-maguire-14b6bb48/</t>
  </si>
  <si>
    <t>https://www.linkedin.com/in/jared-hale-aa8b7711/</t>
  </si>
  <si>
    <t>https://www.linkedin.com/in/steve-houle-4927479/</t>
  </si>
  <si>
    <t>https://www.linkedin.com/in/maya-sharon-b523a120/</t>
  </si>
  <si>
    <t>https://www.linkedin.com/in/aidapolaskova/</t>
  </si>
  <si>
    <t>https://www.linkedin.com/in/oded-g-a105b515/</t>
  </si>
  <si>
    <t>https://www.linkedin.com/in/nategot/</t>
  </si>
  <si>
    <t>https://www.linkedin.com/in/anatolii-syvaschenko-95158184/</t>
  </si>
  <si>
    <t>https://www.linkedin.com/in/yana-todosiienko-89184354/</t>
  </si>
  <si>
    <t>https://www.linkedin.com/in/koral-tayeb/</t>
  </si>
  <si>
    <t>https://www.linkedin.com/in/shaharsadeh1/</t>
  </si>
  <si>
    <t>https://www.linkedin.com/in/nimeshw/</t>
  </si>
  <si>
    <t>https://www.linkedin.com/in/chris-dwyer/</t>
  </si>
  <si>
    <t>https://www.linkedin.com/in/andy-elks-0a21824/</t>
  </si>
  <si>
    <t>https://www.linkedin.com/in/mark-briers/</t>
  </si>
  <si>
    <t>https://www.linkedin.com/in/bobbywhenderson/</t>
  </si>
  <si>
    <t>https://www.linkedin.com/in/randy-thompson-a1534a217/</t>
  </si>
  <si>
    <t>https://www.linkedin.com/in/paula-walker-50367289/</t>
  </si>
  <si>
    <t>https://www.linkedin.com/in/matt-brueggemann-099772276/</t>
  </si>
  <si>
    <t>Exx ALL Adjscent Markets</t>
  </si>
  <si>
    <t>https://www.linkedin.com/in/nicholastwomey/</t>
  </si>
  <si>
    <t>https://www.linkedin.com/in/tom-rundle-digital-leader/</t>
  </si>
  <si>
    <t>https://www.linkedin.com/in/bronte-campbell/</t>
  </si>
  <si>
    <t>https://www.linkedin.com/in/ash-sheard/</t>
  </si>
  <si>
    <t>https://www.linkedin.com/in/howlandgeoff/</t>
  </si>
  <si>
    <t>https://www.linkedin.com/in/chris-mccoy-2733b22/</t>
  </si>
  <si>
    <t>https://www.linkedin.com/in/michael-jones-05579524/</t>
  </si>
  <si>
    <t>https://www.linkedin.com/in/chris-ingram-07720b55/</t>
  </si>
  <si>
    <t>https://www.linkedin.com/in/paul-mcroberts/</t>
  </si>
  <si>
    <t>https://www.linkedin.com/in/zain-khan/</t>
  </si>
  <si>
    <t>CA or Trip</t>
  </si>
  <si>
    <t>Melbourne</t>
  </si>
  <si>
    <t>GM - Customer Strategy</t>
  </si>
  <si>
    <t>TAH</t>
  </si>
  <si>
    <t>GM - Product &amp; Digital Channels</t>
  </si>
  <si>
    <t>TBD</t>
  </si>
  <si>
    <t>Was at SportsBet</t>
  </si>
  <si>
    <t>Now at Fanduel</t>
  </si>
  <si>
    <t>Head of Technology</t>
  </si>
  <si>
    <t>GM - Product</t>
  </si>
  <si>
    <t>Head of International</t>
  </si>
  <si>
    <t>SkyRacing Content</t>
  </si>
  <si>
    <t>CA</t>
  </si>
  <si>
    <t>Retail Analytics</t>
  </si>
  <si>
    <t>https://www.linkedin.com/in/wacinski/</t>
  </si>
  <si>
    <t>Caesars</t>
  </si>
  <si>
    <t>https://www.linkedin.com/in/ian-turnbull-79aba53/</t>
  </si>
  <si>
    <t>https://www.linkedin.com/in/mark-clohessy-430980a/</t>
  </si>
  <si>
    <t>https://www.linkedin.com/in/bradley-gale/</t>
  </si>
  <si>
    <t>https://www.linkedin.com/in/benedict-mcdonagh-89670b5/</t>
  </si>
  <si>
    <t>https://www.linkedin.com/in/richcriado/</t>
  </si>
  <si>
    <t>https://www.linkedin.com/in/duane-phillips-45635a141/</t>
  </si>
  <si>
    <t>https://www.linkedin.com/in/dimitrikirin/</t>
  </si>
  <si>
    <t>https://www.linkedin.com/in/ian-shelswell-5b88b4/</t>
  </si>
  <si>
    <t>https://www.linkedin.com/in/nadia-massingham-0640a247/</t>
  </si>
  <si>
    <t>https://www.linkedin.com/in/samantha-servant-6a734a102/</t>
  </si>
  <si>
    <t>https://www.linkedin.com/in/rickray1971/</t>
  </si>
  <si>
    <t>Director of Gaming</t>
  </si>
  <si>
    <t>Rick Ray</t>
  </si>
  <si>
    <t>https://www.linkedin.com/in/aaron-medvick-a49b125/</t>
  </si>
  <si>
    <t>https://www.linkedin.com/in/kimberly-kiepek/</t>
  </si>
  <si>
    <t>https://www.linkedin.com/in/thomas-watts-13a493179/</t>
  </si>
  <si>
    <t>https://www.linkedin.com/in/marcus-hickling-b75707195/</t>
  </si>
  <si>
    <t>https://www.linkedin.com/in/christopher-wueste-417215b0/</t>
  </si>
  <si>
    <t>https://www.linkedin.com/in/juan-hernandez-09139314/</t>
  </si>
  <si>
    <t>https://www.linkedin.com/in/joeaburns/</t>
  </si>
  <si>
    <t>https://www.linkedin.com/in/henrik-henriksson-817800235/</t>
  </si>
  <si>
    <t>https://www.linkedin.com/in/richard-fieldsend-02a9a756/</t>
  </si>
  <si>
    <t>https://www.linkedin.com/in/dominic-woodward-78513241/</t>
  </si>
  <si>
    <t>https://www.linkedin.com/in/dave-manning-a949a6405/</t>
  </si>
  <si>
    <t>Q Casino</t>
  </si>
  <si>
    <t>https://www.linkedin.com/in/steve-gotchie-a492989b/</t>
  </si>
  <si>
    <t>Norther Lights Casino</t>
  </si>
  <si>
    <t>https://www.linkedin.com/in/daniel-r-johansson/</t>
  </si>
  <si>
    <t>https://www.linkedin.com/in/dan-engstrom-276792a9/</t>
  </si>
  <si>
    <t>weird</t>
  </si>
  <si>
    <t>https://www.linkedin.com/in/monica-evans-694569130/</t>
  </si>
  <si>
    <t>Ocean Downs Casino</t>
  </si>
  <si>
    <t>https://www.linkedin.com/in/todd-jaron-53565944/</t>
  </si>
  <si>
    <t>Mark Twain Casino</t>
  </si>
  <si>
    <t>https://www.linkedin.com/in/richard-spurlock-59b20a6/</t>
  </si>
  <si>
    <t xml:space="preserve">Binion's Gambling Hall &amp; Hotel </t>
  </si>
  <si>
    <t>https://www.linkedin.com/in/bill-crafts-146176b/</t>
  </si>
  <si>
    <t>Florida State Slots</t>
  </si>
  <si>
    <t>https://www.linkedin.com/in/johan-wemmenhag-40a60010a/</t>
  </si>
  <si>
    <t>https://www.linkedin.com/in/ian-jay-76381920/</t>
  </si>
  <si>
    <t>https://www.linkedin.com/in/ardie-johnson-7a811287/</t>
  </si>
  <si>
    <t>Lake of the Torches Resort Casino</t>
  </si>
  <si>
    <t>ex ALL Government Relations</t>
  </si>
  <si>
    <t>https://www.linkedin.com/in/adrosen/</t>
  </si>
  <si>
    <t>https://www.linkedin.com/in/linn-alexander-a27a0155/</t>
  </si>
  <si>
    <t>https://www.linkedin.com/in/michael-gerdes-b2300013/</t>
  </si>
  <si>
    <t>https://www.linkedin.com/in/george-b-3525a1388/</t>
  </si>
  <si>
    <t>ex LNW Desinger</t>
  </si>
  <si>
    <t>https://www.linkedin.com/in/mark-h-parent-m-a-01438651/</t>
  </si>
  <si>
    <t>https://www.linkedin.com/in/justin-borges1710/</t>
  </si>
  <si>
    <t>https://www.linkedin.com/in/sarahtaraporewalla/</t>
  </si>
  <si>
    <t>https://www.linkedin.com/in/andrew-lang-60395070/</t>
  </si>
  <si>
    <t>https://www.linkedin.com/in/steve-abbott-cio/</t>
  </si>
  <si>
    <t>TLO Government Relations</t>
  </si>
  <si>
    <t>TLO</t>
  </si>
  <si>
    <t>https://www.linkedin.com/in/heather-ahnafield-a6b94477/</t>
  </si>
  <si>
    <t>Indiana Charitable Gaming</t>
  </si>
  <si>
    <t>https://www.linkedin.com/in/mark-mason-bb7a54153/</t>
  </si>
  <si>
    <t>https://www.linkedin.com/in/d-l-howard-jr-esq-61164852/</t>
  </si>
  <si>
    <t>https://www.linkedin.com/in/ian-millman-69188538/</t>
  </si>
  <si>
    <t>https://www.linkedin.com/in/nir-hakarmeli-317a582/</t>
  </si>
  <si>
    <t>https://www.linkedin.com/in/roy-greenbaum-12baa6a/</t>
  </si>
  <si>
    <t>https://www.linkedin.com/in/michaelmanto/</t>
  </si>
  <si>
    <t>https://www.linkedin.com/in/keiron-downs-04444292/</t>
  </si>
  <si>
    <t>https://www.linkedin.com/in/jack-stiff-250737127/</t>
  </si>
  <si>
    <t>https://www.linkedin.com/in/stephen-lynam-2a869350/</t>
  </si>
  <si>
    <t>https://www.linkedin.com/in/natalia-sahaidak/</t>
  </si>
  <si>
    <t>https://www.linkedin.com/in/nordwall/</t>
  </si>
  <si>
    <t>https://www.linkedin.com/in/igaming-consultant/</t>
  </si>
  <si>
    <t>https://www.linkedin.com/in/mikecusack/</t>
  </si>
  <si>
    <t>https://www.linkedin.com/in/joshua-hammond123/</t>
  </si>
  <si>
    <t xml:space="preserve">Vice President Commercial, Rest of the World at Aristocrat Interactive </t>
  </si>
  <si>
    <t>SVP Digital Product - Both iGaming &amp; Social</t>
  </si>
  <si>
    <t>Vice President of Technology And Architecture - C&amp;A</t>
  </si>
  <si>
    <t>Head of Studio - Wizard Games</t>
  </si>
  <si>
    <t>Senior R&amp;D Director at Aristocrat Interactive</t>
  </si>
  <si>
    <t>SVP - Head of Games Aggregation</t>
  </si>
  <si>
    <t>Senior Manager of Strategic Accounts at Aristocrat Interactive</t>
  </si>
  <si>
    <t>https://www.linkedin.com/in/ivalina-petrova-8314421a4/</t>
  </si>
  <si>
    <t>Partnership Manager</t>
  </si>
  <si>
    <t>https://www.linkedin.com/in/silvia-handzhieva-164ba194/</t>
  </si>
  <si>
    <t>Senior Partnership Manager - PariPlay</t>
  </si>
  <si>
    <t>https://www.linkedin.com/in/engyozova/</t>
  </si>
  <si>
    <t>Vice President of Global Operations &amp; MD BG</t>
  </si>
  <si>
    <t>Director, Regional Sales &amp; Customer Success UK/Europe</t>
  </si>
  <si>
    <t>SVP Managed Services - Risk &amp; Compliance</t>
  </si>
  <si>
    <t>Marketing QA Specialist</t>
  </si>
  <si>
    <t>Senior Advisor, Lottery - ex Neo Chair</t>
  </si>
  <si>
    <t>Director of DevOps</t>
  </si>
  <si>
    <t>VP Product Aristocrat iGaming &amp; Sports</t>
  </si>
  <si>
    <t>Israel</t>
  </si>
  <si>
    <t>Bulgaria</t>
  </si>
  <si>
    <t>Romania</t>
  </si>
  <si>
    <t>VP iGaming&amp;Sports Delivery</t>
  </si>
  <si>
    <t>Macedonia</t>
  </si>
  <si>
    <t>CTO iGaming and Sport</t>
  </si>
  <si>
    <t>Czech Republic</t>
  </si>
  <si>
    <t>Nevada</t>
  </si>
  <si>
    <t>Director of Sales and Customer Service</t>
  </si>
  <si>
    <t>Head of Studio at Wizard Games</t>
  </si>
  <si>
    <t>ex ALL Aggregation Tech</t>
  </si>
  <si>
    <t>Commercial Manager</t>
  </si>
  <si>
    <t>Miami</t>
  </si>
  <si>
    <t>https://www.linkedin.com/in/bentontroy/</t>
  </si>
  <si>
    <t>GM, Growth &amp; Innovation</t>
  </si>
  <si>
    <t>Vice President, Product Solutions | iGaming &amp; Sports</t>
  </si>
  <si>
    <t>Commercial Director</t>
  </si>
  <si>
    <t>New York</t>
  </si>
  <si>
    <t>Senior Manager, Commercial and Operations</t>
  </si>
  <si>
    <t>UK</t>
  </si>
  <si>
    <t>https://www.linkedin.com/in/adamschaum/</t>
  </si>
  <si>
    <t>Senior Account Manager, iGaming Customer Success</t>
  </si>
  <si>
    <t>Pennsylvania</t>
  </si>
  <si>
    <t>https://www.linkedin.com/in/joshuapicciotti/</t>
  </si>
  <si>
    <t>Head of Partner Success</t>
  </si>
  <si>
    <t>Malta</t>
  </si>
  <si>
    <t>Games Product Manager</t>
  </si>
  <si>
    <t>Sr. Business Development Executive</t>
  </si>
  <si>
    <t>Associate Commercial Director UK/EU</t>
  </si>
  <si>
    <t>Gibraltar</t>
  </si>
  <si>
    <t>Senior Commercial Manager</t>
  </si>
  <si>
    <t>https://www.linkedin.com/in/joel-attard-94531a172/</t>
  </si>
  <si>
    <t>Senior Product Manager</t>
  </si>
  <si>
    <t>Director of Product Management</t>
  </si>
  <si>
    <t>Product Manager (Data, Platforms and Analytics)</t>
  </si>
  <si>
    <t>Product Solutions Manager</t>
  </si>
  <si>
    <t>Awager Founder</t>
  </si>
  <si>
    <t>Director, Content Capability UK &amp; EU</t>
  </si>
  <si>
    <t>Senior Director, Product Solutions</t>
  </si>
  <si>
    <t>Director, Games</t>
  </si>
  <si>
    <t>Michigan</t>
  </si>
  <si>
    <t>https://www.linkedin.com/in/nicholas-xenos/</t>
  </si>
  <si>
    <t>Product Owner</t>
  </si>
  <si>
    <t xml:space="preserve">Managing Director, iLottery </t>
  </si>
  <si>
    <t>Rhode Island</t>
  </si>
  <si>
    <t>https://www.linkedin.com/in/carl-franklin/</t>
  </si>
  <si>
    <t>Head of Product at Tabcorp</t>
  </si>
  <si>
    <t>Trading Manager US and Domestic Sports</t>
  </si>
  <si>
    <t>https://www.linkedin.com/in/adrian-b-9732691a/</t>
  </si>
  <si>
    <t>https://www.linkedin.com/in/justinmsimmonds/</t>
  </si>
  <si>
    <t>General Manager Digital</t>
  </si>
  <si>
    <t>https://www.linkedin.com/in/maturski/</t>
  </si>
  <si>
    <t>CEO DreamGiveaway US</t>
  </si>
  <si>
    <t>Florida</t>
  </si>
  <si>
    <t>https://www.linkedin.com/in/pattersonpreowned/</t>
  </si>
  <si>
    <t>VP of Sales Dream Giveawy US</t>
  </si>
  <si>
    <t>VP Product, iLottery</t>
  </si>
  <si>
    <t>VP, Product Solutions</t>
  </si>
  <si>
    <t>US</t>
  </si>
  <si>
    <t>Digital Coordinator</t>
  </si>
  <si>
    <t>Massachussets</t>
  </si>
  <si>
    <t>Kentucky</t>
  </si>
  <si>
    <t>iLottery Marketing Director</t>
  </si>
  <si>
    <t>Director of Customer Growth</t>
  </si>
  <si>
    <t>Director of Product and Solutions</t>
  </si>
  <si>
    <t>Group General Manager - SaaS &amp; Lottery Solutions</t>
  </si>
  <si>
    <t>Brisbane</t>
  </si>
  <si>
    <t>Vice President, Business Development North America iLottery</t>
  </si>
  <si>
    <t>Indiana</t>
  </si>
  <si>
    <t>https://www.linkedin.com/in/matthew-rapier-a8579a48/</t>
  </si>
  <si>
    <t>CFO DreamGiveaway US</t>
  </si>
  <si>
    <t>https://www.linkedin.com/in/lori-spaulding-41b8523a/</t>
  </si>
  <si>
    <t>COO DreamGiveaway US</t>
  </si>
  <si>
    <t>https://www.linkedin.com/in/oleg-voloshyn-9b57b886/</t>
  </si>
  <si>
    <t>UK Gaming 2200 slots, recent expansion</t>
  </si>
  <si>
    <t>Head of Marketing, Global iLottery</t>
  </si>
  <si>
    <t>Account Director</t>
  </si>
  <si>
    <t>Massachusetts</t>
  </si>
  <si>
    <t>https://www.linkedin.com/in/kwhitrod/</t>
  </si>
  <si>
    <t>Product Leader</t>
  </si>
  <si>
    <t>https://www.linkedin.com/in/lily-dingle-95aa54181/</t>
  </si>
  <si>
    <t>https://www.linkedin.com/in/matthewjsomers/</t>
  </si>
  <si>
    <t>Digital Product Manager</t>
  </si>
  <si>
    <t>https://www.linkedin.com/in/jodiegray/</t>
  </si>
  <si>
    <t>Games Portfolio Manager</t>
  </si>
  <si>
    <t>https://www.linkedin.com/in/dale-woo/</t>
  </si>
  <si>
    <t>https://www.linkedin.com/in/daryl-l-bruce/</t>
  </si>
  <si>
    <t>https://www.linkedin.com/in/rachelbarber/</t>
  </si>
  <si>
    <t>Ex IGT CTO</t>
  </si>
  <si>
    <t>ex IGT CRO</t>
  </si>
  <si>
    <t>Director, Business Proposals</t>
  </si>
  <si>
    <t>https://www.linkedin.com/in/ethan-vella-91245821a/</t>
  </si>
  <si>
    <t>Product lead EGMs, Asia</t>
  </si>
  <si>
    <t>https://www.linkedin.com/in/scott-kania/</t>
  </si>
  <si>
    <t>Ex IGT Adjacent Markets</t>
  </si>
  <si>
    <t>https://www.linkedin.com/in/megan-nimsgern/</t>
  </si>
  <si>
    <t>Ex ALL International Marketing</t>
  </si>
  <si>
    <t>Vice President of North American Customer Development</t>
  </si>
  <si>
    <t>Virginia</t>
  </si>
  <si>
    <t>Vice President of Commercial, iGaming and Sports</t>
  </si>
  <si>
    <t>Vice President Operations (iLottery)</t>
  </si>
  <si>
    <t>Sweden</t>
  </si>
  <si>
    <t>General Manager, Play Alberta</t>
  </si>
  <si>
    <t>Alberta</t>
  </si>
  <si>
    <t>Digital Games Coordinator</t>
  </si>
  <si>
    <t>North Carolina</t>
  </si>
  <si>
    <t>Affiliate Acquisition Strategist</t>
  </si>
  <si>
    <t>Director of Customer Marketing, North America</t>
  </si>
  <si>
    <t>Director, Gaming Systems Customer Success at Aristocrat Interactive</t>
  </si>
  <si>
    <t>Manager, Product Solutions Lead</t>
  </si>
  <si>
    <t>Marketing Automations Strategist</t>
  </si>
  <si>
    <t>iLottery Marketing Manager</t>
  </si>
  <si>
    <t>Connecticut</t>
  </si>
  <si>
    <t>Senior Account Manager</t>
  </si>
  <si>
    <t>Director, Data Products</t>
  </si>
  <si>
    <t>Senior Director Business and Customer Development ROW</t>
  </si>
  <si>
    <t>Games Front-End Group Leader</t>
  </si>
  <si>
    <t>Spain</t>
  </si>
  <si>
    <t>Ukraine</t>
  </si>
  <si>
    <t>Senior Director of Sales</t>
  </si>
  <si>
    <t>Ontario</t>
  </si>
  <si>
    <t>Managing Director, Gaming Analytics</t>
  </si>
  <si>
    <t>California</t>
  </si>
  <si>
    <t>https://www.linkedin.com/in/joshford05/</t>
  </si>
  <si>
    <t>Philadelphia</t>
  </si>
  <si>
    <t>Director of Customer Success</t>
  </si>
  <si>
    <t>Califronia</t>
  </si>
  <si>
    <t>https://www.linkedin.com/in/evelyn-nava-8b1ab0252/</t>
  </si>
  <si>
    <t>Senior Director of Slot Optimization and Strategy - Gaming Analytics</t>
  </si>
  <si>
    <t>Project and Training Manager</t>
  </si>
  <si>
    <t>Mississippi</t>
  </si>
  <si>
    <t>Chief Creative Officer (CCO)</t>
  </si>
  <si>
    <t>https://www.linkedin.com/in/philipbeere/</t>
  </si>
  <si>
    <t>Vice President Strategy, Grover Gaming</t>
  </si>
  <si>
    <t>Illinois</t>
  </si>
  <si>
    <t>Chief Executive Officer, Charitable Gaming</t>
  </si>
  <si>
    <t>CFO - Grover Gaming</t>
  </si>
  <si>
    <t>VP Sales - Grover Gaming</t>
  </si>
  <si>
    <t>Head of Marketing, Charitable Gaming</t>
  </si>
  <si>
    <t>Virginia Sales Manager</t>
  </si>
  <si>
    <t>Ohio</t>
  </si>
  <si>
    <t>Senior Manager, Direct Sales- Grover Gaming</t>
  </si>
  <si>
    <t>Business Development Lead</t>
  </si>
  <si>
    <t>New Hampshire</t>
  </si>
  <si>
    <t>Director of Field Operations - Charitable Gaming</t>
  </si>
  <si>
    <t>Indiana Sales Manager</t>
  </si>
  <si>
    <t>Business Development - Indiana</t>
  </si>
  <si>
    <t>Sales Development - Grover Gaming</t>
  </si>
  <si>
    <t>Director of Analytics</t>
  </si>
  <si>
    <t>Sr. Manager, Compliance &amp; Legal</t>
  </si>
  <si>
    <t>Manager of Product Management - Grover Gaming</t>
  </si>
  <si>
    <t>Account Relationship Manager</t>
  </si>
  <si>
    <t>Business Development Representative</t>
  </si>
  <si>
    <t>Sales Executive</t>
  </si>
  <si>
    <t>Operations Manager</t>
  </si>
  <si>
    <t>Director of Development Operations Support</t>
  </si>
  <si>
    <t>Land Based</t>
  </si>
  <si>
    <t>Global VP, Gaming Systems Development</t>
  </si>
  <si>
    <t>Location</t>
  </si>
  <si>
    <t>Texas</t>
  </si>
  <si>
    <t>VP, Strategy &amp; Corporate Development</t>
  </si>
  <si>
    <t>Tennessee</t>
  </si>
  <si>
    <t>Senior Vice President, Advanced Product Strategy</t>
  </si>
  <si>
    <t>SVP, Strategy &amp; Corporate Development</t>
  </si>
  <si>
    <t>Executive Vice President, Strategy</t>
  </si>
  <si>
    <t>SVP Commercial Strategy</t>
  </si>
  <si>
    <t>Chief Revenue Officer, Gaming</t>
  </si>
  <si>
    <t>Senior Vice President of Sales North America</t>
  </si>
  <si>
    <t>Vice President of Sales Operations &amp; Revenue Management</t>
  </si>
  <si>
    <t>https://www.linkedin.com/in/smwlv/</t>
  </si>
  <si>
    <t>Director, Sales Operations - North America</t>
  </si>
  <si>
    <t>https://www.linkedin.com/in/nicole-elkins-a93a67198/</t>
  </si>
  <si>
    <t>https://www.linkedin.com/in/andy-hendrickson-96814/</t>
  </si>
  <si>
    <t>Ex ALL CTO</t>
  </si>
  <si>
    <t>Vice President of Sales - West</t>
  </si>
  <si>
    <t>Vice President of Sales – East</t>
  </si>
  <si>
    <t>https://www.linkedin.com/in/micahezell/</t>
  </si>
  <si>
    <t>Minnesota</t>
  </si>
  <si>
    <t>EVP Global Product, Gaming</t>
  </si>
  <si>
    <t>Game Design &amp; Product</t>
  </si>
  <si>
    <t>Vice President Global Games Product Management</t>
  </si>
  <si>
    <t>https://www.linkedin.com/in/damien-greig-23b5a811/</t>
  </si>
  <si>
    <t>Principal Director, Operations - Gimmie Games</t>
  </si>
  <si>
    <t>Atlanta</t>
  </si>
  <si>
    <t>Vice President, Studio Operations - Gimmie Games</t>
  </si>
  <si>
    <t>https://www.linkedin.com/in/daniel-marks-548a97/</t>
  </si>
  <si>
    <t>VP Game Design, Gimmie Games</t>
  </si>
  <si>
    <t>https://www.linkedin.com/in/hua-xu-41945018/</t>
  </si>
  <si>
    <t>Senior Director Portfolio &amp; Market Planning</t>
  </si>
  <si>
    <t>Adjacent Markets - VLT &amp; Skill Gaming</t>
  </si>
  <si>
    <t>Senior Vice President of Technology</t>
  </si>
  <si>
    <t>Vice President Digital Product Strategy</t>
  </si>
  <si>
    <t>Head of Business Development, Asia</t>
  </si>
  <si>
    <t>SVP Design &amp; Development Operations</t>
  </si>
  <si>
    <t>Vice President Design &amp; Development, Bash Games Studio Head</t>
  </si>
  <si>
    <t>Senior Vice President of Gaming</t>
  </si>
  <si>
    <t>Senior Director of Design &amp; Digital Development (New Media Games)</t>
  </si>
  <si>
    <t>Vice President, Digital Content Operations</t>
  </si>
  <si>
    <t>President VGT An Aristocrat Company</t>
  </si>
  <si>
    <t>General Manager, Oklahoma at VGT/Aristocrat</t>
  </si>
  <si>
    <t>https://www.linkedin.com/in/ryan-johnson-4991857/</t>
  </si>
  <si>
    <t>SVP, Gaming Strategy &amp; Services</t>
  </si>
  <si>
    <t>Vice President Of Technology</t>
  </si>
  <si>
    <t>Vice President, Transformation</t>
  </si>
  <si>
    <t>Director Product Management, Class 2</t>
  </si>
  <si>
    <t>Internal Communications Director EMEA</t>
  </si>
  <si>
    <t>Sr. Product Manager, New Markets</t>
  </si>
  <si>
    <t>Washington</t>
  </si>
  <si>
    <t>Ex ALL Commercial Strategy</t>
  </si>
  <si>
    <t>Vice President Communications</t>
  </si>
  <si>
    <t>Assistant General Counsel, iLottery</t>
  </si>
  <si>
    <t>Head of Product Ecosystem &amp; iGaming Innovation | VP Product Development</t>
  </si>
  <si>
    <t>VP - iGaming &amp; Sports at Aristocrat Interactive</t>
  </si>
  <si>
    <t>Managing Director, iGaming &amp; Sports</t>
  </si>
  <si>
    <t>Vice President of Sales, Gaming Systems</t>
  </si>
  <si>
    <t>https://www.linkedin.com/in/kristen-ranger-9264b88/</t>
  </si>
  <si>
    <t>Senior Vice President, Corporate Strategy</t>
  </si>
  <si>
    <t>Vice President Global Data Product Strategy</t>
  </si>
  <si>
    <t>Senior Vice President, Enterprise Data and Analytics</t>
  </si>
  <si>
    <t>https://www.linkedin.com/in/amy-blakeslee/</t>
  </si>
  <si>
    <t>Gaming Operations Performance Manager</t>
  </si>
  <si>
    <t>Strategy &amp; Corporate Development</t>
  </si>
  <si>
    <t>Global Chief Information Officer</t>
  </si>
  <si>
    <t>Director, Corporate Development &amp; Strategy</t>
  </si>
  <si>
    <t>Global Product Insights</t>
  </si>
  <si>
    <t>General Manager, Government &amp; Industry Relations ANZ/APAC</t>
  </si>
  <si>
    <t>Business Development Executive</t>
  </si>
  <si>
    <t>Senior Director of Sales Eastern Region, Customer Experience Solutions</t>
  </si>
  <si>
    <t>Sr. BDE National System Sales - Cardless &amp; Cashless Tech</t>
  </si>
  <si>
    <t>Missouri</t>
  </si>
  <si>
    <t>https://www.linkedin.com/in/daniel-shaver-72154891/</t>
  </si>
  <si>
    <t>Director Commercial Strategy - EMEA</t>
  </si>
  <si>
    <t>Ex ALL Sales</t>
  </si>
  <si>
    <t>Commercial Strategy Sr. Manager, Latam</t>
  </si>
  <si>
    <t>Mexico</t>
  </si>
  <si>
    <t>Group Product Manager, Global Gaming Technology</t>
  </si>
  <si>
    <t>Sr. Business Development Executive at Aristocrat</t>
  </si>
  <si>
    <t>Vice President of Government Relations at Aristocrat</t>
  </si>
  <si>
    <t>DC</t>
  </si>
  <si>
    <t>Senior Vice President, Global Business Development &amp; Strategic Execution</t>
  </si>
  <si>
    <t>Senior Director of Data Product, PMO, and AI Enablement</t>
  </si>
  <si>
    <t>Assistant General Counsel - Interactive</t>
  </si>
  <si>
    <t>https://www.linkedin.com/in/lee-fraiter-94946b5a/</t>
  </si>
  <si>
    <t>Director of Projects – iGaming</t>
  </si>
  <si>
    <t>SVP of Game Development</t>
  </si>
  <si>
    <t>Vice President, Studio</t>
  </si>
  <si>
    <t>SVP Design &amp; Development</t>
  </si>
  <si>
    <t>VP Game Studio at Aristocrat</t>
  </si>
  <si>
    <t>Chief Innovation Officer</t>
  </si>
  <si>
    <t>Director, UX Research</t>
  </si>
  <si>
    <t>Senior Portfolio Manager - Gimmie Games</t>
  </si>
  <si>
    <t>VP - Technology Global Service Management &amp; Operations</t>
  </si>
  <si>
    <t>https://www.linkedin.com/in/guidobologna/</t>
  </si>
  <si>
    <t>Vice President Operations</t>
  </si>
  <si>
    <t>ex ALL Tech</t>
  </si>
  <si>
    <t>Director, Studio Operations</t>
  </si>
  <si>
    <t>Director - Global Studio to Technology Operations at Aristocrat</t>
  </si>
  <si>
    <t>https://www.linkedin.com/in/keith-menchin-math/</t>
  </si>
  <si>
    <t>Game Mathematician</t>
  </si>
  <si>
    <t>Producer at Aristocrat</t>
  </si>
  <si>
    <t>Game Designer - HRG</t>
  </si>
  <si>
    <t>Sr. Director, Agile Studios</t>
  </si>
  <si>
    <t>Las Vegas</t>
  </si>
  <si>
    <t>Global Head of Creative</t>
  </si>
  <si>
    <t>Creative Director</t>
  </si>
  <si>
    <t>Vice President - Biggest Little Studio</t>
  </si>
  <si>
    <t>Sr. Director of Game Design - BLS</t>
  </si>
  <si>
    <t xml:space="preserve">Sr. Director, Gaming Operations at Aristocrat </t>
  </si>
  <si>
    <t>SVP Game Design Studios at Light and Wonder IGaming</t>
  </si>
  <si>
    <t>Senior Director, Product Strategy, iGaming</t>
  </si>
  <si>
    <t>https://www.linkedin.com/in/arhunter/</t>
  </si>
  <si>
    <t>VP - International</t>
  </si>
  <si>
    <t>https://www.linkedin.com/in/kristinavcraig/</t>
  </si>
  <si>
    <t>General Manager Innovation &amp; Commercial Strategy</t>
  </si>
  <si>
    <t>General Manager Business Strategy</t>
  </si>
  <si>
    <t>https://www.linkedin.com/in/terry-fowler-6179918b/</t>
  </si>
  <si>
    <t>GM Data, AI &amp; Automation</t>
  </si>
  <si>
    <t>https://www.linkedin.com/in/ray-stogner-097542bb/</t>
  </si>
  <si>
    <t>Konocti Vista Casino</t>
  </si>
  <si>
    <t>https://www.linkedin.com/in/phil-parsons-6b284b65/</t>
  </si>
  <si>
    <t>Elements Casino Brantford</t>
  </si>
  <si>
    <t>Vice President of Gaming Operations North America at Aristocrat Awager</t>
  </si>
  <si>
    <t>New Jersey</t>
  </si>
  <si>
    <t>https://www.linkedin.com/in/judd-boyer-025a291/</t>
  </si>
  <si>
    <t>Vice President of Global Consumer Insights</t>
  </si>
  <si>
    <t>https://www.linkedin.com/in/cwilliam5/</t>
  </si>
  <si>
    <t>SVP, Consumer &amp; Product Insights at Aristocrat</t>
  </si>
  <si>
    <t>https://www.linkedin.com/in/joshua-smith-ia/</t>
  </si>
  <si>
    <t>GameOps Director - Social Casino</t>
  </si>
  <si>
    <t>Executive Director of Transformation</t>
  </si>
  <si>
    <t>Managing Director, International</t>
  </si>
  <si>
    <t>Senior Vice President | Global Government Affairs + Business Development</t>
  </si>
  <si>
    <t>SVP Business Development</t>
  </si>
  <si>
    <t>Sr. Director, Strategic Programs &amp; Initiatives</t>
  </si>
  <si>
    <t>Vice President Global Commercial Strategy Tables</t>
  </si>
  <si>
    <t>Chief Strategy Officer</t>
  </si>
  <si>
    <t>https://www.linkedin.com/in/lmike/</t>
  </si>
  <si>
    <t>VP of Game Technology</t>
  </si>
  <si>
    <t>VP &amp; Managing Director - Asia</t>
  </si>
  <si>
    <t>Califonia</t>
  </si>
  <si>
    <t>Senior Vice President, Product Management &amp; Commercial Strategy - Games</t>
  </si>
  <si>
    <t>https://www.linkedin.com/in/ryanscott19/</t>
  </si>
  <si>
    <t>Managing Director - EMEA at Light and Wonder</t>
  </si>
  <si>
    <t>Barcelona</t>
  </si>
  <si>
    <t>UK Sales Director Light &amp; Wonder</t>
  </si>
  <si>
    <t>Vice President of Sales</t>
  </si>
  <si>
    <t>https://www.linkedin.com/in/jon-lancaster-4b245835/</t>
  </si>
  <si>
    <t>Senior Director of Sales, Asia at Light &amp; Wonder</t>
  </si>
  <si>
    <t>Sales Director Asia at Light &amp; Wonder</t>
  </si>
  <si>
    <t>Vice President of Systems Sales</t>
  </si>
  <si>
    <t>Vice President Product Management - Americas</t>
  </si>
  <si>
    <t>https://www.linkedin.com/in/dirk-geere/</t>
  </si>
  <si>
    <t>Chief Business Development Officer</t>
  </si>
  <si>
    <t xml:space="preserve">Chief Commercial Officer- Americas </t>
  </si>
  <si>
    <t>https://www.linkedin.com/in/annie-chan-3a74b28/</t>
  </si>
  <si>
    <t>VP of Sales &amp; Operations, Asia</t>
  </si>
  <si>
    <t>Senior Manager, BI &amp; Analytics - EMEA</t>
  </si>
  <si>
    <t>Vice President, Corporate Affairs &amp; Communications</t>
  </si>
  <si>
    <t>Senior Vice President, Operational Excellence</t>
  </si>
  <si>
    <t>Senior Vice President of Finance</t>
  </si>
  <si>
    <t>Executive Director, Commercial Strategy</t>
  </si>
  <si>
    <t>https://www.linkedin.com/in/kelly-cavender-cfa-49980812/</t>
  </si>
  <si>
    <t>General Manager, Canada</t>
  </si>
  <si>
    <t>Sales Director - Philippines</t>
  </si>
  <si>
    <t>Philippines</t>
  </si>
  <si>
    <t>VP of Sales Ops and LatAm Operations</t>
  </si>
  <si>
    <t>Senior Manager, Strategy &amp; Business Development</t>
  </si>
  <si>
    <t>Indianapolis</t>
  </si>
  <si>
    <t>Chief Operations Officer Gaming</t>
  </si>
  <si>
    <t>https://www.linkedin.com/in/anthonyfirmani/</t>
  </si>
  <si>
    <t>Senior Director - Portfolio Strategy &amp; Licensing at Light &amp; Wonder</t>
  </si>
  <si>
    <t>https://www.linkedin.com/in/traskkelly/</t>
  </si>
  <si>
    <t>ex SciPlay</t>
  </si>
  <si>
    <t>Vice President, Strategy &amp; Business Development</t>
  </si>
  <si>
    <t>Chief Financial Officer- Gaming at Light and Wonder</t>
  </si>
  <si>
    <t>Senior Director of Operations</t>
  </si>
  <si>
    <t>Commercial Director Latam</t>
  </si>
  <si>
    <t>Brazil</t>
  </si>
  <si>
    <t>Senior Vice President, Product Management</t>
  </si>
  <si>
    <t>VP New Markets &amp; Sales, iGaming</t>
  </si>
  <si>
    <t>CFO | SVP - L&amp;W iGaming</t>
  </si>
  <si>
    <t>iGaming big dog LNW</t>
  </si>
  <si>
    <t>Founder- Atlantic Digital</t>
  </si>
  <si>
    <t>VP Commercial, Enterprise Platforms; MD Canada</t>
  </si>
  <si>
    <t>Global Head of Integrations</t>
  </si>
  <si>
    <t>VP Commercial- MD Europe &amp; UK, Light &amp; Wonder</t>
  </si>
  <si>
    <t>Managing Director, Global Partnerships</t>
  </si>
  <si>
    <t>Senior Director, Commercial | Head of Enterprise Accounts UK/ EU</t>
  </si>
  <si>
    <t>France</t>
  </si>
  <si>
    <t>Head of Account Success &amp; Commercial Account Director</t>
  </si>
  <si>
    <t xml:space="preserve">Commercial Director </t>
  </si>
  <si>
    <t>Founder and CEO at Storm Gaming Technology</t>
  </si>
  <si>
    <t>https://www.linkedin.com/in/julianbeck/</t>
  </si>
  <si>
    <t>Head of Content - Storm Games</t>
  </si>
  <si>
    <t>Head of Games at Storm Games</t>
  </si>
  <si>
    <t>https://www.linkedin.com/in/connor-maguire/</t>
  </si>
  <si>
    <t>Commercial Account Manager</t>
  </si>
  <si>
    <t>Core Game Producer</t>
  </si>
  <si>
    <t>Senior Content Director</t>
  </si>
  <si>
    <t>Senior Manager Game Producing</t>
  </si>
  <si>
    <t>Platform Director</t>
  </si>
  <si>
    <t>Studio Manager - Elk</t>
  </si>
  <si>
    <t>https://www.linkedin.com/in/jonasbys/</t>
  </si>
  <si>
    <t>Commercial Director - EMEA</t>
  </si>
  <si>
    <t>South Africa</t>
  </si>
  <si>
    <t>Director - Head of Account Management Europe</t>
  </si>
  <si>
    <t>Chief Sales Officer at ELK Studios</t>
  </si>
  <si>
    <t>Senior Director, Light &amp; Wonder Spark</t>
  </si>
  <si>
    <t>Director Product Strategy</t>
  </si>
  <si>
    <t>Director, Release Management</t>
  </si>
  <si>
    <t>https://www.linkedin.com/in/daniel-wigholm-6b137b76/</t>
  </si>
  <si>
    <t>Studio Director at Lightning Box</t>
  </si>
  <si>
    <t>Commercial Director iGaming</t>
  </si>
  <si>
    <t xml:space="preserve">Sr. Commercial Account Manager </t>
  </si>
  <si>
    <t>Colorado</t>
  </si>
  <si>
    <t>Senior Commercial Account Manag</t>
  </si>
  <si>
    <t>Head of Platform Release Management</t>
  </si>
  <si>
    <t>https://www.linkedin.com/in/adam-painter-2014a335/</t>
  </si>
  <si>
    <t>Senior Sales Operations Manager</t>
  </si>
  <si>
    <t>Senior Director of Sales Operations</t>
  </si>
  <si>
    <t>CEO - Elk</t>
  </si>
  <si>
    <t>Lead Product Owner</t>
  </si>
  <si>
    <t>Head of Game Math and Product Owner</t>
  </si>
  <si>
    <t>Gaming Operations Associate</t>
  </si>
  <si>
    <t>VP, North American Game Design Studios</t>
  </si>
  <si>
    <t>Head of Integrations &amp; Onboarding</t>
  </si>
  <si>
    <t>CPO @ ELK Studio</t>
  </si>
  <si>
    <t>Product Owner at ELK Studios</t>
  </si>
  <si>
    <t>https://www.linkedin.com/in/sebastian-lindstr%C3%B6m-0b3904241/</t>
  </si>
  <si>
    <t>Head of Marketing - ELK Studios</t>
  </si>
  <si>
    <t>Game Design Manager</t>
  </si>
  <si>
    <t>Senior Game Producer at Lightning Box</t>
  </si>
  <si>
    <t>https://www.linkedin.com/in/roy-issac/</t>
  </si>
  <si>
    <t>Senior Game Design Manager at Light &amp; Wonder</t>
  </si>
  <si>
    <t>Director of Mathematics</t>
  </si>
  <si>
    <t>Manager, Mathematics</t>
  </si>
  <si>
    <t>https://www.linkedin.com/in/peter-field-7aa76165/</t>
  </si>
  <si>
    <t>Head of Development @ Light &amp; Wonder Spark (formerly Playzido)</t>
  </si>
  <si>
    <t>Portugal</t>
  </si>
  <si>
    <t>Senior Director - Partner Business Development &amp; Growth</t>
  </si>
  <si>
    <t>Partner Manager at Light &amp; Wonder</t>
  </si>
  <si>
    <t>Technical Director &amp; Co-Founder at Bang Bang Games - LNW Partner Studio</t>
  </si>
  <si>
    <t>Managing Director at Bang Bang Games</t>
  </si>
  <si>
    <t xml:space="preserve">Head of Commercial @ Bang Bang Games </t>
  </si>
  <si>
    <t>https://www.linkedin.com/in/nenad-smiljani%C4%87-b711ab188/</t>
  </si>
  <si>
    <t>Head Of Technology</t>
  </si>
  <si>
    <t>Content Strategy Director</t>
  </si>
  <si>
    <t>Commercial Director - IGaming</t>
  </si>
  <si>
    <t>Italy</t>
  </si>
  <si>
    <t xml:space="preserve">General Manager Italy at Light &amp; Wonder </t>
  </si>
  <si>
    <t>https://www.linkedin.com/in/andreaguzzon/</t>
  </si>
  <si>
    <t>Director of Product Delivery</t>
  </si>
  <si>
    <t>Studio Director</t>
  </si>
  <si>
    <t>https://www.linkedin.com/in/phdyun/</t>
  </si>
  <si>
    <t>https://www.linkedin.com/in/slamprou/</t>
  </si>
  <si>
    <t>Greece</t>
  </si>
  <si>
    <t>Program Manager</t>
  </si>
  <si>
    <t>Senior Director of Product Management</t>
  </si>
  <si>
    <t>Associate Senior Partner Manager</t>
  </si>
  <si>
    <t>Commercial Strategy &amp; Operations, Senior Director</t>
  </si>
  <si>
    <t>SVP Game Design Studios North America</t>
  </si>
  <si>
    <t>Chicago</t>
  </si>
  <si>
    <t>Director, Game Design Studios</t>
  </si>
  <si>
    <t>https://www.linkedin.com/in/jeff-loots-15358015/</t>
  </si>
  <si>
    <t>Vice President Game Design</t>
  </si>
  <si>
    <t>https://www.linkedin.com/in/yanis-tsombanidis-a01914126/</t>
  </si>
  <si>
    <t>Vice President, Game Design</t>
  </si>
  <si>
    <t>https://www.linkedin.com/in/kelsy-foster-85ba6614/</t>
  </si>
  <si>
    <t>Vice President, Global Product Portfolio Strategy</t>
  </si>
  <si>
    <t>Executive Director, R&amp;D Strategy</t>
  </si>
  <si>
    <t>https://www.linkedin.com/in/jon-angarola/</t>
  </si>
  <si>
    <t>Senior Director, Game Design</t>
  </si>
  <si>
    <t>Senior Game Producer</t>
  </si>
  <si>
    <t>Senior Creative Director</t>
  </si>
  <si>
    <t>https://www.linkedin.com/in/alexander-bitterlin-0aa876a1/</t>
  </si>
  <si>
    <t>Exec Director, Game Design</t>
  </si>
  <si>
    <t>Vice President, Game Development</t>
  </si>
  <si>
    <t>https://www.linkedin.com/in/rick-mountney-75a4391b/</t>
  </si>
  <si>
    <t>Executive Director, Global Go-To-Market Strategy, Tables</t>
  </si>
  <si>
    <t>Game Design Director</t>
  </si>
  <si>
    <t>https://www.linkedin.com/in/samuel-goodall-5b5767240/</t>
  </si>
  <si>
    <t>Director Game Design Light &amp; Wonder</t>
  </si>
  <si>
    <t>Senior Director, Game Development</t>
  </si>
  <si>
    <t>Studio Manager</t>
  </si>
  <si>
    <t>https://www.linkedin.com/in/gordon-earls-70966733/</t>
  </si>
  <si>
    <t>https://www.linkedin.com/in/joel-williams-2442527/</t>
  </si>
  <si>
    <t>Chief Risk Officer</t>
  </si>
  <si>
    <t>Corporate</t>
  </si>
  <si>
    <t>Wagering</t>
  </si>
  <si>
    <t>Tech</t>
  </si>
  <si>
    <t>Executive Director - Commercial &amp; Industry</t>
  </si>
  <si>
    <t>https://www.linkedin.com/in/hannanandrew/</t>
  </si>
  <si>
    <t>Commercial Director Europe</t>
  </si>
  <si>
    <t>https://www.linkedin.com/in/mathias-larsson-516aa27/</t>
  </si>
  <si>
    <t>Head of Corporate Development</t>
  </si>
  <si>
    <t>General Manager - Dream Car Giveaways</t>
  </si>
  <si>
    <t>Director at Dream Car Giveaways</t>
  </si>
  <si>
    <t>https://www.linkedin.com/in/joeemms/</t>
  </si>
  <si>
    <t>Head of Marketing -Dream Car Giveaways Limited</t>
  </si>
  <si>
    <t>Head of Growth and Marketing</t>
  </si>
  <si>
    <t>Performance Marketer</t>
  </si>
  <si>
    <t>https://www.linkedin.com/in/christian-ciendua-23781b220/</t>
  </si>
  <si>
    <t>Head of Operations — UK</t>
  </si>
  <si>
    <t>Corporate Development Manager | Head of AI</t>
  </si>
  <si>
    <t>General Manager and Head of Commercial</t>
  </si>
  <si>
    <t>Business Development Manager - Jumbo UK</t>
  </si>
  <si>
    <t>Group General Manager - Business Performance</t>
  </si>
  <si>
    <t>Principal Product Manager</t>
  </si>
  <si>
    <t>Marketing Director</t>
  </si>
  <si>
    <t>https://www.linkedin.com/in/saranardontonia/</t>
  </si>
  <si>
    <t>Head of Customer Success</t>
  </si>
  <si>
    <t>https://www.linkedin.com/in/chuang-yin-67b75b261/</t>
  </si>
  <si>
    <t>Data Analyst</t>
  </si>
  <si>
    <t>Head Of Commercial Strategy and Planning</t>
  </si>
  <si>
    <t>Head of Government Relations</t>
  </si>
  <si>
    <t>General Manager - Corporate Affairs</t>
  </si>
  <si>
    <t>General Manager Lottery Technology</t>
  </si>
  <si>
    <t>Chief Technology Officer - Group</t>
  </si>
  <si>
    <t>GM Commercial - Lotteries</t>
  </si>
  <si>
    <t>Chief Operating Officer - Keno</t>
  </si>
  <si>
    <t>Chief Operating Officer | Digital</t>
  </si>
  <si>
    <t>General Manager - Channel Support</t>
  </si>
  <si>
    <t>Head of Public Relations</t>
  </si>
  <si>
    <t>General Manager Marketing</t>
  </si>
  <si>
    <t>https://www.linkedin.com/in/ben-b-johnson/</t>
  </si>
  <si>
    <t>General Manager Customer Experience &amp; Insights</t>
  </si>
  <si>
    <t>Head of Digital Engineering</t>
  </si>
  <si>
    <t>Head of Customer Research &amp; Insights</t>
  </si>
  <si>
    <t>General Manager Outlet Operations (Lotteries)</t>
  </si>
  <si>
    <t>Strategic Product Development Manager</t>
  </si>
  <si>
    <t>State Retail Manager VIC/TAS/SA Lotteries</t>
  </si>
  <si>
    <t>Digital Analytics Manager</t>
  </si>
  <si>
    <t>Head of Customer Analytics and Data Science</t>
  </si>
  <si>
    <t>General Manager, Charitable Games Division</t>
  </si>
  <si>
    <t>https://hamiltonlocke.com.au/our-team/lachlan-gepp/</t>
  </si>
  <si>
    <t>AML</t>
  </si>
  <si>
    <t>General Manager Trading &amp; Data</t>
  </si>
  <si>
    <t>Head of Wagering Data, Analytics and Segmentation</t>
  </si>
  <si>
    <t>General Manager, Wagering - Customer Engagements &amp; Promotions</t>
  </si>
  <si>
    <t>GM Commercial Media</t>
  </si>
  <si>
    <t>Chief Operating Officer</t>
  </si>
  <si>
    <t>Chief Product Officer &amp; Operating Partner</t>
  </si>
  <si>
    <t>Head of Trading Operations at betr</t>
  </si>
  <si>
    <t>https://www.linkedin.com/in/cormac-sullivan-0079141b3/</t>
  </si>
  <si>
    <t>Chief Marketing Officer</t>
  </si>
  <si>
    <t>https://www.linkedin.com/in/tonytprofile/</t>
  </si>
  <si>
    <t>Chief Technology Officer</t>
  </si>
  <si>
    <t>https://www.linkedin.com/in/gary-harris-maicd-05864578/</t>
  </si>
  <si>
    <t>Head of Commercial and Strategy</t>
  </si>
  <si>
    <t>https://www.linkedin.com/in/rachaelcairns8812/</t>
  </si>
  <si>
    <t>Head of Corporate Development / M&amp;A</t>
  </si>
  <si>
    <t>https://www.linkedin.com/in/mat-siva/</t>
  </si>
  <si>
    <t>Manager - Strategy</t>
  </si>
  <si>
    <t>https://www.linkedin.com/in/charlesjlhall/</t>
  </si>
  <si>
    <t>Senior Strategy Analyst</t>
  </si>
  <si>
    <t>https://www.linkedin.com/in/patrick-nicholson-309307118/</t>
  </si>
  <si>
    <t>https://www.linkedin.com/in/lachlanmurray/</t>
  </si>
  <si>
    <t>https://www.linkedin.com/in/melinda-martin-40a4b755/</t>
  </si>
  <si>
    <t>Acting CEO</t>
  </si>
  <si>
    <t>Chief Data Officer</t>
  </si>
  <si>
    <t>https://www.linkedin.com/in/rohit-sharma-9a93632/</t>
  </si>
  <si>
    <t>Head of Trading and Operations Analytics</t>
  </si>
  <si>
    <t>https://www.linkedin.com/in/andrew-o-58993798/</t>
  </si>
  <si>
    <t>Head of Customer Analytics</t>
  </si>
  <si>
    <t>https://www.linkedin.com/in/mike-lowe-01/</t>
  </si>
  <si>
    <t>https://www.linkedin.com/in/ryan-cogdale-a5a0a4b2/</t>
  </si>
  <si>
    <t>https://www.linkedin.com/in/chris-burt-8562b215/</t>
  </si>
  <si>
    <t>https://www.linkedin.com/in/tristan-merlehan-20bb467b/</t>
  </si>
  <si>
    <t>https://www.linkedin.com/in/steven-ford-87ba0449/</t>
  </si>
  <si>
    <t>VIP Relationship Manager</t>
  </si>
  <si>
    <t>Chief Trading Officer</t>
  </si>
  <si>
    <t>Senior VIP Relationship Manager</t>
  </si>
  <si>
    <t>https://www.linkedin.com/in/clintonshipsey/</t>
  </si>
  <si>
    <t>Head of Customer Value</t>
  </si>
  <si>
    <t>https://www.linkedin.com/in/daniel-curtain-808523113/</t>
  </si>
  <si>
    <t>Head of VIP</t>
  </si>
  <si>
    <t>https://www.linkedin.com/in/lee-maziarz-230bb041/</t>
  </si>
  <si>
    <t>Strategic Advisor</t>
  </si>
  <si>
    <t>https://www.linkedin.com/in/bradley-fanning-08a7a213/</t>
  </si>
  <si>
    <t>IGT Competitor Analysis</t>
  </si>
  <si>
    <t>Wait 6 months</t>
  </si>
  <si>
    <t>Virginia Procurment Manager -iLottery</t>
  </si>
  <si>
    <t>Nah for Now</t>
  </si>
  <si>
    <t>Wait till Timely</t>
  </si>
  <si>
    <t>If we don’t hear from Brandon</t>
  </si>
  <si>
    <t>if Chicago Legalises VGT's</t>
  </si>
  <si>
    <t>Yeah but expensive</t>
  </si>
  <si>
    <t>Too Techy</t>
  </si>
  <si>
    <t>Dud Studio</t>
  </si>
  <si>
    <t>https://www.linkedin.com/in/upinderdhaliwal/</t>
  </si>
  <si>
    <t>Senior Director - Global Product Strategy &amp; Innovation</t>
  </si>
  <si>
    <t>https://www.linkedin.com/in/jennifermizzi/</t>
  </si>
  <si>
    <t>Creative Studio Director</t>
  </si>
  <si>
    <t>Austin</t>
  </si>
  <si>
    <t>Yeah - BetR</t>
  </si>
  <si>
    <t>Head of Performance Marketing - TLC</t>
  </si>
  <si>
    <t>Product Manager - JIN</t>
  </si>
  <si>
    <t>Jumbo Marketing - JIN</t>
  </si>
  <si>
    <t>Massachussets Lottery ED</t>
  </si>
  <si>
    <t>Chief Product Officer</t>
  </si>
  <si>
    <t>https://www.linkedin.com/in/matthewballesty/</t>
  </si>
  <si>
    <t>https://www.linkedin.com/in/ian-edwards-6b640892/</t>
  </si>
  <si>
    <t>Racing Analyst/Journalist</t>
  </si>
  <si>
    <t>RAWA</t>
  </si>
  <si>
    <t>NZ Thorougbreds</t>
  </si>
  <si>
    <t>CRO</t>
  </si>
  <si>
    <t>https://www.linkedin.com/in/daniel-lovecek/</t>
  </si>
  <si>
    <t>December</t>
  </si>
  <si>
    <t>Lawyer</t>
  </si>
  <si>
    <t>Independent</t>
  </si>
  <si>
    <t>https://www.linkedin.com/in/-daniel-lucas-/</t>
  </si>
  <si>
    <t>Australian Product Lead</t>
  </si>
  <si>
    <t>Head of VIP and Business Development</t>
  </si>
  <si>
    <t>https://www.linkedin.com/in/elliott-forbes-5ba625188/</t>
  </si>
  <si>
    <t>https://www.linkedin.com/in/justin-lewis-abb2b7250/</t>
  </si>
  <si>
    <t>Performance Manager</t>
  </si>
  <si>
    <t>Head of Media at PointsBet</t>
  </si>
  <si>
    <t>Chief Strategy &amp; Commercial Officer</t>
  </si>
  <si>
    <t>https://www.linkedin.com/in/brenden-varcoe-b6089044/</t>
  </si>
  <si>
    <t>https://www.linkedin.com/in/scott-hutchens/</t>
  </si>
  <si>
    <t>Co-founder &amp; CTO at Dabble</t>
  </si>
  <si>
    <t>Co-Founder and Executive Director</t>
  </si>
  <si>
    <t>https://www.linkedin.com/in/jon-robin-4484889b/</t>
  </si>
  <si>
    <t>Co-founder and Chief Product Officer</t>
  </si>
  <si>
    <t>https://www.linkedin.com/in/dave-r-79623949/</t>
  </si>
  <si>
    <t>https://www.linkedin.com/in/mark-just/</t>
  </si>
  <si>
    <t>Manager, Strategy Execution - iGaming</t>
  </si>
  <si>
    <t>https://www.linkedin.com/in/andreas-sandmann-55b8b6105/</t>
  </si>
  <si>
    <t>Consider</t>
  </si>
  <si>
    <t>Managing Director (Australia)</t>
  </si>
  <si>
    <t>Group CTO</t>
  </si>
  <si>
    <t>https://www.linkedin.com/in/drewseph/</t>
  </si>
  <si>
    <t>Head of Product Design</t>
  </si>
  <si>
    <t>https://www.linkedin.com/in/adam-a-420052107/</t>
  </si>
  <si>
    <t>Head of Live Racing - Entain Media</t>
  </si>
  <si>
    <t>https://www.linkedin.com/in/kyle-bettler-0aab6016a/</t>
  </si>
  <si>
    <t>General Manager - New Zealand</t>
  </si>
  <si>
    <t>https://www.linkedin.com/in/jessica-meech-b2206b1b9/</t>
  </si>
  <si>
    <t>https://www.linkedin.com/in/tom-callachor-a4473b11/</t>
  </si>
  <si>
    <t>Chief Financial Officer - Australia and New Zealand</t>
  </si>
  <si>
    <t>https://www.linkedin.com/in/sam-moncur-43272452/</t>
  </si>
  <si>
    <t>Managing Director, New Zealand</t>
  </si>
  <si>
    <t>https://www.linkedin.com/in/chris-haigh-485ba215/</t>
  </si>
  <si>
    <t>Smaller Bookmakers</t>
  </si>
  <si>
    <t>Group Head of Product &amp; Platforms Customer &amp; Channels)</t>
  </si>
  <si>
    <t>https://www.linkedin.com/in/amber-jenkinson-61bb9b8/</t>
  </si>
  <si>
    <t>https://www.linkedin.com/in/michaelristuccia/</t>
  </si>
  <si>
    <t>Executive General Manager – Technology</t>
  </si>
  <si>
    <t>Head of StatMate</t>
  </si>
  <si>
    <t>https://www.linkedin.com/in/andrew-davis-7b2827260/</t>
  </si>
  <si>
    <t>https://www.linkedin.com/in/paul-crossy/</t>
  </si>
  <si>
    <t>Paul Cross</t>
  </si>
  <si>
    <t>General Manager International</t>
  </si>
  <si>
    <t>https://www.linkedin.com/in/daniel-mitchell-5b81878/</t>
  </si>
  <si>
    <t>Chief Strategy &amp; Advocacy Officer</t>
  </si>
  <si>
    <t>Clubs NSW</t>
  </si>
  <si>
    <t>https://www.linkedin.com/in/ryan-earl-najjor/</t>
  </si>
  <si>
    <t>Backups</t>
  </si>
  <si>
    <t>ALH</t>
  </si>
  <si>
    <t>NSW Greyhounds</t>
  </si>
  <si>
    <t>https://www.linkedin.com/in/paul-eriksson-29301b4/</t>
  </si>
  <si>
    <t>Racing Australia</t>
  </si>
  <si>
    <t>Chief Technology &amp; Transformation Officer</t>
  </si>
  <si>
    <t>https://www.linkedin.com/in/rob-fraser/</t>
  </si>
  <si>
    <t>https://www.linkedin.com/in/daniel-meers-08b7baa0/</t>
  </si>
  <si>
    <t>https://www.linkedin.com/in/felicity-langford-0597574/</t>
  </si>
  <si>
    <t>https://www.linkedin.com/in/jack-quartermain-79375b128/</t>
  </si>
  <si>
    <t>https://www.linkedin.com/in/bradjohns173/</t>
  </si>
  <si>
    <t>https://www.linkedin.com/in/johnioane/</t>
  </si>
  <si>
    <t>https://www.linkedin.com/in/tom-bartholomew-36933474/</t>
  </si>
  <si>
    <t>https://www.linkedin.com/in/amanda-budden-51131824/</t>
  </si>
  <si>
    <t>https://www.linkedin.com/in/daniel-swiatek-32b822161/</t>
  </si>
  <si>
    <t>https://www.linkedin.com/in/samantha-ford-274b925b/</t>
  </si>
  <si>
    <t>https://www.linkedin.com/in/amit1-arora/</t>
  </si>
  <si>
    <t>https://www.linkedin.com/in/aidan-o-moore-8748b231/</t>
  </si>
  <si>
    <t>https://www.linkedin.com/in/christopher-miles-10042b27/</t>
  </si>
  <si>
    <t>https://www.linkedin.com/in/antkelly/</t>
  </si>
  <si>
    <t>https://www.linkedin.com/in/phillipjackett/</t>
  </si>
  <si>
    <t>https://www.linkedin.com/in/julian-whealing-3a752a98/</t>
  </si>
  <si>
    <t>https://www.linkedin.com/in/stephen-nugent-18b437166/</t>
  </si>
  <si>
    <t>https://www.linkedin.com/in/dicksonlukose/</t>
  </si>
  <si>
    <t>https://www.linkedin.com/in/daniel-huddy/</t>
  </si>
  <si>
    <t>https://www.linkedin.com/in/hayleigh-adam-bb6420210/</t>
  </si>
  <si>
    <t>https://www.linkedin.com/in/jason-cauchi-825a3685/</t>
  </si>
  <si>
    <t>https://www.linkedin.com/in/byrontidswell/</t>
  </si>
  <si>
    <t>https://www.linkedin.com/in/jordancorbett/</t>
  </si>
  <si>
    <t>https://www.linkedin.com/in/madisal/</t>
  </si>
  <si>
    <t>https://www.linkedin.com/in/frank-smith-776a5330/</t>
  </si>
  <si>
    <t>https://www.linkedin.com/in/ben-lloyd-22483a64/</t>
  </si>
  <si>
    <t>https://www.linkedin.com/in/mihi/</t>
  </si>
  <si>
    <t>Senior Manager, Regulatory PMO &amp; Remediation</t>
  </si>
  <si>
    <t>Head of Safer Gambling and Regulatory Strategy</t>
  </si>
  <si>
    <t>https://www.linkedin.com/in/steven-lang-84478763/</t>
  </si>
  <si>
    <t>Retail</t>
  </si>
  <si>
    <t>Senior Retail Partner</t>
  </si>
  <si>
    <t>Head of Retail VIC, SA &amp; TAS, at Tabcorp</t>
  </si>
  <si>
    <t>https://www.linkedin.com/in/ben-koetsier-a11b5643/</t>
  </si>
  <si>
    <t>General Manager Tabcorp - Retail Channel</t>
  </si>
  <si>
    <t>https://www.linkedin.com/in/brett-newman-43b57099/</t>
  </si>
  <si>
    <t>Brett Newman</t>
  </si>
  <si>
    <t>Head of Retail Operations</t>
  </si>
  <si>
    <t>Head of Retail Development</t>
  </si>
  <si>
    <t>National Account Manager</t>
  </si>
  <si>
    <t>https://www.linkedin.com/in/cathy-nigro-2a4844160/</t>
  </si>
  <si>
    <t>General Manager - B2B Growth</t>
  </si>
  <si>
    <t>Head of Wagering Operations</t>
  </si>
  <si>
    <t>https://www.linkedin.com/in/pauljolley3/</t>
  </si>
  <si>
    <t>Strategic Commercial Advisor</t>
  </si>
  <si>
    <t>Open to work</t>
  </si>
  <si>
    <t>Head of Technology - Retail &amp; Delivery Management</t>
  </si>
  <si>
    <t>Head of Technology - Digital</t>
  </si>
  <si>
    <t>https://www.linkedin.com/in/priyank-dhillon-6b38428/</t>
  </si>
  <si>
    <t>Head of Technology - BI &amp; Data</t>
  </si>
  <si>
    <t>End of Role</t>
  </si>
  <si>
    <t>National Planning &amp; Development Manager</t>
  </si>
  <si>
    <t>International Racing Team Lead</t>
  </si>
  <si>
    <t>Project Manager- SkyRacing Tech</t>
  </si>
  <si>
    <t>Project Manager Sky Racing</t>
  </si>
  <si>
    <t>Head of Government Affairs</t>
  </si>
  <si>
    <t>Manager - Government &amp; Industry Affairs</t>
  </si>
  <si>
    <t>Government Affairs Consultant</t>
  </si>
  <si>
    <t>https://www.linkedin.com/in/michael-de-bruyn/</t>
  </si>
  <si>
    <t>Head of AI and R&amp;D</t>
  </si>
  <si>
    <t xml:space="preserve">Tabcorp Digital </t>
  </si>
  <si>
    <t>Head of Digital Content</t>
  </si>
  <si>
    <t>Fixed Odds Racing - Head of Greyhounds and Harness</t>
  </si>
  <si>
    <t>General Manager Financial Crime and Risk Management</t>
  </si>
  <si>
    <t>Head of Financial Crime Strategy &amp; Compliance</t>
  </si>
  <si>
    <t>Review</t>
  </si>
  <si>
    <t>Chief Risk Officer (CRO)</t>
  </si>
  <si>
    <t>Executive Producer – Live Sport</t>
  </si>
  <si>
    <t xml:space="preserve">Head of Sales, Racing and Sports Content </t>
  </si>
  <si>
    <t>https://www.linkedin.com/in/dougbrown/</t>
  </si>
  <si>
    <t>https://www.linkedin.com/in/nikeating/</t>
  </si>
  <si>
    <t>https://www.linkedin.com/in/patrick-gaynor-80404747/</t>
  </si>
  <si>
    <t>https://www.linkedin.com/in/nathan-arundell-55460011a/</t>
  </si>
  <si>
    <t>https://www.linkedin.com/in/amelialowndes/</t>
  </si>
  <si>
    <t>https://www.linkedin.com/in/andrew-feeney-10247915/</t>
  </si>
  <si>
    <t>https://www.linkedin.com/in/jason-thatcher-20282043/</t>
  </si>
  <si>
    <t>https://www.linkedin.com/in/andycam/</t>
  </si>
  <si>
    <t>https://www.linkedin.com/in/david-jancik-25682763/</t>
  </si>
  <si>
    <t>https://www.linkedin.com/in/waynevickers/</t>
  </si>
  <si>
    <t>https://www.linkedin.com/in/andy-scott-white/</t>
  </si>
  <si>
    <t>https://www.linkedin.com/in/damian-ryan-572a0137/</t>
  </si>
  <si>
    <t>https://www.linkedin.com/in/ciar%C3%A1n-mckeown-89923855/</t>
  </si>
  <si>
    <t>https://www.linkedin.com/in/jldunford/</t>
  </si>
  <si>
    <t>https://www.linkedin.com/in/ben-holst-335a2a255/</t>
  </si>
  <si>
    <t>https://www.linkedin.com/in/christinaruiz1/</t>
  </si>
  <si>
    <t>https://www.linkedin.com/in/kain-nunn-a9635428/</t>
  </si>
  <si>
    <t>https://www.linkedin.com/in/luke-tobin-2b889121/</t>
  </si>
  <si>
    <t>https://www.linkedin.com/in/mark-migliorini-25535884/</t>
  </si>
  <si>
    <t>https://www.linkedin.com/in/jaysellick/</t>
  </si>
  <si>
    <t>https://www.linkedin.com/in/david-scarr-b630091b/</t>
  </si>
  <si>
    <t>https://www.linkedin.com/in/imogen-muir/</t>
  </si>
  <si>
    <t>https://www.linkedin.com/in/williamagar/</t>
  </si>
  <si>
    <t>https://www.linkedin.com/in/jonathonlouden/</t>
  </si>
  <si>
    <t>https://www.linkedin.com/in/michaelbeevers/</t>
  </si>
  <si>
    <t>https://www.linkedin.com/in/andre-easom-bbb65511/</t>
  </si>
  <si>
    <t>https://www.linkedin.com/in/kathyschokman/</t>
  </si>
  <si>
    <t>https://www.linkedin.com/in/tim-hernadi-07654526/</t>
  </si>
  <si>
    <t>https://www.linkedin.com/in/michael-verhoeven-479b81b/</t>
  </si>
  <si>
    <t>General Manager, Data, AI and Enabling Technology</t>
  </si>
  <si>
    <t>CIO</t>
  </si>
  <si>
    <t>https://www.linkedin.com/in/michael-foster-1034262/</t>
  </si>
  <si>
    <t>Head of Corporate Development - APAC</t>
  </si>
  <si>
    <t>Director, Corporate Development</t>
  </si>
  <si>
    <t>Senior Manager, APAC &amp; Emerging Markets</t>
  </si>
  <si>
    <t>GM Strategy &amp; Research</t>
  </si>
  <si>
    <t>https://www.linkedin.com/in/agrabicki/</t>
  </si>
  <si>
    <t>Head of Strategy</t>
  </si>
  <si>
    <t>https://www.linkedin.com/in/danieljo92/</t>
  </si>
  <si>
    <t>Corporate Development Lead - APAC</t>
  </si>
  <si>
    <t>https://www.linkedin.com/in/william-swann-48200049/</t>
  </si>
  <si>
    <t>https://www.linkedin.com/in/michael-scouller-2219123b/</t>
  </si>
  <si>
    <t>Strategy &amp; Transformation Manager</t>
  </si>
  <si>
    <t>https://www.linkedin.com/in/vidhya-vijayakumar1/</t>
  </si>
  <si>
    <t>Senior Data Insights &amp; Strategy Manager</t>
  </si>
  <si>
    <t>https://www.linkedin.com/in/matthew-peter-thomas/</t>
  </si>
  <si>
    <t>Senior Manager - Transformation &amp; AI</t>
  </si>
  <si>
    <t>https://www.linkedin.com/in/sophie-peskett/</t>
  </si>
  <si>
    <t>Senior Manager - Commercial Excellence and Performance</t>
  </si>
  <si>
    <t>https://www.linkedin.com/in/alice-t-09a5aa97/</t>
  </si>
  <si>
    <t>Head of Industry - Commercial &amp; Partnerships</t>
  </si>
  <si>
    <t>GM Trading Risk &amp; Transformation</t>
  </si>
  <si>
    <t>https://www.linkedin.com/in/raphaellewski/</t>
  </si>
  <si>
    <t>General Manager Customer Marketing &amp; Media</t>
  </si>
  <si>
    <t>General Manager - Global Betting Platform Implementation</t>
  </si>
  <si>
    <t>https://www.linkedin.com/in/tommulligan/</t>
  </si>
  <si>
    <t>https://www.linkedin.com/in/sarah-mcwhirter-77b3a424/</t>
  </si>
  <si>
    <t>Chief Customer Officer</t>
  </si>
  <si>
    <t>Head of Reporting and Performance Analytics</t>
  </si>
  <si>
    <t>https://www.linkedin.com/in/greg-shattock-89b42147/</t>
  </si>
  <si>
    <t>Head of Production, Shows &amp; Owned Content</t>
  </si>
  <si>
    <t>Head of Technology - Customer to Customer</t>
  </si>
  <si>
    <t>Head of Enterprise AI</t>
  </si>
  <si>
    <t>https://www.linkedin.com/in/tomas-bacon-28526a37/</t>
  </si>
  <si>
    <t>Head of External Affairs &amp; Policy</t>
  </si>
  <si>
    <t>Head Of Public Affairs</t>
  </si>
  <si>
    <t>Head of Design</t>
  </si>
  <si>
    <t>Head of Product Design: AI and Systems</t>
  </si>
  <si>
    <t>https://www.linkedin.com/in/john-corba-69238730/</t>
  </si>
  <si>
    <t>General Manager Product Design</t>
  </si>
  <si>
    <t>https://www.linkedin.com/in/tiffanyapatu/</t>
  </si>
  <si>
    <t>https://www.linkedin.com/in/micbunn/</t>
  </si>
  <si>
    <t>Head of Data</t>
  </si>
  <si>
    <t>Head of Commercial Value</t>
  </si>
  <si>
    <t>Head of Commercial Analytics (Value)</t>
  </si>
  <si>
    <t>Head of Commercial Analytics - Customer, Sustainability &amp; People</t>
  </si>
  <si>
    <t>Senior Industry Partnerships Manager</t>
  </si>
  <si>
    <t>Head of Technology Office</t>
  </si>
  <si>
    <t>General Manager Product</t>
  </si>
  <si>
    <t>General Manager - Value Transformation</t>
  </si>
  <si>
    <t>https://www.linkedin.com/in/alex-alderson-9973783a/</t>
  </si>
  <si>
    <t>Senior Manager</t>
  </si>
  <si>
    <t>https://www.linkedin.com/in/james-murray-38612a159/</t>
  </si>
  <si>
    <t>Head of Customer Insights &amp; Automation</t>
  </si>
  <si>
    <t>Head of Model Driven Generosity</t>
  </si>
  <si>
    <t>https://www.linkedin.com/in/glennrbunker/</t>
  </si>
  <si>
    <t>General Manager of Media</t>
  </si>
  <si>
    <t>Chief Transformation and Sustainability Officer</t>
  </si>
  <si>
    <t>https://www.linkedin.com/in/jack-elkins-26732971/</t>
  </si>
  <si>
    <t>https://www.linkedin.com/in/steve-hawko-hawkins-a1248249/</t>
  </si>
  <si>
    <t>https://www.linkedin.com/in/nickconwaynz/</t>
  </si>
  <si>
    <t>https://www.linkedin.com/in/james-knight-916106103/</t>
  </si>
  <si>
    <t>General Manager - Trading</t>
  </si>
  <si>
    <t>GM of Digital &amp; Media</t>
  </si>
  <si>
    <t>Business Development Manager</t>
  </si>
  <si>
    <t>https://www.linkedin.com/in/m-g-clark/</t>
  </si>
  <si>
    <t>Racing Trading Director</t>
  </si>
  <si>
    <t>https://www.linkedin.com/in/tamara-fak-3654339/</t>
  </si>
  <si>
    <t>Superceded</t>
  </si>
  <si>
    <t>https://www.linkedin.com/in/frankmakryllos/</t>
  </si>
  <si>
    <t>eBet</t>
  </si>
  <si>
    <t>monitor 33k slots</t>
  </si>
  <si>
    <t>https://www.linkedin.com/in/terry-o-brien-a0464061/</t>
  </si>
  <si>
    <t>NSW Gov Racing</t>
  </si>
  <si>
    <t>https://www.linkedin.com/in/darrenhueston/</t>
  </si>
  <si>
    <t>VIC Gov Racing</t>
  </si>
  <si>
    <t>General Manager - Industry &amp; Analytical</t>
  </si>
  <si>
    <t>Racing NSW</t>
  </si>
  <si>
    <t>https://www.linkedin.com/in/scott-kennedy-010b4155/</t>
  </si>
  <si>
    <t>https://www.linkedin.com/in/ben-dunn-9b0445138/</t>
  </si>
  <si>
    <t>GM Racing</t>
  </si>
  <si>
    <t>Head of Racing Commercial</t>
  </si>
  <si>
    <t>The Hong Kong Jockey Club</t>
  </si>
  <si>
    <t>https://www.linkedin.com/in/james-ross-6b4a7736/</t>
  </si>
  <si>
    <t>GM of Acquisation</t>
  </si>
  <si>
    <t>https://www.linkedin.com/in/iainaddy/</t>
  </si>
  <si>
    <t>https://www.linkedin.com/in/michael-kalkaus-3b0b732/</t>
  </si>
  <si>
    <t>https://www.linkedin.com/in/adam-floyd-42849824/</t>
  </si>
  <si>
    <t>https://www.linkedin.com/in/andrew-kastoras-45901022/</t>
  </si>
  <si>
    <t>Head of Research and Marketing Insights</t>
  </si>
  <si>
    <t>Onyx</t>
  </si>
  <si>
    <t>https://www.linkedin.com/in/jason-scott-8a577b88/</t>
  </si>
  <si>
    <t>https://www.linkedin.com/in/peter-betson-55509377/</t>
  </si>
  <si>
    <t>https://www.linkedin.com/in/lindsay-hubble/</t>
  </si>
  <si>
    <t>Newport Racing &amp; Gaming</t>
  </si>
  <si>
    <t>https://www.linkedin.com/in/pskchiu/</t>
  </si>
  <si>
    <t>Corporate Development Analyst</t>
  </si>
  <si>
    <t>Senior Manager Corporate Development</t>
  </si>
  <si>
    <t>https://www.linkedin.com/in/robert-askwith/</t>
  </si>
  <si>
    <t>https://www.linkedin.com/in/andrew-collins-1a9849236/</t>
  </si>
  <si>
    <t>https://www.linkedin.com/in/ryan-ahchee-a1a6a623/</t>
  </si>
  <si>
    <t>Head Of Digital</t>
  </si>
  <si>
    <t>https://www.linkedin.com/in/collintew/</t>
  </si>
  <si>
    <t>Head of Brand &amp; Marketing</t>
  </si>
  <si>
    <t>https://www.linkedin.com/in/gretchen-grim-567440192/</t>
  </si>
  <si>
    <t>https://www.linkedin.com/in/manos-maroudas-9810ab31/</t>
  </si>
  <si>
    <t>https://www.linkedin.com/in/viktor-dufstr%C3%B6m-152173120/</t>
  </si>
  <si>
    <t>Product Specialist - Elk</t>
  </si>
  <si>
    <t>https://www.linkedin.com/in/daniel-rydh-53b832175/</t>
  </si>
  <si>
    <t>Senior Product Owner - Elk</t>
  </si>
  <si>
    <t>https://www.linkedin.com/in/robin-henningsson-ab960a163/</t>
  </si>
  <si>
    <t>Senior Commercial Account Manager</t>
  </si>
  <si>
    <t>https://www.linkedin.com/in/jack-riley-28610849/</t>
  </si>
  <si>
    <t>Commercial Account Director</t>
  </si>
  <si>
    <t>https://www.linkedin.com/in/vitne-l-95739b7b/</t>
  </si>
  <si>
    <t>Partner Manager</t>
  </si>
  <si>
    <t>https://www.linkedin.com/in/caroline-c-671457208/?locale=en</t>
  </si>
  <si>
    <t>Regional Manager - Brazil</t>
  </si>
  <si>
    <t>Senior Director, Game Operations</t>
  </si>
  <si>
    <t>https://www.linkedin.com/in/robhulme/</t>
  </si>
  <si>
    <t>Vice President Technical Operations</t>
  </si>
  <si>
    <t>https://www.linkedin.com/in/sinead-edwards-consultant/</t>
  </si>
  <si>
    <t>VP Operations - iGaming and Sport</t>
  </si>
  <si>
    <t>https://www.linkedin.com/in/laurie-holder-b76514a0/</t>
  </si>
  <si>
    <t>Head of UK Studio</t>
  </si>
  <si>
    <t>https://www.linkedin.com/in/alice-timson-21528012b/</t>
  </si>
  <si>
    <t>VP, Aggregation</t>
  </si>
  <si>
    <t>https://www.linkedin.com/in/janetti/</t>
  </si>
  <si>
    <t>Technology Strategy &amp; Operations Lead, Director</t>
  </si>
  <si>
    <t>https://www.linkedin.com/in/georgiana-robinson-59a07791/</t>
  </si>
  <si>
    <t>https://www.linkedin.com/in/caitlinhughes/</t>
  </si>
  <si>
    <t>Head of Marketing - iGaming</t>
  </si>
  <si>
    <t>https://www.linkedin.com/in/juliana-atwood/</t>
  </si>
  <si>
    <t>SVP Global Product Portfolio &amp; Operations</t>
  </si>
  <si>
    <t>https://www.linkedin.com/in/jeremy-pollicina-294536a2/</t>
  </si>
  <si>
    <t>VP, Commercial Strategy</t>
  </si>
  <si>
    <t>https://www.linkedin.com/in/jellisosu/</t>
  </si>
  <si>
    <t>Senior Director, Content Capability – US &amp; Canada</t>
  </si>
  <si>
    <t>https://www.linkedin.com/in/bickfordjames/</t>
  </si>
  <si>
    <t>General Manager, Group Brand</t>
  </si>
  <si>
    <t>https://www.linkedin.com/in/prestoncorey/</t>
  </si>
  <si>
    <t>Egaming Acount Executive</t>
  </si>
  <si>
    <t>Started in April</t>
  </si>
  <si>
    <t>https://www.linkedin.com/in/jasonlisiecki/</t>
  </si>
  <si>
    <t>Executive Vice President, Global</t>
  </si>
  <si>
    <t>Jason Lisiecki</t>
  </si>
  <si>
    <t>https://www.linkedin.com/in/brian-jeffries-a0431397/</t>
  </si>
  <si>
    <t>Manager of Veteran and Fraternal Relations</t>
  </si>
  <si>
    <t>https://www.linkedin.com/in/colindwan/</t>
  </si>
  <si>
    <t>Director of Software Engineering</t>
  </si>
  <si>
    <t>https://www.linkedin.com/in/james-bruce-481b7b136/</t>
  </si>
  <si>
    <t>Gaming Product Manager</t>
  </si>
  <si>
    <t>https://www.linkedin.com/in/olivier-k-bidi-998421b2/</t>
  </si>
  <si>
    <t>Director, Game Experience</t>
  </si>
  <si>
    <t>https://www.linkedin.com/in/pedro-geppert-1298222/</t>
  </si>
  <si>
    <t>Senior Vice President, Interactive Capabilities</t>
  </si>
  <si>
    <t>https://www.linkedin.com/in/joe-hawkins-84184630/</t>
  </si>
  <si>
    <t>Head of Creative Strategy</t>
  </si>
  <si>
    <t>https://www.linkedin.com/in/heathtaskis/</t>
  </si>
  <si>
    <t>General Manager Game Operations and Strategic Development</t>
  </si>
  <si>
    <t>https://www.linkedin.com/in/natal-b-16604510a/</t>
  </si>
  <si>
    <t>https://www.linkedin.com/in/markprout1/</t>
  </si>
  <si>
    <t>https://www.linkedin.com/in/kate-pulford-5b941960/</t>
  </si>
  <si>
    <t>SVP Commercial Strategy APAC at Aristocrat Gaming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</si>
</sst>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1"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u/>
      <sz val="11"/>
      <color rgb="FFC00000"/>
      <name val="Aptos Narrow"/>
      <family val="2"/>
      <scheme val="minor"/>
    </font>
    <font>
      <b/>
      <u/>
      <sz val="11"/>
      <color rgb="FFFF9900"/>
      <name val="Aptos Narrow"/>
      <family val="2"/>
      <scheme val="minor"/>
    </font>
    <font>
      <b/>
      <u/>
      <sz val="11"/>
      <color rgb="FF7030A0"/>
      <name val="Aptos Narrow"/>
      <family val="2"/>
      <scheme val="minor"/>
    </font>
    <font>
      <b/>
      <u/>
      <sz val="11"/>
      <color rgb="FF0070C0"/>
      <name val="Aptos Narrow"/>
      <family val="2"/>
      <scheme val="minor"/>
    </font>
    <font>
      <b/>
      <u/>
      <sz val="11"/>
      <name val="Aptos Narrow"/>
      <family val="2"/>
      <scheme val="minor"/>
    </font>
    <font>
      <b/>
      <sz val="11"/>
      <name val="Aptos Narrow"/>
      <family val="2"/>
      <scheme val="minor"/>
    </font>
    <font>
      <sz val="11"/>
      <color rgb="FFC00000"/>
      <name val="Aptos Narrow"/>
      <family val="2"/>
      <scheme val="minor"/>
    </font>
    <font>
      <b/>
      <sz val="11"/>
      <color rgb="FFC00000"/>
      <name val="Aptos Narrow"/>
      <family val="2"/>
      <scheme val="minor"/>
    </font>
    <font>
      <sz val="11"/>
      <color theme="6" tint="-0.499984740745262"/>
      <name val="Aptos Narrow"/>
      <family val="2"/>
      <scheme val="minor"/>
    </font>
    <font>
      <sz val="11"/>
      <color theme="1"/>
      <name val="Aptos"/>
      <family val="2"/>
    </font>
    <font>
      <sz val="11"/>
      <color rgb="FF7030A0"/>
      <name val="Aptos Narrow"/>
      <family val="2"/>
      <scheme val="minor"/>
    </font>
    <font>
      <b/>
      <sz val="11"/>
      <color theme="0"/>
      <name val="Aptos"/>
      <family val="2"/>
    </font>
    <font>
      <b/>
      <u/>
      <sz val="11"/>
      <color theme="1"/>
      <name val="Aptos Narrow"/>
      <family val="2"/>
      <scheme val="minor"/>
    </font>
    <font>
      <sz val="8"/>
      <color theme="1"/>
      <name val="Arial"/>
      <family val="2"/>
    </font>
    <font>
      <sz val="10"/>
      <color theme="1"/>
      <name val="Arial"/>
      <family val="2"/>
    </font>
    <font>
      <b/>
      <sz val="8"/>
      <name val="Arial"/>
      <family val="2"/>
    </font>
    <font>
      <b/>
      <sz val="10"/>
      <color rgb="FFFFFFFF"/>
      <name val="Arial"/>
      <family val="2"/>
    </font>
    <font>
      <sz val="8"/>
      <name val="Arial"/>
      <family val="2"/>
    </font>
    <font>
      <sz val="9"/>
      <color rgb="FF333333"/>
      <name val="Arial"/>
      <family val="2"/>
    </font>
    <font>
      <sz val="10"/>
      <name val="Arial"/>
      <family val="2"/>
    </font>
    <font>
      <b/>
      <sz val="10"/>
      <name val="Arial"/>
      <family val="2"/>
    </font>
    <font>
      <sz val="9"/>
      <name val="Arial"/>
      <family val="2"/>
    </font>
    <font>
      <b/>
      <sz val="9"/>
      <name val="Arial"/>
      <family val="2"/>
    </font>
    <font>
      <b/>
      <sz val="20"/>
      <name val="Arial"/>
      <family val="2"/>
    </font>
    <font>
      <sz val="11"/>
      <name val="Aptos Narrow"/>
      <family val="2"/>
      <scheme val="minor"/>
    </font>
    <font>
      <b/>
      <u/>
      <sz val="11"/>
      <color theme="0"/>
      <name val="Aptos Narrow"/>
      <family val="2"/>
      <scheme val="minor"/>
    </font>
  </fonts>
  <fills count="9">
    <fill>
      <patternFill patternType="none"/>
    </fill>
    <fill>
      <patternFill patternType="gray125"/>
    </fill>
    <fill>
      <patternFill patternType="solid">
        <fgColor theme="3"/>
        <bgColor indexed="64"/>
      </patternFill>
    </fill>
    <fill>
      <patternFill patternType="solid">
        <fgColor rgb="FF005670"/>
        <bgColor rgb="FFFFFFFF"/>
      </patternFill>
    </fill>
    <fill>
      <patternFill patternType="solid">
        <fgColor rgb="FF63B1BC"/>
        <bgColor rgb="FFFFFFFF"/>
      </patternFill>
    </fill>
    <fill>
      <patternFill patternType="solid">
        <fgColor rgb="FF00859B"/>
        <bgColor rgb="FFFFFFFF"/>
      </patternFill>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s>
  <borders count="4">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indexed="64"/>
      </top>
      <bottom style="double">
        <color indexed="64"/>
      </bottom>
      <diagonal/>
    </border>
    <border>
      <left/>
      <right/>
      <top/>
      <bottom style="thin">
        <color indexed="64"/>
      </bottom>
      <diagonal/>
    </border>
  </borders>
  <cellStyleXfs count="7">
    <xf numFmtId="0" fontId="0" fillId="0" borderId="0"/>
    <xf numFmtId="0" fontId="4" fillId="0" borderId="0" applyNumberFormat="0" applyFill="0" applyBorder="0" applyAlignment="0" applyProtection="0"/>
    <xf numFmtId="0" fontId="18" fillId="0" borderId="0"/>
    <xf numFmtId="43" fontId="18" fillId="0" borderId="0" applyFont="0" applyFill="0" applyBorder="0" applyAlignment="0" applyProtection="0"/>
    <xf numFmtId="0" fontId="22" fillId="0" borderId="0"/>
    <xf numFmtId="0" fontId="24" fillId="0" borderId="0"/>
    <xf numFmtId="43" fontId="24" fillId="0" borderId="0" applyFont="0" applyFill="0" applyBorder="0" applyAlignment="0" applyProtection="0"/>
  </cellStyleXfs>
  <cellXfs count="109">
    <xf numFmtId="0" fontId="0" fillId="0" borderId="0" xfId="0"/>
    <xf numFmtId="0" fontId="2" fillId="0" borderId="0" xfId="0" applyFont="1"/>
    <xf numFmtId="0" fontId="0" fillId="0" borderId="0" xfId="0" applyAlignment="1">
      <alignment horizontal="center"/>
    </xf>
    <xf numFmtId="0" fontId="4" fillId="0" borderId="0" xfId="1" applyAlignment="1">
      <alignment horizontal="left" indent="1"/>
    </xf>
    <xf numFmtId="0" fontId="4" fillId="0" borderId="0" xfId="1"/>
    <xf numFmtId="0" fontId="5" fillId="0" borderId="0" xfId="0" applyFont="1"/>
    <xf numFmtId="0" fontId="8" fillId="0" borderId="0" xfId="0" applyFont="1"/>
    <xf numFmtId="0" fontId="9" fillId="0" borderId="0" xfId="0" applyFont="1" applyAlignment="1">
      <alignment horizontal="center"/>
    </xf>
    <xf numFmtId="0" fontId="10" fillId="0" borderId="0" xfId="0" applyFont="1" applyAlignment="1">
      <alignment horizontal="center"/>
    </xf>
    <xf numFmtId="0" fontId="0" fillId="2" borderId="0" xfId="0" applyFill="1"/>
    <xf numFmtId="0" fontId="11" fillId="0" borderId="0" xfId="0" applyFont="1"/>
    <xf numFmtId="0" fontId="12" fillId="0" borderId="0" xfId="0" applyFont="1"/>
    <xf numFmtId="0" fontId="1" fillId="2" borderId="0" xfId="0" applyFont="1" applyFill="1" applyAlignment="1">
      <alignment horizontal="center"/>
    </xf>
    <xf numFmtId="0" fontId="3" fillId="2" borderId="0" xfId="0" applyFont="1" applyFill="1" applyAlignment="1">
      <alignment horizont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17" fontId="0" fillId="0" borderId="0" xfId="0" applyNumberFormat="1" applyAlignment="1">
      <alignment horizontal="center" vertical="center"/>
    </xf>
    <xf numFmtId="0" fontId="13" fillId="0" borderId="0" xfId="1" applyFont="1" applyFill="1" applyAlignment="1">
      <alignment horizontal="left" vertical="center"/>
    </xf>
    <xf numFmtId="0" fontId="14" fillId="0" borderId="0" xfId="0" applyFont="1" applyAlignment="1">
      <alignment horizontal="center" vertical="center"/>
    </xf>
    <xf numFmtId="0" fontId="13" fillId="0" borderId="0" xfId="0" applyFont="1" applyAlignment="1">
      <alignment horizontal="left" vertical="center" indent="1"/>
    </xf>
    <xf numFmtId="0" fontId="4" fillId="0" borderId="0" xfId="1" applyFill="1" applyAlignment="1">
      <alignment horizontal="left" vertical="center" indent="1"/>
    </xf>
    <xf numFmtId="0" fontId="10" fillId="0" borderId="0" xfId="0" applyFont="1" applyAlignment="1">
      <alignment vertical="center"/>
    </xf>
    <xf numFmtId="0" fontId="15" fillId="0" borderId="0" xfId="1" applyFont="1" applyFill="1" applyAlignment="1">
      <alignment horizontal="left" vertical="center" wrapText="1"/>
    </xf>
    <xf numFmtId="0" fontId="0" fillId="0" borderId="0" xfId="0" applyAlignment="1">
      <alignment horizontal="left" vertical="center" wrapText="1"/>
    </xf>
    <xf numFmtId="0" fontId="13" fillId="0" borderId="0" xfId="1" applyFont="1" applyAlignment="1">
      <alignment horizontal="left" vertical="center"/>
    </xf>
    <xf numFmtId="0" fontId="4" fillId="0" borderId="0" xfId="1" applyAlignment="1">
      <alignment horizontal="left" vertical="center" indent="1"/>
    </xf>
    <xf numFmtId="0" fontId="3" fillId="0" borderId="0" xfId="0" applyFont="1" applyAlignment="1">
      <alignment vertical="center"/>
    </xf>
    <xf numFmtId="0" fontId="3" fillId="2" borderId="0" xfId="0" applyFont="1" applyFill="1" applyAlignment="1">
      <alignment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6" fillId="2" borderId="0" xfId="0" applyFont="1" applyFill="1" applyAlignment="1">
      <alignment horizontal="center" vertical="center"/>
    </xf>
    <xf numFmtId="17" fontId="14" fillId="0" borderId="0" xfId="0" applyNumberFormat="1" applyFont="1" applyAlignment="1">
      <alignment horizontal="center" vertical="center"/>
    </xf>
    <xf numFmtId="17" fontId="0" fillId="0" borderId="0" xfId="0" applyNumberFormat="1" applyAlignment="1">
      <alignment horizontal="center"/>
    </xf>
    <xf numFmtId="0" fontId="0" fillId="0" borderId="0" xfId="0" applyAlignment="1">
      <alignment horizontal="left" indent="1"/>
    </xf>
    <xf numFmtId="0" fontId="18" fillId="0" borderId="0" xfId="2" applyAlignment="1">
      <alignment vertical="center"/>
    </xf>
    <xf numFmtId="164" fontId="0" fillId="0" borderId="0" xfId="3" applyNumberFormat="1" applyFont="1" applyAlignment="1">
      <alignment vertical="center"/>
    </xf>
    <xf numFmtId="0" fontId="18" fillId="0" borderId="0" xfId="2" applyAlignment="1">
      <alignment horizontal="center" vertical="center"/>
    </xf>
    <xf numFmtId="164" fontId="19" fillId="0" borderId="0" xfId="3" applyNumberFormat="1" applyFont="1" applyAlignment="1">
      <alignment vertical="center"/>
    </xf>
    <xf numFmtId="0" fontId="19" fillId="0" borderId="0" xfId="2" applyFont="1" applyAlignment="1">
      <alignment vertical="center"/>
    </xf>
    <xf numFmtId="0" fontId="19" fillId="0" borderId="0" xfId="2" applyFont="1" applyAlignment="1">
      <alignment horizontal="center" vertical="center"/>
    </xf>
    <xf numFmtId="164" fontId="19" fillId="0" borderId="1" xfId="3" applyNumberFormat="1" applyFont="1" applyBorder="1" applyAlignment="1">
      <alignment vertical="center"/>
    </xf>
    <xf numFmtId="0" fontId="19" fillId="0" borderId="1" xfId="2" applyFont="1" applyBorder="1" applyAlignment="1">
      <alignment vertical="center"/>
    </xf>
    <xf numFmtId="0" fontId="18" fillId="0" borderId="0" xfId="2"/>
    <xf numFmtId="0" fontId="20" fillId="0" borderId="0" xfId="2" applyFont="1"/>
    <xf numFmtId="164" fontId="21" fillId="3" borderId="1" xfId="3" applyNumberFormat="1" applyFont="1" applyFill="1" applyBorder="1" applyAlignment="1">
      <alignment horizontal="left" vertical="center" wrapText="1"/>
    </xf>
    <xf numFmtId="49" fontId="21" fillId="3" borderId="1" xfId="2" applyNumberFormat="1" applyFont="1" applyFill="1" applyBorder="1" applyAlignment="1">
      <alignment horizontal="left" vertical="center" wrapText="1"/>
    </xf>
    <xf numFmtId="0" fontId="22" fillId="0" borderId="0" xfId="2" applyFont="1"/>
    <xf numFmtId="0" fontId="24" fillId="0" borderId="0" xfId="5"/>
    <xf numFmtId="3" fontId="24" fillId="0" borderId="0" xfId="5" applyNumberFormat="1"/>
    <xf numFmtId="0" fontId="25" fillId="0" borderId="0" xfId="5" applyFont="1"/>
    <xf numFmtId="0" fontId="26" fillId="0" borderId="0" xfId="5" applyFont="1" applyAlignment="1">
      <alignment horizontal="center"/>
    </xf>
    <xf numFmtId="0" fontId="26" fillId="0" borderId="0" xfId="5" applyFont="1" applyAlignment="1">
      <alignment horizontal="left"/>
    </xf>
    <xf numFmtId="0" fontId="20" fillId="0" borderId="0" xfId="5" applyFont="1"/>
    <xf numFmtId="43" fontId="26" fillId="0" borderId="0" xfId="5" applyNumberFormat="1" applyFont="1" applyAlignment="1">
      <alignment horizontal="center"/>
    </xf>
    <xf numFmtId="0" fontId="26" fillId="0" borderId="2" xfId="5" applyFont="1" applyBorder="1" applyAlignment="1">
      <alignment horizontal="right"/>
    </xf>
    <xf numFmtId="164" fontId="26" fillId="0" borderId="2" xfId="6" applyNumberFormat="1" applyFont="1" applyFill="1" applyBorder="1" applyAlignment="1">
      <alignment horizontal="center"/>
    </xf>
    <xf numFmtId="0" fontId="26" fillId="0" borderId="0" xfId="5" applyFont="1" applyAlignment="1">
      <alignment horizontal="right"/>
    </xf>
    <xf numFmtId="164" fontId="26" fillId="0" borderId="0" xfId="6" applyNumberFormat="1" applyFont="1" applyFill="1" applyAlignment="1">
      <alignment horizontal="center"/>
    </xf>
    <xf numFmtId="164" fontId="26" fillId="0" borderId="0" xfId="6" applyNumberFormat="1" applyFont="1" applyFill="1" applyBorder="1" applyAlignment="1">
      <alignment horizontal="center"/>
    </xf>
    <xf numFmtId="0" fontId="27" fillId="0" borderId="3" xfId="5" applyFont="1" applyBorder="1" applyAlignment="1">
      <alignment horizontal="center" wrapText="1"/>
    </xf>
    <xf numFmtId="0" fontId="27" fillId="0" borderId="3" xfId="5" applyFont="1" applyBorder="1" applyAlignment="1">
      <alignment horizontal="center"/>
    </xf>
    <xf numFmtId="0" fontId="28" fillId="0" borderId="0" xfId="5" applyFont="1" applyAlignment="1">
      <alignment horizontal="left"/>
    </xf>
    <xf numFmtId="0" fontId="13" fillId="0" borderId="0" xfId="0" applyFont="1" applyAlignment="1">
      <alignment horizontal="left" indent="1"/>
    </xf>
    <xf numFmtId="0" fontId="0" fillId="0" borderId="0" xfId="0" applyAlignment="1">
      <alignment horizontal="left" vertical="center" indent="1"/>
    </xf>
    <xf numFmtId="0" fontId="4" fillId="0" borderId="0" xfId="1" applyFill="1" applyBorder="1" applyAlignment="1">
      <alignment horizontal="left" vertical="center" indent="1"/>
    </xf>
    <xf numFmtId="0" fontId="13" fillId="0" borderId="0" xfId="0" applyFont="1" applyAlignment="1">
      <alignment horizontal="center" vertical="center"/>
    </xf>
    <xf numFmtId="0" fontId="4" fillId="0" borderId="0" xfId="1" applyFill="1" applyBorder="1" applyAlignment="1">
      <alignment horizontal="left" indent="1"/>
    </xf>
    <xf numFmtId="0" fontId="13" fillId="0" borderId="0" xfId="0" applyFont="1" applyAlignment="1">
      <alignment horizontal="left" vertical="center"/>
    </xf>
    <xf numFmtId="0" fontId="17" fillId="0" borderId="0" xfId="0" applyFont="1" applyAlignment="1">
      <alignment vertical="center"/>
    </xf>
    <xf numFmtId="0" fontId="4" fillId="0" borderId="0" xfId="1" applyBorder="1" applyAlignment="1">
      <alignment horizontal="left" indent="1"/>
    </xf>
    <xf numFmtId="0" fontId="11" fillId="0" borderId="0" xfId="0" applyFont="1" applyAlignment="1">
      <alignment horizontal="center" vertical="center"/>
    </xf>
    <xf numFmtId="0" fontId="4" fillId="0" borderId="0" xfId="1" applyFill="1" applyAlignment="1">
      <alignment horizontal="left" indent="1"/>
    </xf>
    <xf numFmtId="0" fontId="4" fillId="0" borderId="0" xfId="1" applyFill="1"/>
    <xf numFmtId="0" fontId="17" fillId="6" borderId="0" xfId="0" applyFont="1" applyFill="1" applyAlignment="1">
      <alignment vertical="center"/>
    </xf>
    <xf numFmtId="0" fontId="7" fillId="0" borderId="0" xfId="0" applyFont="1"/>
    <xf numFmtId="0" fontId="4" fillId="0" borderId="0" xfId="1" applyFill="1" applyAlignment="1">
      <alignment vertical="center"/>
    </xf>
    <xf numFmtId="0" fontId="0" fillId="7" borderId="0" xfId="0" applyFill="1"/>
    <xf numFmtId="0" fontId="0" fillId="7" borderId="0" xfId="0" applyFill="1" applyAlignment="1">
      <alignment horizontal="center"/>
    </xf>
    <xf numFmtId="0" fontId="4" fillId="7" borderId="0" xfId="1" applyFill="1"/>
    <xf numFmtId="0" fontId="4" fillId="8" borderId="0" xfId="1" applyFill="1" applyAlignment="1">
      <alignment horizontal="left" indent="1"/>
    </xf>
    <xf numFmtId="0" fontId="2" fillId="0" borderId="0" xfId="0" applyFont="1" applyAlignment="1">
      <alignment vertical="center"/>
    </xf>
    <xf numFmtId="0" fontId="4" fillId="0" borderId="0" xfId="1" applyAlignment="1">
      <alignment vertical="center"/>
    </xf>
    <xf numFmtId="17" fontId="0" fillId="0" borderId="0" xfId="0" applyNumberFormat="1"/>
    <xf numFmtId="0" fontId="1" fillId="2" borderId="0" xfId="0" applyFont="1" applyFill="1" applyAlignment="1">
      <alignment horizontal="left" vertical="center"/>
    </xf>
    <xf numFmtId="0" fontId="3" fillId="0" borderId="0" xfId="0" applyFont="1" applyAlignment="1">
      <alignment horizontal="left" vertical="center"/>
    </xf>
    <xf numFmtId="17" fontId="14" fillId="0" borderId="0" xfId="0" applyNumberFormat="1" applyFont="1" applyAlignment="1">
      <alignment horizontal="left" vertical="center"/>
    </xf>
    <xf numFmtId="0" fontId="0" fillId="0" borderId="0" xfId="0" applyAlignment="1">
      <alignment horizontal="left" vertical="center"/>
    </xf>
    <xf numFmtId="0" fontId="14" fillId="0" borderId="0" xfId="0" applyFont="1" applyAlignment="1">
      <alignment horizontal="left" vertical="center"/>
    </xf>
    <xf numFmtId="0" fontId="11" fillId="0" borderId="0" xfId="0" applyFont="1" applyAlignment="1">
      <alignment horizontal="left" vertical="center"/>
    </xf>
    <xf numFmtId="17" fontId="0" fillId="0" borderId="0" xfId="0" applyNumberFormat="1" applyAlignment="1">
      <alignment horizontal="left" vertical="center"/>
    </xf>
    <xf numFmtId="0" fontId="0" fillId="0" borderId="0" xfId="0" applyAlignment="1">
      <alignment horizontal="left"/>
    </xf>
    <xf numFmtId="0" fontId="6" fillId="0" borderId="0" xfId="0" applyFont="1"/>
    <xf numFmtId="0" fontId="29" fillId="0" borderId="0" xfId="0" applyFont="1" applyAlignment="1">
      <alignment horizontal="center"/>
    </xf>
    <xf numFmtId="0" fontId="10" fillId="2" borderId="0" xfId="0" applyFont="1" applyFill="1" applyAlignment="1">
      <alignment horizontal="center"/>
    </xf>
    <xf numFmtId="0" fontId="29" fillId="7" borderId="0" xfId="0" applyFont="1" applyFill="1"/>
    <xf numFmtId="0" fontId="29" fillId="0" borderId="0" xfId="0" applyFont="1"/>
    <xf numFmtId="0" fontId="29" fillId="7" borderId="0" xfId="1" applyFont="1" applyFill="1"/>
    <xf numFmtId="0" fontId="29" fillId="0" borderId="0" xfId="1" applyFont="1"/>
    <xf numFmtId="0" fontId="29" fillId="0" borderId="0" xfId="1" applyFont="1" applyFill="1"/>
    <xf numFmtId="0" fontId="3" fillId="2" borderId="0" xfId="0" applyFont="1" applyFill="1"/>
    <xf numFmtId="0" fontId="30" fillId="0" borderId="0" xfId="0" applyFont="1"/>
    <xf numFmtId="0" fontId="3" fillId="0" borderId="0" xfId="0" applyFont="1"/>
    <xf numFmtId="0" fontId="1" fillId="0" borderId="0" xfId="0" applyFont="1"/>
    <xf numFmtId="0" fontId="29" fillId="7" borderId="0" xfId="1" applyFont="1" applyFill="1" applyAlignment="1">
      <alignment vertical="center"/>
    </xf>
    <xf numFmtId="0" fontId="4" fillId="7" borderId="0" xfId="1" applyFill="1" applyAlignment="1">
      <alignment vertical="center"/>
    </xf>
    <xf numFmtId="17" fontId="13" fillId="0" borderId="0" xfId="0" applyNumberFormat="1" applyFont="1" applyAlignment="1">
      <alignment horizontal="left" indent="1"/>
    </xf>
    <xf numFmtId="0" fontId="23" fillId="5" borderId="1" xfId="4" applyFont="1" applyFill="1" applyBorder="1" applyAlignment="1">
      <alignment horizontal="center"/>
    </xf>
    <xf numFmtId="49" fontId="21" fillId="4" borderId="1" xfId="2" applyNumberFormat="1" applyFont="1" applyFill="1" applyBorder="1" applyAlignment="1">
      <alignment horizontal="center" vertical="center" wrapText="1"/>
    </xf>
  </cellXfs>
  <cellStyles count="7">
    <cellStyle name="Comma 2" xfId="3" xr:uid="{55B828CF-0796-4686-8973-370A3E1D51EE}"/>
    <cellStyle name="Comma 2 2" xfId="6" xr:uid="{D0DDDFEC-EEAB-4A82-9FC8-9646CBFDE1F5}"/>
    <cellStyle name="Hyperlink" xfId="1" builtinId="8"/>
    <cellStyle name="Normal" xfId="0" builtinId="0"/>
    <cellStyle name="Normal 2" xfId="5" xr:uid="{2750EED7-831B-4136-B660-FA431189F86E}"/>
    <cellStyle name="Normal 2 2" xfId="4" xr:uid="{D8EC2AC4-D22C-4AC3-8073-D053AA9CDCBF}"/>
    <cellStyle name="Normal 3" xfId="2" xr:uid="{9AA36280-6364-412A-B4EA-13DD2F31321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215900</xdr:rowOff>
    </xdr:from>
    <xdr:ext cx="2654300" cy="575310"/>
    <xdr:pic>
      <xdr:nvPicPr>
        <xdr:cNvPr id="2" name="Picture 1">
          <a:extLst>
            <a:ext uri="{FF2B5EF4-FFF2-40B4-BE49-F238E27FC236}">
              <a16:creationId xmlns:a16="http://schemas.microsoft.com/office/drawing/2014/main" id="{0F259210-6C36-4307-9EE9-B235475F56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187325"/>
          <a:ext cx="2654300" cy="57531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8058150" cy="942975"/>
    <xdr:pic>
      <xdr:nvPicPr>
        <xdr:cNvPr id="2" name="Picture 1">
          <a:extLst>
            <a:ext uri="{FF2B5EF4-FFF2-40B4-BE49-F238E27FC236}">
              <a16:creationId xmlns:a16="http://schemas.microsoft.com/office/drawing/2014/main" id="{96CBE56E-BA5E-4682-B2E2-D8ED5221C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0581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linkedin.com/in/scott-rowan-448867a3/" TargetMode="External"/><Relationship Id="rId18" Type="http://schemas.openxmlformats.org/officeDocument/2006/relationships/hyperlink" Target="https://www.linkedin.com/in/oleg-voloshyn-9b57b886/" TargetMode="External"/><Relationship Id="rId26" Type="http://schemas.openxmlformats.org/officeDocument/2006/relationships/hyperlink" Target="https://www.linkedin.com/in/rbrettbutler/" TargetMode="External"/><Relationship Id="rId21" Type="http://schemas.openxmlformats.org/officeDocument/2006/relationships/hyperlink" Target="https://www.linkedin.com/in/david-flinn-1ab69b51/" TargetMode="External"/><Relationship Id="rId34" Type="http://schemas.openxmlformats.org/officeDocument/2006/relationships/hyperlink" Target="https://www.linkedin.com/in/markwilliambracken/" TargetMode="External"/><Relationship Id="rId7" Type="http://schemas.openxmlformats.org/officeDocument/2006/relationships/hyperlink" Target="https://www.linkedin.com/in/nicholastwomey/" TargetMode="External"/><Relationship Id="rId12" Type="http://schemas.openxmlformats.org/officeDocument/2006/relationships/hyperlink" Target="https://www.linkedin.com/in/chris-dwyer/" TargetMode="External"/><Relationship Id="rId17" Type="http://schemas.openxmlformats.org/officeDocument/2006/relationships/hyperlink" Target="https://www.linkedin.com/in/danielleakristensen/" TargetMode="External"/><Relationship Id="rId25" Type="http://schemas.openxmlformats.org/officeDocument/2006/relationships/hyperlink" Target="https://www.linkedin.com/in/kristin-orcutt-90491458/" TargetMode="External"/><Relationship Id="rId33" Type="http://schemas.openxmlformats.org/officeDocument/2006/relationships/hyperlink" Target="https://www.linkedin.com/in/timgmiller/" TargetMode="External"/><Relationship Id="rId2" Type="http://schemas.openxmlformats.org/officeDocument/2006/relationships/hyperlink" Target="https://www.linkedin.com/in/marty-b-54590832/" TargetMode="External"/><Relationship Id="rId16" Type="http://schemas.openxmlformats.org/officeDocument/2006/relationships/hyperlink" Target="https://www.linkedin.com/in/george-b-3525a1388/" TargetMode="External"/><Relationship Id="rId20" Type="http://schemas.openxmlformats.org/officeDocument/2006/relationships/hyperlink" Target="https://www.linkedin.com/in/rachelbarber/" TargetMode="External"/><Relationship Id="rId29" Type="http://schemas.openxmlformats.org/officeDocument/2006/relationships/hyperlink" Target="https://www.linkedin.com/in/erick-ching-110926b/" TargetMode="External"/><Relationship Id="rId1" Type="http://schemas.openxmlformats.org/officeDocument/2006/relationships/hyperlink" Target="https://www.linkedin.com/in/richbozzuto/" TargetMode="External"/><Relationship Id="rId6" Type="http://schemas.openxmlformats.org/officeDocument/2006/relationships/hyperlink" Target="https://www.linkedin.com/in/da-silva-julian/" TargetMode="External"/><Relationship Id="rId11" Type="http://schemas.openxmlformats.org/officeDocument/2006/relationships/hyperlink" Target="https://www.linkedin.com/in/eoghanodwyer/" TargetMode="External"/><Relationship Id="rId24" Type="http://schemas.openxmlformats.org/officeDocument/2006/relationships/hyperlink" Target="https://www.linkedin.com/in/deanaehrlich/" TargetMode="External"/><Relationship Id="rId32" Type="http://schemas.openxmlformats.org/officeDocument/2006/relationships/hyperlink" Target="https://www.linkedin.com/in/jonathan-zachem-50a444142/" TargetMode="External"/><Relationship Id="rId37" Type="http://schemas.openxmlformats.org/officeDocument/2006/relationships/printerSettings" Target="../printerSettings/printerSettings1.bin"/><Relationship Id="rId5" Type="http://schemas.openxmlformats.org/officeDocument/2006/relationships/hyperlink" Target="https://www.linkedin.com/in/scott-kania/" TargetMode="External"/><Relationship Id="rId15" Type="http://schemas.openxmlformats.org/officeDocument/2006/relationships/hyperlink" Target="https://www.linkedin.com/in/bill-crafts-146176b/" TargetMode="External"/><Relationship Id="rId23" Type="http://schemas.openxmlformats.org/officeDocument/2006/relationships/hyperlink" Target="https://www.linkedin.com/in/andy-hendrickson-96814/" TargetMode="External"/><Relationship Id="rId28" Type="http://schemas.openxmlformats.org/officeDocument/2006/relationships/hyperlink" Target="https://www.linkedin.com/in/joshua-smith-ia/" TargetMode="External"/><Relationship Id="rId36" Type="http://schemas.openxmlformats.org/officeDocument/2006/relationships/hyperlink" Target="https://www.linkedin.com/in/bradley-presley-mls-bsss-b6a46a65/" TargetMode="External"/><Relationship Id="rId10" Type="http://schemas.openxmlformats.org/officeDocument/2006/relationships/hyperlink" Target="https://www.linkedin.com/in/mark-mason-bb7a54153/" TargetMode="External"/><Relationship Id="rId19" Type="http://schemas.openxmlformats.org/officeDocument/2006/relationships/hyperlink" Target="https://www.linkedin.com/in/daryl-l-bruce/" TargetMode="External"/><Relationship Id="rId31" Type="http://schemas.openxmlformats.org/officeDocument/2006/relationships/hyperlink" Target="https://www.linkedin.com/in/nathanpedwell/" TargetMode="External"/><Relationship Id="rId4" Type="http://schemas.openxmlformats.org/officeDocument/2006/relationships/hyperlink" Target="https://www.linkedin.com/in/boyan-boev-05a8853/" TargetMode="External"/><Relationship Id="rId9" Type="http://schemas.openxmlformats.org/officeDocument/2006/relationships/hyperlink" Target="https://www.linkedin.com/in/heather-ahnafield-a6b94477/" TargetMode="External"/><Relationship Id="rId14" Type="http://schemas.openxmlformats.org/officeDocument/2006/relationships/hyperlink" Target="https://www.linkedin.com/in/ryannorthok/" TargetMode="External"/><Relationship Id="rId22" Type="http://schemas.openxmlformats.org/officeDocument/2006/relationships/hyperlink" Target="https://www.linkedin.com/in/megan-nimsgern/" TargetMode="External"/><Relationship Id="rId27" Type="http://schemas.openxmlformats.org/officeDocument/2006/relationships/hyperlink" Target="https://www.linkedin.com/in/keith-menchin-math/" TargetMode="External"/><Relationship Id="rId30" Type="http://schemas.openxmlformats.org/officeDocument/2006/relationships/hyperlink" Target="https://www.linkedin.com/in/tonytprofile/" TargetMode="External"/><Relationship Id="rId35" Type="http://schemas.openxmlformats.org/officeDocument/2006/relationships/hyperlink" Target="https://www.linkedin.com/in/ed-birkin-55b209a/?originalSubdomain=uk" TargetMode="External"/><Relationship Id="rId8" Type="http://schemas.openxmlformats.org/officeDocument/2006/relationships/hyperlink" Target="https://www.linkedin.com/in/michael-gerdes-b2300013/" TargetMode="External"/><Relationship Id="rId3" Type="http://schemas.openxmlformats.org/officeDocument/2006/relationships/hyperlink" Target="https://www.linkedin.com/in/jaredbondgovernmentaffairs/"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linkedin.com/in/cwilliam5/" TargetMode="External"/><Relationship Id="rId21" Type="http://schemas.openxmlformats.org/officeDocument/2006/relationships/hyperlink" Target="https://www.linkedin.com/in/nat-hammond-9621041b4/" TargetMode="External"/><Relationship Id="rId42" Type="http://schemas.openxmlformats.org/officeDocument/2006/relationships/hyperlink" Target="https://www.linkedin.com/in/richard-s-95579214/" TargetMode="External"/><Relationship Id="rId63" Type="http://schemas.openxmlformats.org/officeDocument/2006/relationships/hyperlink" Target="https://www.linkedin.com/in/doron-shavit/" TargetMode="External"/><Relationship Id="rId84" Type="http://schemas.openxmlformats.org/officeDocument/2006/relationships/hyperlink" Target="https://www.linkedin.com/in/barak-matalon-669911a/" TargetMode="External"/><Relationship Id="rId138" Type="http://schemas.openxmlformats.org/officeDocument/2006/relationships/hyperlink" Target="https://www.linkedin.com/in/francesco-condoleo/" TargetMode="External"/><Relationship Id="rId107" Type="http://schemas.openxmlformats.org/officeDocument/2006/relationships/hyperlink" Target="https://www.linkedin.com/in/john-milliner-93a36280/" TargetMode="External"/><Relationship Id="rId11" Type="http://schemas.openxmlformats.org/officeDocument/2006/relationships/hyperlink" Target="https://www.linkedin.com/in/joseph-ward-35a80110a/" TargetMode="External"/><Relationship Id="rId32" Type="http://schemas.openxmlformats.org/officeDocument/2006/relationships/hyperlink" Target="https://www.linkedin.com/in/-hanselias-/" TargetMode="External"/><Relationship Id="rId53" Type="http://schemas.openxmlformats.org/officeDocument/2006/relationships/hyperlink" Target="https://www.linkedin.com/in/jason-martin-031b90a2/" TargetMode="External"/><Relationship Id="rId74" Type="http://schemas.openxmlformats.org/officeDocument/2006/relationships/hyperlink" Target="https://www.linkedin.com/in/vinay-kanani-24b85771/" TargetMode="External"/><Relationship Id="rId128" Type="http://schemas.openxmlformats.org/officeDocument/2006/relationships/hyperlink" Target="https://www.linkedin.com/in/courtneymcknight/" TargetMode="External"/><Relationship Id="rId5" Type="http://schemas.openxmlformats.org/officeDocument/2006/relationships/hyperlink" Target="https://www.linkedin.com/in/alex-l-b03a5a8b/" TargetMode="External"/><Relationship Id="rId90" Type="http://schemas.openxmlformats.org/officeDocument/2006/relationships/hyperlink" Target="https://www.linkedin.com/in/chris-fewell-915978348/" TargetMode="External"/><Relationship Id="rId95" Type="http://schemas.openxmlformats.org/officeDocument/2006/relationships/hyperlink" Target="https://www.linkedin.com/in/kimberly-kiepek/" TargetMode="External"/><Relationship Id="rId22" Type="http://schemas.openxmlformats.org/officeDocument/2006/relationships/hyperlink" Target="https://www.linkedin.com/in/philip-zoloto-b91a9426/" TargetMode="External"/><Relationship Id="rId27" Type="http://schemas.openxmlformats.org/officeDocument/2006/relationships/hyperlink" Target="https://www.linkedin.com/in/alex-walsh-b2001512/" TargetMode="External"/><Relationship Id="rId43" Type="http://schemas.openxmlformats.org/officeDocument/2006/relationships/hyperlink" Target="https://www.linkedin.com/in/christophershaban/" TargetMode="External"/><Relationship Id="rId48" Type="http://schemas.openxmlformats.org/officeDocument/2006/relationships/hyperlink" Target="https://www.linkedin.com/in/jamie-rollo-ba8bb07/" TargetMode="External"/><Relationship Id="rId64" Type="http://schemas.openxmlformats.org/officeDocument/2006/relationships/hyperlink" Target="https://www.linkedin.com/in/lauren-caruana-339a703a/" TargetMode="External"/><Relationship Id="rId69" Type="http://schemas.openxmlformats.org/officeDocument/2006/relationships/hyperlink" Target="https://www.linkedin.com/in/phil-valente/" TargetMode="External"/><Relationship Id="rId113" Type="http://schemas.openxmlformats.org/officeDocument/2006/relationships/hyperlink" Target="https://www.linkedin.com/in/samuel-drew-70b3531a1/" TargetMode="External"/><Relationship Id="rId118" Type="http://schemas.openxmlformats.org/officeDocument/2006/relationships/hyperlink" Target="https://www.linkedin.com/in/f-steven-dimasi-8548644a/" TargetMode="External"/><Relationship Id="rId134" Type="http://schemas.openxmlformats.org/officeDocument/2006/relationships/hyperlink" Target="https://www.linkedin.com/in/robin-smith-779660127/" TargetMode="External"/><Relationship Id="rId139" Type="http://schemas.openxmlformats.org/officeDocument/2006/relationships/hyperlink" Target="https://www.linkedin.com/in/mark-clohessy-430980a/" TargetMode="External"/><Relationship Id="rId80" Type="http://schemas.openxmlformats.org/officeDocument/2006/relationships/hyperlink" Target="https://www.linkedin.com/in/maryna-p-687221112/" TargetMode="External"/><Relationship Id="rId85" Type="http://schemas.openxmlformats.org/officeDocument/2006/relationships/hyperlink" Target="https://www.linkedin.com/in/rowesley/" TargetMode="External"/><Relationship Id="rId12" Type="http://schemas.openxmlformats.org/officeDocument/2006/relationships/hyperlink" Target="https://www.linkedin.com/in/zachary-cooper-1a61b996/" TargetMode="External"/><Relationship Id="rId17" Type="http://schemas.openxmlformats.org/officeDocument/2006/relationships/hyperlink" Target="https://www.linkedin.com/in/mike-debrabander-a4657810/" TargetMode="External"/><Relationship Id="rId33" Type="http://schemas.openxmlformats.org/officeDocument/2006/relationships/hyperlink" Target="https://www.linkedin.com/in/quincyraven/" TargetMode="External"/><Relationship Id="rId38" Type="http://schemas.openxmlformats.org/officeDocument/2006/relationships/hyperlink" Target="https://www.linkedin.com/in/joshua-morris-b424233/" TargetMode="External"/><Relationship Id="rId59" Type="http://schemas.openxmlformats.org/officeDocument/2006/relationships/hyperlink" Target="https://www.linkedin.com/in/matthewhaswell/" TargetMode="External"/><Relationship Id="rId103" Type="http://schemas.openxmlformats.org/officeDocument/2006/relationships/hyperlink" Target="https://www.linkedin.com/in/ian-jay-76381920/" TargetMode="External"/><Relationship Id="rId108" Type="http://schemas.openxmlformats.org/officeDocument/2006/relationships/hyperlink" Target="https://www.linkedin.com/in/jon-angarola-01aa289/" TargetMode="External"/><Relationship Id="rId124" Type="http://schemas.openxmlformats.org/officeDocument/2006/relationships/hyperlink" Target="https://www.linkedin.com/in/connor-maguire/" TargetMode="External"/><Relationship Id="rId129" Type="http://schemas.openxmlformats.org/officeDocument/2006/relationships/hyperlink" Target="https://www.linkedin.com/in/karina-antonino-953b59aa/" TargetMode="External"/><Relationship Id="rId54" Type="http://schemas.openxmlformats.org/officeDocument/2006/relationships/hyperlink" Target="https://www.linkedin.com/in/erin-chou-04a4157/" TargetMode="External"/><Relationship Id="rId70" Type="http://schemas.openxmlformats.org/officeDocument/2006/relationships/hyperlink" Target="https://www.linkedin.com/in/jay-roper-9bb9954/" TargetMode="External"/><Relationship Id="rId75" Type="http://schemas.openxmlformats.org/officeDocument/2006/relationships/hyperlink" Target="https://www.linkedin.com/in/aviv-shener/" TargetMode="External"/><Relationship Id="rId91" Type="http://schemas.openxmlformats.org/officeDocument/2006/relationships/hyperlink" Target="https://www.linkedin.com/in/aaron-medvick-a49b125/" TargetMode="External"/><Relationship Id="rId96" Type="http://schemas.openxmlformats.org/officeDocument/2006/relationships/hyperlink" Target="https://www.linkedin.com/in/sarah-base-8bb755118/" TargetMode="External"/><Relationship Id="rId140" Type="http://schemas.openxmlformats.org/officeDocument/2006/relationships/hyperlink" Target="https://www.linkedin.com/in/darcy-mccormick-38506ba/" TargetMode="External"/><Relationship Id="rId145" Type="http://schemas.openxmlformats.org/officeDocument/2006/relationships/hyperlink" Target="https://www.linkedin.com/in/nate-macgregor-30298629/" TargetMode="External"/><Relationship Id="rId1" Type="http://schemas.openxmlformats.org/officeDocument/2006/relationships/hyperlink" Target="https://www.linkedin.com/in/sara-larocca/" TargetMode="External"/><Relationship Id="rId6" Type="http://schemas.openxmlformats.org/officeDocument/2006/relationships/hyperlink" Target="https://www.linkedin.com/in/jamie-rollo-ba8bb07/" TargetMode="External"/><Relationship Id="rId23" Type="http://schemas.openxmlformats.org/officeDocument/2006/relationships/hyperlink" Target="https://www.linkedin.com/in/will-dangc-b14ab725/" TargetMode="External"/><Relationship Id="rId28" Type="http://schemas.openxmlformats.org/officeDocument/2006/relationships/hyperlink" Target="https://www.linkedin.com/in/nicholas-dunn11/" TargetMode="External"/><Relationship Id="rId49" Type="http://schemas.openxmlformats.org/officeDocument/2006/relationships/hyperlink" Target="https://www.linkedin.com/in/jamie-rollo-ba8bb07/" TargetMode="External"/><Relationship Id="rId114" Type="http://schemas.openxmlformats.org/officeDocument/2006/relationships/hyperlink" Target="https://www.linkedin.com/in/edward-murzyn-779a3816/" TargetMode="External"/><Relationship Id="rId119" Type="http://schemas.openxmlformats.org/officeDocument/2006/relationships/hyperlink" Target="https://www.linkedin.com/in/sharonblecker/" TargetMode="External"/><Relationship Id="rId44" Type="http://schemas.openxmlformats.org/officeDocument/2006/relationships/hyperlink" Target="https://www.linkedin.com/in/helena-huhanantti-04ab46167/" TargetMode="External"/><Relationship Id="rId60" Type="http://schemas.openxmlformats.org/officeDocument/2006/relationships/hyperlink" Target="https://www.linkedin.com/in/mike-schulz-51477963/" TargetMode="External"/><Relationship Id="rId65" Type="http://schemas.openxmlformats.org/officeDocument/2006/relationships/hyperlink" Target="https://www.linkedin.com/in/nicholas-bannon-613599180/" TargetMode="External"/><Relationship Id="rId81" Type="http://schemas.openxmlformats.org/officeDocument/2006/relationships/hyperlink" Target="https://www.linkedin.com/in/victor-marmorstein-57b82172/" TargetMode="External"/><Relationship Id="rId86" Type="http://schemas.openxmlformats.org/officeDocument/2006/relationships/hyperlink" Target="https://www.linkedin.com/in/david-atik/" TargetMode="External"/><Relationship Id="rId130" Type="http://schemas.openxmlformats.org/officeDocument/2006/relationships/hyperlink" Target="https://www.linkedin.com/in/michaelmanto/" TargetMode="External"/><Relationship Id="rId135" Type="http://schemas.openxmlformats.org/officeDocument/2006/relationships/hyperlink" Target="https://www.linkedin.com/in/fredriklindberg86/" TargetMode="External"/><Relationship Id="rId13" Type="http://schemas.openxmlformats.org/officeDocument/2006/relationships/hyperlink" Target="https://www.linkedin.com/in/jamie-rollo-ba8bb07/" TargetMode="External"/><Relationship Id="rId18" Type="http://schemas.openxmlformats.org/officeDocument/2006/relationships/hyperlink" Target="https://www.linkedin.com/in/amy-robards-662980138/" TargetMode="External"/><Relationship Id="rId39" Type="http://schemas.openxmlformats.org/officeDocument/2006/relationships/hyperlink" Target="https://www.linkedin.com/in/thomas-aicken-72882b29/" TargetMode="External"/><Relationship Id="rId109" Type="http://schemas.openxmlformats.org/officeDocument/2006/relationships/hyperlink" Target="https://www.linkedin.com/in/karen-kendall-3b8a1226/" TargetMode="External"/><Relationship Id="rId34" Type="http://schemas.openxmlformats.org/officeDocument/2006/relationships/hyperlink" Target="https://www.linkedin.com/in/magdalenap1/" TargetMode="External"/><Relationship Id="rId50" Type="http://schemas.openxmlformats.org/officeDocument/2006/relationships/hyperlink" Target="https://www.linkedin.com/in/jamie-rollo-ba8bb07/" TargetMode="External"/><Relationship Id="rId55" Type="http://schemas.openxmlformats.org/officeDocument/2006/relationships/hyperlink" Target="https://www.linkedin.com/in/sam-hobcraft-594b997/" TargetMode="External"/><Relationship Id="rId76" Type="http://schemas.openxmlformats.org/officeDocument/2006/relationships/hyperlink" Target="https://www.linkedin.com/in/aleksandar-dinev-9a3ba12/" TargetMode="External"/><Relationship Id="rId97" Type="http://schemas.openxmlformats.org/officeDocument/2006/relationships/hyperlink" Target="https://www.linkedin.com/in/andrew-smith-006387a2/" TargetMode="External"/><Relationship Id="rId104" Type="http://schemas.openxmlformats.org/officeDocument/2006/relationships/hyperlink" Target="https://www.linkedin.com/in/allon-englman-aa283b14/" TargetMode="External"/><Relationship Id="rId120" Type="http://schemas.openxmlformats.org/officeDocument/2006/relationships/hyperlink" Target="https://www.linkedin.com/in/nimeshw/" TargetMode="External"/><Relationship Id="rId125" Type="http://schemas.openxmlformats.org/officeDocument/2006/relationships/hyperlink" Target="https://www.linkedin.com/in/richard-fieldsend-02a9a756/" TargetMode="External"/><Relationship Id="rId141" Type="http://schemas.openxmlformats.org/officeDocument/2006/relationships/hyperlink" Target="https://www.linkedin.com/in/frank-hao-12555837/" TargetMode="External"/><Relationship Id="rId146" Type="http://schemas.openxmlformats.org/officeDocument/2006/relationships/hyperlink" Target="https://www.linkedin.com/in/mike-jr-1563b746/" TargetMode="External"/><Relationship Id="rId7" Type="http://schemas.openxmlformats.org/officeDocument/2006/relationships/hyperlink" Target="https://www.linkedin.com/in/zac-murphy/?original_referer=https%3A%2F%2Fwww%2Egoogle%2Ecom%2F&amp;originalSubdomain=au" TargetMode="External"/><Relationship Id="rId71" Type="http://schemas.openxmlformats.org/officeDocument/2006/relationships/hyperlink" Target="https://www.linkedin.com/in/giovannif/" TargetMode="External"/><Relationship Id="rId92" Type="http://schemas.openxmlformats.org/officeDocument/2006/relationships/hyperlink" Target="https://www.linkedin.com/in/d-l-howard-jr-esq-61164852/" TargetMode="External"/><Relationship Id="rId2" Type="http://schemas.openxmlformats.org/officeDocument/2006/relationships/hyperlink" Target="https://www.linkedin.com/in/natalie-schoenhals/" TargetMode="External"/><Relationship Id="rId29" Type="http://schemas.openxmlformats.org/officeDocument/2006/relationships/hyperlink" Target="https://www.linkedin.com/in/andrew-sackey-9b249120/" TargetMode="External"/><Relationship Id="rId24" Type="http://schemas.openxmlformats.org/officeDocument/2006/relationships/hyperlink" Target="https://www.linkedin.com/in/supernakalle/" TargetMode="External"/><Relationship Id="rId40" Type="http://schemas.openxmlformats.org/officeDocument/2006/relationships/hyperlink" Target="https://www.linkedin.com/in/dian-gospodinov-91079538/" TargetMode="External"/><Relationship Id="rId45" Type="http://schemas.openxmlformats.org/officeDocument/2006/relationships/hyperlink" Target="https://www.linkedin.com/in/soraiafigueiredo/" TargetMode="External"/><Relationship Id="rId66" Type="http://schemas.openxmlformats.org/officeDocument/2006/relationships/hyperlink" Target="https://www.linkedin.com/in/bradley-gale/" TargetMode="External"/><Relationship Id="rId87" Type="http://schemas.openxmlformats.org/officeDocument/2006/relationships/hyperlink" Target="https://www.linkedin.com/in/michael-crooks-5a398710/" TargetMode="External"/><Relationship Id="rId110" Type="http://schemas.openxmlformats.org/officeDocument/2006/relationships/hyperlink" Target="https://www.linkedin.com/in/joe-kaminkow-20562180/" TargetMode="External"/><Relationship Id="rId115" Type="http://schemas.openxmlformats.org/officeDocument/2006/relationships/hyperlink" Target="https://www.linkedin.com/in/scott-dickerson-47b4874/" TargetMode="External"/><Relationship Id="rId131" Type="http://schemas.openxmlformats.org/officeDocument/2006/relationships/hyperlink" Target="https://www.linkedin.com/in/martinlerby/" TargetMode="External"/><Relationship Id="rId136" Type="http://schemas.openxmlformats.org/officeDocument/2006/relationships/hyperlink" Target="https://www.linkedin.com/in/gabrielle-star/" TargetMode="External"/><Relationship Id="rId61" Type="http://schemas.openxmlformats.org/officeDocument/2006/relationships/hyperlink" Target="https://www.linkedin.com/in/dafnegui/" TargetMode="External"/><Relationship Id="rId82" Type="http://schemas.openxmlformats.org/officeDocument/2006/relationships/hyperlink" Target="https://www.linkedin.com/in/ohad-shlomoff-37bb641a/" TargetMode="External"/><Relationship Id="rId19" Type="http://schemas.openxmlformats.org/officeDocument/2006/relationships/hyperlink" Target="https://www.linkedin.com/in/akv22/" TargetMode="External"/><Relationship Id="rId14" Type="http://schemas.openxmlformats.org/officeDocument/2006/relationships/hyperlink" Target="https://www.linkedin.com/in/james-hoffman-9a057152/" TargetMode="External"/><Relationship Id="rId30" Type="http://schemas.openxmlformats.org/officeDocument/2006/relationships/hyperlink" Target="https://www.linkedin.com/in/eshenderson/" TargetMode="External"/><Relationship Id="rId35" Type="http://schemas.openxmlformats.org/officeDocument/2006/relationships/hyperlink" Target="https://www.linkedin.com/in/rob-procter-35281074/" TargetMode="External"/><Relationship Id="rId56" Type="http://schemas.openxmlformats.org/officeDocument/2006/relationships/hyperlink" Target="https://www.linkedin.com/in/byron-bridger-0863a11/" TargetMode="External"/><Relationship Id="rId77" Type="http://schemas.openxmlformats.org/officeDocument/2006/relationships/hyperlink" Target="https://www.linkedin.com/in/roy-greenbaum-12baa6a/" TargetMode="External"/><Relationship Id="rId100" Type="http://schemas.openxmlformats.org/officeDocument/2006/relationships/hyperlink" Target="https://www.linkedin.com/in/daniel-marks-548a97/" TargetMode="External"/><Relationship Id="rId105" Type="http://schemas.openxmlformats.org/officeDocument/2006/relationships/hyperlink" Target="https://www.linkedin.com/in/eric-boese-9b66b647/" TargetMode="External"/><Relationship Id="rId126" Type="http://schemas.openxmlformats.org/officeDocument/2006/relationships/hyperlink" Target="https://www.linkedin.com/in/jonasbys/" TargetMode="External"/><Relationship Id="rId147" Type="http://schemas.openxmlformats.org/officeDocument/2006/relationships/hyperlink" Target="https://www.linkedin.com/in/dror-damchinsky-19070922/" TargetMode="External"/><Relationship Id="rId8" Type="http://schemas.openxmlformats.org/officeDocument/2006/relationships/hyperlink" Target="https://www.linkedin.com/in/danny-winata-b2329239/?originalSubdomain=au" TargetMode="External"/><Relationship Id="rId51" Type="http://schemas.openxmlformats.org/officeDocument/2006/relationships/hyperlink" Target="https://www.linkedin.com/in/jamie-rollo-ba8bb07/" TargetMode="External"/><Relationship Id="rId72" Type="http://schemas.openxmlformats.org/officeDocument/2006/relationships/hyperlink" Target="https://www.linkedin.com/in/lachezar-rankov-8231a989/" TargetMode="External"/><Relationship Id="rId93" Type="http://schemas.openxmlformats.org/officeDocument/2006/relationships/hyperlink" Target="https://www.linkedin.com/in/mai-lynne-dinkins-jackson-6b7a71201/" TargetMode="External"/><Relationship Id="rId98" Type="http://schemas.openxmlformats.org/officeDocument/2006/relationships/hyperlink" Target="https://www.linkedin.com/in/michellecupersmith/" TargetMode="External"/><Relationship Id="rId121" Type="http://schemas.openxmlformats.org/officeDocument/2006/relationships/hyperlink" Target="https://www.linkedin.com/in/wandataylor/" TargetMode="External"/><Relationship Id="rId142" Type="http://schemas.openxmlformats.org/officeDocument/2006/relationships/hyperlink" Target="https://www.linkedin.com/in/alex-white-b7708a12/" TargetMode="External"/><Relationship Id="rId3" Type="http://schemas.openxmlformats.org/officeDocument/2006/relationships/hyperlink" Target="https://www.linkedin.com/in/joseph-ward-35a80110a/" TargetMode="External"/><Relationship Id="rId25" Type="http://schemas.openxmlformats.org/officeDocument/2006/relationships/hyperlink" Target="https://www.linkedin.com/in/lauralyn-sandoval-0453634/" TargetMode="External"/><Relationship Id="rId46" Type="http://schemas.openxmlformats.org/officeDocument/2006/relationships/hyperlink" Target="https://www.linkedin.com/in/rhys-hatton/" TargetMode="External"/><Relationship Id="rId67" Type="http://schemas.openxmlformats.org/officeDocument/2006/relationships/hyperlink" Target="https://www.linkedin.com/in/justin-borges1710/" TargetMode="External"/><Relationship Id="rId116" Type="http://schemas.openxmlformats.org/officeDocument/2006/relationships/hyperlink" Target="https://www.linkedin.com/in/jeresnick/" TargetMode="External"/><Relationship Id="rId137" Type="http://schemas.openxmlformats.org/officeDocument/2006/relationships/hyperlink" Target="https://www.linkedin.com/in/eamonn-beardsley-3667b367/" TargetMode="External"/><Relationship Id="rId20" Type="http://schemas.openxmlformats.org/officeDocument/2006/relationships/hyperlink" Target="https://www.linkedin.com/in/colin-troy-a64a3733/" TargetMode="External"/><Relationship Id="rId41" Type="http://schemas.openxmlformats.org/officeDocument/2006/relationships/hyperlink" Target="https://www.linkedin.com/in/ronen-irani/" TargetMode="External"/><Relationship Id="rId62" Type="http://schemas.openxmlformats.org/officeDocument/2006/relationships/hyperlink" Target="https://www.linkedin.com/in/daniel-o-donoghue-7981557/" TargetMode="External"/><Relationship Id="rId83" Type="http://schemas.openxmlformats.org/officeDocument/2006/relationships/hyperlink" Target="https://www.linkedin.com/in/shane-taylor-/" TargetMode="External"/><Relationship Id="rId88" Type="http://schemas.openxmlformats.org/officeDocument/2006/relationships/hyperlink" Target="https://www.linkedin.com/in/kyle-winschel-79b001115/" TargetMode="External"/><Relationship Id="rId111" Type="http://schemas.openxmlformats.org/officeDocument/2006/relationships/hyperlink" Target="https://www.linkedin.com/in/marija-delevski-555b61/" TargetMode="External"/><Relationship Id="rId132" Type="http://schemas.openxmlformats.org/officeDocument/2006/relationships/hyperlink" Target="https://www.linkedin.com/company/28595961/" TargetMode="External"/><Relationship Id="rId15" Type="http://schemas.openxmlformats.org/officeDocument/2006/relationships/hyperlink" Target="https://www.linkedin.com/in/zachary-cooper-1a61b996/" TargetMode="External"/><Relationship Id="rId36" Type="http://schemas.openxmlformats.org/officeDocument/2006/relationships/hyperlink" Target="https://www.linkedin.com/in/vaidacirtautaite/" TargetMode="External"/><Relationship Id="rId57" Type="http://schemas.openxmlformats.org/officeDocument/2006/relationships/hyperlink" Target="https://www.linkedin.com/in/kevin-clarke-36b75747/" TargetMode="External"/><Relationship Id="rId106" Type="http://schemas.openxmlformats.org/officeDocument/2006/relationships/hyperlink" Target="https://www.linkedin.com/in/sean-davis-0aba6039/" TargetMode="External"/><Relationship Id="rId127" Type="http://schemas.openxmlformats.org/officeDocument/2006/relationships/hyperlink" Target="https://www.linkedin.com/in/maria-humm/" TargetMode="External"/><Relationship Id="rId10" Type="http://schemas.openxmlformats.org/officeDocument/2006/relationships/hyperlink" Target="https://www.linkedin.com/in/erikadegens/" TargetMode="External"/><Relationship Id="rId31" Type="http://schemas.openxmlformats.org/officeDocument/2006/relationships/hyperlink" Target="https://www.linkedin.com/in/jason-chan-1480112/" TargetMode="External"/><Relationship Id="rId52" Type="http://schemas.openxmlformats.org/officeDocument/2006/relationships/hyperlink" Target="https://www.linkedin.com/in/jamie-rollo-ba8bb07/" TargetMode="External"/><Relationship Id="rId73" Type="http://schemas.openxmlformats.org/officeDocument/2006/relationships/hyperlink" Target="https://www.linkedin.com/in/alexandar-petrovich-a47b0b20/" TargetMode="External"/><Relationship Id="rId78" Type="http://schemas.openxmlformats.org/officeDocument/2006/relationships/hyperlink" Target="https://www.linkedin.com/in/keiron-downs-04444292/" TargetMode="External"/><Relationship Id="rId94" Type="http://schemas.openxmlformats.org/officeDocument/2006/relationships/hyperlink" Target="https://www.linkedin.com/in/ashleychouramanis/" TargetMode="External"/><Relationship Id="rId99" Type="http://schemas.openxmlformats.org/officeDocument/2006/relationships/hyperlink" Target="https://www.linkedin.com/in/ryan-hawkins-51892a36/" TargetMode="External"/><Relationship Id="rId101" Type="http://schemas.openxmlformats.org/officeDocument/2006/relationships/hyperlink" Target="https://www.linkedin.com/in/roberto-%E2%80%9Cfuzz%E2%80%9D-orellana-571aaa6a/" TargetMode="External"/><Relationship Id="rId122" Type="http://schemas.openxmlformats.org/officeDocument/2006/relationships/hyperlink" Target="https://www.linkedin.com/in/christian-croft-6658a051/" TargetMode="External"/><Relationship Id="rId143" Type="http://schemas.openxmlformats.org/officeDocument/2006/relationships/hyperlink" Target="https://www.linkedin.com/in/robin-brookes-1571152b/" TargetMode="External"/><Relationship Id="rId148" Type="http://schemas.openxmlformats.org/officeDocument/2006/relationships/printerSettings" Target="../printerSettings/printerSettings2.bin"/><Relationship Id="rId4" Type="http://schemas.openxmlformats.org/officeDocument/2006/relationships/hyperlink" Target="https://www.linkedin.com/in/blake-davis-0b5292158/" TargetMode="External"/><Relationship Id="rId9" Type="http://schemas.openxmlformats.org/officeDocument/2006/relationships/hyperlink" Target="https://www.linkedin.com/in/alex-l-b03a5a8b/" TargetMode="External"/><Relationship Id="rId26" Type="http://schemas.openxmlformats.org/officeDocument/2006/relationships/hyperlink" Target="https://www.linkedin.com/in/laurence-woodhouse-a817033/" TargetMode="External"/><Relationship Id="rId47" Type="http://schemas.openxmlformats.org/officeDocument/2006/relationships/hyperlink" Target="https://www.linkedin.com/in/michael-maokhamphiou-3207a96a/" TargetMode="External"/><Relationship Id="rId68" Type="http://schemas.openxmlformats.org/officeDocument/2006/relationships/hyperlink" Target="https://www.linkedin.com/in/ilkov/" TargetMode="External"/><Relationship Id="rId89" Type="http://schemas.openxmlformats.org/officeDocument/2006/relationships/hyperlink" Target="https://www.linkedin.com/in/stevenflambert/" TargetMode="External"/><Relationship Id="rId112" Type="http://schemas.openxmlformats.org/officeDocument/2006/relationships/hyperlink" Target="https://www.linkedin.com/in/matt-chan-2b02b593/" TargetMode="External"/><Relationship Id="rId133" Type="http://schemas.openxmlformats.org/officeDocument/2006/relationships/hyperlink" Target="https://www.linkedin.com/in/gavin-knapp-5a9396107/" TargetMode="External"/><Relationship Id="rId16" Type="http://schemas.openxmlformats.org/officeDocument/2006/relationships/hyperlink" Target="https://www.linkedin.com/in/sarahleggett3/" TargetMode="External"/><Relationship Id="rId37" Type="http://schemas.openxmlformats.org/officeDocument/2006/relationships/hyperlink" Target="https://www.linkedin.com/in/elena-jaacks-20062264/" TargetMode="External"/><Relationship Id="rId58" Type="http://schemas.openxmlformats.org/officeDocument/2006/relationships/hyperlink" Target="https://www.linkedin.com/in/baballance/" TargetMode="External"/><Relationship Id="rId79" Type="http://schemas.openxmlformats.org/officeDocument/2006/relationships/hyperlink" Target="https://www.linkedin.com/in/rebecca-avrahami-b5708830/" TargetMode="External"/><Relationship Id="rId102" Type="http://schemas.openxmlformats.org/officeDocument/2006/relationships/hyperlink" Target="https://www.linkedin.com/in/samantha-irish/" TargetMode="External"/><Relationship Id="rId123" Type="http://schemas.openxmlformats.org/officeDocument/2006/relationships/hyperlink" Target="https://www.linkedin.com/in/stuart-banks-32336a8/" TargetMode="External"/><Relationship Id="rId144" Type="http://schemas.openxmlformats.org/officeDocument/2006/relationships/hyperlink" Target="https://www.linkedin.com/in/ian-murray-a7543337/"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linkedin.com/in/bostjan-gustin-53b9b9153/" TargetMode="External"/><Relationship Id="rId18" Type="http://schemas.openxmlformats.org/officeDocument/2006/relationships/hyperlink" Target="https://www.linkedin.com/in/richard-p-7bb24696/" TargetMode="External"/><Relationship Id="rId26" Type="http://schemas.openxmlformats.org/officeDocument/2006/relationships/hyperlink" Target="https://www.linkedin.com/in/emmamccarter/" TargetMode="External"/><Relationship Id="rId39" Type="http://schemas.openxmlformats.org/officeDocument/2006/relationships/hyperlink" Target="https://www.linkedin.com/in/will-dangc-b14ab725/" TargetMode="External"/><Relationship Id="rId21" Type="http://schemas.openxmlformats.org/officeDocument/2006/relationships/hyperlink" Target="https://www.linkedin.com/in/vincent-tang-613b4753/" TargetMode="External"/><Relationship Id="rId34" Type="http://schemas.openxmlformats.org/officeDocument/2006/relationships/hyperlink" Target="https://www.linkedin.com/in/kayla-hayes-347872119/" TargetMode="External"/><Relationship Id="rId42" Type="http://schemas.openxmlformats.org/officeDocument/2006/relationships/hyperlink" Target="https://www.linkedin.com/in/eric-mcdonald-a02391270/" TargetMode="External"/><Relationship Id="rId47" Type="http://schemas.openxmlformats.org/officeDocument/2006/relationships/hyperlink" Target="https://www.linkedin.com/in/raymondjkane/" TargetMode="External"/><Relationship Id="rId50" Type="http://schemas.openxmlformats.org/officeDocument/2006/relationships/hyperlink" Target="https://www.linkedin.com/in/mark-jepp-31a0601b2/" TargetMode="External"/><Relationship Id="rId55" Type="http://schemas.openxmlformats.org/officeDocument/2006/relationships/hyperlink" Target="https://www.linkedin.com/in/dan-engstrom-276792a9/" TargetMode="External"/><Relationship Id="rId7" Type="http://schemas.openxmlformats.org/officeDocument/2006/relationships/hyperlink" Target="https://www.linkedin.com/in/colby-hoyer-316bbb4a/" TargetMode="External"/><Relationship Id="rId2" Type="http://schemas.openxmlformats.org/officeDocument/2006/relationships/hyperlink" Target="https://www.linkedin.com/in/ronald-smith-mpa/" TargetMode="External"/><Relationship Id="rId16" Type="http://schemas.openxmlformats.org/officeDocument/2006/relationships/hyperlink" Target="https://www.linkedin.com/in/matthew-wilson-94648b123/" TargetMode="External"/><Relationship Id="rId29" Type="http://schemas.openxmlformats.org/officeDocument/2006/relationships/hyperlink" Target="https://www.linkedin.com/in/mark-buffelen-018a92172/" TargetMode="External"/><Relationship Id="rId11" Type="http://schemas.openxmlformats.org/officeDocument/2006/relationships/hyperlink" Target="https://www.linkedin.com/in/rob-miller-founder/details/experience/" TargetMode="External"/><Relationship Id="rId24" Type="http://schemas.openxmlformats.org/officeDocument/2006/relationships/hyperlink" Target="https://www.linkedin.com/in/edwin-grabill-b89435179/" TargetMode="External"/><Relationship Id="rId32" Type="http://schemas.openxmlformats.org/officeDocument/2006/relationships/hyperlink" Target="https://www.linkedin.com/in/stormy-weisenstein-88461671/" TargetMode="External"/><Relationship Id="rId37" Type="http://schemas.openxmlformats.org/officeDocument/2006/relationships/hyperlink" Target="https://www.linkedin.com/in/jimmy-forrest-b8a51653/" TargetMode="External"/><Relationship Id="rId40" Type="http://schemas.openxmlformats.org/officeDocument/2006/relationships/hyperlink" Target="https://www.linkedin.com/in/steve-krekel-a3b4bb46/" TargetMode="External"/><Relationship Id="rId45" Type="http://schemas.openxmlformats.org/officeDocument/2006/relationships/hyperlink" Target="https://www.linkedin.com/in/victor-grell-aab0792b/" TargetMode="External"/><Relationship Id="rId53" Type="http://schemas.openxmlformats.org/officeDocument/2006/relationships/hyperlink" Target="https://www.linkedin.com/in/lennard-james-baetiong-280218111/" TargetMode="External"/><Relationship Id="rId58" Type="http://schemas.openxmlformats.org/officeDocument/2006/relationships/hyperlink" Target="https://www.linkedin.com/in/richard-spurlock-59b20a6/" TargetMode="External"/><Relationship Id="rId5" Type="http://schemas.openxmlformats.org/officeDocument/2006/relationships/hyperlink" Target="https://www.linkedin.com/in/chad-bohlen-b3154b197/" TargetMode="External"/><Relationship Id="rId19" Type="http://schemas.openxmlformats.org/officeDocument/2006/relationships/hyperlink" Target="https://www.linkedin.com/in/chris-munsterman-99392664/" TargetMode="External"/><Relationship Id="rId4" Type="http://schemas.openxmlformats.org/officeDocument/2006/relationships/hyperlink" Target="https://www.linkedin.com/in/ed-farrell-b86a063/" TargetMode="External"/><Relationship Id="rId9" Type="http://schemas.openxmlformats.org/officeDocument/2006/relationships/hyperlink" Target="https://www.linkedin.com/in/annette-wodzinski-2a28351aa/" TargetMode="External"/><Relationship Id="rId14" Type="http://schemas.openxmlformats.org/officeDocument/2006/relationships/hyperlink" Target="https://www.linkedin.com/in/akonskey/" TargetMode="External"/><Relationship Id="rId22" Type="http://schemas.openxmlformats.org/officeDocument/2006/relationships/hyperlink" Target="https://www.linkedin.com/in/jacob-ledford/" TargetMode="External"/><Relationship Id="rId27" Type="http://schemas.openxmlformats.org/officeDocument/2006/relationships/hyperlink" Target="https://www.linkedin.com/in/tyler-smith-88bba31b7/" TargetMode="External"/><Relationship Id="rId30" Type="http://schemas.openxmlformats.org/officeDocument/2006/relationships/hyperlink" Target="https://www.linkedin.com/in/catherinestilesholcomb/" TargetMode="External"/><Relationship Id="rId35" Type="http://schemas.openxmlformats.org/officeDocument/2006/relationships/hyperlink" Target="https://www.linkedin.com/in/brianmathewbrown/" TargetMode="External"/><Relationship Id="rId43" Type="http://schemas.openxmlformats.org/officeDocument/2006/relationships/hyperlink" Target="https://www.linkedin.com/in/travis-thomas-1531b614a/" TargetMode="External"/><Relationship Id="rId48" Type="http://schemas.openxmlformats.org/officeDocument/2006/relationships/hyperlink" Target="https://www.linkedin.com/in/colin-hunt-4741a420/" TargetMode="External"/><Relationship Id="rId56" Type="http://schemas.openxmlformats.org/officeDocument/2006/relationships/hyperlink" Target="https://www.linkedin.com/in/monica-evans-694569130/" TargetMode="External"/><Relationship Id="rId8" Type="http://schemas.openxmlformats.org/officeDocument/2006/relationships/hyperlink" Target="https://www.linkedin.com/in/ryan-naegele-5083409/" TargetMode="External"/><Relationship Id="rId51" Type="http://schemas.openxmlformats.org/officeDocument/2006/relationships/hyperlink" Target="https://www.linkedin.com/in/ian-thomas-martin/" TargetMode="External"/><Relationship Id="rId3" Type="http://schemas.openxmlformats.org/officeDocument/2006/relationships/hyperlink" Target="https://www.linkedin.com/in/robert-willenborg-50123b48/" TargetMode="External"/><Relationship Id="rId12" Type="http://schemas.openxmlformats.org/officeDocument/2006/relationships/hyperlink" Target="https://www.linkedin.com/in/bob-ritter-0a758b5/" TargetMode="External"/><Relationship Id="rId17" Type="http://schemas.openxmlformats.org/officeDocument/2006/relationships/hyperlink" Target="https://www.linkedin.com/in/david-quick-41a8884/" TargetMode="External"/><Relationship Id="rId25" Type="http://schemas.openxmlformats.org/officeDocument/2006/relationships/hyperlink" Target="https://www.linkedin.com/in/jeff-gaddis-53387011/" TargetMode="External"/><Relationship Id="rId33" Type="http://schemas.openxmlformats.org/officeDocument/2006/relationships/hyperlink" Target="https://www.linkedin.com/in/cyndee-morris-a72b0b34/" TargetMode="External"/><Relationship Id="rId38" Type="http://schemas.openxmlformats.org/officeDocument/2006/relationships/hyperlink" Target="https://www.linkedin.com/in/kevin-clarke-36b75747/" TargetMode="External"/><Relationship Id="rId46" Type="http://schemas.openxmlformats.org/officeDocument/2006/relationships/hyperlink" Target="https://www.linkedin.com/in/todd-smith-b55a6211/" TargetMode="External"/><Relationship Id="rId59" Type="http://schemas.openxmlformats.org/officeDocument/2006/relationships/hyperlink" Target="https://www.linkedin.com/in/scott-platz/" TargetMode="External"/><Relationship Id="rId20" Type="http://schemas.openxmlformats.org/officeDocument/2006/relationships/hyperlink" Target="https://www.linkedin.com/in/jeffrey-kowalchuk-916a027/" TargetMode="External"/><Relationship Id="rId41" Type="http://schemas.openxmlformats.org/officeDocument/2006/relationships/hyperlink" Target="https://www.linkedin.com/in/kirk-devitte-3ab0a312/" TargetMode="External"/><Relationship Id="rId54" Type="http://schemas.openxmlformats.org/officeDocument/2006/relationships/hyperlink" Target="https://www.linkedin.com/in/juan-hernandez-09139314/" TargetMode="External"/><Relationship Id="rId1" Type="http://schemas.openxmlformats.org/officeDocument/2006/relationships/hyperlink" Target="https://www.linkedin.com/in/brandon-bright-9b619192/" TargetMode="External"/><Relationship Id="rId6" Type="http://schemas.openxmlformats.org/officeDocument/2006/relationships/hyperlink" Target="https://www.linkedin.com/in/chandler-martelli-38a454104/" TargetMode="External"/><Relationship Id="rId15" Type="http://schemas.openxmlformats.org/officeDocument/2006/relationships/hyperlink" Target="https://www.linkedin.com/in/natalie-heldt-287094117/" TargetMode="External"/><Relationship Id="rId23" Type="http://schemas.openxmlformats.org/officeDocument/2006/relationships/hyperlink" Target="https://www.linkedin.com/in/andrew-summey-00159bb2/" TargetMode="External"/><Relationship Id="rId28" Type="http://schemas.openxmlformats.org/officeDocument/2006/relationships/hyperlink" Target="https://www.linkedin.com/in/mark-morrison-a3b359241/" TargetMode="External"/><Relationship Id="rId36" Type="http://schemas.openxmlformats.org/officeDocument/2006/relationships/hyperlink" Target="https://www.linkedin.com/in/ms302307/" TargetMode="External"/><Relationship Id="rId49" Type="http://schemas.openxmlformats.org/officeDocument/2006/relationships/hyperlink" Target="https://www.linkedin.com/in/john-strydom-14068050/" TargetMode="External"/><Relationship Id="rId57" Type="http://schemas.openxmlformats.org/officeDocument/2006/relationships/hyperlink" Target="https://www.linkedin.com/in/todd-jaron-53565944/" TargetMode="External"/><Relationship Id="rId10" Type="http://schemas.openxmlformats.org/officeDocument/2006/relationships/hyperlink" Target="https://www.linkedin.com/in/rolen-miller-3a185a9/" TargetMode="External"/><Relationship Id="rId31" Type="http://schemas.openxmlformats.org/officeDocument/2006/relationships/hyperlink" Target="https://www.linkedin.com/in/matthewhaswell/" TargetMode="External"/><Relationship Id="rId44" Type="http://schemas.openxmlformats.org/officeDocument/2006/relationships/hyperlink" Target="https://www.linkedin.com/in/roger-hering-01363b5a/" TargetMode="External"/><Relationship Id="rId52" Type="http://schemas.openxmlformats.org/officeDocument/2006/relationships/hyperlink" Target="https://www.linkedin.com/in/paul-datt-875332a/" TargetMode="External"/><Relationship Id="rId60"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3" Type="http://schemas.openxmlformats.org/officeDocument/2006/relationships/hyperlink" Target="https://www.linkedin.com/in/troy-thompson-5bb7a12a/" TargetMode="External"/><Relationship Id="rId18" Type="http://schemas.openxmlformats.org/officeDocument/2006/relationships/hyperlink" Target="https://www.linkedin.com/in/jesse-debruin-7113201/" TargetMode="External"/><Relationship Id="rId26" Type="http://schemas.openxmlformats.org/officeDocument/2006/relationships/hyperlink" Target="https://www.linkedin.com/in/petkoivanov/" TargetMode="External"/><Relationship Id="rId21" Type="http://schemas.openxmlformats.org/officeDocument/2006/relationships/hyperlink" Target="https://www.linkedin.com/in/courtneyebell/" TargetMode="External"/><Relationship Id="rId34" Type="http://schemas.openxmlformats.org/officeDocument/2006/relationships/hyperlink" Target="https://www.linkedin.com/in/will-shuirman-370b9511/" TargetMode="External"/><Relationship Id="rId7" Type="http://schemas.openxmlformats.org/officeDocument/2006/relationships/hyperlink" Target="https://www.linkedin.com/in/borishallerbach/" TargetMode="External"/><Relationship Id="rId12" Type="http://schemas.openxmlformats.org/officeDocument/2006/relationships/hyperlink" Target="https://www.linkedin.com/in/robinhare2421/" TargetMode="External"/><Relationship Id="rId17" Type="http://schemas.openxmlformats.org/officeDocument/2006/relationships/hyperlink" Target="https://www.linkedin.com/in/nick-lewin-4a89183/" TargetMode="External"/><Relationship Id="rId25" Type="http://schemas.openxmlformats.org/officeDocument/2006/relationships/hyperlink" Target="https://www.linkedin.com/in/domenico-pastia-4b427b14/" TargetMode="External"/><Relationship Id="rId33" Type="http://schemas.openxmlformats.org/officeDocument/2006/relationships/hyperlink" Target="https://www.linkedin.com/in/nick-nistler-4228383a/" TargetMode="External"/><Relationship Id="rId2" Type="http://schemas.openxmlformats.org/officeDocument/2006/relationships/hyperlink" Target="https://www.linkedin.com/in/joe-moore-b163112/" TargetMode="External"/><Relationship Id="rId16" Type="http://schemas.openxmlformats.org/officeDocument/2006/relationships/hyperlink" Target="https://www.linkedin.com/in/scott-kania-51076b5/" TargetMode="External"/><Relationship Id="rId20" Type="http://schemas.openxmlformats.org/officeDocument/2006/relationships/hyperlink" Target="https://www.linkedin.com/in/todd-hoverman-1923018/" TargetMode="External"/><Relationship Id="rId29" Type="http://schemas.openxmlformats.org/officeDocument/2006/relationships/hyperlink" Target="https://www.linkedin.com/in/jonathanaaronsmith/" TargetMode="External"/><Relationship Id="rId1" Type="http://schemas.openxmlformats.org/officeDocument/2006/relationships/hyperlink" Target="https://www.linkedin.com/in/jamie-knight-bb66494/" TargetMode="External"/><Relationship Id="rId6" Type="http://schemas.openxmlformats.org/officeDocument/2006/relationships/hyperlink" Target="https://www.linkedin.com/in/craig-harley-79707740/" TargetMode="External"/><Relationship Id="rId11" Type="http://schemas.openxmlformats.org/officeDocument/2006/relationships/hyperlink" Target="https://www.linkedin.com/in/anthonysofran/" TargetMode="External"/><Relationship Id="rId24" Type="http://schemas.openxmlformats.org/officeDocument/2006/relationships/hyperlink" Target="https://www.linkedin.com/in/ken-bossingham-083802104/" TargetMode="External"/><Relationship Id="rId32" Type="http://schemas.openxmlformats.org/officeDocument/2006/relationships/hyperlink" Target="https://www.linkedin.com/in/philoshaughnessy/" TargetMode="External"/><Relationship Id="rId37" Type="http://schemas.openxmlformats.org/officeDocument/2006/relationships/hyperlink" Target="https://www.linkedin.com/in/stephanietbarrett/" TargetMode="External"/><Relationship Id="rId5" Type="http://schemas.openxmlformats.org/officeDocument/2006/relationships/hyperlink" Target="https://www.linkedin.com/in/matthew-j-smith-51b926108/" TargetMode="External"/><Relationship Id="rId15" Type="http://schemas.openxmlformats.org/officeDocument/2006/relationships/hyperlink" Target="https://www.linkedin.com/in/darnell-a-johnson/" TargetMode="External"/><Relationship Id="rId23" Type="http://schemas.openxmlformats.org/officeDocument/2006/relationships/hyperlink" Target="https://www.linkedin.com/in/kevin-amend/" TargetMode="External"/><Relationship Id="rId28" Type="http://schemas.openxmlformats.org/officeDocument/2006/relationships/hyperlink" Target="https://www.linkedin.com/in/ryannorthok/" TargetMode="External"/><Relationship Id="rId36" Type="http://schemas.openxmlformats.org/officeDocument/2006/relationships/hyperlink" Target="https://www.linkedin.com/in/luigi-cacciapuoti/" TargetMode="External"/><Relationship Id="rId10" Type="http://schemas.openxmlformats.org/officeDocument/2006/relationships/hyperlink" Target="https://www.linkedin.com/in/michael-spada-11b111114/" TargetMode="External"/><Relationship Id="rId19" Type="http://schemas.openxmlformats.org/officeDocument/2006/relationships/hyperlink" Target="https://www.linkedin.com/in/dubravka-burda-00a340b/" TargetMode="External"/><Relationship Id="rId31" Type="http://schemas.openxmlformats.org/officeDocument/2006/relationships/hyperlink" Target="https://www.linkedin.com/in/daniel-belgard-63a23788/" TargetMode="External"/><Relationship Id="rId4" Type="http://schemas.openxmlformats.org/officeDocument/2006/relationships/hyperlink" Target="https://www.linkedin.com/in/nick-khin-77ab354/" TargetMode="External"/><Relationship Id="rId9" Type="http://schemas.openxmlformats.org/officeDocument/2006/relationships/hyperlink" Target="https://www.linkedin.com/in/joycethomas0708/" TargetMode="External"/><Relationship Id="rId14" Type="http://schemas.openxmlformats.org/officeDocument/2006/relationships/hyperlink" Target="https://www.linkedin.com/in/dan-simon-377ba157/" TargetMode="External"/><Relationship Id="rId22" Type="http://schemas.openxmlformats.org/officeDocument/2006/relationships/hyperlink" Target="https://www.linkedin.com/in/karinbernkopf/" TargetMode="External"/><Relationship Id="rId27" Type="http://schemas.openxmlformats.org/officeDocument/2006/relationships/hyperlink" Target="https://www.linkedin.com/in/david-flinn-1ab69b51/" TargetMode="External"/><Relationship Id="rId30" Type="http://schemas.openxmlformats.org/officeDocument/2006/relationships/hyperlink" Target="https://www.linkedin.com/in/ehandsman/" TargetMode="External"/><Relationship Id="rId35" Type="http://schemas.openxmlformats.org/officeDocument/2006/relationships/hyperlink" Target="https://www.linkedin.com/in/ryan-reddy-2224762/" TargetMode="External"/><Relationship Id="rId8" Type="http://schemas.openxmlformats.org/officeDocument/2006/relationships/hyperlink" Target="https://www.linkedin.com/in/fabio-celadon-027b15b/" TargetMode="External"/><Relationship Id="rId3" Type="http://schemas.openxmlformats.org/officeDocument/2006/relationships/hyperlink" Target="https://www.linkedin.com/in/jean-venneman-38286b12/"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www.linkedin.com/in/blake-davis-0b5292158/" TargetMode="External"/><Relationship Id="rId21" Type="http://schemas.openxmlformats.org/officeDocument/2006/relationships/hyperlink" Target="https://www.linkedin.com/in/jamie-rollo-ba8bb07/" TargetMode="External"/><Relationship Id="rId42" Type="http://schemas.openxmlformats.org/officeDocument/2006/relationships/hyperlink" Target="https://www.linkedin.com/in/marcus-hickling-b75707195/" TargetMode="External"/><Relationship Id="rId47" Type="http://schemas.openxmlformats.org/officeDocument/2006/relationships/hyperlink" Target="https://www.linkedin.com/in/lorensomerville/" TargetMode="External"/><Relationship Id="rId63" Type="http://schemas.openxmlformats.org/officeDocument/2006/relationships/hyperlink" Target="https://www.linkedin.com/in/chris-lang-9223527b/" TargetMode="External"/><Relationship Id="rId68" Type="http://schemas.openxmlformats.org/officeDocument/2006/relationships/hyperlink" Target="https://www.linkedin.com/in/ian-mclean-bus-adv/" TargetMode="External"/><Relationship Id="rId84" Type="http://schemas.openxmlformats.org/officeDocument/2006/relationships/hyperlink" Target="https://www.linkedin.com/in/sascha-coglan-ba81011b/" TargetMode="External"/><Relationship Id="rId16" Type="http://schemas.openxmlformats.org/officeDocument/2006/relationships/hyperlink" Target="https://www.linkedin.com/in/blake-davis-0b5292158/" TargetMode="External"/><Relationship Id="rId11" Type="http://schemas.openxmlformats.org/officeDocument/2006/relationships/hyperlink" Target="https://www.linkedin.com/in/blake-davis-0b5292158/" TargetMode="External"/><Relationship Id="rId32" Type="http://schemas.openxmlformats.org/officeDocument/2006/relationships/hyperlink" Target="https://www.linkedin.com/in/jamie-rollo-ba8bb07/" TargetMode="External"/><Relationship Id="rId37" Type="http://schemas.openxmlformats.org/officeDocument/2006/relationships/hyperlink" Target="https://www.linkedin.com/in/jamie-rollo-ba8bb07/" TargetMode="External"/><Relationship Id="rId53" Type="http://schemas.openxmlformats.org/officeDocument/2006/relationships/hyperlink" Target="https://www.linkedin.com/in/tam-watson/" TargetMode="External"/><Relationship Id="rId58" Type="http://schemas.openxmlformats.org/officeDocument/2006/relationships/hyperlink" Target="https://www.linkedin.com/in/adam-pustetto-60615734b/" TargetMode="External"/><Relationship Id="rId74" Type="http://schemas.openxmlformats.org/officeDocument/2006/relationships/hyperlink" Target="https://www.linkedin.com/in/matthew-rapier-a8579a48/" TargetMode="External"/><Relationship Id="rId79" Type="http://schemas.openxmlformats.org/officeDocument/2006/relationships/hyperlink" Target="https://www.linkedin.com/in/leslie-desmond-5506a958/" TargetMode="External"/><Relationship Id="rId5" Type="http://schemas.openxmlformats.org/officeDocument/2006/relationships/hyperlink" Target="https://www.linkedin.com/in/blake-davis-0b5292158/" TargetMode="External"/><Relationship Id="rId19" Type="http://schemas.openxmlformats.org/officeDocument/2006/relationships/hyperlink" Target="https://www.linkedin.com/in/jamie-rollo-ba8bb07/" TargetMode="External"/><Relationship Id="rId14" Type="http://schemas.openxmlformats.org/officeDocument/2006/relationships/hyperlink" Target="https://www.linkedin.com/in/blake-davis-0b5292158/" TargetMode="External"/><Relationship Id="rId22" Type="http://schemas.openxmlformats.org/officeDocument/2006/relationships/hyperlink" Target="https://www.linkedin.com/in/jamie-rollo-ba8bb07/" TargetMode="External"/><Relationship Id="rId27" Type="http://schemas.openxmlformats.org/officeDocument/2006/relationships/hyperlink" Target="https://www.linkedin.com/in/blake-davis-0b5292158/" TargetMode="External"/><Relationship Id="rId30" Type="http://schemas.openxmlformats.org/officeDocument/2006/relationships/hyperlink" Target="https://www.linkedin.com/in/blake-davis-0b5292158/" TargetMode="External"/><Relationship Id="rId35" Type="http://schemas.openxmlformats.org/officeDocument/2006/relationships/hyperlink" Target="https://www.linkedin.com/in/jamie-rollo-ba8bb07/" TargetMode="External"/><Relationship Id="rId43" Type="http://schemas.openxmlformats.org/officeDocument/2006/relationships/hyperlink" Target="https://www.linkedin.com/in/oliver-scott-18847821/" TargetMode="External"/><Relationship Id="rId48" Type="http://schemas.openxmlformats.org/officeDocument/2006/relationships/hyperlink" Target="https://www.linkedin.com/in/sarahtaraporewalla/" TargetMode="External"/><Relationship Id="rId56" Type="http://schemas.openxmlformats.org/officeDocument/2006/relationships/hyperlink" Target="https://www.linkedin.com/in/kishanvyas/" TargetMode="External"/><Relationship Id="rId64" Type="http://schemas.openxmlformats.org/officeDocument/2006/relationships/hyperlink" Target="https://www.linkedin.com/in/matthewhart3/" TargetMode="External"/><Relationship Id="rId69" Type="http://schemas.openxmlformats.org/officeDocument/2006/relationships/hyperlink" Target="https://www.linkedin.com/in/chris-hebrard-3ab7b340/" TargetMode="External"/><Relationship Id="rId77" Type="http://schemas.openxmlformats.org/officeDocument/2006/relationships/hyperlink" Target="https://www.linkedin.com/in/david-lee-4271762/" TargetMode="External"/><Relationship Id="rId8" Type="http://schemas.openxmlformats.org/officeDocument/2006/relationships/hyperlink" Target="https://www.linkedin.com/in/zachary-cooper-1a61b996/" TargetMode="External"/><Relationship Id="rId51" Type="http://schemas.openxmlformats.org/officeDocument/2006/relationships/hyperlink" Target="https://www.linkedin.com/in/davevwalker/" TargetMode="External"/><Relationship Id="rId72" Type="http://schemas.openxmlformats.org/officeDocument/2006/relationships/hyperlink" Target="https://www.linkedin.com/in/lori-spaulding-41b8523a/" TargetMode="External"/><Relationship Id="rId80" Type="http://schemas.openxmlformats.org/officeDocument/2006/relationships/hyperlink" Target="https://www.linkedin.com/in/tina-d-ettorre-98938977/" TargetMode="External"/><Relationship Id="rId85" Type="http://schemas.openxmlformats.org/officeDocument/2006/relationships/hyperlink" Target="https://www.linkedin.com/in/andrew-collins-1a9849236/" TargetMode="External"/><Relationship Id="rId3" Type="http://schemas.openxmlformats.org/officeDocument/2006/relationships/hyperlink" Target="https://www.linkedin.com/in/karen-kendall-3b8a1226/?originalSubdomain=au" TargetMode="External"/><Relationship Id="rId12" Type="http://schemas.openxmlformats.org/officeDocument/2006/relationships/hyperlink" Target="https://www.linkedin.com/in/blake-davis-0b5292158/" TargetMode="External"/><Relationship Id="rId17" Type="http://schemas.openxmlformats.org/officeDocument/2006/relationships/hyperlink" Target="https://www.linkedin.com/in/jamie-rollo-ba8bb07/" TargetMode="External"/><Relationship Id="rId25" Type="http://schemas.openxmlformats.org/officeDocument/2006/relationships/hyperlink" Target="https://www.linkedin.com/in/blake-davis-0b5292158/" TargetMode="External"/><Relationship Id="rId33" Type="http://schemas.openxmlformats.org/officeDocument/2006/relationships/hyperlink" Target="https://www.linkedin.com/in/jamie-rollo-ba8bb07/" TargetMode="External"/><Relationship Id="rId38" Type="http://schemas.openxmlformats.org/officeDocument/2006/relationships/hyperlink" Target="https://www.linkedin.com/in/jamie-rollo-ba8bb07/" TargetMode="External"/><Relationship Id="rId46" Type="http://schemas.openxmlformats.org/officeDocument/2006/relationships/hyperlink" Target="https://www.linkedin.com/in/antony-moore-cco-tlc/" TargetMode="External"/><Relationship Id="rId59" Type="http://schemas.openxmlformats.org/officeDocument/2006/relationships/hyperlink" Target="https://www.linkedin.com/in/emmakasbarian/" TargetMode="External"/><Relationship Id="rId67" Type="http://schemas.openxmlformats.org/officeDocument/2006/relationships/hyperlink" Target="https://www.linkedin.com/in/joeemms/" TargetMode="External"/><Relationship Id="rId20" Type="http://schemas.openxmlformats.org/officeDocument/2006/relationships/hyperlink" Target="https://www.linkedin.com/in/jamie-rollo-ba8bb07/" TargetMode="External"/><Relationship Id="rId41" Type="http://schemas.openxmlformats.org/officeDocument/2006/relationships/hyperlink" Target="https://www.linkedin.com/in/thomas-watts-13a493179/" TargetMode="External"/><Relationship Id="rId54" Type="http://schemas.openxmlformats.org/officeDocument/2006/relationships/hyperlink" Target="https://www.linkedin.com/in/levi-putna-59041051/" TargetMode="External"/><Relationship Id="rId62" Type="http://schemas.openxmlformats.org/officeDocument/2006/relationships/hyperlink" Target="https://www.linkedin.com/in/nick-mcguire-32398926/" TargetMode="External"/><Relationship Id="rId70" Type="http://schemas.openxmlformats.org/officeDocument/2006/relationships/hyperlink" Target="https://www.linkedin.com/in/pattersonpreowned/" TargetMode="External"/><Relationship Id="rId75" Type="http://schemas.openxmlformats.org/officeDocument/2006/relationships/hyperlink" Target="https://www.linkedin.com/in/rob-ure-8a893352/" TargetMode="External"/><Relationship Id="rId83" Type="http://schemas.openxmlformats.org/officeDocument/2006/relationships/hyperlink" Target="https://www.linkedin.com/in/stewart-campbell-588b3287/" TargetMode="External"/><Relationship Id="rId1" Type="http://schemas.openxmlformats.org/officeDocument/2006/relationships/hyperlink" Target="https://www.linkedin.com/in/sara-larocca/" TargetMode="External"/><Relationship Id="rId6" Type="http://schemas.openxmlformats.org/officeDocument/2006/relationships/hyperlink" Target="https://www.linkedin.com/in/daniel-marston-57852887/" TargetMode="External"/><Relationship Id="rId15" Type="http://schemas.openxmlformats.org/officeDocument/2006/relationships/hyperlink" Target="https://www.linkedin.com/in/blake-davis-0b5292158/" TargetMode="External"/><Relationship Id="rId23" Type="http://schemas.openxmlformats.org/officeDocument/2006/relationships/hyperlink" Target="https://www.linkedin.com/in/phil-wright-gatherwell/" TargetMode="External"/><Relationship Id="rId28" Type="http://schemas.openxmlformats.org/officeDocument/2006/relationships/hyperlink" Target="https://www.linkedin.com/in/blake-davis-0b5292158/" TargetMode="External"/><Relationship Id="rId36" Type="http://schemas.openxmlformats.org/officeDocument/2006/relationships/hyperlink" Target="https://www.linkedin.com/in/jamie-rollo-ba8bb07/" TargetMode="External"/><Relationship Id="rId49" Type="http://schemas.openxmlformats.org/officeDocument/2006/relationships/hyperlink" Target="https://www.linkedin.com/in/andrew-lang-60395070/" TargetMode="External"/><Relationship Id="rId57" Type="http://schemas.openxmlformats.org/officeDocument/2006/relationships/hyperlink" Target="https://www.linkedin.com/in/adrian-benfield-7b4562247/" TargetMode="External"/><Relationship Id="rId10" Type="http://schemas.openxmlformats.org/officeDocument/2006/relationships/hyperlink" Target="https://www.linkedin.com/in/james-hoffman-9a057152/" TargetMode="External"/><Relationship Id="rId31" Type="http://schemas.openxmlformats.org/officeDocument/2006/relationships/hyperlink" Target="https://www.linkedin.com/in/blake-davis-0b5292158/" TargetMode="External"/><Relationship Id="rId44" Type="http://schemas.openxmlformats.org/officeDocument/2006/relationships/hyperlink" Target="https://www.linkedin.com/in/jasonchabi/" TargetMode="External"/><Relationship Id="rId52" Type="http://schemas.openxmlformats.org/officeDocument/2006/relationships/hyperlink" Target="https://www.linkedin.com/in/croweliam/" TargetMode="External"/><Relationship Id="rId60" Type="http://schemas.openxmlformats.org/officeDocument/2006/relationships/hyperlink" Target="https://www.linkedin.com/in/sharonkateanderson/" TargetMode="External"/><Relationship Id="rId65" Type="http://schemas.openxmlformats.org/officeDocument/2006/relationships/hyperlink" Target="https://www.linkedin.com/in/lily-dingle-95aa54181/" TargetMode="External"/><Relationship Id="rId73" Type="http://schemas.openxmlformats.org/officeDocument/2006/relationships/hyperlink" Target="https://www.linkedin.com/in/josiah-dunmore-09a6b21b8/" TargetMode="External"/><Relationship Id="rId78" Type="http://schemas.openxmlformats.org/officeDocument/2006/relationships/hyperlink" Target="https://www.linkedin.com/in/leahsoutar/" TargetMode="External"/><Relationship Id="rId81" Type="http://schemas.openxmlformats.org/officeDocument/2006/relationships/hyperlink" Target="https://www.linkedin.com/in/darren-mcnamara/" TargetMode="External"/><Relationship Id="rId86" Type="http://schemas.openxmlformats.org/officeDocument/2006/relationships/printerSettings" Target="../printerSettings/printerSettings4.bin"/><Relationship Id="rId4" Type="http://schemas.openxmlformats.org/officeDocument/2006/relationships/hyperlink" Target="https://www.linkedin.com/in/liam-sanders-00034338/" TargetMode="External"/><Relationship Id="rId9" Type="http://schemas.openxmlformats.org/officeDocument/2006/relationships/hyperlink" Target="https://www.linkedin.com/in/jamie-rollo-ba8bb07/" TargetMode="External"/><Relationship Id="rId13" Type="http://schemas.openxmlformats.org/officeDocument/2006/relationships/hyperlink" Target="https://www.linkedin.com/in/blake-davis-0b5292158/" TargetMode="External"/><Relationship Id="rId18" Type="http://schemas.openxmlformats.org/officeDocument/2006/relationships/hyperlink" Target="https://www.linkedin.com/in/jamie-rollo-ba8bb07/" TargetMode="External"/><Relationship Id="rId39" Type="http://schemas.openxmlformats.org/officeDocument/2006/relationships/hyperlink" Target="https://www.linkedin.com/in/jamie-rollo-ba8bb07/" TargetMode="External"/><Relationship Id="rId34" Type="http://schemas.openxmlformats.org/officeDocument/2006/relationships/hyperlink" Target="https://www.linkedin.com/in/jamie-rollo-ba8bb07/" TargetMode="External"/><Relationship Id="rId50" Type="http://schemas.openxmlformats.org/officeDocument/2006/relationships/hyperlink" Target="https://www.linkedin.com/in/steve-abbott-cio/" TargetMode="External"/><Relationship Id="rId55" Type="http://schemas.openxmlformats.org/officeDocument/2006/relationships/hyperlink" Target="https://www.linkedin.com/in/jonathan-poulton-b07b40a3/" TargetMode="External"/><Relationship Id="rId76" Type="http://schemas.openxmlformats.org/officeDocument/2006/relationships/hyperlink" Target="https://www.linkedin.com/in/brendan-hodgkinson/" TargetMode="External"/><Relationship Id="rId7" Type="http://schemas.openxmlformats.org/officeDocument/2006/relationships/hyperlink" Target="https://www.linkedin.com/in/joseph-ward-35a80110a/" TargetMode="External"/><Relationship Id="rId71" Type="http://schemas.openxmlformats.org/officeDocument/2006/relationships/hyperlink" Target="https://www.linkedin.com/in/maturski/" TargetMode="External"/><Relationship Id="rId2" Type="http://schemas.openxmlformats.org/officeDocument/2006/relationships/hyperlink" Target="https://www.linkedin.com/in/sara-larocca/" TargetMode="External"/><Relationship Id="rId29" Type="http://schemas.openxmlformats.org/officeDocument/2006/relationships/hyperlink" Target="https://www.linkedin.com/in/blake-davis-0b5292158/" TargetMode="External"/><Relationship Id="rId24" Type="http://schemas.openxmlformats.org/officeDocument/2006/relationships/hyperlink" Target="https://www.linkedin.com/in/blake-davis-0b5292158/" TargetMode="External"/><Relationship Id="rId40" Type="http://schemas.openxmlformats.org/officeDocument/2006/relationships/hyperlink" Target="https://www.linkedin.com/in/michael-driver-2117b233/" TargetMode="External"/><Relationship Id="rId45" Type="http://schemas.openxmlformats.org/officeDocument/2006/relationships/hyperlink" Target="https://www.linkedin.com/in/emma-murphy-47183750/" TargetMode="External"/><Relationship Id="rId66" Type="http://schemas.openxmlformats.org/officeDocument/2006/relationships/hyperlink" Target="https://www.linkedin.com/in/matthewjsomers/" TargetMode="External"/><Relationship Id="rId61" Type="http://schemas.openxmlformats.org/officeDocument/2006/relationships/hyperlink" Target="https://www.linkedin.com/in/emma-liversidge/" TargetMode="External"/><Relationship Id="rId82" Type="http://schemas.openxmlformats.org/officeDocument/2006/relationships/hyperlink" Target="https://www.linkedin.com/in/kirsten-read/"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linkedin.com/in/andrew-lang-60395070/" TargetMode="External"/><Relationship Id="rId1" Type="http://schemas.openxmlformats.org/officeDocument/2006/relationships/hyperlink" Target="https://www.linkedin.com/in/sarahtaraporewalla/"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linkedin.com/in/bull-marketing/" TargetMode="External"/><Relationship Id="rId1" Type="http://schemas.openxmlformats.org/officeDocument/2006/relationships/hyperlink" Target="https://www.linkedin.com/in/jarryd-williamson-b052905b/"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linkedin.com/in/zachary-cooper-1a61b996/" TargetMode="External"/><Relationship Id="rId13" Type="http://schemas.openxmlformats.org/officeDocument/2006/relationships/hyperlink" Target="https://www.linkedin.com/in/jamie-rollo-ba8bb07/" TargetMode="External"/><Relationship Id="rId18" Type="http://schemas.openxmlformats.org/officeDocument/2006/relationships/hyperlink" Target="https://www.linkedin.com/in/nicholastwomey/" TargetMode="External"/><Relationship Id="rId3" Type="http://schemas.openxmlformats.org/officeDocument/2006/relationships/hyperlink" Target="https://www.linkedin.com/in/karen-kendall-3b8a1226/?originalSubdomain=au" TargetMode="External"/><Relationship Id="rId21" Type="http://schemas.openxmlformats.org/officeDocument/2006/relationships/hyperlink" Target="https://www.linkedin.com/in/rachaelcairns8812/" TargetMode="External"/><Relationship Id="rId7" Type="http://schemas.openxmlformats.org/officeDocument/2006/relationships/hyperlink" Target="https://www.linkedin.com/in/joseph-ward-35a80110a/" TargetMode="External"/><Relationship Id="rId12" Type="http://schemas.openxmlformats.org/officeDocument/2006/relationships/hyperlink" Target="https://www.linkedin.com/in/blake-davis-0b5292158/" TargetMode="External"/><Relationship Id="rId17" Type="http://schemas.openxmlformats.org/officeDocument/2006/relationships/hyperlink" Target="https://www.linkedin.com/in/kayelene-snowden-7186b723/" TargetMode="External"/><Relationship Id="rId2" Type="http://schemas.openxmlformats.org/officeDocument/2006/relationships/hyperlink" Target="https://www.linkedin.com/in/sara-larocca/" TargetMode="External"/><Relationship Id="rId16" Type="http://schemas.openxmlformats.org/officeDocument/2006/relationships/hyperlink" Target="https://www.linkedin.com/in/adrian-b-9732691a/" TargetMode="External"/><Relationship Id="rId20" Type="http://schemas.openxmlformats.org/officeDocument/2006/relationships/hyperlink" Target="https://www.linkedin.com/in/rohit-sharma-9a93632/" TargetMode="External"/><Relationship Id="rId1" Type="http://schemas.openxmlformats.org/officeDocument/2006/relationships/hyperlink" Target="https://www.linkedin.com/in/sara-larocca/" TargetMode="External"/><Relationship Id="rId6" Type="http://schemas.openxmlformats.org/officeDocument/2006/relationships/hyperlink" Target="https://www.linkedin.com/in/daniel-marston-57852887/" TargetMode="External"/><Relationship Id="rId11" Type="http://schemas.openxmlformats.org/officeDocument/2006/relationships/hyperlink" Target="https://www.linkedin.com/in/blake-davis-0b5292158/" TargetMode="External"/><Relationship Id="rId24" Type="http://schemas.openxmlformats.org/officeDocument/2006/relationships/printerSettings" Target="../printerSettings/printerSettings6.bin"/><Relationship Id="rId5" Type="http://schemas.openxmlformats.org/officeDocument/2006/relationships/hyperlink" Target="https://www.linkedin.com/in/blake-davis-0b5292158/" TargetMode="External"/><Relationship Id="rId15" Type="http://schemas.openxmlformats.org/officeDocument/2006/relationships/hyperlink" Target="https://www.linkedin.com/in/carl-franklin/" TargetMode="External"/><Relationship Id="rId23" Type="http://schemas.openxmlformats.org/officeDocument/2006/relationships/hyperlink" Target="https://www.linkedin.com/in/jack-quartermain-79375b128/" TargetMode="External"/><Relationship Id="rId10" Type="http://schemas.openxmlformats.org/officeDocument/2006/relationships/hyperlink" Target="https://www.linkedin.com/in/james-hoffman-9a057152/" TargetMode="External"/><Relationship Id="rId19" Type="http://schemas.openxmlformats.org/officeDocument/2006/relationships/hyperlink" Target="https://www.linkedin.com/in/tristan-merlehan-20bb467b/" TargetMode="External"/><Relationship Id="rId4" Type="http://schemas.openxmlformats.org/officeDocument/2006/relationships/hyperlink" Target="https://www.linkedin.com/in/liam-sanders-00034338/" TargetMode="External"/><Relationship Id="rId9" Type="http://schemas.openxmlformats.org/officeDocument/2006/relationships/hyperlink" Target="https://www.linkedin.com/in/jamie-rollo-ba8bb07/" TargetMode="External"/><Relationship Id="rId14" Type="http://schemas.openxmlformats.org/officeDocument/2006/relationships/hyperlink" Target="https://www.linkedin.com/in/jamie-rollo-ba8bb07/" TargetMode="External"/><Relationship Id="rId22" Type="http://schemas.openxmlformats.org/officeDocument/2006/relationships/hyperlink" Target="https://www.linkedin.com/in/michaelristuccia/"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linkedin.com/in/dougbrown/" TargetMode="External"/><Relationship Id="rId1" Type="http://schemas.openxmlformats.org/officeDocument/2006/relationships/hyperlink" Target="https://www.linkedin.com/in/chris-haigh-485ba215/"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linkedin.com/in/tamara-fak-3654339/" TargetMode="External"/><Relationship Id="rId13" Type="http://schemas.openxmlformats.org/officeDocument/2006/relationships/hyperlink" Target="https://www.linkedin.com/in/andrew-kastoras-45901022/" TargetMode="External"/><Relationship Id="rId3" Type="http://schemas.openxmlformats.org/officeDocument/2006/relationships/hyperlink" Target="https://www.linkedin.com/in/ian-edwards-6b640892/" TargetMode="External"/><Relationship Id="rId7" Type="http://schemas.openxmlformats.org/officeDocument/2006/relationships/hyperlink" Target="https://www.linkedin.com/in/ryan-earl-najjor/" TargetMode="External"/><Relationship Id="rId12" Type="http://schemas.openxmlformats.org/officeDocument/2006/relationships/hyperlink" Target="https://www.linkedin.com/in/adam-floyd-42849824/" TargetMode="External"/><Relationship Id="rId2" Type="http://schemas.openxmlformats.org/officeDocument/2006/relationships/hyperlink" Target="https://www.linkedin.com/in/matthewballesty/" TargetMode="External"/><Relationship Id="rId1" Type="http://schemas.openxmlformats.org/officeDocument/2006/relationships/hyperlink" Target="https://www.linkedin.com/in/matthew-welsh-b222aa139/" TargetMode="External"/><Relationship Id="rId6" Type="http://schemas.openxmlformats.org/officeDocument/2006/relationships/hyperlink" Target="https://www.linkedin.com/in/paul-crossy/" TargetMode="External"/><Relationship Id="rId11" Type="http://schemas.openxmlformats.org/officeDocument/2006/relationships/hyperlink" Target="https://www.linkedin.com/in/ben-dunn-9b0445138/" TargetMode="External"/><Relationship Id="rId5" Type="http://schemas.openxmlformats.org/officeDocument/2006/relationships/hyperlink" Target="https://hamiltonlocke.com.au/our-team/lachlan-gepp/" TargetMode="External"/><Relationship Id="rId10" Type="http://schemas.openxmlformats.org/officeDocument/2006/relationships/hyperlink" Target="https://www.linkedin.com/in/terry-o-brien-a0464061/" TargetMode="External"/><Relationship Id="rId4" Type="http://schemas.openxmlformats.org/officeDocument/2006/relationships/hyperlink" Target="https://www.linkedin.com/in/david-hunter-141a5663/" TargetMode="External"/><Relationship Id="rId9" Type="http://schemas.openxmlformats.org/officeDocument/2006/relationships/hyperlink" Target="https://www.linkedin.com/in/frankmakryllos/?originalSubdomain=au" TargetMode="External"/><Relationship Id="rId14"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hyperlink" Target="https://www.linkedin.com/in/chris-mccoy-2733b22/" TargetMode="External"/><Relationship Id="rId2" Type="http://schemas.openxmlformats.org/officeDocument/2006/relationships/hyperlink" Target="https://www.linkedin.com/in/howlandgeoff/" TargetMode="External"/><Relationship Id="rId1" Type="http://schemas.openxmlformats.org/officeDocument/2006/relationships/hyperlink" Target="https://www.linkedin.com/in/ash-sheard/" TargetMode="External"/><Relationship Id="rId6" Type="http://schemas.openxmlformats.org/officeDocument/2006/relationships/printerSettings" Target="../printerSettings/printerSettings9.bin"/><Relationship Id="rId5" Type="http://schemas.openxmlformats.org/officeDocument/2006/relationships/hyperlink" Target="https://www.linkedin.com/in/chris-ingram-07720b55/" TargetMode="External"/><Relationship Id="rId4" Type="http://schemas.openxmlformats.org/officeDocument/2006/relationships/hyperlink" Target="https://www.linkedin.com/in/michael-jones-05579524/" TargetMode="Externa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hyperlink" Target="https://ahgexpo.com/floorplan/"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linkedin.com/in/elen-barb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7B06A-ADE8-48ED-BA51-D0D099FE48BC}">
  <sheetPr>
    <tabColor theme="8" tint="0.79998168889431442"/>
  </sheetPr>
  <dimension ref="B3:F53"/>
  <sheetViews>
    <sheetView topLeftCell="A22" workbookViewId="0">
      <selection activeCell="C45" sqref="C45"/>
    </sheetView>
  </sheetViews>
  <sheetFormatPr defaultRowHeight="15" x14ac:dyDescent="0.25"/>
  <cols>
    <col min="3" max="3" width="68.140625" bestFit="1" customWidth="1"/>
    <col min="4" max="4" width="38.140625" bestFit="1" customWidth="1"/>
    <col min="6" max="6" width="11" bestFit="1" customWidth="1"/>
  </cols>
  <sheetData>
    <row r="3" spans="2:6" x14ac:dyDescent="0.25">
      <c r="C3" s="69" t="s">
        <v>7025</v>
      </c>
    </row>
    <row r="4" spans="2:6" s="14" customFormat="1" x14ac:dyDescent="0.25">
      <c r="B4" s="2">
        <f>COUNTIFS($C:$C,C4)</f>
        <v>1</v>
      </c>
      <c r="C4" s="67" t="s">
        <v>6651</v>
      </c>
      <c r="D4" s="63" t="s">
        <v>6652</v>
      </c>
      <c r="E4" s="33">
        <v>45901</v>
      </c>
      <c r="F4" s="86"/>
    </row>
    <row r="5" spans="2:6" s="14" customFormat="1" x14ac:dyDescent="0.25">
      <c r="B5" s="2">
        <f>COUNTIFS($C:$C,C5)</f>
        <v>1</v>
      </c>
      <c r="C5" s="67" t="s">
        <v>136</v>
      </c>
      <c r="D5" s="63" t="s">
        <v>6687</v>
      </c>
      <c r="E5" s="33">
        <v>46082</v>
      </c>
      <c r="F5" s="86"/>
    </row>
    <row r="6" spans="2:6" s="14" customFormat="1" x14ac:dyDescent="0.25">
      <c r="B6" s="2">
        <f>COUNTIFS($C:$C,C6)</f>
        <v>1</v>
      </c>
      <c r="C6" s="67" t="s">
        <v>6566</v>
      </c>
      <c r="D6" s="63" t="s">
        <v>6567</v>
      </c>
      <c r="E6" s="33">
        <v>46113</v>
      </c>
      <c r="F6" s="86"/>
    </row>
    <row r="8" spans="2:6" x14ac:dyDescent="0.25">
      <c r="C8" s="69" t="s">
        <v>7033</v>
      </c>
    </row>
    <row r="9" spans="2:6" s="14" customFormat="1" x14ac:dyDescent="0.25">
      <c r="B9" s="2">
        <f>COUNTIFS($C:$C,C9)</f>
        <v>1</v>
      </c>
      <c r="C9" s="67" t="s">
        <v>6363</v>
      </c>
      <c r="D9" s="63" t="s">
        <v>7038</v>
      </c>
      <c r="E9" s="33">
        <v>46143</v>
      </c>
      <c r="F9" s="86"/>
    </row>
    <row r="10" spans="2:6" s="14" customFormat="1" x14ac:dyDescent="0.25">
      <c r="B10" s="2">
        <f>COUNTIFS($C:$C,C10)</f>
        <v>1</v>
      </c>
      <c r="C10" s="67" t="s">
        <v>6984</v>
      </c>
      <c r="D10" s="63" t="s">
        <v>6983</v>
      </c>
      <c r="E10" s="33">
        <v>46082</v>
      </c>
      <c r="F10" s="86"/>
    </row>
    <row r="11" spans="2:6" s="14" customFormat="1" x14ac:dyDescent="0.25">
      <c r="B11" s="2"/>
      <c r="C11" s="67"/>
      <c r="D11" s="63"/>
      <c r="E11" s="33"/>
      <c r="F11" s="86"/>
    </row>
    <row r="12" spans="2:6" x14ac:dyDescent="0.25">
      <c r="C12" s="69" t="s">
        <v>7021</v>
      </c>
    </row>
    <row r="13" spans="2:6" x14ac:dyDescent="0.25">
      <c r="B13" s="2">
        <f t="shared" ref="B13:B30" si="0">COUNTIFS($C:$C,C13)</f>
        <v>1</v>
      </c>
      <c r="C13" s="70" t="s">
        <v>186</v>
      </c>
      <c r="D13" s="63"/>
    </row>
    <row r="14" spans="2:6" s="14" customFormat="1" x14ac:dyDescent="0.25">
      <c r="B14" s="2">
        <f t="shared" si="0"/>
        <v>1</v>
      </c>
      <c r="C14" s="70" t="s">
        <v>6316</v>
      </c>
      <c r="D14" s="63" t="s">
        <v>6317</v>
      </c>
      <c r="E14" s="33"/>
      <c r="F14" s="86"/>
    </row>
    <row r="15" spans="2:6" s="14" customFormat="1" x14ac:dyDescent="0.25">
      <c r="B15" s="2">
        <f t="shared" si="0"/>
        <v>1</v>
      </c>
      <c r="C15" s="70" t="s">
        <v>145</v>
      </c>
      <c r="D15" s="63" t="s">
        <v>6362</v>
      </c>
      <c r="E15" s="33">
        <v>45901</v>
      </c>
      <c r="F15" s="86"/>
    </row>
    <row r="16" spans="2:6" s="14" customFormat="1" x14ac:dyDescent="0.25">
      <c r="B16" s="2">
        <f t="shared" si="0"/>
        <v>1</v>
      </c>
      <c r="C16" s="67" t="s">
        <v>6435</v>
      </c>
      <c r="D16" s="63" t="s">
        <v>6436</v>
      </c>
      <c r="E16" s="33">
        <v>46204</v>
      </c>
      <c r="F16" s="86"/>
    </row>
    <row r="17" spans="2:6" s="14" customFormat="1" x14ac:dyDescent="0.25">
      <c r="B17" s="2">
        <f t="shared" si="0"/>
        <v>1</v>
      </c>
      <c r="C17" s="67" t="s">
        <v>28</v>
      </c>
      <c r="D17" s="63" t="s">
        <v>6489</v>
      </c>
      <c r="E17" s="33">
        <v>45992</v>
      </c>
      <c r="F17" s="86"/>
    </row>
    <row r="18" spans="2:6" s="14" customFormat="1" x14ac:dyDescent="0.25">
      <c r="B18" s="2">
        <f t="shared" si="0"/>
        <v>1</v>
      </c>
      <c r="C18" s="67" t="s">
        <v>6574</v>
      </c>
      <c r="D18" s="63" t="s">
        <v>6575</v>
      </c>
      <c r="E18" s="33">
        <v>46174</v>
      </c>
      <c r="F18" s="86"/>
    </row>
    <row r="19" spans="2:6" s="14" customFormat="1" x14ac:dyDescent="0.25">
      <c r="B19" s="2">
        <f t="shared" si="0"/>
        <v>1</v>
      </c>
      <c r="C19" s="67" t="s">
        <v>150</v>
      </c>
      <c r="D19" s="63" t="s">
        <v>6568</v>
      </c>
      <c r="E19" s="33">
        <v>46174</v>
      </c>
      <c r="F19" s="86"/>
    </row>
    <row r="20" spans="2:6" s="14" customFormat="1" x14ac:dyDescent="0.25">
      <c r="B20" s="2">
        <f t="shared" si="0"/>
        <v>1</v>
      </c>
      <c r="C20" s="67" t="s">
        <v>6036</v>
      </c>
      <c r="D20" s="63" t="s">
        <v>6711</v>
      </c>
      <c r="E20" s="33">
        <v>46113</v>
      </c>
      <c r="F20" s="86"/>
    </row>
    <row r="21" spans="2:6" s="14" customFormat="1" x14ac:dyDescent="0.25">
      <c r="B21" s="2">
        <f t="shared" si="0"/>
        <v>1</v>
      </c>
      <c r="C21" s="67" t="s">
        <v>6255</v>
      </c>
      <c r="D21" s="63" t="s">
        <v>6431</v>
      </c>
      <c r="E21" s="33">
        <v>46174</v>
      </c>
      <c r="F21" s="86"/>
    </row>
    <row r="22" spans="2:6" s="14" customFormat="1" x14ac:dyDescent="0.25">
      <c r="B22" s="2">
        <f t="shared" si="0"/>
        <v>1</v>
      </c>
      <c r="C22" s="67" t="s">
        <v>101</v>
      </c>
      <c r="D22" s="63" t="s">
        <v>6733</v>
      </c>
      <c r="E22" s="33">
        <v>45962</v>
      </c>
      <c r="F22" s="86" t="s">
        <v>7026</v>
      </c>
    </row>
    <row r="23" spans="2:6" s="14" customFormat="1" x14ac:dyDescent="0.25">
      <c r="B23" s="2">
        <f t="shared" si="0"/>
        <v>1</v>
      </c>
      <c r="C23" s="67" t="s">
        <v>6736</v>
      </c>
      <c r="D23" s="63" t="s">
        <v>6737</v>
      </c>
      <c r="E23" s="33">
        <v>46143</v>
      </c>
      <c r="F23" s="86" t="s">
        <v>7027</v>
      </c>
    </row>
    <row r="24" spans="2:6" s="14" customFormat="1" x14ac:dyDescent="0.25">
      <c r="B24" s="2">
        <f t="shared" si="0"/>
        <v>1</v>
      </c>
      <c r="C24" s="67" t="s">
        <v>6766</v>
      </c>
      <c r="D24" s="63" t="s">
        <v>6767</v>
      </c>
      <c r="E24" s="33">
        <v>46174</v>
      </c>
      <c r="F24" s="86"/>
    </row>
    <row r="25" spans="2:6" s="14" customFormat="1" x14ac:dyDescent="0.25">
      <c r="B25" s="2">
        <f t="shared" si="0"/>
        <v>1</v>
      </c>
      <c r="C25" s="67" t="s">
        <v>6810</v>
      </c>
      <c r="D25" s="63" t="s">
        <v>6811</v>
      </c>
      <c r="E25" s="33">
        <v>46113</v>
      </c>
      <c r="F25" s="86"/>
    </row>
    <row r="26" spans="2:6" s="14" customFormat="1" x14ac:dyDescent="0.25">
      <c r="B26" s="2">
        <f t="shared" si="0"/>
        <v>1</v>
      </c>
      <c r="C26" s="67" t="s">
        <v>107</v>
      </c>
      <c r="D26" s="63" t="s">
        <v>84</v>
      </c>
      <c r="E26" s="33">
        <v>45992</v>
      </c>
      <c r="F26" s="86"/>
    </row>
    <row r="27" spans="2:6" s="14" customFormat="1" x14ac:dyDescent="0.25">
      <c r="B27" s="2">
        <f t="shared" si="0"/>
        <v>1</v>
      </c>
      <c r="C27" s="70" t="s">
        <v>6261</v>
      </c>
      <c r="D27" s="106" t="s">
        <v>7035</v>
      </c>
      <c r="E27" s="106">
        <v>46113</v>
      </c>
      <c r="F27" s="86"/>
    </row>
    <row r="28" spans="2:6" s="14" customFormat="1" x14ac:dyDescent="0.25">
      <c r="B28" s="2">
        <f t="shared" si="0"/>
        <v>1</v>
      </c>
      <c r="C28" s="70" t="s">
        <v>6010</v>
      </c>
      <c r="D28" s="63" t="s">
        <v>7034</v>
      </c>
      <c r="E28" s="33">
        <v>46023</v>
      </c>
      <c r="F28" s="86"/>
    </row>
    <row r="29" spans="2:6" s="14" customFormat="1" x14ac:dyDescent="0.25">
      <c r="B29" s="2">
        <f t="shared" si="0"/>
        <v>1</v>
      </c>
      <c r="C29" s="70" t="s">
        <v>6355</v>
      </c>
      <c r="D29" s="63" t="s">
        <v>7036</v>
      </c>
      <c r="E29" s="33">
        <v>46174</v>
      </c>
      <c r="F29" s="86"/>
    </row>
    <row r="30" spans="2:6" s="14" customFormat="1" x14ac:dyDescent="0.25">
      <c r="B30" s="2">
        <f t="shared" si="0"/>
        <v>1</v>
      </c>
      <c r="C30" s="67" t="s">
        <v>6572</v>
      </c>
      <c r="D30" s="63" t="s">
        <v>6573</v>
      </c>
      <c r="E30" s="33">
        <v>46082</v>
      </c>
      <c r="F30" s="86"/>
    </row>
    <row r="31" spans="2:6" s="14" customFormat="1" x14ac:dyDescent="0.25">
      <c r="B31" s="2"/>
      <c r="C31" s="67"/>
      <c r="D31" s="63"/>
      <c r="E31" s="33"/>
      <c r="F31" s="86"/>
    </row>
    <row r="32" spans="2:6" s="27" customFormat="1" x14ac:dyDescent="0.25">
      <c r="C32" s="69" t="s">
        <v>5808</v>
      </c>
      <c r="F32" s="85"/>
    </row>
    <row r="33" spans="2:6" s="14" customFormat="1" x14ac:dyDescent="0.25">
      <c r="B33" s="2">
        <f t="shared" ref="B33:B38" si="1">COUNTIFS($C:$C,C33)</f>
        <v>1</v>
      </c>
      <c r="C33" s="70" t="s">
        <v>5809</v>
      </c>
      <c r="D33" s="63" t="s">
        <v>7018</v>
      </c>
      <c r="E33" s="33"/>
      <c r="F33" s="86"/>
    </row>
    <row r="34" spans="2:6" s="14" customFormat="1" x14ac:dyDescent="0.25">
      <c r="B34" s="2">
        <f t="shared" si="1"/>
        <v>1</v>
      </c>
      <c r="C34" s="70" t="s">
        <v>6128</v>
      </c>
      <c r="D34" s="63" t="s">
        <v>7019</v>
      </c>
      <c r="E34" s="33"/>
      <c r="F34" s="86"/>
    </row>
    <row r="35" spans="2:6" s="14" customFormat="1" x14ac:dyDescent="0.25">
      <c r="B35" s="2">
        <f t="shared" si="1"/>
        <v>1</v>
      </c>
      <c r="C35" s="70" t="s">
        <v>6264</v>
      </c>
      <c r="D35" s="63" t="s">
        <v>7023</v>
      </c>
      <c r="E35" s="33"/>
      <c r="F35" s="86"/>
    </row>
    <row r="36" spans="2:6" s="14" customFormat="1" x14ac:dyDescent="0.25">
      <c r="B36" s="2">
        <f t="shared" si="1"/>
        <v>1</v>
      </c>
      <c r="C36" s="70" t="s">
        <v>6434</v>
      </c>
      <c r="D36" s="63" t="s">
        <v>7020</v>
      </c>
      <c r="E36" s="33"/>
      <c r="F36" s="86"/>
    </row>
    <row r="37" spans="2:6" s="14" customFormat="1" x14ac:dyDescent="0.25">
      <c r="B37" s="2">
        <f t="shared" si="1"/>
        <v>1</v>
      </c>
      <c r="C37" s="70" t="s">
        <v>6444</v>
      </c>
      <c r="D37" s="63" t="s">
        <v>6445</v>
      </c>
      <c r="E37" s="33"/>
      <c r="F37" s="86"/>
    </row>
    <row r="38" spans="2:6" s="14" customFormat="1" x14ac:dyDescent="0.25">
      <c r="B38" s="2">
        <f t="shared" si="1"/>
        <v>1</v>
      </c>
      <c r="C38" s="70" t="s">
        <v>6446</v>
      </c>
      <c r="D38" s="63" t="s">
        <v>6445</v>
      </c>
      <c r="E38" s="33"/>
      <c r="F38" s="86"/>
    </row>
    <row r="39" spans="2:6" s="14" customFormat="1" x14ac:dyDescent="0.25">
      <c r="B39" s="2"/>
      <c r="C39" s="70"/>
      <c r="D39" s="63"/>
      <c r="E39" s="33"/>
      <c r="F39" s="86"/>
    </row>
    <row r="40" spans="2:6" s="14" customFormat="1" x14ac:dyDescent="0.25">
      <c r="B40" s="2"/>
      <c r="C40" s="69" t="s">
        <v>7022</v>
      </c>
      <c r="D40" s="63"/>
      <c r="E40" s="33"/>
      <c r="F40" s="86"/>
    </row>
    <row r="41" spans="2:6" s="14" customFormat="1" x14ac:dyDescent="0.25">
      <c r="B41" s="2">
        <f t="shared" ref="B41:B50" si="2">COUNTIFS($C:$C,C41)</f>
        <v>1</v>
      </c>
      <c r="C41" s="67" t="s">
        <v>68</v>
      </c>
      <c r="D41" s="63" t="s">
        <v>6820</v>
      </c>
      <c r="E41" s="33"/>
      <c r="F41" s="86"/>
    </row>
    <row r="42" spans="2:6" s="14" customFormat="1" x14ac:dyDescent="0.25">
      <c r="B42" s="2">
        <f t="shared" si="2"/>
        <v>1</v>
      </c>
      <c r="C42" s="67" t="s">
        <v>6425</v>
      </c>
      <c r="D42" s="63" t="s">
        <v>6426</v>
      </c>
      <c r="E42" s="33"/>
      <c r="F42" s="86"/>
    </row>
    <row r="43" spans="2:6" s="14" customFormat="1" x14ac:dyDescent="0.25">
      <c r="B43" s="2">
        <f t="shared" si="2"/>
        <v>1</v>
      </c>
      <c r="C43" s="67" t="s">
        <v>6141</v>
      </c>
      <c r="D43" s="63" t="s">
        <v>6142</v>
      </c>
      <c r="E43" s="33"/>
      <c r="F43" s="86"/>
    </row>
    <row r="44" spans="2:6" s="14" customFormat="1" x14ac:dyDescent="0.25">
      <c r="B44" s="2">
        <f t="shared" si="2"/>
        <v>1</v>
      </c>
      <c r="C44" s="67" t="s">
        <v>6168</v>
      </c>
      <c r="D44" s="63" t="s">
        <v>7024</v>
      </c>
      <c r="E44" s="33"/>
      <c r="F44" s="86"/>
    </row>
    <row r="45" spans="2:6" s="14" customFormat="1" x14ac:dyDescent="0.25">
      <c r="B45" s="2">
        <f t="shared" si="2"/>
        <v>1</v>
      </c>
      <c r="C45" s="67" t="s">
        <v>6565</v>
      </c>
      <c r="D45" s="63" t="s">
        <v>5595</v>
      </c>
      <c r="E45" s="33">
        <v>46174</v>
      </c>
      <c r="F45" s="86"/>
    </row>
    <row r="46" spans="2:6" s="14" customFormat="1" x14ac:dyDescent="0.25">
      <c r="B46" s="2">
        <f t="shared" si="2"/>
        <v>1</v>
      </c>
      <c r="C46" s="67" t="s">
        <v>6552</v>
      </c>
      <c r="D46" s="63" t="s">
        <v>6553</v>
      </c>
      <c r="E46" s="33">
        <v>46143</v>
      </c>
      <c r="F46" s="86"/>
    </row>
    <row r="47" spans="2:6" s="14" customFormat="1" x14ac:dyDescent="0.25">
      <c r="B47" s="2">
        <f t="shared" si="2"/>
        <v>1</v>
      </c>
      <c r="C47" s="67" t="s">
        <v>6102</v>
      </c>
      <c r="D47" s="63" t="s">
        <v>6103</v>
      </c>
      <c r="E47" s="33"/>
      <c r="F47" s="86"/>
    </row>
    <row r="48" spans="2:6" s="14" customFormat="1" x14ac:dyDescent="0.25">
      <c r="B48" s="2">
        <f t="shared" si="2"/>
        <v>1</v>
      </c>
      <c r="C48" s="67" t="s">
        <v>6133</v>
      </c>
      <c r="D48" s="63" t="s">
        <v>6134</v>
      </c>
      <c r="E48" s="33"/>
      <c r="F48" s="86"/>
    </row>
    <row r="49" spans="2:6" s="14" customFormat="1" x14ac:dyDescent="0.25">
      <c r="B49" s="2">
        <f t="shared" si="2"/>
        <v>1</v>
      </c>
      <c r="C49" s="67" t="s">
        <v>6153</v>
      </c>
      <c r="D49" s="63" t="s">
        <v>6154</v>
      </c>
      <c r="E49" s="33"/>
      <c r="F49" s="86"/>
    </row>
    <row r="50" spans="2:6" s="14" customFormat="1" x14ac:dyDescent="0.25">
      <c r="B50" s="2">
        <f t="shared" si="2"/>
        <v>1</v>
      </c>
      <c r="C50" s="67" t="s">
        <v>6228</v>
      </c>
      <c r="D50" s="63" t="s">
        <v>7037</v>
      </c>
      <c r="E50" s="33"/>
      <c r="F50" s="86"/>
    </row>
    <row r="53" spans="2:6" x14ac:dyDescent="0.25">
      <c r="B53" s="2">
        <f t="shared" ref="B53" si="3">COUNTIFS($C:$C,C53)</f>
        <v>1</v>
      </c>
      <c r="C53" t="s">
        <v>7355</v>
      </c>
      <c r="D53" s="63" t="s">
        <v>5301</v>
      </c>
    </row>
  </sheetData>
  <hyperlinks>
    <hyperlink ref="C33" r:id="rId1" xr:uid="{B257A807-C227-470A-A6F2-31D3DE51CF86}"/>
    <hyperlink ref="C34" r:id="rId2" xr:uid="{8B304E8F-8F45-4532-9352-BA6791754436}"/>
    <hyperlink ref="C43" r:id="rId3" xr:uid="{F034E3DA-0E28-44E0-9255-27EAD7E4A41E}"/>
    <hyperlink ref="C17" r:id="rId4" xr:uid="{0C7DAC04-E583-4C3F-BD90-03412F9ABE42}"/>
    <hyperlink ref="C30" r:id="rId5" xr:uid="{D603AA6F-D2B7-4BA7-A60E-DF69EA0B1B71}"/>
    <hyperlink ref="C27" r:id="rId6" xr:uid="{489CDC33-6A06-43AD-B052-0DD4FF526E29}"/>
    <hyperlink ref="C9" r:id="rId7" xr:uid="{FCE3A800-DA34-48DD-BDE3-D3E67674982A}"/>
    <hyperlink ref="C36" r:id="rId8" xr:uid="{F44FDF9E-318D-452F-98E2-669E444D2525}"/>
    <hyperlink ref="C37" r:id="rId9" xr:uid="{0D4B2B6B-43EF-4593-893A-A5451A37E963}"/>
    <hyperlink ref="C38" r:id="rId10" xr:uid="{7336A34C-FAE5-4A55-A1B0-50DD3EC20044}"/>
    <hyperlink ref="C41" r:id="rId11" xr:uid="{8F81F1DC-60AA-47B4-9ACB-4043150BB582}"/>
    <hyperlink ref="C29" r:id="rId12" xr:uid="{8DE49F6D-7A7A-4F59-AF0B-AFE2E03DFECB}"/>
    <hyperlink ref="C14" r:id="rId13" xr:uid="{466A537E-C159-45C1-A2FF-660D8DBDB82D}"/>
    <hyperlink ref="C15" r:id="rId14" xr:uid="{6B953217-FF44-4570-A42E-E10C0788CA52}"/>
    <hyperlink ref="C42" r:id="rId15" xr:uid="{15D0FEED-A5B9-40FA-8BC1-08447444D538}"/>
    <hyperlink ref="C16" r:id="rId16" xr:uid="{89946500-F47D-4E6D-AE05-B48BF12EF63D}"/>
    <hyperlink ref="C44" r:id="rId17" xr:uid="{9EA2A31C-87E7-4583-87BB-26BF46F464BC}"/>
    <hyperlink ref="C46" r:id="rId18" xr:uid="{557BBFF8-6952-4A12-AC8D-EEE5EAC72802}"/>
    <hyperlink ref="C45" r:id="rId19" xr:uid="{CDC40CC8-FA0A-4367-B979-6043DD1CC56C}"/>
    <hyperlink ref="C6" r:id="rId20" xr:uid="{215896AE-F7E3-413D-A5A1-BC6D7DC1D48A}"/>
    <hyperlink ref="C19" r:id="rId21" xr:uid="{FA035DCA-82AE-4404-8A88-082374CCF6D6}"/>
    <hyperlink ref="C18" r:id="rId22" xr:uid="{F125F539-88A1-4759-BA45-395DFCBC0EB4}"/>
    <hyperlink ref="C4" r:id="rId23" xr:uid="{00F3E7F2-51CA-4B50-ACDA-267188AB2FCB}"/>
    <hyperlink ref="C5" r:id="rId24" xr:uid="{B3E7C129-7988-4EFC-B3F9-4FBB5B59CC89}"/>
    <hyperlink ref="C20" r:id="rId25" xr:uid="{C478572E-EF77-4C83-B915-820D958A9CAD}"/>
    <hyperlink ref="C22" r:id="rId26" xr:uid="{170059CB-5799-45DA-917E-4A065F4239C4}"/>
    <hyperlink ref="C23" r:id="rId27" xr:uid="{1BEA8E20-F59C-42C0-85F1-C39A127A0E53}"/>
    <hyperlink ref="C24" r:id="rId28" xr:uid="{1AD50AFD-2495-472B-9CC1-EE2ADC6E3505}"/>
    <hyperlink ref="C26" r:id="rId29" xr:uid="{C62AAE0C-19BD-4FE1-B801-48E43C790766}"/>
    <hyperlink ref="C10" r:id="rId30" xr:uid="{4E362F40-9B0A-4C18-A2D8-BE42B5D10CFD}"/>
    <hyperlink ref="C28" r:id="rId31" xr:uid="{E58AD9D6-B7E3-4CF3-BBB1-127A4D43B712}"/>
    <hyperlink ref="C47" r:id="rId32" xr:uid="{29DD2F58-1700-4A11-917E-5D93CFB34D12}"/>
    <hyperlink ref="C49" r:id="rId33" xr:uid="{8B9EB694-FA26-4989-A937-98E1401BD8D1}"/>
    <hyperlink ref="C50" r:id="rId34" xr:uid="{EBDA4E3C-8293-440A-93AD-0DDAF2A46C52}"/>
    <hyperlink ref="C48" r:id="rId35" xr:uid="{B5A7BFAE-F688-4ED3-BAA9-63E33A306A47}"/>
    <hyperlink ref="C35" r:id="rId36" xr:uid="{B82E2883-9CB9-4C1D-B077-5DC253878917}"/>
  </hyperlinks>
  <pageMargins left="0.7" right="0.7" top="0.75" bottom="0.75" header="0.3" footer="0.3"/>
  <pageSetup paperSize="9" orientation="portrait" r:id="rId3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01E1-97E8-4E86-8605-8FA39F89DAA3}">
  <sheetPr>
    <tabColor theme="3"/>
  </sheetPr>
  <dimension ref="A1"/>
  <sheetViews>
    <sheetView workbookViewId="0">
      <selection activeCell="D34" sqref="D34"/>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120E8-F96E-474D-ABA6-A44F8A31420C}">
  <sheetPr>
    <tabColor theme="3" tint="0.749992370372631"/>
  </sheetPr>
  <dimension ref="A2:AE625"/>
  <sheetViews>
    <sheetView tabSelected="1" zoomScale="70" zoomScaleNormal="70" workbookViewId="0">
      <pane xSplit="2" ySplit="3" topLeftCell="C5" activePane="bottomRight" state="frozen"/>
      <selection activeCell="G37" sqref="G37"/>
      <selection pane="topRight" activeCell="G37" sqref="G37"/>
      <selection pane="bottomLeft" activeCell="G37" sqref="G37"/>
      <selection pane="bottomRight" activeCell="D30" sqref="D30"/>
    </sheetView>
  </sheetViews>
  <sheetFormatPr defaultColWidth="0" defaultRowHeight="15" x14ac:dyDescent="0.25"/>
  <cols>
    <col min="1" max="1" width="2.7109375" customWidth="1"/>
    <col min="2" max="2" width="17.7109375" bestFit="1" customWidth="1"/>
    <col min="3" max="3" width="2.7109375" customWidth="1"/>
    <col min="4" max="4" width="60.7109375" style="2" customWidth="1"/>
    <col min="5" max="5" width="60.7109375" style="93" customWidth="1"/>
    <col min="6" max="6" width="10.7109375" style="93" customWidth="1"/>
    <col min="7" max="8" width="2.7109375" customWidth="1"/>
    <col min="9" max="9" width="60.7109375" customWidth="1"/>
    <col min="10" max="10" width="60.7109375" style="93" customWidth="1"/>
    <col min="11" max="11" width="10.7109375" style="93" customWidth="1"/>
    <col min="12" max="13" width="2.7109375" customWidth="1"/>
    <col min="14" max="14" width="60.7109375" customWidth="1"/>
    <col min="15" max="15" width="2.7109375" hidden="1" customWidth="1"/>
    <col min="16" max="16" width="9.140625" hidden="1" customWidth="1"/>
    <col min="17" max="17" width="68.5703125" hidden="1" customWidth="1"/>
    <col min="18" max="19" width="9.140625" hidden="1" customWidth="1"/>
    <col min="20" max="20" width="38.85546875" hidden="1" customWidth="1"/>
    <col min="21" max="21" width="2.7109375" hidden="1" customWidth="1"/>
    <col min="22" max="22" width="48.140625" hidden="1" customWidth="1"/>
    <col min="23" max="23" width="2.7109375" hidden="1" customWidth="1"/>
    <col min="24" max="24" width="54.5703125" hidden="1" customWidth="1"/>
    <col min="25" max="25" width="2.7109375" hidden="1" customWidth="1"/>
    <col min="26" max="26" width="9.140625" hidden="1" customWidth="1"/>
    <col min="27" max="27" width="2.7109375" style="1" hidden="1" customWidth="1"/>
    <col min="28" max="28" width="9.140625" hidden="1" customWidth="1"/>
    <col min="29" max="29" width="2.7109375" hidden="1" customWidth="1"/>
    <col min="30" max="31" width="0" hidden="1" customWidth="1"/>
    <col min="32" max="16384" width="9.140625" hidden="1"/>
  </cols>
  <sheetData>
    <row r="2" spans="1:30" s="9" customFormat="1" x14ac:dyDescent="0.25">
      <c r="C2" s="12"/>
      <c r="D2" s="12" t="s">
        <v>224</v>
      </c>
      <c r="E2" s="94"/>
      <c r="F2" s="94"/>
      <c r="G2" s="13"/>
      <c r="H2" s="12"/>
      <c r="I2" s="12" t="s">
        <v>105</v>
      </c>
      <c r="J2" s="94"/>
      <c r="K2" s="94"/>
      <c r="L2" s="13"/>
      <c r="M2" s="12"/>
      <c r="N2" s="12"/>
      <c r="T2" s="5" t="s">
        <v>227</v>
      </c>
      <c r="U2" s="10"/>
      <c r="V2" s="5"/>
      <c r="W2" s="10"/>
      <c r="X2" s="5" t="s">
        <v>225</v>
      </c>
      <c r="Y2" s="10"/>
      <c r="Z2" s="5"/>
      <c r="AA2" s="11"/>
      <c r="AB2" s="5"/>
      <c r="AC2" s="10"/>
      <c r="AD2" s="5"/>
    </row>
    <row r="3" spans="1:30" s="100" customFormat="1" x14ac:dyDescent="0.25">
      <c r="C3" s="12"/>
      <c r="D3" s="12" t="s">
        <v>319</v>
      </c>
      <c r="E3" s="12" t="s">
        <v>6113</v>
      </c>
      <c r="F3" s="12" t="s">
        <v>6637</v>
      </c>
      <c r="G3" s="13"/>
      <c r="H3" s="12"/>
      <c r="I3" s="12" t="s">
        <v>319</v>
      </c>
      <c r="J3" s="12" t="s">
        <v>6113</v>
      </c>
      <c r="K3" s="12" t="s">
        <v>6637</v>
      </c>
      <c r="L3" s="13"/>
      <c r="M3" s="12"/>
      <c r="N3" s="12"/>
      <c r="T3" s="101"/>
      <c r="U3" s="102"/>
      <c r="V3" s="101"/>
      <c r="W3" s="102"/>
      <c r="X3" s="101"/>
      <c r="Y3" s="102"/>
      <c r="Z3" s="101"/>
      <c r="AA3" s="103"/>
      <c r="AB3" s="101"/>
      <c r="AC3" s="102"/>
      <c r="AD3" s="101"/>
    </row>
    <row r="4" spans="1:30" x14ac:dyDescent="0.25">
      <c r="A4" s="7"/>
      <c r="T4" s="7"/>
      <c r="U4" s="8"/>
      <c r="V4" s="7"/>
      <c r="W4" s="8"/>
      <c r="X4" s="7"/>
      <c r="Y4" s="8"/>
      <c r="Z4" s="7"/>
      <c r="AA4" s="8"/>
      <c r="AB4" s="7"/>
      <c r="AC4" s="8"/>
      <c r="AD4" s="7"/>
    </row>
    <row r="5" spans="1:30" x14ac:dyDescent="0.25">
      <c r="A5" s="6"/>
      <c r="B5" s="5" t="s">
        <v>6926</v>
      </c>
      <c r="Q5" s="4"/>
      <c r="T5" s="6"/>
      <c r="V5" s="6"/>
      <c r="X5" s="6" t="s">
        <v>224</v>
      </c>
      <c r="Z5" s="6"/>
      <c r="AB5" s="6"/>
      <c r="AD5" s="6"/>
    </row>
    <row r="6" spans="1:30" x14ac:dyDescent="0.25">
      <c r="A6" s="73"/>
      <c r="B6" s="1">
        <v>5</v>
      </c>
      <c r="C6" s="2">
        <f t="shared" ref="C6:C23" si="0">COUNTIFS(D:D,D6)</f>
        <v>0</v>
      </c>
      <c r="D6" s="77"/>
      <c r="E6" s="95"/>
      <c r="F6" s="95"/>
      <c r="H6" s="78">
        <f t="shared" ref="H6:H23" si="1">COUNTIFS(I:I,I6)</f>
        <v>0</v>
      </c>
      <c r="I6" s="77"/>
      <c r="J6" s="95"/>
      <c r="K6" s="95"/>
      <c r="M6" s="2"/>
      <c r="N6" s="73"/>
      <c r="P6" s="73"/>
      <c r="Q6" s="73"/>
      <c r="V6" s="73"/>
      <c r="X6" s="73" t="s">
        <v>222</v>
      </c>
    </row>
    <row r="7" spans="1:30" x14ac:dyDescent="0.25">
      <c r="A7" s="73"/>
      <c r="C7" s="2">
        <f t="shared" si="0"/>
        <v>0</v>
      </c>
      <c r="D7" s="77"/>
      <c r="E7" s="95"/>
      <c r="F7" s="95"/>
      <c r="H7" s="78">
        <f t="shared" si="1"/>
        <v>1</v>
      </c>
      <c r="I7" s="77" t="s">
        <v>6775</v>
      </c>
      <c r="J7" s="95" t="s">
        <v>6774</v>
      </c>
      <c r="K7" s="97" t="s">
        <v>6486</v>
      </c>
      <c r="M7" s="2"/>
      <c r="N7" s="73"/>
      <c r="P7" s="2"/>
      <c r="Q7" s="73"/>
      <c r="V7" s="73"/>
      <c r="X7" s="73" t="s">
        <v>220</v>
      </c>
    </row>
    <row r="8" spans="1:30" x14ac:dyDescent="0.25">
      <c r="A8" s="73"/>
      <c r="C8" s="2">
        <f t="shared" si="0"/>
        <v>0</v>
      </c>
      <c r="D8" s="77"/>
      <c r="E8" s="95"/>
      <c r="F8" s="95"/>
      <c r="H8" s="78">
        <f t="shared" si="1"/>
        <v>1</v>
      </c>
      <c r="I8" s="79" t="s">
        <v>210</v>
      </c>
      <c r="J8" s="97" t="s">
        <v>6770</v>
      </c>
      <c r="K8" s="97" t="s">
        <v>6486</v>
      </c>
      <c r="M8" s="2"/>
      <c r="N8" s="73"/>
      <c r="P8" s="2"/>
      <c r="Q8" s="73"/>
      <c r="V8" s="73"/>
      <c r="X8" s="73" t="s">
        <v>205</v>
      </c>
    </row>
    <row r="9" spans="1:30" x14ac:dyDescent="0.25">
      <c r="A9" s="73"/>
      <c r="C9" s="2">
        <f t="shared" si="0"/>
        <v>1</v>
      </c>
      <c r="D9" s="79" t="s">
        <v>218</v>
      </c>
      <c r="E9" s="97"/>
      <c r="F9" s="97"/>
      <c r="H9" s="78">
        <f t="shared" si="1"/>
        <v>1</v>
      </c>
      <c r="I9" s="79" t="s">
        <v>215</v>
      </c>
      <c r="J9" s="97" t="s">
        <v>6768</v>
      </c>
      <c r="K9" s="97" t="s">
        <v>6486</v>
      </c>
      <c r="M9" s="2"/>
      <c r="N9" s="73"/>
      <c r="P9" s="2"/>
      <c r="Q9" s="73"/>
      <c r="V9" s="73"/>
      <c r="X9" s="73" t="s">
        <v>203</v>
      </c>
    </row>
    <row r="10" spans="1:30" x14ac:dyDescent="0.25">
      <c r="A10" s="73"/>
      <c r="C10" s="2">
        <f t="shared" si="0"/>
        <v>1</v>
      </c>
      <c r="D10" s="79" t="s">
        <v>6247</v>
      </c>
      <c r="E10" s="97"/>
      <c r="F10" s="97"/>
      <c r="H10" s="78">
        <f t="shared" si="1"/>
        <v>0</v>
      </c>
      <c r="I10" s="77"/>
      <c r="J10" s="97"/>
      <c r="K10" s="97"/>
      <c r="M10" s="2"/>
      <c r="N10" s="73"/>
      <c r="P10" s="2"/>
      <c r="Q10" s="73"/>
      <c r="V10" s="73"/>
      <c r="X10" s="73" t="s">
        <v>207</v>
      </c>
    </row>
    <row r="11" spans="1:30" x14ac:dyDescent="0.25">
      <c r="A11" s="73"/>
      <c r="C11" s="2">
        <f t="shared" si="0"/>
        <v>1</v>
      </c>
      <c r="D11" s="79" t="s">
        <v>216</v>
      </c>
      <c r="E11" s="97"/>
      <c r="F11" s="97"/>
      <c r="H11" s="78">
        <f t="shared" si="1"/>
        <v>0</v>
      </c>
      <c r="I11" s="79"/>
      <c r="J11" s="97"/>
      <c r="K11" s="97"/>
      <c r="M11" s="2"/>
      <c r="P11" s="2"/>
      <c r="Q11" s="73"/>
      <c r="V11" s="73"/>
      <c r="X11" s="73" t="s">
        <v>202</v>
      </c>
    </row>
    <row r="12" spans="1:30" x14ac:dyDescent="0.25">
      <c r="A12" s="73"/>
      <c r="C12" s="2">
        <f t="shared" si="0"/>
        <v>1</v>
      </c>
      <c r="D12" s="79" t="s">
        <v>214</v>
      </c>
      <c r="E12" s="97"/>
      <c r="F12" s="97"/>
      <c r="H12" s="2">
        <f t="shared" si="1"/>
        <v>0</v>
      </c>
      <c r="I12" s="73"/>
      <c r="J12" s="99"/>
      <c r="K12" s="99"/>
      <c r="M12" s="2"/>
      <c r="P12" s="2"/>
      <c r="Q12" s="73"/>
      <c r="V12" s="73"/>
      <c r="X12" s="73" t="s">
        <v>6026</v>
      </c>
    </row>
    <row r="13" spans="1:30" x14ac:dyDescent="0.25">
      <c r="A13" s="73"/>
      <c r="C13" s="2">
        <f t="shared" si="0"/>
        <v>1</v>
      </c>
      <c r="D13" s="79" t="s">
        <v>212</v>
      </c>
      <c r="E13" s="97"/>
      <c r="F13" s="97"/>
      <c r="H13" s="2">
        <f t="shared" si="1"/>
        <v>0</v>
      </c>
      <c r="I13" s="73"/>
      <c r="J13" s="99"/>
      <c r="K13" s="99"/>
      <c r="M13" s="2"/>
      <c r="N13" s="73"/>
      <c r="P13" s="2"/>
      <c r="Q13" s="73"/>
      <c r="V13" s="73"/>
      <c r="X13" s="73" t="s">
        <v>6027</v>
      </c>
    </row>
    <row r="14" spans="1:30" x14ac:dyDescent="0.25">
      <c r="A14" s="73"/>
      <c r="C14" s="2">
        <f t="shared" si="0"/>
        <v>0</v>
      </c>
      <c r="D14" s="79"/>
      <c r="E14" s="97"/>
      <c r="F14" s="97"/>
      <c r="H14" s="2">
        <f t="shared" si="1"/>
        <v>0</v>
      </c>
      <c r="I14" s="73"/>
      <c r="J14" s="99"/>
      <c r="K14" s="99"/>
      <c r="M14" s="2"/>
      <c r="P14" s="2"/>
      <c r="Q14" s="73"/>
      <c r="V14" s="73"/>
      <c r="X14" s="73" t="s">
        <v>209</v>
      </c>
    </row>
    <row r="15" spans="1:30" x14ac:dyDescent="0.25">
      <c r="A15" s="73"/>
      <c r="C15" s="2">
        <f t="shared" si="0"/>
        <v>1</v>
      </c>
      <c r="D15" s="79" t="s">
        <v>6033</v>
      </c>
      <c r="E15" s="97"/>
      <c r="F15" s="97"/>
      <c r="H15" s="2">
        <f t="shared" si="1"/>
        <v>0</v>
      </c>
      <c r="I15" s="73"/>
      <c r="J15" s="99"/>
      <c r="K15" s="99"/>
      <c r="M15" s="2"/>
      <c r="N15" s="73"/>
      <c r="P15" s="2"/>
      <c r="Q15" s="73"/>
      <c r="V15" s="73"/>
      <c r="X15" s="73" t="s">
        <v>207</v>
      </c>
    </row>
    <row r="16" spans="1:30" x14ac:dyDescent="0.25">
      <c r="A16" s="73"/>
      <c r="C16" s="2">
        <f t="shared" si="0"/>
        <v>1</v>
      </c>
      <c r="D16" s="77" t="s">
        <v>6256</v>
      </c>
      <c r="E16" s="95"/>
      <c r="F16" s="95"/>
      <c r="H16" s="2">
        <f t="shared" si="1"/>
        <v>0</v>
      </c>
      <c r="I16" s="73"/>
      <c r="J16" s="96"/>
      <c r="K16" s="99"/>
      <c r="M16" s="2"/>
      <c r="P16" s="2"/>
      <c r="Q16" s="73"/>
      <c r="V16" s="73"/>
      <c r="X16" s="73" t="s">
        <v>205</v>
      </c>
    </row>
    <row r="17" spans="1:24" x14ac:dyDescent="0.25">
      <c r="A17" s="73"/>
      <c r="C17" s="2">
        <f t="shared" si="0"/>
        <v>0</v>
      </c>
      <c r="D17" s="77"/>
      <c r="E17" s="95"/>
      <c r="F17" s="95"/>
      <c r="H17" s="2">
        <f t="shared" si="1"/>
        <v>0</v>
      </c>
      <c r="J17" s="96"/>
      <c r="K17" s="96"/>
      <c r="M17" s="2"/>
      <c r="P17" s="2"/>
      <c r="Q17" s="73"/>
      <c r="V17" s="73"/>
      <c r="X17" s="73" t="s">
        <v>197</v>
      </c>
    </row>
    <row r="18" spans="1:24" x14ac:dyDescent="0.25">
      <c r="A18" s="73"/>
      <c r="C18" s="2">
        <f t="shared" si="0"/>
        <v>0</v>
      </c>
      <c r="D18" s="77"/>
      <c r="E18" s="95"/>
      <c r="F18" s="95"/>
      <c r="H18" s="2">
        <f t="shared" si="1"/>
        <v>0</v>
      </c>
      <c r="J18" s="96"/>
      <c r="K18" s="96"/>
      <c r="M18" s="2"/>
      <c r="P18" s="2"/>
      <c r="Q18" s="73"/>
      <c r="V18" s="73"/>
      <c r="X18" s="73" t="s">
        <v>202</v>
      </c>
    </row>
    <row r="19" spans="1:24" x14ac:dyDescent="0.25">
      <c r="A19" s="73"/>
      <c r="C19" s="2">
        <f t="shared" si="0"/>
        <v>0</v>
      </c>
      <c r="D19" s="77"/>
      <c r="E19" s="95"/>
      <c r="F19" s="95"/>
      <c r="H19" s="2">
        <f t="shared" si="1"/>
        <v>0</v>
      </c>
      <c r="J19" s="96"/>
      <c r="K19" s="96"/>
      <c r="M19" s="2"/>
      <c r="P19" s="2"/>
      <c r="Q19" s="73"/>
      <c r="V19" s="73"/>
      <c r="X19" s="73" t="s">
        <v>202</v>
      </c>
    </row>
    <row r="20" spans="1:24" x14ac:dyDescent="0.25">
      <c r="A20" s="73"/>
      <c r="C20" s="2">
        <f t="shared" si="0"/>
        <v>0</v>
      </c>
      <c r="D20" s="77"/>
      <c r="E20" s="95"/>
      <c r="F20" s="95"/>
      <c r="H20" s="2">
        <f t="shared" si="1"/>
        <v>0</v>
      </c>
      <c r="J20" s="96"/>
      <c r="K20" s="96"/>
      <c r="M20" s="2"/>
      <c r="P20" s="2"/>
      <c r="Q20" s="73"/>
      <c r="V20" s="73"/>
      <c r="X20" s="73" t="s">
        <v>202</v>
      </c>
    </row>
    <row r="21" spans="1:24" x14ac:dyDescent="0.25">
      <c r="A21" s="73"/>
      <c r="C21" s="2">
        <f t="shared" si="0"/>
        <v>0</v>
      </c>
      <c r="D21" s="77"/>
      <c r="E21" s="95"/>
      <c r="F21" s="95"/>
      <c r="H21" s="2">
        <f t="shared" si="1"/>
        <v>0</v>
      </c>
      <c r="J21" s="96"/>
      <c r="K21" s="96"/>
      <c r="M21" s="2"/>
      <c r="P21" s="2"/>
      <c r="Q21" s="73"/>
      <c r="V21" s="73"/>
      <c r="X21" s="73" t="s">
        <v>202</v>
      </c>
    </row>
    <row r="22" spans="1:24" x14ac:dyDescent="0.25">
      <c r="A22" s="73"/>
      <c r="C22" s="2">
        <f t="shared" si="0"/>
        <v>0</v>
      </c>
      <c r="D22" s="77"/>
      <c r="E22" s="95"/>
      <c r="F22" s="95"/>
      <c r="H22" s="2">
        <f t="shared" si="1"/>
        <v>0</v>
      </c>
      <c r="J22" s="96"/>
      <c r="K22" s="96"/>
      <c r="M22" s="2"/>
      <c r="P22" s="2"/>
      <c r="Q22" s="73"/>
      <c r="V22" s="73"/>
      <c r="X22" s="73" t="s">
        <v>202</v>
      </c>
    </row>
    <row r="23" spans="1:24" x14ac:dyDescent="0.25">
      <c r="A23" s="73"/>
      <c r="C23" s="2">
        <f t="shared" si="0"/>
        <v>0</v>
      </c>
      <c r="D23" s="77"/>
      <c r="E23" s="95"/>
      <c r="F23" s="95"/>
      <c r="H23" s="2">
        <f t="shared" si="1"/>
        <v>0</v>
      </c>
      <c r="J23" s="96"/>
      <c r="K23" s="96"/>
      <c r="M23" s="2"/>
      <c r="P23" s="2"/>
      <c r="Q23" s="73"/>
      <c r="V23" s="73"/>
      <c r="X23" s="73" t="s">
        <v>202</v>
      </c>
    </row>
    <row r="24" spans="1:24" x14ac:dyDescent="0.25">
      <c r="A24" s="4"/>
      <c r="C24" s="2"/>
      <c r="D24" s="77"/>
      <c r="E24" s="95"/>
      <c r="F24" s="95"/>
      <c r="H24" s="2"/>
      <c r="J24" s="96"/>
      <c r="K24" s="96"/>
      <c r="M24" s="2"/>
      <c r="P24" s="2"/>
      <c r="Q24" s="4"/>
      <c r="V24" s="4"/>
      <c r="X24" s="4"/>
    </row>
    <row r="25" spans="1:24" x14ac:dyDescent="0.25">
      <c r="A25" s="4"/>
      <c r="C25" s="2"/>
      <c r="D25"/>
      <c r="E25" s="96"/>
      <c r="F25" s="96"/>
      <c r="H25" s="2"/>
      <c r="J25" s="96"/>
      <c r="K25" s="96"/>
      <c r="M25" s="2"/>
      <c r="P25" s="2"/>
      <c r="Q25" s="4"/>
      <c r="V25" s="4"/>
      <c r="X25" s="4" t="s">
        <v>201</v>
      </c>
    </row>
    <row r="26" spans="1:24" x14ac:dyDescent="0.25">
      <c r="A26" s="4"/>
      <c r="B26" s="1">
        <v>4</v>
      </c>
      <c r="C26" s="2">
        <f t="shared" ref="C26:C72" si="2">COUNTIFS(D:D,D26)</f>
        <v>0</v>
      </c>
      <c r="D26" s="4"/>
      <c r="E26" s="98"/>
      <c r="F26" s="98"/>
      <c r="H26" s="2">
        <f t="shared" ref="H26:H57" si="3">COUNTIFS(I:I,I26)</f>
        <v>1</v>
      </c>
      <c r="I26" s="79" t="s">
        <v>6354</v>
      </c>
      <c r="J26" s="95" t="s">
        <v>6771</v>
      </c>
      <c r="K26" s="97" t="s">
        <v>6486</v>
      </c>
      <c r="M26" s="2"/>
      <c r="N26" s="73"/>
      <c r="P26" s="2"/>
      <c r="Q26" s="4"/>
      <c r="V26" s="4"/>
      <c r="X26" s="4" t="s">
        <v>197</v>
      </c>
    </row>
    <row r="27" spans="1:24" x14ac:dyDescent="0.25">
      <c r="C27" s="2">
        <f t="shared" si="2"/>
        <v>0</v>
      </c>
      <c r="D27" s="4"/>
      <c r="E27" s="98"/>
      <c r="F27" s="98"/>
      <c r="H27" s="2">
        <f t="shared" si="3"/>
        <v>1</v>
      </c>
      <c r="I27" s="79" t="s">
        <v>199</v>
      </c>
      <c r="J27" s="97" t="s">
        <v>6772</v>
      </c>
      <c r="K27" s="97" t="s">
        <v>6486</v>
      </c>
      <c r="M27" s="2"/>
      <c r="N27" s="73"/>
      <c r="P27" s="2"/>
      <c r="Q27" s="4"/>
      <c r="V27" s="4"/>
    </row>
    <row r="28" spans="1:24" x14ac:dyDescent="0.25">
      <c r="C28" s="2">
        <f t="shared" si="2"/>
        <v>1</v>
      </c>
      <c r="D28" s="79" t="s">
        <v>127</v>
      </c>
      <c r="E28" s="97" t="s">
        <v>6642</v>
      </c>
      <c r="F28" s="97" t="s">
        <v>6601</v>
      </c>
      <c r="H28" s="2">
        <f t="shared" si="3"/>
        <v>1</v>
      </c>
      <c r="I28" s="79" t="s">
        <v>194</v>
      </c>
      <c r="J28" s="97" t="s">
        <v>6776</v>
      </c>
      <c r="K28" s="97" t="s">
        <v>6638</v>
      </c>
      <c r="M28" s="2"/>
      <c r="N28" s="73"/>
      <c r="P28" s="2"/>
      <c r="Q28" s="4"/>
      <c r="V28" s="4"/>
    </row>
    <row r="29" spans="1:24" x14ac:dyDescent="0.25">
      <c r="C29" s="2">
        <f t="shared" si="2"/>
        <v>1</v>
      </c>
      <c r="D29" s="79" t="s">
        <v>192</v>
      </c>
      <c r="E29" s="97" t="s">
        <v>6639</v>
      </c>
      <c r="F29" s="97" t="s">
        <v>6640</v>
      </c>
      <c r="H29" s="2">
        <f t="shared" si="3"/>
        <v>1</v>
      </c>
      <c r="I29" s="79" t="s">
        <v>138</v>
      </c>
      <c r="J29" s="97" t="s">
        <v>6799</v>
      </c>
      <c r="K29" s="97" t="s">
        <v>6486</v>
      </c>
      <c r="M29" s="2"/>
      <c r="N29" s="73"/>
      <c r="P29" s="2"/>
      <c r="Q29" s="4"/>
      <c r="V29" s="4"/>
    </row>
    <row r="30" spans="1:24" x14ac:dyDescent="0.25">
      <c r="C30" s="2">
        <f t="shared" si="2"/>
        <v>1</v>
      </c>
      <c r="D30" s="79" t="s">
        <v>126</v>
      </c>
      <c r="E30" s="97" t="s">
        <v>6643</v>
      </c>
      <c r="F30" s="97" t="s">
        <v>6601</v>
      </c>
      <c r="H30" s="2">
        <f t="shared" si="3"/>
        <v>1</v>
      </c>
      <c r="I30" s="79" t="s">
        <v>144</v>
      </c>
      <c r="J30" s="97" t="s">
        <v>6809</v>
      </c>
      <c r="K30" s="97" t="s">
        <v>6486</v>
      </c>
      <c r="M30" s="2"/>
      <c r="N30" s="73"/>
      <c r="P30" s="2"/>
      <c r="Q30" s="4"/>
      <c r="V30" s="4"/>
    </row>
    <row r="31" spans="1:24" x14ac:dyDescent="0.25">
      <c r="C31" s="2">
        <f t="shared" si="2"/>
        <v>1</v>
      </c>
      <c r="D31" s="79" t="s">
        <v>187</v>
      </c>
      <c r="E31" s="97" t="s">
        <v>6644</v>
      </c>
      <c r="F31" s="97" t="s">
        <v>6486</v>
      </c>
      <c r="H31" s="2">
        <f t="shared" si="3"/>
        <v>1</v>
      </c>
      <c r="I31" s="79" t="s">
        <v>146</v>
      </c>
      <c r="J31" s="97" t="s">
        <v>6812</v>
      </c>
      <c r="K31" s="97" t="s">
        <v>6532</v>
      </c>
      <c r="M31" s="2"/>
      <c r="N31" s="73"/>
      <c r="P31" s="2"/>
      <c r="Q31" s="4"/>
      <c r="V31" s="4"/>
    </row>
    <row r="32" spans="1:24" x14ac:dyDescent="0.25">
      <c r="C32" s="2">
        <f t="shared" si="2"/>
        <v>1</v>
      </c>
      <c r="D32" s="79" t="s">
        <v>165</v>
      </c>
      <c r="E32" s="97" t="s">
        <v>6669</v>
      </c>
      <c r="F32" s="97" t="s">
        <v>6638</v>
      </c>
      <c r="H32" s="2">
        <f t="shared" si="3"/>
        <v>1</v>
      </c>
      <c r="I32" s="79" t="s">
        <v>148</v>
      </c>
      <c r="J32" s="97" t="s">
        <v>6813</v>
      </c>
      <c r="K32" s="97" t="s">
        <v>6486</v>
      </c>
      <c r="M32" s="2"/>
      <c r="N32" s="73"/>
      <c r="P32" s="2"/>
      <c r="Q32" s="4"/>
      <c r="V32" s="4"/>
    </row>
    <row r="33" spans="3:22" x14ac:dyDescent="0.25">
      <c r="C33" s="2">
        <f t="shared" si="2"/>
        <v>1</v>
      </c>
      <c r="D33" s="79" t="s">
        <v>5526</v>
      </c>
      <c r="E33" s="97" t="s">
        <v>6681</v>
      </c>
      <c r="F33" s="97" t="s">
        <v>323</v>
      </c>
      <c r="H33" s="2">
        <f t="shared" si="3"/>
        <v>1</v>
      </c>
      <c r="I33" s="79" t="s">
        <v>7028</v>
      </c>
      <c r="J33" s="97" t="s">
        <v>7029</v>
      </c>
      <c r="K33" s="97" t="s">
        <v>6486</v>
      </c>
      <c r="M33" s="2"/>
      <c r="N33" s="73"/>
      <c r="P33" s="2"/>
      <c r="Q33" s="4"/>
      <c r="V33" s="4"/>
    </row>
    <row r="34" spans="3:22" x14ac:dyDescent="0.25">
      <c r="C34" s="2">
        <f t="shared" si="2"/>
        <v>1</v>
      </c>
      <c r="D34" s="79" t="s">
        <v>5527</v>
      </c>
      <c r="E34" s="97" t="s">
        <v>6682</v>
      </c>
      <c r="F34" s="97" t="s">
        <v>323</v>
      </c>
      <c r="H34" s="2">
        <f t="shared" si="3"/>
        <v>1</v>
      </c>
      <c r="I34" s="79" t="s">
        <v>7328</v>
      </c>
      <c r="J34" s="97" t="s">
        <v>7329</v>
      </c>
      <c r="K34" s="97" t="s">
        <v>6486</v>
      </c>
      <c r="M34" s="2"/>
      <c r="N34" s="73"/>
      <c r="P34" s="2"/>
      <c r="Q34" s="4"/>
      <c r="V34" s="4"/>
    </row>
    <row r="35" spans="3:22" x14ac:dyDescent="0.25">
      <c r="C35" s="2">
        <f t="shared" si="2"/>
        <v>1</v>
      </c>
      <c r="D35" s="79" t="s">
        <v>130</v>
      </c>
      <c r="E35" s="97" t="s">
        <v>6695</v>
      </c>
      <c r="F35" s="97" t="s">
        <v>6498</v>
      </c>
      <c r="H35" s="2">
        <f t="shared" si="3"/>
        <v>0</v>
      </c>
      <c r="I35" s="4"/>
      <c r="J35" s="99"/>
      <c r="K35" s="99"/>
      <c r="M35" s="2"/>
      <c r="N35" s="73"/>
      <c r="P35" s="2"/>
      <c r="Q35" s="4"/>
      <c r="V35" s="4"/>
    </row>
    <row r="36" spans="3:22" x14ac:dyDescent="0.25">
      <c r="C36" s="2">
        <f t="shared" si="2"/>
        <v>1</v>
      </c>
      <c r="D36" s="79" t="s">
        <v>124</v>
      </c>
      <c r="E36" s="97" t="s">
        <v>6701</v>
      </c>
      <c r="F36" s="97" t="s">
        <v>6486</v>
      </c>
      <c r="H36" s="2">
        <f t="shared" si="3"/>
        <v>0</v>
      </c>
      <c r="I36" s="4"/>
      <c r="J36" s="99"/>
      <c r="K36" s="99"/>
      <c r="M36" s="2"/>
      <c r="N36" s="73"/>
      <c r="P36" s="2"/>
      <c r="Q36" s="4"/>
      <c r="V36" s="4"/>
    </row>
    <row r="37" spans="3:22" x14ac:dyDescent="0.25">
      <c r="C37" s="2">
        <f t="shared" si="2"/>
        <v>1</v>
      </c>
      <c r="D37" s="79" t="s">
        <v>5593</v>
      </c>
      <c r="E37" s="97" t="s">
        <v>6704</v>
      </c>
      <c r="F37" s="97" t="s">
        <v>323</v>
      </c>
      <c r="H37" s="2">
        <f t="shared" si="3"/>
        <v>0</v>
      </c>
      <c r="I37" s="4"/>
      <c r="J37" s="99"/>
      <c r="K37" s="99"/>
      <c r="M37" s="2"/>
      <c r="N37" s="73"/>
      <c r="P37" s="2"/>
      <c r="Q37" s="4"/>
      <c r="V37" s="4"/>
    </row>
    <row r="38" spans="3:22" x14ac:dyDescent="0.25">
      <c r="C38" s="2">
        <f t="shared" si="2"/>
        <v>1</v>
      </c>
      <c r="D38" s="79" t="s">
        <v>6073</v>
      </c>
      <c r="E38" s="97" t="s">
        <v>6714</v>
      </c>
      <c r="F38" s="97" t="s">
        <v>6486</v>
      </c>
      <c r="H38" s="2">
        <f t="shared" si="3"/>
        <v>0</v>
      </c>
      <c r="I38" s="4"/>
      <c r="J38" s="99"/>
      <c r="K38" s="99"/>
      <c r="M38" s="2"/>
      <c r="N38" s="73"/>
      <c r="P38" s="2"/>
      <c r="Q38" s="4"/>
      <c r="V38" s="4"/>
    </row>
    <row r="39" spans="3:22" x14ac:dyDescent="0.25">
      <c r="C39" s="2">
        <f t="shared" si="2"/>
        <v>1</v>
      </c>
      <c r="D39" s="79" t="s">
        <v>6257</v>
      </c>
      <c r="E39" s="97" t="s">
        <v>6716</v>
      </c>
      <c r="F39" s="97" t="s">
        <v>6717</v>
      </c>
      <c r="H39" s="2">
        <f t="shared" si="3"/>
        <v>0</v>
      </c>
      <c r="I39" s="4"/>
      <c r="J39" s="99"/>
      <c r="K39" s="99"/>
      <c r="M39" s="2"/>
      <c r="N39" s="73"/>
      <c r="P39" s="2"/>
      <c r="Q39" s="4"/>
      <c r="V39" s="4"/>
    </row>
    <row r="40" spans="3:22" x14ac:dyDescent="0.25">
      <c r="C40" s="2">
        <f t="shared" si="2"/>
        <v>1</v>
      </c>
      <c r="D40" s="79" t="s">
        <v>6312</v>
      </c>
      <c r="E40" s="97" t="s">
        <v>6718</v>
      </c>
      <c r="F40" s="97" t="s">
        <v>6486</v>
      </c>
      <c r="H40" s="2">
        <f t="shared" si="3"/>
        <v>0</v>
      </c>
      <c r="I40" s="4"/>
      <c r="J40" s="99"/>
      <c r="K40" s="99"/>
      <c r="M40" s="2"/>
      <c r="N40" s="73"/>
      <c r="P40" s="2"/>
      <c r="Q40" s="4"/>
      <c r="V40" s="4"/>
    </row>
    <row r="41" spans="3:22" x14ac:dyDescent="0.25">
      <c r="C41" s="2">
        <f t="shared" si="2"/>
        <v>1</v>
      </c>
      <c r="D41" s="79" t="s">
        <v>6326</v>
      </c>
      <c r="E41" s="97" t="s">
        <v>6719</v>
      </c>
      <c r="F41" s="97" t="s">
        <v>6601</v>
      </c>
      <c r="H41" s="2">
        <f t="shared" si="3"/>
        <v>0</v>
      </c>
      <c r="I41" s="4"/>
      <c r="J41" s="99"/>
      <c r="K41" s="99"/>
      <c r="M41" s="2"/>
      <c r="N41" s="73"/>
      <c r="P41" s="2"/>
      <c r="Q41" s="4"/>
      <c r="V41" s="4"/>
    </row>
    <row r="42" spans="3:22" x14ac:dyDescent="0.25">
      <c r="C42" s="2">
        <f t="shared" si="2"/>
        <v>1</v>
      </c>
      <c r="D42" s="79" t="s">
        <v>104</v>
      </c>
      <c r="E42" s="97" t="s">
        <v>6730</v>
      </c>
      <c r="F42" s="97" t="s">
        <v>6486</v>
      </c>
      <c r="H42" s="2">
        <f t="shared" si="3"/>
        <v>0</v>
      </c>
      <c r="I42" s="4"/>
      <c r="J42" s="99"/>
      <c r="K42" s="99"/>
      <c r="M42" s="2"/>
      <c r="N42" s="73"/>
      <c r="P42" s="2"/>
      <c r="Q42" s="4"/>
      <c r="V42" s="4"/>
    </row>
    <row r="43" spans="3:22" x14ac:dyDescent="0.25">
      <c r="C43" s="2">
        <f t="shared" si="2"/>
        <v>0</v>
      </c>
      <c r="D43" s="79"/>
      <c r="E43" s="97"/>
      <c r="F43" s="97"/>
      <c r="H43" s="2">
        <f t="shared" si="3"/>
        <v>0</v>
      </c>
      <c r="I43" s="4"/>
      <c r="J43" s="99"/>
      <c r="K43" s="99"/>
      <c r="M43" s="2"/>
      <c r="N43" s="73"/>
      <c r="P43" s="2"/>
      <c r="T43" s="4"/>
      <c r="V43" s="4"/>
    </row>
    <row r="44" spans="3:22" x14ac:dyDescent="0.25">
      <c r="C44" s="2">
        <f t="shared" si="2"/>
        <v>0</v>
      </c>
      <c r="D44" s="4"/>
      <c r="E44" s="98"/>
      <c r="F44" s="98"/>
      <c r="H44" s="2">
        <f t="shared" si="3"/>
        <v>0</v>
      </c>
      <c r="I44" s="4"/>
      <c r="J44" s="99"/>
      <c r="K44" s="99"/>
      <c r="M44" s="2"/>
      <c r="N44" s="73"/>
      <c r="P44" s="2"/>
      <c r="T44" s="4"/>
      <c r="V44" s="4"/>
    </row>
    <row r="45" spans="3:22" x14ac:dyDescent="0.25">
      <c r="C45" s="2">
        <f t="shared" si="2"/>
        <v>0</v>
      </c>
      <c r="D45" s="4"/>
      <c r="E45" s="98"/>
      <c r="F45" s="98"/>
      <c r="H45" s="2">
        <f t="shared" si="3"/>
        <v>0</v>
      </c>
      <c r="I45" s="4"/>
      <c r="J45" s="99"/>
      <c r="K45" s="99"/>
      <c r="M45" s="2"/>
      <c r="N45" s="73"/>
      <c r="P45" s="2"/>
      <c r="T45" s="4"/>
      <c r="V45" s="4"/>
    </row>
    <row r="46" spans="3:22" x14ac:dyDescent="0.25">
      <c r="C46" s="2">
        <f t="shared" si="2"/>
        <v>0</v>
      </c>
      <c r="D46" s="4"/>
      <c r="E46" s="98"/>
      <c r="F46" s="98"/>
      <c r="H46" s="2">
        <f t="shared" si="3"/>
        <v>0</v>
      </c>
      <c r="I46" s="4"/>
      <c r="J46" s="99"/>
      <c r="K46" s="99"/>
      <c r="M46" s="2"/>
      <c r="N46" s="73"/>
      <c r="P46" s="2"/>
      <c r="T46" s="4"/>
      <c r="V46" s="4"/>
    </row>
    <row r="47" spans="3:22" x14ac:dyDescent="0.25">
      <c r="C47" s="2">
        <f t="shared" si="2"/>
        <v>0</v>
      </c>
      <c r="D47" s="4"/>
      <c r="E47" s="98"/>
      <c r="F47" s="98"/>
      <c r="H47" s="2">
        <f t="shared" si="3"/>
        <v>0</v>
      </c>
      <c r="I47" s="4"/>
      <c r="J47" s="99"/>
      <c r="K47" s="99"/>
      <c r="M47" s="2"/>
      <c r="N47" s="73"/>
      <c r="P47" s="2"/>
      <c r="T47" s="4"/>
      <c r="V47" s="4"/>
    </row>
    <row r="48" spans="3:22" x14ac:dyDescent="0.25">
      <c r="C48" s="2">
        <f t="shared" si="2"/>
        <v>0</v>
      </c>
      <c r="D48" s="4"/>
      <c r="E48" s="98"/>
      <c r="F48" s="98"/>
      <c r="H48" s="2">
        <f t="shared" si="3"/>
        <v>0</v>
      </c>
      <c r="I48" s="4"/>
      <c r="J48" s="99"/>
      <c r="K48" s="99"/>
      <c r="M48" s="2"/>
      <c r="N48" s="73"/>
      <c r="P48" s="2"/>
      <c r="T48" s="4"/>
      <c r="V48" s="4"/>
    </row>
    <row r="49" spans="3:22" x14ac:dyDescent="0.25">
      <c r="C49" s="2">
        <f t="shared" si="2"/>
        <v>0</v>
      </c>
      <c r="D49" s="4"/>
      <c r="E49" s="98"/>
      <c r="F49" s="98"/>
      <c r="H49" s="2">
        <f t="shared" si="3"/>
        <v>0</v>
      </c>
      <c r="I49" s="4"/>
      <c r="J49" s="99"/>
      <c r="K49" s="99"/>
      <c r="M49" s="2"/>
      <c r="N49" s="73"/>
      <c r="P49" s="2"/>
      <c r="T49" s="4"/>
      <c r="V49" s="4"/>
    </row>
    <row r="50" spans="3:22" x14ac:dyDescent="0.25">
      <c r="C50" s="2">
        <f t="shared" si="2"/>
        <v>0</v>
      </c>
      <c r="D50" s="4"/>
      <c r="E50" s="98"/>
      <c r="F50" s="98"/>
      <c r="H50" s="2">
        <f t="shared" si="3"/>
        <v>0</v>
      </c>
      <c r="I50" s="4"/>
      <c r="J50" s="99"/>
      <c r="K50" s="99"/>
      <c r="M50" s="2"/>
      <c r="N50" s="73"/>
      <c r="P50" s="2"/>
      <c r="T50" s="4"/>
      <c r="V50" s="4"/>
    </row>
    <row r="51" spans="3:22" x14ac:dyDescent="0.25">
      <c r="C51" s="2">
        <f t="shared" si="2"/>
        <v>0</v>
      </c>
      <c r="D51" s="4"/>
      <c r="E51" s="98"/>
      <c r="F51" s="98"/>
      <c r="H51" s="2">
        <f t="shared" si="3"/>
        <v>0</v>
      </c>
      <c r="I51" s="4"/>
      <c r="J51" s="99"/>
      <c r="K51" s="99"/>
      <c r="M51" s="2"/>
      <c r="N51" s="73"/>
      <c r="P51" s="2"/>
      <c r="T51" s="4"/>
      <c r="V51" s="4"/>
    </row>
    <row r="52" spans="3:22" x14ac:dyDescent="0.25">
      <c r="C52" s="2">
        <f t="shared" si="2"/>
        <v>0</v>
      </c>
      <c r="D52" s="4"/>
      <c r="E52" s="98"/>
      <c r="F52" s="98"/>
      <c r="H52" s="2">
        <f t="shared" si="3"/>
        <v>0</v>
      </c>
      <c r="I52" s="4"/>
      <c r="J52" s="99"/>
      <c r="K52" s="99"/>
      <c r="M52" s="2"/>
      <c r="N52" s="73"/>
      <c r="P52" s="2"/>
      <c r="T52" s="4"/>
      <c r="V52" s="4"/>
    </row>
    <row r="53" spans="3:22" x14ac:dyDescent="0.25">
      <c r="C53" s="2">
        <f t="shared" si="2"/>
        <v>0</v>
      </c>
      <c r="D53" s="4"/>
      <c r="E53" s="98"/>
      <c r="F53" s="98"/>
      <c r="H53" s="2">
        <f t="shared" si="3"/>
        <v>0</v>
      </c>
      <c r="I53" s="73"/>
      <c r="J53" s="96"/>
      <c r="K53" s="99"/>
      <c r="M53" s="2"/>
      <c r="N53" s="73"/>
      <c r="P53" s="2"/>
      <c r="T53" s="4"/>
      <c r="V53" s="4"/>
    </row>
    <row r="54" spans="3:22" x14ac:dyDescent="0.25">
      <c r="C54" s="2">
        <f t="shared" si="2"/>
        <v>0</v>
      </c>
      <c r="D54" s="4"/>
      <c r="E54" s="98"/>
      <c r="F54" s="98"/>
      <c r="H54" s="2">
        <f t="shared" si="3"/>
        <v>0</v>
      </c>
      <c r="I54" s="4"/>
      <c r="J54" s="99"/>
      <c r="K54" s="99"/>
      <c r="M54" s="2"/>
      <c r="N54" s="73"/>
      <c r="P54" s="2"/>
      <c r="T54" s="4"/>
      <c r="V54" s="4"/>
    </row>
    <row r="55" spans="3:22" x14ac:dyDescent="0.25">
      <c r="C55" s="2">
        <f t="shared" si="2"/>
        <v>0</v>
      </c>
      <c r="D55" s="4"/>
      <c r="E55" s="98"/>
      <c r="F55" s="98"/>
      <c r="H55" s="2">
        <f t="shared" si="3"/>
        <v>0</v>
      </c>
      <c r="I55" s="4"/>
      <c r="J55" s="99"/>
      <c r="K55" s="99"/>
      <c r="M55" s="2"/>
      <c r="N55" s="73"/>
      <c r="P55" s="2"/>
      <c r="T55" s="4"/>
      <c r="V55" s="4"/>
    </row>
    <row r="56" spans="3:22" x14ac:dyDescent="0.25">
      <c r="C56" s="2">
        <f t="shared" si="2"/>
        <v>0</v>
      </c>
      <c r="D56" s="4"/>
      <c r="E56" s="98"/>
      <c r="F56" s="98"/>
      <c r="H56" s="2">
        <f t="shared" si="3"/>
        <v>0</v>
      </c>
      <c r="I56" s="4"/>
      <c r="J56" s="99"/>
      <c r="K56" s="99"/>
      <c r="M56" s="2"/>
      <c r="N56" s="73"/>
      <c r="P56" s="2"/>
      <c r="T56" s="4"/>
      <c r="V56" s="4"/>
    </row>
    <row r="57" spans="3:22" x14ac:dyDescent="0.25">
      <c r="C57" s="2">
        <f t="shared" si="2"/>
        <v>0</v>
      </c>
      <c r="D57" s="4"/>
      <c r="E57" s="98"/>
      <c r="F57" s="98"/>
      <c r="H57" s="2">
        <f t="shared" si="3"/>
        <v>0</v>
      </c>
      <c r="I57" s="4"/>
      <c r="J57" s="99"/>
      <c r="K57" s="99"/>
      <c r="M57" s="2"/>
      <c r="N57" s="73"/>
      <c r="P57" s="2"/>
      <c r="T57" s="4"/>
      <c r="V57" s="4"/>
    </row>
    <row r="58" spans="3:22" x14ac:dyDescent="0.25">
      <c r="C58" s="2">
        <f t="shared" si="2"/>
        <v>0</v>
      </c>
      <c r="D58" s="4"/>
      <c r="E58" s="98"/>
      <c r="F58" s="98"/>
      <c r="H58" s="2">
        <f t="shared" ref="H58:H89" si="4">COUNTIFS(I:I,I58)</f>
        <v>0</v>
      </c>
      <c r="I58" s="4"/>
      <c r="J58" s="99"/>
      <c r="K58" s="99"/>
      <c r="M58" s="2"/>
      <c r="P58" s="2"/>
      <c r="T58" s="4"/>
      <c r="V58" s="4"/>
    </row>
    <row r="59" spans="3:22" x14ac:dyDescent="0.25">
      <c r="C59" s="2">
        <f t="shared" si="2"/>
        <v>0</v>
      </c>
      <c r="D59" s="4"/>
      <c r="E59" s="98"/>
      <c r="F59" s="98"/>
      <c r="H59" s="2">
        <f t="shared" si="4"/>
        <v>0</v>
      </c>
      <c r="I59" s="4"/>
      <c r="J59" s="99"/>
      <c r="K59" s="99"/>
      <c r="M59" s="2"/>
      <c r="P59" s="2"/>
      <c r="T59" s="4"/>
      <c r="V59" s="4"/>
    </row>
    <row r="60" spans="3:22" x14ac:dyDescent="0.25">
      <c r="C60" s="2">
        <f t="shared" si="2"/>
        <v>0</v>
      </c>
      <c r="D60" s="4"/>
      <c r="E60" s="98"/>
      <c r="F60" s="98"/>
      <c r="H60" s="2">
        <f t="shared" si="4"/>
        <v>0</v>
      </c>
      <c r="I60" s="4"/>
      <c r="J60" s="99"/>
      <c r="K60" s="99"/>
      <c r="M60" s="2"/>
      <c r="P60" s="2"/>
      <c r="T60" s="4"/>
      <c r="V60" s="4"/>
    </row>
    <row r="61" spans="3:22" x14ac:dyDescent="0.25">
      <c r="C61" s="2">
        <f t="shared" si="2"/>
        <v>0</v>
      </c>
      <c r="D61" s="4"/>
      <c r="E61" s="98"/>
      <c r="F61" s="98"/>
      <c r="H61" s="2">
        <f t="shared" si="4"/>
        <v>0</v>
      </c>
      <c r="I61" s="4"/>
      <c r="J61" s="99"/>
      <c r="K61" s="99"/>
      <c r="M61" s="2"/>
      <c r="P61" s="2"/>
      <c r="T61" s="4"/>
      <c r="V61" s="4"/>
    </row>
    <row r="62" spans="3:22" x14ac:dyDescent="0.25">
      <c r="C62" s="2">
        <f t="shared" si="2"/>
        <v>0</v>
      </c>
      <c r="D62" s="4"/>
      <c r="E62" s="98"/>
      <c r="F62" s="98"/>
      <c r="H62" s="2">
        <f t="shared" si="4"/>
        <v>0</v>
      </c>
      <c r="I62" s="4"/>
      <c r="J62" s="99"/>
      <c r="K62" s="99"/>
      <c r="M62" s="2"/>
      <c r="P62" s="2"/>
      <c r="T62" s="4"/>
      <c r="V62" s="4"/>
    </row>
    <row r="63" spans="3:22" x14ac:dyDescent="0.25">
      <c r="C63" s="2">
        <f t="shared" si="2"/>
        <v>0</v>
      </c>
      <c r="D63" s="4"/>
      <c r="E63" s="98"/>
      <c r="F63" s="98"/>
      <c r="H63" s="2">
        <f t="shared" si="4"/>
        <v>0</v>
      </c>
      <c r="I63" s="4"/>
      <c r="J63" s="99"/>
      <c r="K63" s="99"/>
      <c r="M63" s="2"/>
      <c r="P63" s="2"/>
      <c r="T63" s="4"/>
      <c r="V63" s="4"/>
    </row>
    <row r="64" spans="3:22" x14ac:dyDescent="0.25">
      <c r="C64" s="2">
        <f t="shared" si="2"/>
        <v>0</v>
      </c>
      <c r="D64" s="4"/>
      <c r="E64" s="98"/>
      <c r="F64" s="98"/>
      <c r="H64" s="2">
        <f t="shared" si="4"/>
        <v>0</v>
      </c>
      <c r="I64" s="4"/>
      <c r="J64" s="99"/>
      <c r="K64" s="99"/>
      <c r="M64" s="2"/>
      <c r="P64" s="2"/>
      <c r="T64" s="4"/>
      <c r="V64" s="4"/>
    </row>
    <row r="65" spans="2:22" x14ac:dyDescent="0.25">
      <c r="C65" s="2">
        <f t="shared" si="2"/>
        <v>0</v>
      </c>
      <c r="D65" s="4"/>
      <c r="E65" s="98"/>
      <c r="F65" s="98"/>
      <c r="H65" s="2">
        <f t="shared" si="4"/>
        <v>0</v>
      </c>
      <c r="I65" s="4"/>
      <c r="J65" s="99"/>
      <c r="K65" s="99"/>
      <c r="M65" s="2"/>
      <c r="P65" s="2"/>
      <c r="T65" s="4"/>
      <c r="V65" s="4"/>
    </row>
    <row r="66" spans="2:22" x14ac:dyDescent="0.25">
      <c r="C66" s="2">
        <f t="shared" si="2"/>
        <v>0</v>
      </c>
      <c r="D66" s="4"/>
      <c r="E66" s="98"/>
      <c r="F66" s="98"/>
      <c r="H66" s="2">
        <f t="shared" si="4"/>
        <v>0</v>
      </c>
      <c r="I66" s="4"/>
      <c r="J66" s="99"/>
      <c r="K66" s="99"/>
      <c r="M66" s="2"/>
      <c r="P66" s="2"/>
      <c r="T66" s="4"/>
      <c r="V66" s="4"/>
    </row>
    <row r="67" spans="2:22" x14ac:dyDescent="0.25">
      <c r="C67" s="2">
        <f t="shared" si="2"/>
        <v>0</v>
      </c>
      <c r="D67" s="4"/>
      <c r="E67" s="98"/>
      <c r="F67" s="98"/>
      <c r="H67" s="2">
        <f t="shared" si="4"/>
        <v>0</v>
      </c>
      <c r="I67" s="4"/>
      <c r="J67" s="99"/>
      <c r="K67" s="99"/>
      <c r="M67" s="2"/>
      <c r="P67" s="2"/>
      <c r="T67" s="4"/>
      <c r="V67" s="4"/>
    </row>
    <row r="68" spans="2:22" x14ac:dyDescent="0.25">
      <c r="C68" s="2">
        <f t="shared" si="2"/>
        <v>0</v>
      </c>
      <c r="D68" s="4"/>
      <c r="E68" s="98"/>
      <c r="F68" s="98"/>
      <c r="H68" s="2">
        <f t="shared" si="4"/>
        <v>0</v>
      </c>
      <c r="I68" s="4"/>
      <c r="J68" s="99"/>
      <c r="K68" s="99"/>
      <c r="M68" s="2"/>
      <c r="P68" s="2"/>
      <c r="T68" s="4"/>
      <c r="V68" s="4"/>
    </row>
    <row r="69" spans="2:22" x14ac:dyDescent="0.25">
      <c r="C69" s="2">
        <f t="shared" si="2"/>
        <v>0</v>
      </c>
      <c r="D69" s="4"/>
      <c r="E69" s="98"/>
      <c r="F69" s="98"/>
      <c r="H69" s="2">
        <f t="shared" si="4"/>
        <v>0</v>
      </c>
      <c r="I69" s="4"/>
      <c r="J69" s="99"/>
      <c r="K69" s="99"/>
      <c r="M69" s="2"/>
      <c r="P69" s="2"/>
      <c r="T69" s="4"/>
      <c r="V69" s="4"/>
    </row>
    <row r="70" spans="2:22" x14ac:dyDescent="0.25">
      <c r="C70" s="2">
        <f t="shared" si="2"/>
        <v>0</v>
      </c>
      <c r="D70" s="4"/>
      <c r="E70" s="98"/>
      <c r="F70" s="98"/>
      <c r="H70" s="2">
        <f t="shared" si="4"/>
        <v>0</v>
      </c>
      <c r="I70" s="4"/>
      <c r="J70" s="99"/>
      <c r="K70" s="99"/>
      <c r="M70" s="2"/>
      <c r="P70" s="2"/>
      <c r="T70" s="4"/>
      <c r="V70" s="4"/>
    </row>
    <row r="71" spans="2:22" x14ac:dyDescent="0.25">
      <c r="C71" s="2">
        <f t="shared" si="2"/>
        <v>0</v>
      </c>
      <c r="D71" s="4"/>
      <c r="E71" s="98"/>
      <c r="F71" s="98"/>
      <c r="H71" s="2">
        <f t="shared" si="4"/>
        <v>0</v>
      </c>
      <c r="I71" s="4"/>
      <c r="J71" s="99"/>
      <c r="K71" s="99"/>
      <c r="M71" s="2"/>
      <c r="P71" s="2"/>
      <c r="T71" s="4"/>
      <c r="V71" s="4"/>
    </row>
    <row r="72" spans="2:22" x14ac:dyDescent="0.25">
      <c r="C72" s="2">
        <f t="shared" si="2"/>
        <v>0</v>
      </c>
      <c r="D72" s="4"/>
      <c r="E72" s="96"/>
      <c r="F72" s="96"/>
      <c r="H72" s="2">
        <f t="shared" si="4"/>
        <v>0</v>
      </c>
      <c r="I72" s="4"/>
      <c r="J72" s="96"/>
      <c r="K72" s="96"/>
      <c r="M72" s="2"/>
      <c r="P72" s="2"/>
      <c r="T72" s="4"/>
      <c r="V72" s="4"/>
    </row>
    <row r="73" spans="2:22" x14ac:dyDescent="0.25">
      <c r="C73" s="2"/>
      <c r="D73"/>
      <c r="E73" s="96"/>
      <c r="F73" s="96"/>
      <c r="H73" s="2">
        <f t="shared" si="4"/>
        <v>0</v>
      </c>
      <c r="I73" s="4"/>
      <c r="J73" s="96"/>
      <c r="K73" s="96"/>
      <c r="P73" s="2"/>
      <c r="T73" s="4"/>
      <c r="V73" s="4"/>
    </row>
    <row r="74" spans="2:22" x14ac:dyDescent="0.25">
      <c r="C74" s="2"/>
      <c r="D74"/>
      <c r="E74" s="96"/>
      <c r="F74" s="96"/>
      <c r="H74" s="2">
        <f t="shared" si="4"/>
        <v>0</v>
      </c>
      <c r="I74" s="4"/>
      <c r="J74" s="96"/>
      <c r="K74" s="96"/>
      <c r="P74" s="2"/>
      <c r="T74" s="4"/>
      <c r="V74" s="4"/>
    </row>
    <row r="75" spans="2:22" x14ac:dyDescent="0.25">
      <c r="C75" s="2"/>
      <c r="D75"/>
      <c r="E75" s="96"/>
      <c r="F75" s="96"/>
      <c r="J75" s="96"/>
      <c r="K75" s="96"/>
      <c r="P75" s="2"/>
      <c r="T75" s="4"/>
      <c r="V75" s="4"/>
    </row>
    <row r="76" spans="2:22" x14ac:dyDescent="0.25">
      <c r="B76" s="1">
        <v>3</v>
      </c>
      <c r="C76" s="2">
        <f t="shared" ref="C76:C91" si="5">COUNTIFS(D:D,D76)</f>
        <v>1</v>
      </c>
      <c r="D76" s="77" t="s">
        <v>162</v>
      </c>
      <c r="E76" s="95" t="s">
        <v>6670</v>
      </c>
      <c r="F76" s="95" t="s">
        <v>6498</v>
      </c>
      <c r="H76" s="2">
        <f t="shared" ref="H76:H86" si="6">COUNTIFS(I:I,I76)</f>
        <v>1</v>
      </c>
      <c r="I76" s="77" t="s">
        <v>134</v>
      </c>
      <c r="J76" s="77" t="s">
        <v>6796</v>
      </c>
      <c r="K76" s="95" t="s">
        <v>6486</v>
      </c>
      <c r="P76" s="2"/>
      <c r="T76" s="4"/>
      <c r="V76" s="4"/>
    </row>
    <row r="77" spans="2:22" x14ac:dyDescent="0.25">
      <c r="C77" s="2">
        <f t="shared" si="5"/>
        <v>1</v>
      </c>
      <c r="D77" s="77" t="s">
        <v>6433</v>
      </c>
      <c r="E77" s="95" t="s">
        <v>6684</v>
      </c>
      <c r="F77" s="95" t="s">
        <v>6498</v>
      </c>
      <c r="H77" s="2">
        <f t="shared" si="6"/>
        <v>1</v>
      </c>
      <c r="I77" s="77" t="s">
        <v>135</v>
      </c>
      <c r="J77" s="95" t="s">
        <v>6797</v>
      </c>
      <c r="K77" s="95" t="s">
        <v>6501</v>
      </c>
      <c r="M77" s="2"/>
      <c r="P77" s="2"/>
      <c r="T77" s="4"/>
      <c r="V77" s="4"/>
    </row>
    <row r="78" spans="2:22" x14ac:dyDescent="0.25">
      <c r="C78" s="2">
        <f t="shared" si="5"/>
        <v>1</v>
      </c>
      <c r="D78" s="77" t="s">
        <v>133</v>
      </c>
      <c r="E78" s="95" t="s">
        <v>6688</v>
      </c>
      <c r="F78" s="95" t="s">
        <v>323</v>
      </c>
      <c r="H78" s="2">
        <f t="shared" si="6"/>
        <v>1</v>
      </c>
      <c r="I78" s="79" t="s">
        <v>6800</v>
      </c>
      <c r="J78" s="97" t="s">
        <v>6798</v>
      </c>
      <c r="K78" s="97" t="s">
        <v>6486</v>
      </c>
      <c r="M78" s="2"/>
      <c r="P78" s="2"/>
      <c r="T78" s="4"/>
      <c r="V78" s="4"/>
    </row>
    <row r="79" spans="2:22" x14ac:dyDescent="0.25">
      <c r="C79" s="2">
        <f t="shared" si="5"/>
        <v>1</v>
      </c>
      <c r="D79" s="77" t="s">
        <v>125</v>
      </c>
      <c r="E79" s="95" t="s">
        <v>6700</v>
      </c>
      <c r="F79" s="95" t="s">
        <v>6498</v>
      </c>
      <c r="H79" s="2">
        <f t="shared" si="6"/>
        <v>1</v>
      </c>
      <c r="I79" s="77" t="s">
        <v>141</v>
      </c>
      <c r="J79" s="95" t="s">
        <v>6805</v>
      </c>
      <c r="K79" s="95" t="s">
        <v>6806</v>
      </c>
      <c r="M79" s="2"/>
      <c r="P79" s="2"/>
      <c r="T79" s="4"/>
      <c r="V79" s="4"/>
    </row>
    <row r="80" spans="2:22" x14ac:dyDescent="0.25">
      <c r="C80" s="2">
        <f t="shared" si="5"/>
        <v>1</v>
      </c>
      <c r="D80" s="77" t="s">
        <v>123</v>
      </c>
      <c r="E80" s="95" t="s">
        <v>6702</v>
      </c>
      <c r="F80" s="95" t="s">
        <v>6498</v>
      </c>
      <c r="H80" s="2">
        <f t="shared" si="6"/>
        <v>1</v>
      </c>
      <c r="I80" s="77" t="s">
        <v>6808</v>
      </c>
      <c r="J80" s="95" t="s">
        <v>6807</v>
      </c>
      <c r="K80" s="97" t="s">
        <v>6486</v>
      </c>
      <c r="M80" s="2"/>
      <c r="P80" s="2"/>
      <c r="T80" s="4"/>
      <c r="V80" s="4"/>
    </row>
    <row r="81" spans="2:22" x14ac:dyDescent="0.25">
      <c r="C81" s="2">
        <f t="shared" si="5"/>
        <v>1</v>
      </c>
      <c r="D81" s="77" t="s">
        <v>6037</v>
      </c>
      <c r="E81" s="95" t="s">
        <v>6710</v>
      </c>
      <c r="F81" s="95" t="s">
        <v>6596</v>
      </c>
      <c r="H81" s="2">
        <f t="shared" si="6"/>
        <v>0</v>
      </c>
      <c r="I81" s="77"/>
      <c r="J81" s="95"/>
      <c r="K81" s="95"/>
      <c r="M81" s="2"/>
      <c r="P81" s="2"/>
      <c r="T81" s="4"/>
      <c r="V81" s="4"/>
    </row>
    <row r="82" spans="2:22" x14ac:dyDescent="0.25">
      <c r="C82" s="2">
        <f t="shared" si="5"/>
        <v>1</v>
      </c>
      <c r="D82" s="79" t="s">
        <v>6428</v>
      </c>
      <c r="E82" s="95" t="s">
        <v>6720</v>
      </c>
      <c r="F82" s="95" t="s">
        <v>6486</v>
      </c>
      <c r="H82" s="2">
        <f t="shared" si="6"/>
        <v>0</v>
      </c>
      <c r="I82" s="77"/>
      <c r="J82" s="95"/>
      <c r="K82" s="95"/>
      <c r="M82" s="2"/>
      <c r="P82" s="2"/>
      <c r="T82" s="4"/>
      <c r="V82" s="4"/>
    </row>
    <row r="83" spans="2:22" x14ac:dyDescent="0.25">
      <c r="C83" s="2">
        <f t="shared" si="5"/>
        <v>1</v>
      </c>
      <c r="D83" s="79" t="s">
        <v>7363</v>
      </c>
      <c r="E83" s="95" t="s">
        <v>7364</v>
      </c>
      <c r="F83" s="95" t="s">
        <v>323</v>
      </c>
      <c r="H83" s="2">
        <f t="shared" si="6"/>
        <v>0</v>
      </c>
      <c r="I83" s="77"/>
      <c r="J83" s="95"/>
      <c r="K83" s="95"/>
      <c r="M83" s="2"/>
      <c r="P83" s="2"/>
      <c r="T83" s="4"/>
      <c r="V83" s="4"/>
    </row>
    <row r="84" spans="2:22" x14ac:dyDescent="0.25">
      <c r="C84" s="2">
        <f t="shared" si="5"/>
        <v>0</v>
      </c>
      <c r="D84" s="79"/>
      <c r="E84" s="95"/>
      <c r="F84" s="95"/>
      <c r="H84" s="2">
        <f t="shared" si="6"/>
        <v>0</v>
      </c>
      <c r="I84" s="77"/>
      <c r="J84" s="95"/>
      <c r="K84" s="95"/>
      <c r="M84" s="2"/>
      <c r="P84" s="2"/>
      <c r="T84" s="4"/>
      <c r="V84" s="4"/>
    </row>
    <row r="85" spans="2:22" x14ac:dyDescent="0.25">
      <c r="C85" s="2">
        <f t="shared" si="5"/>
        <v>0</v>
      </c>
      <c r="D85"/>
      <c r="E85" s="96"/>
      <c r="F85" s="96"/>
      <c r="H85" s="2">
        <f t="shared" si="6"/>
        <v>0</v>
      </c>
      <c r="I85" s="77"/>
      <c r="J85" s="95"/>
      <c r="K85" s="95"/>
      <c r="M85" s="2"/>
      <c r="P85" s="2"/>
      <c r="T85" s="4"/>
      <c r="V85" s="4"/>
    </row>
    <row r="86" spans="2:22" x14ac:dyDescent="0.25">
      <c r="C86" s="2">
        <f t="shared" si="5"/>
        <v>0</v>
      </c>
      <c r="D86"/>
      <c r="E86" s="96"/>
      <c r="F86" s="96"/>
      <c r="H86" s="2">
        <f t="shared" si="6"/>
        <v>0</v>
      </c>
      <c r="J86" s="96"/>
      <c r="K86" s="96"/>
      <c r="M86" s="2"/>
      <c r="P86" s="2"/>
      <c r="T86" s="4"/>
      <c r="V86" s="4"/>
    </row>
    <row r="87" spans="2:22" x14ac:dyDescent="0.25">
      <c r="C87" s="2">
        <f t="shared" si="5"/>
        <v>0</v>
      </c>
      <c r="D87"/>
      <c r="E87" s="96"/>
      <c r="F87" s="96"/>
      <c r="H87" s="2"/>
      <c r="J87" s="96"/>
      <c r="K87" s="96"/>
      <c r="M87" s="2"/>
      <c r="P87" s="2"/>
      <c r="T87" s="4"/>
      <c r="V87" s="4"/>
    </row>
    <row r="88" spans="2:22" x14ac:dyDescent="0.25">
      <c r="C88" s="2">
        <f t="shared" si="5"/>
        <v>0</v>
      </c>
      <c r="D88"/>
      <c r="E88" s="96"/>
      <c r="F88" s="96"/>
      <c r="H88" s="2"/>
      <c r="J88" s="96"/>
      <c r="K88" s="96"/>
      <c r="M88" s="2"/>
      <c r="P88" s="2"/>
      <c r="T88" s="4"/>
      <c r="V88" s="4"/>
    </row>
    <row r="89" spans="2:22" x14ac:dyDescent="0.25">
      <c r="C89" s="2">
        <f t="shared" si="5"/>
        <v>0</v>
      </c>
      <c r="D89"/>
      <c r="E89" s="96"/>
      <c r="F89" s="96"/>
      <c r="H89" s="2"/>
      <c r="J89" s="96"/>
      <c r="K89" s="96"/>
      <c r="M89" s="2"/>
      <c r="P89" s="2"/>
      <c r="T89" s="4"/>
      <c r="V89" s="4"/>
    </row>
    <row r="90" spans="2:22" x14ac:dyDescent="0.25">
      <c r="C90" s="2">
        <f t="shared" si="5"/>
        <v>0</v>
      </c>
      <c r="D90"/>
      <c r="E90" s="96"/>
      <c r="F90" s="96"/>
      <c r="H90" s="2"/>
      <c r="J90" s="96"/>
      <c r="K90" s="96"/>
      <c r="M90" s="2"/>
      <c r="P90" s="2"/>
      <c r="T90" s="4"/>
      <c r="V90" s="4"/>
    </row>
    <row r="91" spans="2:22" x14ac:dyDescent="0.25">
      <c r="C91" s="2">
        <f t="shared" si="5"/>
        <v>0</v>
      </c>
      <c r="D91"/>
      <c r="E91" s="96"/>
      <c r="F91" s="96"/>
      <c r="H91" s="2"/>
      <c r="J91" s="96"/>
      <c r="K91" s="96"/>
      <c r="M91" s="2"/>
      <c r="P91" s="2"/>
      <c r="T91" s="4"/>
      <c r="V91" s="4"/>
    </row>
    <row r="92" spans="2:22" x14ac:dyDescent="0.25">
      <c r="C92" s="2"/>
      <c r="D92"/>
      <c r="E92" s="96"/>
      <c r="F92" s="96"/>
      <c r="J92" s="96"/>
      <c r="K92" s="96"/>
      <c r="P92" s="2"/>
      <c r="T92" s="4"/>
      <c r="V92" s="4"/>
    </row>
    <row r="93" spans="2:22" x14ac:dyDescent="0.25">
      <c r="B93" s="5" t="s">
        <v>6635</v>
      </c>
      <c r="D93"/>
      <c r="E93" s="96"/>
      <c r="F93" s="96"/>
      <c r="J93" s="96"/>
      <c r="K93" s="96"/>
    </row>
    <row r="94" spans="2:22" x14ac:dyDescent="0.25">
      <c r="B94" s="1">
        <v>5</v>
      </c>
      <c r="C94" s="2">
        <f t="shared" ref="C94:C112" si="7">COUNTIFS(D:D,D94)</f>
        <v>1</v>
      </c>
      <c r="D94" s="77" t="s">
        <v>184</v>
      </c>
      <c r="E94" s="95" t="s">
        <v>6645</v>
      </c>
      <c r="F94" s="95" t="s">
        <v>6486</v>
      </c>
      <c r="H94" s="2">
        <f t="shared" ref="H94:H112" si="8">COUNTIFS(I:I,I94)</f>
        <v>1</v>
      </c>
      <c r="I94" s="77" t="s">
        <v>6339</v>
      </c>
      <c r="J94" s="97" t="s">
        <v>6750</v>
      </c>
      <c r="K94" s="97" t="s">
        <v>6498</v>
      </c>
    </row>
    <row r="95" spans="2:22" x14ac:dyDescent="0.25">
      <c r="C95" s="2">
        <f t="shared" si="7"/>
        <v>1</v>
      </c>
      <c r="D95" s="77" t="s">
        <v>151</v>
      </c>
      <c r="E95" s="95" t="s">
        <v>6677</v>
      </c>
      <c r="F95" s="95" t="s">
        <v>6638</v>
      </c>
      <c r="H95" s="2">
        <f t="shared" si="8"/>
        <v>1</v>
      </c>
      <c r="I95" s="77" t="s">
        <v>213</v>
      </c>
      <c r="J95" s="97" t="s">
        <v>6769</v>
      </c>
      <c r="K95" s="97" t="s">
        <v>6498</v>
      </c>
    </row>
    <row r="96" spans="2:22" x14ac:dyDescent="0.25">
      <c r="C96" s="2">
        <f t="shared" si="7"/>
        <v>1</v>
      </c>
      <c r="D96" s="77" t="s">
        <v>6679</v>
      </c>
      <c r="E96" s="95" t="s">
        <v>6678</v>
      </c>
      <c r="F96" s="95" t="s">
        <v>5719</v>
      </c>
      <c r="H96" s="2">
        <f t="shared" si="8"/>
        <v>0</v>
      </c>
      <c r="I96" s="77"/>
      <c r="J96" s="97"/>
      <c r="K96" s="97"/>
    </row>
    <row r="97" spans="3:30" x14ac:dyDescent="0.25">
      <c r="C97" s="2">
        <f t="shared" si="7"/>
        <v>1</v>
      </c>
      <c r="D97" s="77" t="s">
        <v>149</v>
      </c>
      <c r="E97" s="95" t="s">
        <v>6680</v>
      </c>
      <c r="F97" s="95" t="s">
        <v>6486</v>
      </c>
      <c r="H97" s="2">
        <f t="shared" si="8"/>
        <v>1</v>
      </c>
      <c r="I97" s="77" t="s">
        <v>170</v>
      </c>
      <c r="J97" s="97" t="s">
        <v>6781</v>
      </c>
      <c r="K97" s="97" t="s">
        <v>6782</v>
      </c>
    </row>
    <row r="98" spans="3:30" x14ac:dyDescent="0.25">
      <c r="C98" s="2">
        <f t="shared" si="7"/>
        <v>0</v>
      </c>
      <c r="D98" s="73"/>
      <c r="E98" s="99"/>
      <c r="F98" s="99"/>
      <c r="H98" s="2">
        <f t="shared" si="8"/>
        <v>1</v>
      </c>
      <c r="I98" s="77" t="s">
        <v>6158</v>
      </c>
      <c r="J98" s="97" t="s">
        <v>6791</v>
      </c>
      <c r="K98" s="97" t="s">
        <v>6486</v>
      </c>
      <c r="Z98" s="92"/>
      <c r="AB98" s="92"/>
      <c r="AD98" s="92"/>
    </row>
    <row r="99" spans="3:30" x14ac:dyDescent="0.25">
      <c r="C99" s="2">
        <f t="shared" si="7"/>
        <v>0</v>
      </c>
      <c r="D99" s="73"/>
      <c r="E99" s="99"/>
      <c r="F99" s="99"/>
      <c r="H99" s="2">
        <f t="shared" si="8"/>
        <v>0</v>
      </c>
      <c r="I99" s="77"/>
      <c r="J99" s="97"/>
      <c r="K99" s="97"/>
    </row>
    <row r="100" spans="3:30" x14ac:dyDescent="0.25">
      <c r="C100" s="2">
        <f t="shared" si="7"/>
        <v>0</v>
      </c>
      <c r="D100" s="73"/>
      <c r="E100" s="99"/>
      <c r="F100" s="99"/>
      <c r="H100" s="2">
        <f t="shared" si="8"/>
        <v>0</v>
      </c>
      <c r="I100" s="77"/>
      <c r="J100" s="97"/>
      <c r="K100" s="97"/>
    </row>
    <row r="101" spans="3:30" x14ac:dyDescent="0.25">
      <c r="C101" s="2">
        <f t="shared" si="7"/>
        <v>0</v>
      </c>
      <c r="D101" s="73"/>
      <c r="E101" s="99"/>
      <c r="F101" s="99"/>
      <c r="H101" s="2">
        <f t="shared" si="8"/>
        <v>0</v>
      </c>
      <c r="I101" s="77"/>
      <c r="J101" s="97"/>
      <c r="K101" s="97"/>
    </row>
    <row r="102" spans="3:30" x14ac:dyDescent="0.25">
      <c r="C102" s="2">
        <f t="shared" si="7"/>
        <v>0</v>
      </c>
      <c r="D102" s="73"/>
      <c r="E102" s="99"/>
      <c r="F102" s="99"/>
      <c r="H102" s="2">
        <f t="shared" si="8"/>
        <v>0</v>
      </c>
      <c r="I102" s="77"/>
      <c r="J102" s="97"/>
      <c r="K102" s="97"/>
    </row>
    <row r="103" spans="3:30" x14ac:dyDescent="0.25">
      <c r="C103" s="2">
        <f t="shared" si="7"/>
        <v>0</v>
      </c>
      <c r="D103" s="73"/>
      <c r="E103" s="99"/>
      <c r="F103" s="99"/>
      <c r="H103" s="2">
        <f t="shared" si="8"/>
        <v>0</v>
      </c>
      <c r="I103" s="77"/>
      <c r="J103" s="97"/>
      <c r="K103" s="97"/>
    </row>
    <row r="104" spans="3:30" x14ac:dyDescent="0.25">
      <c r="C104" s="2">
        <f t="shared" si="7"/>
        <v>0</v>
      </c>
      <c r="D104" s="73"/>
      <c r="E104" s="99"/>
      <c r="F104" s="99"/>
      <c r="H104" s="2">
        <f t="shared" si="8"/>
        <v>0</v>
      </c>
      <c r="J104" s="99"/>
      <c r="K104" s="99"/>
    </row>
    <row r="105" spans="3:30" x14ac:dyDescent="0.25">
      <c r="C105" s="2">
        <f t="shared" si="7"/>
        <v>0</v>
      </c>
      <c r="D105" s="73"/>
      <c r="E105" s="99"/>
      <c r="F105" s="99"/>
      <c r="H105" s="2">
        <f t="shared" si="8"/>
        <v>0</v>
      </c>
      <c r="J105" s="99"/>
      <c r="K105" s="99"/>
    </row>
    <row r="106" spans="3:30" x14ac:dyDescent="0.25">
      <c r="C106" s="2">
        <f t="shared" si="7"/>
        <v>0</v>
      </c>
      <c r="D106"/>
      <c r="E106" s="96"/>
      <c r="F106" s="96"/>
      <c r="H106" s="2">
        <f t="shared" si="8"/>
        <v>0</v>
      </c>
      <c r="J106" s="96"/>
      <c r="K106" s="96"/>
    </row>
    <row r="107" spans="3:30" x14ac:dyDescent="0.25">
      <c r="C107" s="2">
        <f t="shared" si="7"/>
        <v>0</v>
      </c>
      <c r="D107"/>
      <c r="E107" s="96"/>
      <c r="F107" s="96"/>
      <c r="H107" s="2">
        <f t="shared" si="8"/>
        <v>0</v>
      </c>
      <c r="J107" s="96"/>
      <c r="K107" s="96"/>
    </row>
    <row r="108" spans="3:30" x14ac:dyDescent="0.25">
      <c r="C108" s="2">
        <f t="shared" si="7"/>
        <v>0</v>
      </c>
      <c r="D108"/>
      <c r="E108" s="96"/>
      <c r="F108" s="96"/>
      <c r="H108" s="2">
        <f t="shared" si="8"/>
        <v>0</v>
      </c>
      <c r="J108" s="96"/>
      <c r="K108" s="96"/>
    </row>
    <row r="109" spans="3:30" x14ac:dyDescent="0.25">
      <c r="C109" s="2">
        <f t="shared" si="7"/>
        <v>0</v>
      </c>
      <c r="D109"/>
      <c r="E109" s="96"/>
      <c r="F109" s="96"/>
      <c r="H109" s="2">
        <f t="shared" si="8"/>
        <v>0</v>
      </c>
      <c r="J109" s="96"/>
      <c r="K109" s="96"/>
    </row>
    <row r="110" spans="3:30" x14ac:dyDescent="0.25">
      <c r="C110" s="2">
        <f t="shared" si="7"/>
        <v>0</v>
      </c>
      <c r="D110"/>
      <c r="E110" s="96"/>
      <c r="F110" s="96"/>
      <c r="H110" s="2">
        <f t="shared" si="8"/>
        <v>0</v>
      </c>
      <c r="J110" s="96"/>
      <c r="K110" s="96"/>
    </row>
    <row r="111" spans="3:30" x14ac:dyDescent="0.25">
      <c r="C111" s="2">
        <f t="shared" si="7"/>
        <v>0</v>
      </c>
      <c r="D111"/>
      <c r="E111" s="96"/>
      <c r="F111" s="96"/>
      <c r="H111" s="2">
        <f t="shared" si="8"/>
        <v>0</v>
      </c>
      <c r="J111" s="96"/>
      <c r="K111" s="96"/>
    </row>
    <row r="112" spans="3:30" x14ac:dyDescent="0.25">
      <c r="C112" s="2">
        <f t="shared" si="7"/>
        <v>0</v>
      </c>
      <c r="D112"/>
      <c r="E112" s="96"/>
      <c r="F112" s="96"/>
      <c r="H112" s="2">
        <f t="shared" si="8"/>
        <v>0</v>
      </c>
      <c r="J112" s="96"/>
      <c r="K112" s="96"/>
    </row>
    <row r="113" spans="2:11" x14ac:dyDescent="0.25">
      <c r="C113" s="2"/>
      <c r="D113"/>
      <c r="E113" s="96"/>
      <c r="F113" s="96"/>
      <c r="H113" s="2"/>
      <c r="J113" s="96"/>
      <c r="K113" s="96"/>
    </row>
    <row r="114" spans="2:11" x14ac:dyDescent="0.25">
      <c r="B114" s="1">
        <v>4</v>
      </c>
      <c r="C114" s="2">
        <f t="shared" ref="C114:C134" si="9">COUNTIFS(D:D,D114)</f>
        <v>1</v>
      </c>
      <c r="D114" s="77" t="s">
        <v>189</v>
      </c>
      <c r="E114" s="95" t="s">
        <v>6641</v>
      </c>
      <c r="F114" s="95" t="s">
        <v>6601</v>
      </c>
      <c r="H114" s="2">
        <f t="shared" ref="H114:H134" si="10">COUNTIFS(I:I,I114)</f>
        <v>1</v>
      </c>
      <c r="I114" s="77" t="s">
        <v>171</v>
      </c>
      <c r="J114" s="97" t="s">
        <v>6668</v>
      </c>
      <c r="K114" s="97" t="s">
        <v>6486</v>
      </c>
    </row>
    <row r="115" spans="2:11" x14ac:dyDescent="0.25">
      <c r="C115" s="2">
        <f t="shared" si="9"/>
        <v>1</v>
      </c>
      <c r="D115" s="77" t="s">
        <v>181</v>
      </c>
      <c r="E115" s="95" t="s">
        <v>6646</v>
      </c>
      <c r="F115" s="95" t="s">
        <v>6486</v>
      </c>
      <c r="H115" s="2">
        <f t="shared" si="10"/>
        <v>1</v>
      </c>
      <c r="I115" s="77" t="s">
        <v>6570</v>
      </c>
      <c r="J115" s="97" t="s">
        <v>6571</v>
      </c>
      <c r="K115" s="97" t="s">
        <v>5692</v>
      </c>
    </row>
    <row r="116" spans="2:11" x14ac:dyDescent="0.25">
      <c r="C116" s="2">
        <f t="shared" si="9"/>
        <v>1</v>
      </c>
      <c r="D116" s="77" t="s">
        <v>6648</v>
      </c>
      <c r="E116" s="95" t="s">
        <v>6647</v>
      </c>
      <c r="F116" s="95" t="s">
        <v>6486</v>
      </c>
      <c r="H116" s="2">
        <f t="shared" si="10"/>
        <v>1</v>
      </c>
      <c r="I116" s="77" t="s">
        <v>196</v>
      </c>
      <c r="J116" s="97" t="s">
        <v>6773</v>
      </c>
      <c r="K116" s="97" t="s">
        <v>6486</v>
      </c>
    </row>
    <row r="117" spans="2:11" x14ac:dyDescent="0.25">
      <c r="C117" s="2">
        <f t="shared" si="9"/>
        <v>1</v>
      </c>
      <c r="D117" s="77" t="s">
        <v>178</v>
      </c>
      <c r="E117" s="95" t="s">
        <v>6653</v>
      </c>
      <c r="F117" s="95" t="s">
        <v>6486</v>
      </c>
      <c r="H117" s="2">
        <f t="shared" si="10"/>
        <v>1</v>
      </c>
      <c r="I117" s="77" t="s">
        <v>191</v>
      </c>
      <c r="J117" s="97" t="s">
        <v>6777</v>
      </c>
      <c r="K117" s="97" t="s">
        <v>5692</v>
      </c>
    </row>
    <row r="118" spans="2:11" x14ac:dyDescent="0.25">
      <c r="C118" s="2">
        <f t="shared" si="9"/>
        <v>1</v>
      </c>
      <c r="D118" s="77" t="s">
        <v>6655</v>
      </c>
      <c r="E118" s="95" t="s">
        <v>6654</v>
      </c>
      <c r="F118" s="95" t="s">
        <v>6656</v>
      </c>
      <c r="H118" s="2">
        <f t="shared" si="10"/>
        <v>1</v>
      </c>
      <c r="I118" s="77" t="s">
        <v>6780</v>
      </c>
      <c r="J118" s="97" t="s">
        <v>6779</v>
      </c>
      <c r="K118" s="97" t="s">
        <v>6486</v>
      </c>
    </row>
    <row r="119" spans="2:11" x14ac:dyDescent="0.25">
      <c r="C119" s="2">
        <f t="shared" si="9"/>
        <v>1</v>
      </c>
      <c r="D119" s="77" t="s">
        <v>6660</v>
      </c>
      <c r="E119" s="95" t="s">
        <v>6659</v>
      </c>
      <c r="F119" s="95" t="s">
        <v>6486</v>
      </c>
      <c r="H119" s="2">
        <f t="shared" si="10"/>
        <v>1</v>
      </c>
      <c r="I119" s="77" t="s">
        <v>168</v>
      </c>
      <c r="J119" s="97" t="s">
        <v>6783</v>
      </c>
      <c r="K119" s="97" t="s">
        <v>6498</v>
      </c>
    </row>
    <row r="120" spans="2:11" x14ac:dyDescent="0.25">
      <c r="C120" s="2">
        <f t="shared" si="9"/>
        <v>1</v>
      </c>
      <c r="D120" s="77" t="s">
        <v>174</v>
      </c>
      <c r="E120" s="95" t="s">
        <v>6667</v>
      </c>
      <c r="F120" s="95" t="s">
        <v>6486</v>
      </c>
      <c r="H120" s="2">
        <f t="shared" si="10"/>
        <v>1</v>
      </c>
      <c r="I120" s="77" t="s">
        <v>164</v>
      </c>
      <c r="J120" s="97" t="s">
        <v>6786</v>
      </c>
      <c r="K120" s="97" t="s">
        <v>5692</v>
      </c>
    </row>
    <row r="121" spans="2:11" x14ac:dyDescent="0.25">
      <c r="C121" s="2">
        <f t="shared" si="9"/>
        <v>1</v>
      </c>
      <c r="D121" s="77" t="s">
        <v>6034</v>
      </c>
      <c r="E121" s="95" t="s">
        <v>6671</v>
      </c>
      <c r="F121" s="95" t="s">
        <v>5692</v>
      </c>
      <c r="H121" s="2">
        <f t="shared" si="10"/>
        <v>1</v>
      </c>
      <c r="I121" s="77" t="s">
        <v>6790</v>
      </c>
      <c r="J121" s="97" t="s">
        <v>6789</v>
      </c>
      <c r="K121" s="97" t="s">
        <v>6486</v>
      </c>
    </row>
    <row r="122" spans="2:11" x14ac:dyDescent="0.25">
      <c r="C122" s="2">
        <f t="shared" si="9"/>
        <v>1</v>
      </c>
      <c r="D122" s="77" t="s">
        <v>142</v>
      </c>
      <c r="E122" s="95" t="s">
        <v>6683</v>
      </c>
      <c r="F122" s="95" t="s">
        <v>5719</v>
      </c>
      <c r="H122" s="2">
        <f t="shared" si="10"/>
        <v>1</v>
      </c>
      <c r="I122" s="77" t="s">
        <v>6157</v>
      </c>
      <c r="J122" s="97" t="s">
        <v>6792</v>
      </c>
      <c r="K122" s="97" t="s">
        <v>6486</v>
      </c>
    </row>
    <row r="123" spans="2:11" x14ac:dyDescent="0.25">
      <c r="C123" s="2">
        <f t="shared" si="9"/>
        <v>1</v>
      </c>
      <c r="D123" s="77" t="s">
        <v>6694</v>
      </c>
      <c r="E123" s="95" t="s">
        <v>6693</v>
      </c>
      <c r="F123" s="95" t="s">
        <v>6486</v>
      </c>
      <c r="H123" s="2">
        <f t="shared" si="10"/>
        <v>1</v>
      </c>
      <c r="I123" s="77" t="s">
        <v>153</v>
      </c>
      <c r="J123" s="97" t="s">
        <v>6801</v>
      </c>
      <c r="K123" s="97" t="s">
        <v>6486</v>
      </c>
    </row>
    <row r="124" spans="2:11" x14ac:dyDescent="0.25">
      <c r="C124" s="2">
        <f t="shared" si="9"/>
        <v>1</v>
      </c>
      <c r="D124" s="77" t="s">
        <v>128</v>
      </c>
      <c r="E124" s="95" t="s">
        <v>6699</v>
      </c>
      <c r="F124" s="95" t="s">
        <v>6486</v>
      </c>
      <c r="H124" s="2">
        <f t="shared" si="10"/>
        <v>1</v>
      </c>
      <c r="I124" s="77" t="s">
        <v>6029</v>
      </c>
      <c r="J124" s="97" t="s">
        <v>6804</v>
      </c>
      <c r="K124" s="97" t="s">
        <v>6486</v>
      </c>
    </row>
    <row r="125" spans="2:11" x14ac:dyDescent="0.25">
      <c r="C125" s="2">
        <f t="shared" si="9"/>
        <v>1</v>
      </c>
      <c r="D125" s="77" t="s">
        <v>6709</v>
      </c>
      <c r="E125" s="95" t="s">
        <v>6707</v>
      </c>
      <c r="F125" s="95" t="s">
        <v>6708</v>
      </c>
      <c r="H125" s="2">
        <f t="shared" si="10"/>
        <v>0</v>
      </c>
      <c r="I125" s="77"/>
      <c r="J125" s="97"/>
      <c r="K125" s="97"/>
    </row>
    <row r="126" spans="2:11" x14ac:dyDescent="0.25">
      <c r="C126" s="2">
        <f t="shared" si="9"/>
        <v>1</v>
      </c>
      <c r="D126" s="77" t="s">
        <v>6785</v>
      </c>
      <c r="E126" s="95" t="s">
        <v>6784</v>
      </c>
      <c r="F126" s="95" t="s">
        <v>6596</v>
      </c>
      <c r="H126" s="2">
        <f t="shared" si="10"/>
        <v>0</v>
      </c>
      <c r="J126" s="99"/>
      <c r="K126" s="99"/>
    </row>
    <row r="127" spans="2:11" x14ac:dyDescent="0.25">
      <c r="C127" s="2">
        <f t="shared" si="9"/>
        <v>1</v>
      </c>
      <c r="D127" s="77" t="s">
        <v>6793</v>
      </c>
      <c r="E127" s="95" t="s">
        <v>6794</v>
      </c>
      <c r="F127" s="95" t="s">
        <v>5692</v>
      </c>
      <c r="H127" s="2">
        <f t="shared" si="10"/>
        <v>0</v>
      </c>
      <c r="J127" s="99"/>
      <c r="K127" s="99"/>
    </row>
    <row r="128" spans="2:11" x14ac:dyDescent="0.25">
      <c r="C128" s="2">
        <f t="shared" si="9"/>
        <v>0</v>
      </c>
      <c r="D128" s="79"/>
      <c r="E128" s="95"/>
      <c r="F128" s="95"/>
      <c r="H128" s="2">
        <f t="shared" si="10"/>
        <v>0</v>
      </c>
      <c r="J128" s="96"/>
      <c r="K128" s="96"/>
    </row>
    <row r="129" spans="2:11" x14ac:dyDescent="0.25">
      <c r="C129" s="2">
        <f t="shared" si="9"/>
        <v>0</v>
      </c>
      <c r="D129" s="79"/>
      <c r="E129" s="95"/>
      <c r="F129" s="95"/>
      <c r="H129" s="2">
        <f t="shared" si="10"/>
        <v>0</v>
      </c>
      <c r="J129" s="96"/>
      <c r="K129" s="96"/>
    </row>
    <row r="130" spans="2:11" x14ac:dyDescent="0.25">
      <c r="C130" s="2">
        <f t="shared" si="9"/>
        <v>0</v>
      </c>
      <c r="D130" s="79"/>
      <c r="E130" s="95"/>
      <c r="F130" s="95"/>
      <c r="H130" s="2">
        <f t="shared" si="10"/>
        <v>0</v>
      </c>
      <c r="J130" s="96"/>
      <c r="K130" s="96"/>
    </row>
    <row r="131" spans="2:11" x14ac:dyDescent="0.25">
      <c r="C131" s="2">
        <f t="shared" si="9"/>
        <v>0</v>
      </c>
      <c r="D131" s="73"/>
      <c r="E131" s="96"/>
      <c r="F131" s="96"/>
      <c r="H131" s="2">
        <f t="shared" si="10"/>
        <v>0</v>
      </c>
      <c r="J131" s="96"/>
      <c r="K131" s="96"/>
    </row>
    <row r="132" spans="2:11" x14ac:dyDescent="0.25">
      <c r="C132" s="2">
        <f t="shared" si="9"/>
        <v>0</v>
      </c>
      <c r="D132" s="73"/>
      <c r="E132" s="96"/>
      <c r="F132" s="96"/>
      <c r="H132" s="2">
        <f t="shared" si="10"/>
        <v>0</v>
      </c>
      <c r="J132" s="96"/>
      <c r="K132" s="96"/>
    </row>
    <row r="133" spans="2:11" x14ac:dyDescent="0.25">
      <c r="C133" s="2">
        <f t="shared" si="9"/>
        <v>0</v>
      </c>
      <c r="D133" s="73"/>
      <c r="E133" s="96"/>
      <c r="F133" s="96"/>
      <c r="H133" s="2">
        <f t="shared" si="10"/>
        <v>0</v>
      </c>
      <c r="J133" s="96"/>
      <c r="K133" s="96"/>
    </row>
    <row r="134" spans="2:11" x14ac:dyDescent="0.25">
      <c r="C134" s="2">
        <f t="shared" si="9"/>
        <v>0</v>
      </c>
      <c r="D134" s="73"/>
      <c r="E134" s="96"/>
      <c r="F134" s="96"/>
      <c r="H134" s="2">
        <f t="shared" si="10"/>
        <v>0</v>
      </c>
      <c r="J134" s="96"/>
      <c r="K134" s="96"/>
    </row>
    <row r="135" spans="2:11" x14ac:dyDescent="0.25">
      <c r="C135" s="2"/>
      <c r="D135"/>
      <c r="E135" s="96"/>
      <c r="F135" s="96"/>
      <c r="H135" s="2"/>
      <c r="J135" s="96"/>
      <c r="K135" s="96"/>
    </row>
    <row r="136" spans="2:11" x14ac:dyDescent="0.25">
      <c r="C136" s="2"/>
      <c r="D136"/>
      <c r="E136" s="96"/>
      <c r="F136" s="96"/>
      <c r="H136" s="2"/>
      <c r="J136" s="96"/>
      <c r="K136" s="96"/>
    </row>
    <row r="137" spans="2:11" x14ac:dyDescent="0.25">
      <c r="B137" s="1">
        <v>3</v>
      </c>
      <c r="C137" s="2">
        <f t="shared" ref="C137:C153" si="11">COUNTIFS(D:D,D137)</f>
        <v>1</v>
      </c>
      <c r="D137" s="77" t="s">
        <v>200</v>
      </c>
      <c r="E137" s="95" t="s">
        <v>6636</v>
      </c>
      <c r="F137" s="95" t="s">
        <v>6638</v>
      </c>
      <c r="H137" s="2">
        <f t="shared" ref="H137:H153" si="12">COUNTIFS(I:I,I137)</f>
        <v>1</v>
      </c>
      <c r="I137" s="77" t="s">
        <v>176</v>
      </c>
      <c r="J137" s="97" t="s">
        <v>6512</v>
      </c>
      <c r="K137" s="97" t="s">
        <v>6778</v>
      </c>
    </row>
    <row r="138" spans="2:11" x14ac:dyDescent="0.25">
      <c r="C138" s="2">
        <f t="shared" si="11"/>
        <v>1</v>
      </c>
      <c r="D138" s="77" t="s">
        <v>6650</v>
      </c>
      <c r="E138" s="95" t="s">
        <v>6649</v>
      </c>
      <c r="F138" s="95" t="s">
        <v>6486</v>
      </c>
      <c r="H138" s="2">
        <f t="shared" si="12"/>
        <v>1</v>
      </c>
      <c r="I138" s="77" t="s">
        <v>6330</v>
      </c>
      <c r="J138" s="97" t="s">
        <v>6787</v>
      </c>
      <c r="K138" s="97" t="s">
        <v>5692</v>
      </c>
    </row>
    <row r="139" spans="2:11" x14ac:dyDescent="0.25">
      <c r="C139" s="2">
        <f t="shared" si="11"/>
        <v>1</v>
      </c>
      <c r="D139" s="77" t="s">
        <v>139</v>
      </c>
      <c r="E139" s="95" t="s">
        <v>6685</v>
      </c>
      <c r="F139" s="95" t="s">
        <v>6686</v>
      </c>
      <c r="H139" s="2">
        <f t="shared" si="12"/>
        <v>1</v>
      </c>
      <c r="I139" s="77" t="s">
        <v>6259</v>
      </c>
      <c r="J139" s="97" t="s">
        <v>6788</v>
      </c>
      <c r="K139" s="97" t="s">
        <v>6741</v>
      </c>
    </row>
    <row r="140" spans="2:11" x14ac:dyDescent="0.25">
      <c r="C140" s="2">
        <f t="shared" si="11"/>
        <v>1</v>
      </c>
      <c r="D140" s="79" t="s">
        <v>5736</v>
      </c>
      <c r="E140" s="95" t="s">
        <v>6705</v>
      </c>
      <c r="F140" s="95" t="s">
        <v>6486</v>
      </c>
      <c r="H140" s="2">
        <f t="shared" si="12"/>
        <v>1</v>
      </c>
      <c r="I140" s="77" t="s">
        <v>161</v>
      </c>
      <c r="J140" s="97" t="s">
        <v>6795</v>
      </c>
      <c r="K140" s="97" t="s">
        <v>6498</v>
      </c>
    </row>
    <row r="141" spans="2:11" x14ac:dyDescent="0.25">
      <c r="C141" s="2">
        <f t="shared" si="11"/>
        <v>1</v>
      </c>
      <c r="D141" s="79" t="s">
        <v>5737</v>
      </c>
      <c r="E141" s="95" t="s">
        <v>6705</v>
      </c>
      <c r="F141" s="95" t="s">
        <v>6486</v>
      </c>
      <c r="H141" s="2">
        <f t="shared" si="12"/>
        <v>1</v>
      </c>
      <c r="I141" s="77" t="s">
        <v>6343</v>
      </c>
      <c r="J141" s="97" t="s">
        <v>6802</v>
      </c>
      <c r="K141" s="97" t="s">
        <v>6803</v>
      </c>
    </row>
    <row r="142" spans="2:11" x14ac:dyDescent="0.25">
      <c r="C142" s="2">
        <f t="shared" si="11"/>
        <v>1</v>
      </c>
      <c r="D142" s="77" t="s">
        <v>6035</v>
      </c>
      <c r="E142" s="95" t="s">
        <v>6706</v>
      </c>
      <c r="F142" s="95" t="s">
        <v>6486</v>
      </c>
      <c r="H142" s="2">
        <f t="shared" si="12"/>
        <v>1</v>
      </c>
      <c r="I142" s="77" t="s">
        <v>6049</v>
      </c>
      <c r="J142" s="97" t="s">
        <v>6815</v>
      </c>
      <c r="K142" s="97" t="s">
        <v>6816</v>
      </c>
    </row>
    <row r="143" spans="2:11" x14ac:dyDescent="0.25">
      <c r="C143" s="2">
        <f t="shared" si="11"/>
        <v>1</v>
      </c>
      <c r="D143" s="77" t="s">
        <v>6038</v>
      </c>
      <c r="E143" s="95" t="s">
        <v>6712</v>
      </c>
      <c r="F143" s="95" t="s">
        <v>6713</v>
      </c>
      <c r="H143" s="2">
        <f t="shared" si="12"/>
        <v>1</v>
      </c>
      <c r="I143" s="77" t="s">
        <v>91</v>
      </c>
      <c r="J143" s="97" t="s">
        <v>6917</v>
      </c>
      <c r="K143" s="97" t="s">
        <v>6486</v>
      </c>
    </row>
    <row r="144" spans="2:11" x14ac:dyDescent="0.25">
      <c r="C144" s="2">
        <f t="shared" si="11"/>
        <v>1</v>
      </c>
      <c r="D144" s="77" t="s">
        <v>6074</v>
      </c>
      <c r="E144" s="95" t="s">
        <v>6715</v>
      </c>
      <c r="F144" s="95" t="s">
        <v>6486</v>
      </c>
      <c r="H144" s="2">
        <f t="shared" si="12"/>
        <v>0</v>
      </c>
      <c r="I144" s="77"/>
      <c r="J144" s="97"/>
      <c r="K144" s="97"/>
    </row>
    <row r="145" spans="2:11" x14ac:dyDescent="0.25">
      <c r="C145" s="2">
        <f t="shared" si="11"/>
        <v>1</v>
      </c>
      <c r="D145" s="77" t="s">
        <v>109</v>
      </c>
      <c r="E145" s="95" t="s">
        <v>6746</v>
      </c>
      <c r="F145" s="95" t="s">
        <v>6486</v>
      </c>
      <c r="H145" s="2">
        <f t="shared" si="12"/>
        <v>0</v>
      </c>
      <c r="I145" s="77"/>
      <c r="J145" s="97"/>
      <c r="K145" s="97"/>
    </row>
    <row r="146" spans="2:11" x14ac:dyDescent="0.25">
      <c r="C146" s="2">
        <f t="shared" si="11"/>
        <v>0</v>
      </c>
      <c r="D146"/>
      <c r="E146" s="96"/>
      <c r="F146" s="96"/>
      <c r="H146" s="2">
        <f t="shared" si="12"/>
        <v>0</v>
      </c>
      <c r="I146" s="77"/>
      <c r="J146" s="97"/>
      <c r="K146" s="97"/>
    </row>
    <row r="147" spans="2:11" x14ac:dyDescent="0.25">
      <c r="C147" s="2">
        <f t="shared" si="11"/>
        <v>0</v>
      </c>
      <c r="D147"/>
      <c r="E147" s="96"/>
      <c r="F147" s="96"/>
      <c r="H147" s="2">
        <f t="shared" si="12"/>
        <v>0</v>
      </c>
      <c r="I147" s="77"/>
      <c r="J147" s="97"/>
      <c r="K147" s="97"/>
    </row>
    <row r="148" spans="2:11" x14ac:dyDescent="0.25">
      <c r="C148" s="2">
        <f t="shared" si="11"/>
        <v>0</v>
      </c>
      <c r="D148"/>
      <c r="E148" s="96"/>
      <c r="F148" s="96"/>
      <c r="H148" s="2">
        <f t="shared" si="12"/>
        <v>0</v>
      </c>
      <c r="J148" s="99"/>
      <c r="K148" s="99"/>
    </row>
    <row r="149" spans="2:11" x14ac:dyDescent="0.25">
      <c r="C149" s="2">
        <f t="shared" si="11"/>
        <v>0</v>
      </c>
      <c r="D149"/>
      <c r="E149" s="96"/>
      <c r="F149" s="96"/>
      <c r="H149" s="2">
        <f t="shared" si="12"/>
        <v>0</v>
      </c>
      <c r="J149" s="99"/>
      <c r="K149" s="99"/>
    </row>
    <row r="150" spans="2:11" x14ac:dyDescent="0.25">
      <c r="C150" s="2">
        <f t="shared" si="11"/>
        <v>0</v>
      </c>
      <c r="D150"/>
      <c r="E150" s="96"/>
      <c r="F150" s="96"/>
      <c r="H150" s="2">
        <f t="shared" si="12"/>
        <v>0</v>
      </c>
      <c r="J150" s="99"/>
      <c r="K150" s="99"/>
    </row>
    <row r="151" spans="2:11" x14ac:dyDescent="0.25">
      <c r="C151" s="2">
        <f t="shared" si="11"/>
        <v>0</v>
      </c>
      <c r="D151" s="73"/>
      <c r="E151" s="99"/>
      <c r="F151" s="99"/>
      <c r="H151" s="2">
        <f t="shared" si="12"/>
        <v>0</v>
      </c>
      <c r="J151" s="99"/>
      <c r="K151" s="99"/>
    </row>
    <row r="152" spans="2:11" x14ac:dyDescent="0.25">
      <c r="C152" s="2">
        <f t="shared" si="11"/>
        <v>0</v>
      </c>
      <c r="D152" s="73"/>
      <c r="E152" s="99"/>
      <c r="F152" s="99"/>
      <c r="H152" s="2">
        <f t="shared" si="12"/>
        <v>0</v>
      </c>
      <c r="J152" s="99"/>
      <c r="K152" s="99"/>
    </row>
    <row r="153" spans="2:11" x14ac:dyDescent="0.25">
      <c r="C153" s="2">
        <f t="shared" si="11"/>
        <v>0</v>
      </c>
      <c r="D153" s="73"/>
      <c r="E153" s="99"/>
      <c r="F153" s="99"/>
      <c r="H153" s="2">
        <f t="shared" si="12"/>
        <v>0</v>
      </c>
      <c r="J153" s="99"/>
      <c r="K153" s="99"/>
    </row>
    <row r="154" spans="2:11" x14ac:dyDescent="0.25">
      <c r="C154" s="2"/>
      <c r="D154" s="73"/>
      <c r="E154" s="99"/>
      <c r="F154" s="99"/>
      <c r="H154" s="2"/>
      <c r="J154" s="96"/>
      <c r="K154" s="96"/>
    </row>
    <row r="155" spans="2:11" x14ac:dyDescent="0.25">
      <c r="B155" s="1">
        <v>2</v>
      </c>
      <c r="C155" s="2">
        <f t="shared" ref="C155:C167" si="13">COUNTIFS(D:D,D155)</f>
        <v>0</v>
      </c>
      <c r="D155" s="73"/>
      <c r="E155" s="99"/>
      <c r="F155" s="99"/>
      <c r="H155" s="2">
        <f t="shared" ref="H155:H167" si="14">COUNTIFS(I:I,I155)</f>
        <v>0</v>
      </c>
      <c r="J155" s="99"/>
      <c r="K155" s="99"/>
    </row>
    <row r="156" spans="2:11" x14ac:dyDescent="0.25">
      <c r="C156" s="2">
        <f t="shared" si="13"/>
        <v>0</v>
      </c>
      <c r="D156" s="73"/>
      <c r="E156" s="99"/>
      <c r="F156" s="99"/>
      <c r="H156" s="2">
        <f t="shared" si="14"/>
        <v>0</v>
      </c>
      <c r="J156" s="99"/>
      <c r="K156" s="99"/>
    </row>
    <row r="157" spans="2:11" x14ac:dyDescent="0.25">
      <c r="C157" s="2">
        <f t="shared" si="13"/>
        <v>0</v>
      </c>
      <c r="D157" s="73"/>
      <c r="E157" s="99"/>
      <c r="F157" s="99"/>
      <c r="H157" s="2">
        <f t="shared" si="14"/>
        <v>0</v>
      </c>
      <c r="J157" s="99"/>
      <c r="K157" s="99"/>
    </row>
    <row r="158" spans="2:11" x14ac:dyDescent="0.25">
      <c r="C158" s="2">
        <f t="shared" si="13"/>
        <v>0</v>
      </c>
      <c r="D158" s="73"/>
      <c r="E158" s="99"/>
      <c r="F158" s="99"/>
      <c r="H158" s="2">
        <f t="shared" si="14"/>
        <v>0</v>
      </c>
      <c r="J158" s="99"/>
      <c r="K158" s="99"/>
    </row>
    <row r="159" spans="2:11" x14ac:dyDescent="0.25">
      <c r="C159" s="2">
        <f t="shared" si="13"/>
        <v>0</v>
      </c>
      <c r="D159" s="73"/>
      <c r="E159" s="99"/>
      <c r="F159" s="99"/>
      <c r="H159" s="2">
        <f t="shared" si="14"/>
        <v>0</v>
      </c>
      <c r="J159" s="99"/>
      <c r="K159" s="99"/>
    </row>
    <row r="160" spans="2:11" x14ac:dyDescent="0.25">
      <c r="C160" s="2">
        <f t="shared" si="13"/>
        <v>0</v>
      </c>
      <c r="D160" s="73"/>
      <c r="E160" s="99"/>
      <c r="F160" s="99"/>
      <c r="H160" s="2">
        <f t="shared" si="14"/>
        <v>0</v>
      </c>
      <c r="J160" s="99"/>
      <c r="K160" s="99"/>
    </row>
    <row r="161" spans="2:22" x14ac:dyDescent="0.25">
      <c r="C161" s="2">
        <f t="shared" si="13"/>
        <v>0</v>
      </c>
      <c r="D161" s="73"/>
      <c r="E161" s="99"/>
      <c r="F161" s="99"/>
      <c r="H161" s="2">
        <f t="shared" si="14"/>
        <v>0</v>
      </c>
      <c r="J161" s="99"/>
      <c r="K161" s="99"/>
    </row>
    <row r="162" spans="2:22" x14ac:dyDescent="0.25">
      <c r="C162" s="2">
        <f t="shared" si="13"/>
        <v>0</v>
      </c>
      <c r="D162" s="73"/>
      <c r="E162" s="99"/>
      <c r="F162" s="99"/>
      <c r="H162" s="2">
        <f t="shared" si="14"/>
        <v>0</v>
      </c>
      <c r="J162" s="99"/>
      <c r="K162" s="99"/>
    </row>
    <row r="163" spans="2:22" x14ac:dyDescent="0.25">
      <c r="C163" s="2">
        <f t="shared" si="13"/>
        <v>0</v>
      </c>
      <c r="D163" s="73"/>
      <c r="E163" s="99"/>
      <c r="F163" s="99"/>
      <c r="H163" s="2">
        <f t="shared" si="14"/>
        <v>0</v>
      </c>
      <c r="J163" s="99"/>
      <c r="K163" s="99"/>
    </row>
    <row r="164" spans="2:22" x14ac:dyDescent="0.25">
      <c r="C164" s="2">
        <f t="shared" si="13"/>
        <v>0</v>
      </c>
      <c r="D164" s="73"/>
      <c r="E164" s="99"/>
      <c r="F164" s="99"/>
      <c r="H164" s="2">
        <f t="shared" si="14"/>
        <v>0</v>
      </c>
      <c r="J164" s="99"/>
      <c r="K164" s="99"/>
    </row>
    <row r="165" spans="2:22" x14ac:dyDescent="0.25">
      <c r="C165" s="2">
        <f t="shared" si="13"/>
        <v>0</v>
      </c>
      <c r="D165" s="73"/>
      <c r="E165" s="99"/>
      <c r="F165" s="99"/>
      <c r="H165" s="2">
        <f t="shared" si="14"/>
        <v>0</v>
      </c>
      <c r="J165" s="99"/>
      <c r="K165" s="99"/>
    </row>
    <row r="166" spans="2:22" x14ac:dyDescent="0.25">
      <c r="C166" s="2">
        <f t="shared" si="13"/>
        <v>0</v>
      </c>
      <c r="D166" s="73"/>
      <c r="E166" s="99"/>
      <c r="F166" s="99"/>
      <c r="H166" s="2">
        <f t="shared" si="14"/>
        <v>0</v>
      </c>
      <c r="J166" s="99"/>
      <c r="K166" s="99"/>
    </row>
    <row r="167" spans="2:22" x14ac:dyDescent="0.25">
      <c r="C167" s="2">
        <f t="shared" si="13"/>
        <v>0</v>
      </c>
      <c r="D167" s="73"/>
      <c r="E167" s="99"/>
      <c r="F167" s="99"/>
      <c r="H167" s="2">
        <f t="shared" si="14"/>
        <v>0</v>
      </c>
      <c r="J167" s="99"/>
      <c r="K167" s="99"/>
    </row>
    <row r="168" spans="2:22" x14ac:dyDescent="0.25">
      <c r="C168" s="2"/>
      <c r="D168"/>
      <c r="E168" s="96"/>
      <c r="F168" s="96"/>
      <c r="H168" s="2"/>
      <c r="J168" s="96"/>
      <c r="K168" s="96"/>
    </row>
    <row r="169" spans="2:22" x14ac:dyDescent="0.25">
      <c r="B169" s="1">
        <v>1</v>
      </c>
      <c r="C169" s="2">
        <f t="shared" ref="C169:C175" si="15">COUNTIFS(D:D,D169)</f>
        <v>0</v>
      </c>
      <c r="D169" s="73"/>
      <c r="E169" s="99"/>
      <c r="F169" s="99"/>
      <c r="H169" s="2">
        <f t="shared" ref="H169:H175" si="16">COUNTIFS(I:I,I169)</f>
        <v>0</v>
      </c>
      <c r="J169" s="99"/>
      <c r="K169" s="99"/>
    </row>
    <row r="170" spans="2:22" x14ac:dyDescent="0.25">
      <c r="C170" s="2">
        <f t="shared" si="15"/>
        <v>0</v>
      </c>
      <c r="D170" s="73"/>
      <c r="E170" s="99"/>
      <c r="F170" s="99"/>
      <c r="H170" s="2">
        <f t="shared" si="16"/>
        <v>0</v>
      </c>
      <c r="J170" s="99"/>
      <c r="K170" s="99"/>
    </row>
    <row r="171" spans="2:22" x14ac:dyDescent="0.25">
      <c r="C171" s="2">
        <f t="shared" si="15"/>
        <v>0</v>
      </c>
      <c r="D171" s="73"/>
      <c r="E171" s="99"/>
      <c r="F171" s="99"/>
      <c r="H171" s="2">
        <f t="shared" si="16"/>
        <v>0</v>
      </c>
      <c r="J171" s="99"/>
      <c r="K171" s="99"/>
    </row>
    <row r="172" spans="2:22" x14ac:dyDescent="0.25">
      <c r="C172" s="2">
        <f t="shared" si="15"/>
        <v>0</v>
      </c>
      <c r="D172" s="73"/>
      <c r="E172" s="99"/>
      <c r="F172" s="99"/>
      <c r="H172" s="2">
        <f t="shared" si="16"/>
        <v>0</v>
      </c>
      <c r="J172" s="99"/>
      <c r="K172" s="99"/>
    </row>
    <row r="173" spans="2:22" x14ac:dyDescent="0.25">
      <c r="C173" s="2">
        <f t="shared" si="15"/>
        <v>0</v>
      </c>
      <c r="D173" s="73"/>
      <c r="E173" s="99"/>
      <c r="F173" s="99"/>
      <c r="H173" s="2">
        <f t="shared" si="16"/>
        <v>0</v>
      </c>
      <c r="J173" s="99"/>
      <c r="K173" s="99"/>
    </row>
    <row r="174" spans="2:22" x14ac:dyDescent="0.25">
      <c r="C174" s="2">
        <f t="shared" si="15"/>
        <v>0</v>
      </c>
      <c r="D174" s="73"/>
      <c r="E174" s="99"/>
      <c r="F174" s="99"/>
      <c r="H174" s="2">
        <f t="shared" si="16"/>
        <v>0</v>
      </c>
      <c r="J174" s="99"/>
      <c r="K174" s="99"/>
    </row>
    <row r="175" spans="2:22" x14ac:dyDescent="0.25">
      <c r="C175" s="2">
        <f t="shared" si="15"/>
        <v>0</v>
      </c>
      <c r="D175" s="73"/>
      <c r="E175" s="99"/>
      <c r="F175" s="99"/>
      <c r="H175" s="2">
        <f t="shared" si="16"/>
        <v>0</v>
      </c>
      <c r="J175" s="99"/>
      <c r="K175" s="99"/>
    </row>
    <row r="176" spans="2:22" x14ac:dyDescent="0.25">
      <c r="C176" s="2"/>
      <c r="D176"/>
      <c r="E176" s="96"/>
      <c r="F176" s="96"/>
      <c r="J176" s="96"/>
      <c r="K176" s="96"/>
      <c r="P176" s="2"/>
      <c r="T176" s="4"/>
      <c r="V176" s="4"/>
    </row>
    <row r="177" spans="2:22" x14ac:dyDescent="0.25">
      <c r="B177" s="5" t="s">
        <v>6658</v>
      </c>
      <c r="D177"/>
      <c r="E177" s="96"/>
      <c r="F177" s="96"/>
      <c r="J177" s="96"/>
      <c r="K177" s="96"/>
      <c r="P177" s="2"/>
      <c r="T177" s="4"/>
      <c r="V177" s="4"/>
    </row>
    <row r="178" spans="2:22" x14ac:dyDescent="0.25">
      <c r="B178" s="1">
        <v>5</v>
      </c>
      <c r="C178" s="2">
        <f t="shared" ref="C178:C194" si="17">COUNTIFS(D:D,D178)</f>
        <v>1</v>
      </c>
      <c r="D178" s="79" t="s">
        <v>6664</v>
      </c>
      <c r="E178" s="95" t="s">
        <v>6674</v>
      </c>
      <c r="F178" s="97" t="s">
        <v>6662</v>
      </c>
      <c r="H178" s="2">
        <f t="shared" ref="H178:H194" si="18">COUNTIFS(I:I,I178)</f>
        <v>1</v>
      </c>
      <c r="I178" s="79" t="s">
        <v>120</v>
      </c>
      <c r="J178" s="97" t="s">
        <v>6899</v>
      </c>
      <c r="K178" s="97" t="s">
        <v>6900</v>
      </c>
      <c r="M178" s="2"/>
      <c r="N178" s="72"/>
      <c r="P178" s="2"/>
      <c r="T178" s="73"/>
      <c r="V178" s="73"/>
    </row>
    <row r="179" spans="2:22" x14ac:dyDescent="0.25">
      <c r="C179" s="2">
        <f t="shared" si="17"/>
        <v>1</v>
      </c>
      <c r="D179" s="79" t="s">
        <v>115</v>
      </c>
      <c r="E179" s="97" t="s">
        <v>6661</v>
      </c>
      <c r="F179" s="97" t="s">
        <v>6662</v>
      </c>
      <c r="H179" s="2">
        <f t="shared" si="18"/>
        <v>1</v>
      </c>
      <c r="I179" s="79" t="s">
        <v>6904</v>
      </c>
      <c r="J179" s="97" t="s">
        <v>6903</v>
      </c>
      <c r="K179" s="97" t="s">
        <v>6486</v>
      </c>
      <c r="M179" s="2"/>
      <c r="P179" s="2"/>
      <c r="T179" s="73"/>
      <c r="V179" s="73"/>
    </row>
    <row r="180" spans="2:22" x14ac:dyDescent="0.25">
      <c r="C180" s="2">
        <f t="shared" si="17"/>
        <v>1</v>
      </c>
      <c r="D180" s="79" t="s">
        <v>166</v>
      </c>
      <c r="E180" s="97" t="s">
        <v>6663</v>
      </c>
      <c r="F180" s="97" t="s">
        <v>6662</v>
      </c>
      <c r="H180" s="2">
        <f t="shared" si="18"/>
        <v>1</v>
      </c>
      <c r="I180" s="77" t="s">
        <v>5317</v>
      </c>
      <c r="J180" s="97" t="s">
        <v>6905</v>
      </c>
      <c r="K180" s="97" t="s">
        <v>6486</v>
      </c>
      <c r="M180" s="2"/>
      <c r="P180" s="2"/>
      <c r="V180" s="73"/>
    </row>
    <row r="181" spans="2:22" x14ac:dyDescent="0.25">
      <c r="C181" s="2">
        <f t="shared" si="17"/>
        <v>1</v>
      </c>
      <c r="D181" s="77" t="s">
        <v>6666</v>
      </c>
      <c r="E181" s="95" t="s">
        <v>6665</v>
      </c>
      <c r="F181" s="97" t="s">
        <v>6662</v>
      </c>
      <c r="H181" s="2">
        <f t="shared" si="18"/>
        <v>1</v>
      </c>
      <c r="I181" s="77" t="s">
        <v>6906</v>
      </c>
      <c r="J181" s="97" t="s">
        <v>6903</v>
      </c>
      <c r="K181" s="97" t="s">
        <v>6486</v>
      </c>
      <c r="M181" s="2"/>
      <c r="P181" s="2"/>
      <c r="Q181" s="5"/>
      <c r="V181" s="73"/>
    </row>
    <row r="182" spans="2:22" x14ac:dyDescent="0.25">
      <c r="C182" s="2">
        <f t="shared" si="17"/>
        <v>0</v>
      </c>
      <c r="D182" s="79"/>
      <c r="E182" s="97"/>
      <c r="F182" s="97"/>
      <c r="H182" s="2">
        <f t="shared" si="18"/>
        <v>1</v>
      </c>
      <c r="I182" s="77" t="s">
        <v>180</v>
      </c>
      <c r="J182" s="97" t="s">
        <v>6907</v>
      </c>
      <c r="K182" s="97" t="s">
        <v>6486</v>
      </c>
      <c r="M182" s="2"/>
      <c r="P182" s="2"/>
      <c r="Q182" s="73"/>
      <c r="V182" s="73"/>
    </row>
    <row r="183" spans="2:22" x14ac:dyDescent="0.25">
      <c r="C183" s="2">
        <f t="shared" si="17"/>
        <v>1</v>
      </c>
      <c r="D183" s="79" t="s">
        <v>116</v>
      </c>
      <c r="E183" s="97" t="s">
        <v>6724</v>
      </c>
      <c r="F183" s="97" t="s">
        <v>6486</v>
      </c>
      <c r="H183" s="2">
        <f t="shared" si="18"/>
        <v>0</v>
      </c>
      <c r="I183" s="77"/>
      <c r="J183" s="97"/>
      <c r="K183" s="97"/>
      <c r="M183" s="2"/>
      <c r="P183" s="2"/>
      <c r="Q183" s="73"/>
    </row>
    <row r="184" spans="2:22" x14ac:dyDescent="0.25">
      <c r="C184" s="2">
        <f t="shared" si="17"/>
        <v>0</v>
      </c>
      <c r="D184" s="79"/>
      <c r="E184" s="95"/>
      <c r="F184" s="95"/>
      <c r="H184" s="2">
        <f t="shared" si="18"/>
        <v>0</v>
      </c>
      <c r="I184" s="77"/>
      <c r="J184" s="95"/>
      <c r="K184" s="95"/>
      <c r="M184" s="2"/>
      <c r="P184" s="2"/>
      <c r="Q184" s="73"/>
    </row>
    <row r="185" spans="2:22" x14ac:dyDescent="0.25">
      <c r="C185" s="2">
        <f t="shared" si="17"/>
        <v>1</v>
      </c>
      <c r="D185" s="79" t="s">
        <v>6163</v>
      </c>
      <c r="E185" s="95" t="s">
        <v>6727</v>
      </c>
      <c r="F185" s="95" t="s">
        <v>6486</v>
      </c>
      <c r="H185" s="2">
        <f t="shared" si="18"/>
        <v>0</v>
      </c>
      <c r="J185" s="96"/>
      <c r="K185" s="96"/>
      <c r="M185" s="2"/>
      <c r="P185" s="2"/>
      <c r="Q185" s="73"/>
    </row>
    <row r="186" spans="2:22" x14ac:dyDescent="0.25">
      <c r="C186" s="2">
        <f t="shared" si="17"/>
        <v>1</v>
      </c>
      <c r="D186" s="79" t="s">
        <v>182</v>
      </c>
      <c r="E186" s="95" t="s">
        <v>6726</v>
      </c>
      <c r="F186" s="95" t="s">
        <v>323</v>
      </c>
      <c r="H186" s="2">
        <f t="shared" si="18"/>
        <v>0</v>
      </c>
      <c r="J186" s="96"/>
      <c r="K186" s="96"/>
      <c r="M186" s="2"/>
      <c r="P186" s="2"/>
      <c r="Q186" s="73"/>
    </row>
    <row r="187" spans="2:22" x14ac:dyDescent="0.25">
      <c r="C187" s="2">
        <f t="shared" si="17"/>
        <v>1</v>
      </c>
      <c r="D187" s="77" t="s">
        <v>5525</v>
      </c>
      <c r="E187" s="95" t="s">
        <v>6657</v>
      </c>
      <c r="F187" s="95" t="s">
        <v>6486</v>
      </c>
      <c r="H187" s="2">
        <f t="shared" si="18"/>
        <v>0</v>
      </c>
      <c r="J187" s="96"/>
      <c r="K187" s="96"/>
      <c r="M187" s="2"/>
      <c r="P187" s="2"/>
      <c r="Q187" s="73"/>
    </row>
    <row r="188" spans="2:22" x14ac:dyDescent="0.25">
      <c r="C188" s="2">
        <f t="shared" si="17"/>
        <v>0</v>
      </c>
      <c r="D188" s="77"/>
      <c r="E188" s="95"/>
      <c r="F188" s="97"/>
      <c r="H188" s="2">
        <f t="shared" si="18"/>
        <v>0</v>
      </c>
      <c r="J188" s="96"/>
      <c r="K188" s="96"/>
      <c r="M188" s="2"/>
      <c r="P188" s="2"/>
      <c r="Q188" s="73"/>
    </row>
    <row r="189" spans="2:22" x14ac:dyDescent="0.25">
      <c r="C189" s="2">
        <f t="shared" si="17"/>
        <v>1</v>
      </c>
      <c r="D189" s="79" t="s">
        <v>121</v>
      </c>
      <c r="E189" s="95" t="s">
        <v>6725</v>
      </c>
      <c r="F189" s="97" t="s">
        <v>6486</v>
      </c>
      <c r="H189" s="2">
        <f t="shared" si="18"/>
        <v>0</v>
      </c>
      <c r="J189" s="96"/>
      <c r="K189" s="96"/>
      <c r="M189" s="2"/>
      <c r="P189" s="2"/>
      <c r="Q189" s="73"/>
    </row>
    <row r="190" spans="2:22" x14ac:dyDescent="0.25">
      <c r="C190" s="2">
        <f t="shared" si="17"/>
        <v>1</v>
      </c>
      <c r="D190" s="79" t="s">
        <v>117</v>
      </c>
      <c r="E190" s="97" t="s">
        <v>6723</v>
      </c>
      <c r="F190" s="97" t="s">
        <v>6486</v>
      </c>
      <c r="H190" s="2">
        <f t="shared" si="18"/>
        <v>0</v>
      </c>
      <c r="J190" s="99"/>
      <c r="K190" s="99"/>
      <c r="M190" s="2"/>
    </row>
    <row r="191" spans="2:22" x14ac:dyDescent="0.25">
      <c r="C191" s="2">
        <f t="shared" si="17"/>
        <v>1</v>
      </c>
      <c r="D191" s="79" t="s">
        <v>118</v>
      </c>
      <c r="E191" s="97" t="s">
        <v>6673</v>
      </c>
      <c r="F191" s="97" t="s">
        <v>6662</v>
      </c>
      <c r="H191" s="2">
        <f t="shared" si="18"/>
        <v>0</v>
      </c>
      <c r="J191" s="99"/>
      <c r="K191" s="99"/>
      <c r="M191" s="2"/>
    </row>
    <row r="192" spans="2:22" x14ac:dyDescent="0.25">
      <c r="C192" s="2">
        <f t="shared" si="17"/>
        <v>1</v>
      </c>
      <c r="D192" s="79" t="s">
        <v>6909</v>
      </c>
      <c r="E192" s="97" t="s">
        <v>6724</v>
      </c>
      <c r="F192" s="97" t="s">
        <v>6486</v>
      </c>
      <c r="H192" s="2">
        <f t="shared" si="18"/>
        <v>0</v>
      </c>
      <c r="J192" s="99"/>
      <c r="K192" s="99"/>
      <c r="M192" s="2"/>
    </row>
    <row r="193" spans="1:30" x14ac:dyDescent="0.25">
      <c r="C193" s="2">
        <f t="shared" si="17"/>
        <v>0</v>
      </c>
      <c r="D193" s="73"/>
      <c r="E193" s="99"/>
      <c r="F193" s="99"/>
      <c r="H193" s="2">
        <f t="shared" si="18"/>
        <v>0</v>
      </c>
      <c r="J193" s="99"/>
      <c r="K193" s="99"/>
      <c r="M193" s="2"/>
    </row>
    <row r="194" spans="1:30" x14ac:dyDescent="0.25">
      <c r="C194" s="2">
        <f t="shared" si="17"/>
        <v>0</v>
      </c>
      <c r="D194" s="73"/>
      <c r="E194" s="99"/>
      <c r="F194" s="99"/>
      <c r="H194" s="2">
        <f t="shared" si="18"/>
        <v>0</v>
      </c>
      <c r="J194" s="99"/>
      <c r="K194" s="99"/>
      <c r="M194" s="2"/>
    </row>
    <row r="195" spans="1:30" x14ac:dyDescent="0.25">
      <c r="D195"/>
      <c r="E195" s="96"/>
      <c r="F195" s="96"/>
      <c r="J195" s="96"/>
      <c r="K195" s="96"/>
      <c r="Q195" s="73"/>
    </row>
    <row r="196" spans="1:30" x14ac:dyDescent="0.25">
      <c r="B196" s="1">
        <v>4</v>
      </c>
      <c r="C196" s="2">
        <f t="shared" ref="C196:C221" si="19">COUNTIFS(D:D,D196)</f>
        <v>0</v>
      </c>
      <c r="D196"/>
      <c r="E196" s="96"/>
      <c r="F196" s="96"/>
      <c r="H196" s="2">
        <f t="shared" ref="H196:H221" si="20">COUNTIFS(I:I,I196)</f>
        <v>1</v>
      </c>
      <c r="I196" s="79" t="s">
        <v>113</v>
      </c>
      <c r="J196" s="95" t="s">
        <v>6908</v>
      </c>
      <c r="K196" s="97" t="s">
        <v>6486</v>
      </c>
      <c r="M196" s="2"/>
      <c r="Q196" s="73"/>
    </row>
    <row r="197" spans="1:30" x14ac:dyDescent="0.25">
      <c r="C197" s="2">
        <f t="shared" si="19"/>
        <v>1</v>
      </c>
      <c r="D197" s="77" t="s">
        <v>114</v>
      </c>
      <c r="E197" s="95" t="s">
        <v>6744</v>
      </c>
      <c r="F197" s="95" t="s">
        <v>6486</v>
      </c>
      <c r="H197" s="2">
        <f t="shared" si="20"/>
        <v>1</v>
      </c>
      <c r="I197" s="79" t="s">
        <v>98</v>
      </c>
      <c r="J197" s="95" t="s">
        <v>6910</v>
      </c>
      <c r="K197" s="97" t="s">
        <v>6486</v>
      </c>
      <c r="M197" s="2"/>
      <c r="Q197" s="73"/>
    </row>
    <row r="198" spans="1:30" x14ac:dyDescent="0.25">
      <c r="C198" s="2">
        <f t="shared" si="19"/>
        <v>1</v>
      </c>
      <c r="D198" s="77" t="s">
        <v>111</v>
      </c>
      <c r="E198" s="97" t="s">
        <v>6729</v>
      </c>
      <c r="F198" s="95" t="s">
        <v>6486</v>
      </c>
      <c r="H198" s="2">
        <f t="shared" si="20"/>
        <v>1</v>
      </c>
      <c r="I198" s="79" t="s">
        <v>89</v>
      </c>
      <c r="J198" s="95" t="s">
        <v>6911</v>
      </c>
      <c r="K198" s="95" t="s">
        <v>323</v>
      </c>
      <c r="M198" s="2"/>
      <c r="Q198" s="73"/>
    </row>
    <row r="199" spans="1:30" x14ac:dyDescent="0.25">
      <c r="A199" s="75"/>
      <c r="C199" s="2">
        <f t="shared" si="19"/>
        <v>1</v>
      </c>
      <c r="D199" s="77" t="s">
        <v>6032</v>
      </c>
      <c r="E199" s="95" t="s">
        <v>6728</v>
      </c>
      <c r="F199" s="95" t="s">
        <v>6486</v>
      </c>
      <c r="H199" s="2">
        <f t="shared" si="20"/>
        <v>1</v>
      </c>
      <c r="I199" s="79" t="s">
        <v>87</v>
      </c>
      <c r="J199" s="95" t="s">
        <v>6910</v>
      </c>
      <c r="K199" s="97" t="s">
        <v>6486</v>
      </c>
      <c r="M199" s="2"/>
      <c r="Q199" s="73"/>
      <c r="T199" s="75" t="s">
        <v>105</v>
      </c>
      <c r="V199" s="75"/>
      <c r="X199" s="75" t="s">
        <v>105</v>
      </c>
      <c r="Z199" s="75" t="s">
        <v>105</v>
      </c>
      <c r="AD199" s="75"/>
    </row>
    <row r="200" spans="1:30" x14ac:dyDescent="0.25">
      <c r="A200" s="73"/>
      <c r="C200" s="2">
        <f t="shared" si="19"/>
        <v>1</v>
      </c>
      <c r="D200" s="79" t="s">
        <v>129</v>
      </c>
      <c r="E200" s="97" t="s">
        <v>6696</v>
      </c>
      <c r="F200" s="97" t="s">
        <v>5758</v>
      </c>
      <c r="H200" s="2">
        <f t="shared" si="20"/>
        <v>1</v>
      </c>
      <c r="I200" s="79" t="s">
        <v>6916</v>
      </c>
      <c r="J200" s="95" t="s">
        <v>6915</v>
      </c>
      <c r="K200" s="95" t="s">
        <v>6498</v>
      </c>
      <c r="M200" s="2"/>
      <c r="Q200" s="72"/>
      <c r="T200" s="73"/>
      <c r="V200" s="73"/>
      <c r="X200" s="73" t="s">
        <v>102</v>
      </c>
    </row>
    <row r="201" spans="1:30" x14ac:dyDescent="0.25">
      <c r="A201" s="73"/>
      <c r="C201" s="2">
        <f t="shared" si="19"/>
        <v>1</v>
      </c>
      <c r="D201" s="79" t="s">
        <v>6698</v>
      </c>
      <c r="E201" s="97" t="s">
        <v>6697</v>
      </c>
      <c r="F201" s="97" t="s">
        <v>6601</v>
      </c>
      <c r="H201" s="2">
        <f t="shared" si="20"/>
        <v>1</v>
      </c>
      <c r="I201" s="79" t="s">
        <v>100</v>
      </c>
      <c r="J201" s="95" t="s">
        <v>6914</v>
      </c>
      <c r="K201" s="95" t="s">
        <v>6498</v>
      </c>
      <c r="M201" s="2"/>
      <c r="Q201" s="73"/>
      <c r="V201" s="73"/>
      <c r="X201" s="73" t="s">
        <v>97</v>
      </c>
    </row>
    <row r="202" spans="1:30" x14ac:dyDescent="0.25">
      <c r="A202" s="73"/>
      <c r="C202" s="2">
        <f t="shared" si="19"/>
        <v>1</v>
      </c>
      <c r="D202" s="79" t="s">
        <v>5518</v>
      </c>
      <c r="E202" s="97" t="s">
        <v>6703</v>
      </c>
      <c r="F202" s="97" t="s">
        <v>323</v>
      </c>
      <c r="H202" s="2">
        <f t="shared" si="20"/>
        <v>1</v>
      </c>
      <c r="I202" s="79" t="s">
        <v>95</v>
      </c>
      <c r="J202" s="95" t="s">
        <v>6910</v>
      </c>
      <c r="K202" s="95" t="s">
        <v>6498</v>
      </c>
      <c r="M202" s="2"/>
      <c r="Q202" s="73"/>
      <c r="V202" s="73"/>
      <c r="X202" s="73" t="s">
        <v>93</v>
      </c>
    </row>
    <row r="203" spans="1:30" x14ac:dyDescent="0.25">
      <c r="A203" s="73"/>
      <c r="C203" s="2">
        <f t="shared" si="19"/>
        <v>1</v>
      </c>
      <c r="D203" s="79" t="s">
        <v>92</v>
      </c>
      <c r="E203" s="97" t="s">
        <v>6735</v>
      </c>
      <c r="F203" s="97" t="s">
        <v>323</v>
      </c>
      <c r="H203" s="2">
        <f t="shared" si="20"/>
        <v>1</v>
      </c>
      <c r="I203" s="79" t="s">
        <v>6919</v>
      </c>
      <c r="J203" s="97" t="s">
        <v>6918</v>
      </c>
      <c r="K203" s="95" t="s">
        <v>323</v>
      </c>
      <c r="M203" s="2"/>
      <c r="V203" s="73"/>
      <c r="X203" s="73" t="s">
        <v>88</v>
      </c>
    </row>
    <row r="204" spans="1:30" x14ac:dyDescent="0.25">
      <c r="A204" s="73"/>
      <c r="C204" s="2">
        <f t="shared" si="19"/>
        <v>1</v>
      </c>
      <c r="D204" s="79" t="s">
        <v>154</v>
      </c>
      <c r="E204" s="97" t="s">
        <v>6672</v>
      </c>
      <c r="F204" s="97" t="s">
        <v>323</v>
      </c>
      <c r="H204" s="2">
        <f t="shared" si="20"/>
        <v>1</v>
      </c>
      <c r="I204" s="79" t="s">
        <v>5437</v>
      </c>
      <c r="J204" s="104" t="s">
        <v>6891</v>
      </c>
      <c r="K204" s="95" t="s">
        <v>323</v>
      </c>
      <c r="M204" s="2"/>
      <c r="Q204" s="73"/>
      <c r="V204" s="73"/>
      <c r="X204" s="73" t="s">
        <v>85</v>
      </c>
    </row>
    <row r="205" spans="1:30" x14ac:dyDescent="0.25">
      <c r="A205" s="73"/>
      <c r="C205" s="2">
        <f t="shared" si="19"/>
        <v>1</v>
      </c>
      <c r="D205" s="79" t="s">
        <v>86</v>
      </c>
      <c r="E205" s="97" t="s">
        <v>6738</v>
      </c>
      <c r="F205" s="97" t="s">
        <v>323</v>
      </c>
      <c r="H205" s="2">
        <f t="shared" si="20"/>
        <v>1</v>
      </c>
      <c r="I205" s="77" t="s">
        <v>5438</v>
      </c>
      <c r="J205" s="97" t="s">
        <v>6912</v>
      </c>
      <c r="K205" s="95" t="s">
        <v>323</v>
      </c>
      <c r="M205" s="2"/>
      <c r="V205" s="73"/>
      <c r="X205" s="73" t="s">
        <v>64</v>
      </c>
    </row>
    <row r="206" spans="1:30" x14ac:dyDescent="0.25">
      <c r="C206" s="2">
        <f t="shared" si="19"/>
        <v>1</v>
      </c>
      <c r="D206" s="79" t="s">
        <v>5316</v>
      </c>
      <c r="E206" s="97" t="s">
        <v>6739</v>
      </c>
      <c r="F206" s="97" t="s">
        <v>323</v>
      </c>
      <c r="H206" s="2">
        <f t="shared" si="20"/>
        <v>1</v>
      </c>
      <c r="I206" s="77" t="s">
        <v>97</v>
      </c>
      <c r="J206" s="97" t="s">
        <v>6910</v>
      </c>
      <c r="K206" s="97" t="s">
        <v>6486</v>
      </c>
      <c r="M206" s="2"/>
      <c r="V206" s="73"/>
    </row>
    <row r="207" spans="1:30" x14ac:dyDescent="0.25">
      <c r="C207" s="2">
        <f t="shared" si="19"/>
        <v>1</v>
      </c>
      <c r="D207" s="79" t="s">
        <v>7030</v>
      </c>
      <c r="E207" s="97" t="s">
        <v>7031</v>
      </c>
      <c r="F207" s="97" t="s">
        <v>7032</v>
      </c>
      <c r="H207" s="2">
        <f t="shared" si="20"/>
        <v>1</v>
      </c>
      <c r="I207" s="79" t="s">
        <v>6028</v>
      </c>
      <c r="J207" s="97" t="s">
        <v>6920</v>
      </c>
      <c r="K207" s="97" t="s">
        <v>6900</v>
      </c>
      <c r="M207" s="2"/>
      <c r="V207" s="73"/>
    </row>
    <row r="208" spans="1:30" x14ac:dyDescent="0.25">
      <c r="C208" s="2">
        <f t="shared" si="19"/>
        <v>1</v>
      </c>
      <c r="D208" s="79" t="s">
        <v>6031</v>
      </c>
      <c r="E208" s="97" t="s">
        <v>6742</v>
      </c>
      <c r="F208" s="97" t="s">
        <v>6486</v>
      </c>
      <c r="H208" s="2">
        <f t="shared" si="20"/>
        <v>1</v>
      </c>
      <c r="I208" s="79" t="s">
        <v>6156</v>
      </c>
      <c r="J208" s="97" t="s">
        <v>6921</v>
      </c>
      <c r="K208" s="95" t="s">
        <v>6498</v>
      </c>
      <c r="M208" s="2"/>
      <c r="V208" s="72"/>
    </row>
    <row r="209" spans="2:13" x14ac:dyDescent="0.25">
      <c r="C209" s="2">
        <f t="shared" si="19"/>
        <v>1</v>
      </c>
      <c r="D209" s="79" t="s">
        <v>7333</v>
      </c>
      <c r="E209" s="97" t="s">
        <v>7334</v>
      </c>
      <c r="F209" s="97" t="s">
        <v>6486</v>
      </c>
      <c r="H209" s="2">
        <f t="shared" si="20"/>
        <v>0</v>
      </c>
      <c r="I209" s="79"/>
      <c r="J209" s="97"/>
      <c r="K209" s="97"/>
      <c r="M209" s="2"/>
    </row>
    <row r="210" spans="2:13" x14ac:dyDescent="0.25">
      <c r="C210" s="2">
        <f t="shared" si="19"/>
        <v>0</v>
      </c>
      <c r="D210" s="79"/>
      <c r="E210" s="97"/>
      <c r="F210" s="97"/>
      <c r="H210" s="2">
        <f t="shared" si="20"/>
        <v>1</v>
      </c>
      <c r="I210" s="79" t="s">
        <v>6902</v>
      </c>
      <c r="J210" s="97" t="s">
        <v>6901</v>
      </c>
      <c r="K210" s="97" t="s">
        <v>6900</v>
      </c>
      <c r="M210" s="2"/>
    </row>
    <row r="211" spans="2:13" x14ac:dyDescent="0.25">
      <c r="C211" s="2">
        <f t="shared" si="19"/>
        <v>0</v>
      </c>
      <c r="D211" s="79"/>
      <c r="E211" s="97"/>
      <c r="F211" s="97"/>
      <c r="H211" s="2">
        <f t="shared" si="20"/>
        <v>1</v>
      </c>
      <c r="I211" s="77" t="s">
        <v>6923</v>
      </c>
      <c r="J211" s="97" t="s">
        <v>6922</v>
      </c>
      <c r="K211" s="95" t="s">
        <v>6498</v>
      </c>
      <c r="M211" s="2"/>
    </row>
    <row r="212" spans="2:13" x14ac:dyDescent="0.25">
      <c r="C212" s="2">
        <f t="shared" si="19"/>
        <v>0</v>
      </c>
      <c r="D212" s="73"/>
      <c r="E212" s="99"/>
      <c r="F212" s="99"/>
      <c r="H212" s="2">
        <f t="shared" si="20"/>
        <v>0</v>
      </c>
      <c r="J212" s="99"/>
      <c r="K212" s="99"/>
      <c r="M212" s="2"/>
    </row>
    <row r="213" spans="2:13" x14ac:dyDescent="0.25">
      <c r="C213" s="2">
        <f t="shared" si="19"/>
        <v>0</v>
      </c>
      <c r="D213" s="73"/>
      <c r="E213" s="99"/>
      <c r="F213" s="99"/>
      <c r="H213" s="2">
        <f t="shared" si="20"/>
        <v>0</v>
      </c>
      <c r="J213" s="99"/>
      <c r="K213" s="99"/>
      <c r="M213" s="2"/>
    </row>
    <row r="214" spans="2:13" x14ac:dyDescent="0.25">
      <c r="C214" s="2">
        <f t="shared" si="19"/>
        <v>0</v>
      </c>
      <c r="D214" s="73"/>
      <c r="E214" s="99"/>
      <c r="F214" s="99"/>
      <c r="H214" s="2">
        <f t="shared" si="20"/>
        <v>0</v>
      </c>
      <c r="J214" s="99"/>
      <c r="K214" s="99"/>
      <c r="M214" s="2"/>
    </row>
    <row r="215" spans="2:13" x14ac:dyDescent="0.25">
      <c r="C215" s="2">
        <f t="shared" si="19"/>
        <v>0</v>
      </c>
      <c r="D215" s="4"/>
      <c r="E215" s="99"/>
      <c r="F215" s="99"/>
      <c r="H215" s="2">
        <f t="shared" si="20"/>
        <v>0</v>
      </c>
      <c r="J215" s="99"/>
      <c r="K215" s="99"/>
      <c r="M215" s="2"/>
    </row>
    <row r="216" spans="2:13" x14ac:dyDescent="0.25">
      <c r="C216" s="2">
        <f t="shared" si="19"/>
        <v>0</v>
      </c>
      <c r="D216"/>
      <c r="E216" s="99"/>
      <c r="F216" s="96"/>
      <c r="H216" s="2">
        <f t="shared" si="20"/>
        <v>0</v>
      </c>
      <c r="J216" s="99"/>
      <c r="K216" s="99"/>
      <c r="M216" s="2"/>
    </row>
    <row r="217" spans="2:13" x14ac:dyDescent="0.25">
      <c r="C217" s="2">
        <f t="shared" si="19"/>
        <v>0</v>
      </c>
      <c r="D217" s="4"/>
      <c r="E217" s="99"/>
      <c r="F217" s="99"/>
      <c r="H217" s="2">
        <f t="shared" si="20"/>
        <v>0</v>
      </c>
      <c r="J217" s="99"/>
      <c r="K217" s="99"/>
      <c r="M217" s="2"/>
    </row>
    <row r="218" spans="2:13" x14ac:dyDescent="0.25">
      <c r="C218" s="2">
        <f t="shared" si="19"/>
        <v>0</v>
      </c>
      <c r="D218" s="73"/>
      <c r="E218" s="99"/>
      <c r="F218" s="99"/>
      <c r="H218" s="2">
        <f t="shared" si="20"/>
        <v>0</v>
      </c>
      <c r="J218" s="99"/>
      <c r="K218" s="99"/>
      <c r="M218" s="2"/>
    </row>
    <row r="219" spans="2:13" x14ac:dyDescent="0.25">
      <c r="C219" s="2">
        <f t="shared" si="19"/>
        <v>0</v>
      </c>
      <c r="D219" s="73"/>
      <c r="E219" s="99"/>
      <c r="F219" s="99"/>
      <c r="H219" s="2">
        <f t="shared" si="20"/>
        <v>0</v>
      </c>
      <c r="J219" s="99"/>
      <c r="K219" s="99"/>
      <c r="M219" s="2"/>
    </row>
    <row r="220" spans="2:13" x14ac:dyDescent="0.25">
      <c r="C220" s="2">
        <f t="shared" si="19"/>
        <v>0</v>
      </c>
      <c r="D220" s="73"/>
      <c r="E220" s="99"/>
      <c r="F220" s="99"/>
      <c r="H220" s="2">
        <f t="shared" si="20"/>
        <v>0</v>
      </c>
      <c r="J220" s="99"/>
      <c r="K220" s="99"/>
      <c r="M220" s="2"/>
    </row>
    <row r="221" spans="2:13" x14ac:dyDescent="0.25">
      <c r="C221" s="2">
        <f t="shared" si="19"/>
        <v>0</v>
      </c>
      <c r="D221" s="73"/>
      <c r="E221" s="99"/>
      <c r="F221" s="99"/>
      <c r="H221" s="2">
        <f t="shared" si="20"/>
        <v>0</v>
      </c>
      <c r="J221" s="99"/>
      <c r="K221" s="99"/>
      <c r="M221" s="2"/>
    </row>
    <row r="222" spans="2:13" x14ac:dyDescent="0.25">
      <c r="D222"/>
      <c r="E222" s="96"/>
      <c r="F222" s="96"/>
      <c r="J222" s="96"/>
      <c r="K222" s="96"/>
    </row>
    <row r="223" spans="2:13" x14ac:dyDescent="0.25">
      <c r="B223" s="1">
        <v>3</v>
      </c>
      <c r="C223" s="2">
        <f t="shared" ref="C223:C234" si="21">COUNTIFS(D:D,D223)</f>
        <v>1</v>
      </c>
      <c r="D223" s="79" t="s">
        <v>6030</v>
      </c>
      <c r="E223" s="97" t="s">
        <v>6740</v>
      </c>
      <c r="F223" s="97" t="s">
        <v>6486</v>
      </c>
      <c r="H223" s="2">
        <f t="shared" ref="H223:H234" si="22">COUNTIFS(I:I,I223)</f>
        <v>1</v>
      </c>
      <c r="I223" s="77" t="s">
        <v>6164</v>
      </c>
      <c r="J223" s="97" t="s">
        <v>6743</v>
      </c>
      <c r="K223" s="97" t="s">
        <v>6486</v>
      </c>
    </row>
    <row r="224" spans="2:13" x14ac:dyDescent="0.25">
      <c r="C224" s="2">
        <f t="shared" si="21"/>
        <v>1</v>
      </c>
      <c r="D224" s="79" t="s">
        <v>96</v>
      </c>
      <c r="E224" s="95" t="s">
        <v>6734</v>
      </c>
      <c r="F224" s="95" t="s">
        <v>6662</v>
      </c>
      <c r="H224" s="2">
        <f t="shared" si="22"/>
        <v>0</v>
      </c>
      <c r="J224" s="99"/>
      <c r="K224" s="99"/>
    </row>
    <row r="225" spans="3:11" x14ac:dyDescent="0.25">
      <c r="C225" s="2">
        <f t="shared" si="21"/>
        <v>1</v>
      </c>
      <c r="D225" s="79" t="s">
        <v>107</v>
      </c>
      <c r="E225" s="97" t="s">
        <v>6675</v>
      </c>
      <c r="F225" s="97" t="s">
        <v>6638</v>
      </c>
      <c r="H225" s="2">
        <f t="shared" si="22"/>
        <v>0</v>
      </c>
      <c r="J225" s="99"/>
      <c r="K225" s="99"/>
    </row>
    <row r="226" spans="3:11" x14ac:dyDescent="0.25">
      <c r="C226" s="2">
        <f t="shared" si="21"/>
        <v>1</v>
      </c>
      <c r="D226" s="79" t="s">
        <v>185</v>
      </c>
      <c r="E226" s="95" t="s">
        <v>6745</v>
      </c>
      <c r="F226" s="97" t="s">
        <v>6486</v>
      </c>
      <c r="H226" s="2">
        <f t="shared" si="22"/>
        <v>0</v>
      </c>
      <c r="J226" s="99"/>
      <c r="K226" s="99"/>
    </row>
    <row r="227" spans="3:11" x14ac:dyDescent="0.25">
      <c r="C227" s="2">
        <f t="shared" si="21"/>
        <v>0</v>
      </c>
      <c r="D227" s="73"/>
      <c r="E227" s="96"/>
      <c r="F227" s="96"/>
      <c r="H227" s="2">
        <f t="shared" si="22"/>
        <v>0</v>
      </c>
      <c r="J227" s="99"/>
      <c r="K227" s="99"/>
    </row>
    <row r="228" spans="3:11" x14ac:dyDescent="0.25">
      <c r="C228" s="2">
        <f t="shared" si="21"/>
        <v>0</v>
      </c>
      <c r="D228"/>
      <c r="E228" s="96"/>
      <c r="F228" s="96"/>
      <c r="H228" s="2">
        <f t="shared" si="22"/>
        <v>0</v>
      </c>
      <c r="J228" s="99"/>
      <c r="K228" s="99"/>
    </row>
    <row r="229" spans="3:11" x14ac:dyDescent="0.25">
      <c r="C229" s="2">
        <f t="shared" si="21"/>
        <v>0</v>
      </c>
      <c r="D229"/>
      <c r="E229" s="96"/>
      <c r="F229" s="96"/>
      <c r="H229" s="2">
        <f t="shared" si="22"/>
        <v>0</v>
      </c>
      <c r="J229" s="99"/>
      <c r="K229" s="99"/>
    </row>
    <row r="230" spans="3:11" x14ac:dyDescent="0.25">
      <c r="C230" s="2">
        <f t="shared" si="21"/>
        <v>0</v>
      </c>
      <c r="D230"/>
      <c r="E230" s="96"/>
      <c r="F230" s="96"/>
      <c r="H230" s="2">
        <f t="shared" si="22"/>
        <v>0</v>
      </c>
      <c r="J230" s="99"/>
      <c r="K230" s="99"/>
    </row>
    <row r="231" spans="3:11" x14ac:dyDescent="0.25">
      <c r="C231" s="2">
        <f t="shared" si="21"/>
        <v>0</v>
      </c>
      <c r="D231"/>
      <c r="E231" s="96"/>
      <c r="F231" s="96"/>
      <c r="H231" s="2">
        <f t="shared" si="22"/>
        <v>0</v>
      </c>
      <c r="J231" s="99"/>
      <c r="K231" s="99"/>
    </row>
    <row r="232" spans="3:11" x14ac:dyDescent="0.25">
      <c r="C232" s="2">
        <f t="shared" si="21"/>
        <v>0</v>
      </c>
      <c r="D232"/>
      <c r="E232" s="96"/>
      <c r="F232" s="96"/>
      <c r="H232" s="2">
        <f t="shared" si="22"/>
        <v>0</v>
      </c>
      <c r="J232" s="99"/>
      <c r="K232" s="99"/>
    </row>
    <row r="233" spans="3:11" x14ac:dyDescent="0.25">
      <c r="C233" s="2">
        <f t="shared" si="21"/>
        <v>0</v>
      </c>
      <c r="D233"/>
      <c r="E233" s="96"/>
      <c r="F233" s="96"/>
      <c r="H233" s="2">
        <f t="shared" si="22"/>
        <v>0</v>
      </c>
      <c r="J233" s="99"/>
      <c r="K233" s="99"/>
    </row>
    <row r="234" spans="3:11" x14ac:dyDescent="0.25">
      <c r="C234" s="2">
        <f t="shared" si="21"/>
        <v>0</v>
      </c>
      <c r="D234"/>
      <c r="E234" s="96"/>
      <c r="F234" s="96"/>
      <c r="H234" s="2">
        <f t="shared" si="22"/>
        <v>0</v>
      </c>
      <c r="J234" s="99"/>
      <c r="K234" s="99"/>
    </row>
    <row r="235" spans="3:11" x14ac:dyDescent="0.25">
      <c r="D235"/>
      <c r="E235" s="96"/>
      <c r="F235" s="96"/>
      <c r="J235" s="96"/>
      <c r="K235" s="96"/>
    </row>
    <row r="236" spans="3:11" x14ac:dyDescent="0.25">
      <c r="D236"/>
      <c r="E236" s="96"/>
      <c r="F236" s="96"/>
      <c r="J236" s="96"/>
      <c r="K236" s="96"/>
    </row>
    <row r="237" spans="3:11" x14ac:dyDescent="0.25">
      <c r="D237"/>
      <c r="E237" s="96"/>
      <c r="F237" s="96"/>
      <c r="J237" s="96"/>
      <c r="K237" s="96"/>
    </row>
    <row r="238" spans="3:11" x14ac:dyDescent="0.25">
      <c r="D238"/>
      <c r="E238" s="96"/>
      <c r="F238" s="96"/>
      <c r="J238" s="96"/>
      <c r="K238" s="96"/>
    </row>
    <row r="239" spans="3:11" x14ac:dyDescent="0.25">
      <c r="D239"/>
      <c r="E239" s="96"/>
      <c r="F239" s="96"/>
      <c r="J239" s="96"/>
      <c r="K239" s="96"/>
    </row>
    <row r="240" spans="3:11" x14ac:dyDescent="0.25">
      <c r="D240"/>
      <c r="E240" s="96"/>
      <c r="F240" s="96"/>
      <c r="J240" s="96"/>
      <c r="K240" s="96"/>
    </row>
    <row r="241" spans="2:13" x14ac:dyDescent="0.25">
      <c r="D241"/>
      <c r="E241" s="96"/>
      <c r="F241" s="96"/>
      <c r="J241" s="96"/>
      <c r="K241" s="96"/>
    </row>
    <row r="242" spans="2:13" x14ac:dyDescent="0.25">
      <c r="D242"/>
      <c r="E242" s="96"/>
      <c r="F242" s="96"/>
      <c r="J242" s="96"/>
      <c r="K242" s="96"/>
    </row>
    <row r="243" spans="2:13" x14ac:dyDescent="0.25">
      <c r="B243" s="5" t="s">
        <v>84</v>
      </c>
      <c r="D243"/>
      <c r="E243" s="96"/>
      <c r="F243" s="96"/>
      <c r="J243" s="96"/>
      <c r="K243" s="96"/>
    </row>
    <row r="244" spans="2:13" x14ac:dyDescent="0.25">
      <c r="B244" s="1">
        <v>5</v>
      </c>
      <c r="C244" s="2">
        <f t="shared" ref="C244:C249" si="23">COUNTIFS(D:D,D244)</f>
        <v>0</v>
      </c>
      <c r="D244"/>
      <c r="E244" s="96"/>
      <c r="F244" s="96"/>
      <c r="H244" s="2">
        <f t="shared" ref="H244:H249" si="24">COUNTIFS(I:I,I244)</f>
        <v>0</v>
      </c>
      <c r="J244" s="96"/>
      <c r="K244" s="96"/>
      <c r="M244" s="2"/>
    </row>
    <row r="245" spans="2:13" x14ac:dyDescent="0.25">
      <c r="B245" s="1"/>
      <c r="C245" s="2">
        <f t="shared" si="23"/>
        <v>0</v>
      </c>
      <c r="D245"/>
      <c r="E245" s="96"/>
      <c r="F245" s="96"/>
      <c r="H245" s="2">
        <f t="shared" si="24"/>
        <v>0</v>
      </c>
      <c r="J245" s="96"/>
      <c r="K245" s="96"/>
      <c r="M245" s="2"/>
    </row>
    <row r="246" spans="2:13" x14ac:dyDescent="0.25">
      <c r="B246" s="1"/>
      <c r="C246" s="2">
        <f t="shared" si="23"/>
        <v>0</v>
      </c>
      <c r="D246"/>
      <c r="E246" s="96"/>
      <c r="F246" s="96"/>
      <c r="H246" s="2">
        <f t="shared" si="24"/>
        <v>0</v>
      </c>
      <c r="J246" s="96"/>
      <c r="K246" s="96"/>
      <c r="M246" s="2"/>
    </row>
    <row r="247" spans="2:13" x14ac:dyDescent="0.25">
      <c r="B247" s="1"/>
      <c r="C247" s="2">
        <f t="shared" si="23"/>
        <v>0</v>
      </c>
      <c r="D247"/>
      <c r="E247" s="96"/>
      <c r="F247" s="96"/>
      <c r="H247" s="2">
        <f t="shared" si="24"/>
        <v>0</v>
      </c>
      <c r="J247" s="96"/>
      <c r="K247" s="96"/>
      <c r="M247" s="2"/>
    </row>
    <row r="248" spans="2:13" x14ac:dyDescent="0.25">
      <c r="B248" s="1"/>
      <c r="C248" s="2">
        <f t="shared" si="23"/>
        <v>0</v>
      </c>
      <c r="D248"/>
      <c r="E248" s="96"/>
      <c r="F248" s="96"/>
      <c r="H248" s="2">
        <f t="shared" si="24"/>
        <v>0</v>
      </c>
      <c r="J248" s="96"/>
      <c r="K248" s="96"/>
      <c r="M248" s="2"/>
    </row>
    <row r="249" spans="2:13" x14ac:dyDescent="0.25">
      <c r="B249" s="5"/>
      <c r="C249" s="2">
        <f t="shared" si="23"/>
        <v>0</v>
      </c>
      <c r="D249"/>
      <c r="E249" s="96"/>
      <c r="F249" s="96"/>
      <c r="H249" s="2">
        <f t="shared" si="24"/>
        <v>0</v>
      </c>
      <c r="J249" s="96"/>
      <c r="K249" s="96"/>
      <c r="M249" s="2"/>
    </row>
    <row r="250" spans="2:13" x14ac:dyDescent="0.25">
      <c r="B250" s="5"/>
      <c r="D250"/>
      <c r="E250" s="96"/>
      <c r="F250" s="96"/>
      <c r="J250" s="96"/>
      <c r="K250" s="96"/>
    </row>
    <row r="251" spans="2:13" x14ac:dyDescent="0.25">
      <c r="B251" s="1">
        <v>4</v>
      </c>
      <c r="C251" s="2">
        <f t="shared" ref="C251:C264" si="25">COUNTIFS(D:D,D251)</f>
        <v>1</v>
      </c>
      <c r="D251" s="79" t="s">
        <v>6052</v>
      </c>
      <c r="E251" s="95" t="s">
        <v>5945</v>
      </c>
      <c r="F251" s="95" t="s">
        <v>6596</v>
      </c>
      <c r="H251" s="2">
        <f t="shared" ref="H251:H264" si="26">COUNTIFS(I:I,I251)</f>
        <v>0</v>
      </c>
      <c r="J251" s="96"/>
      <c r="K251" s="96"/>
      <c r="M251" s="2"/>
    </row>
    <row r="252" spans="2:13" x14ac:dyDescent="0.25">
      <c r="C252" s="2">
        <f t="shared" si="25"/>
        <v>1</v>
      </c>
      <c r="D252" s="79" t="s">
        <v>79</v>
      </c>
      <c r="E252" s="95" t="s">
        <v>6763</v>
      </c>
      <c r="F252" s="95" t="s">
        <v>6601</v>
      </c>
      <c r="H252" s="2">
        <f t="shared" si="26"/>
        <v>0</v>
      </c>
      <c r="J252" s="96"/>
      <c r="K252" s="96"/>
      <c r="M252" s="2"/>
    </row>
    <row r="253" spans="2:13" x14ac:dyDescent="0.25">
      <c r="C253" s="2">
        <f t="shared" si="25"/>
        <v>1</v>
      </c>
      <c r="D253" s="79" t="s">
        <v>172</v>
      </c>
      <c r="E253" s="97" t="s">
        <v>6676</v>
      </c>
      <c r="F253" s="97" t="s">
        <v>6486</v>
      </c>
      <c r="H253" s="2">
        <f t="shared" si="26"/>
        <v>0</v>
      </c>
      <c r="J253" s="96"/>
      <c r="K253" s="96"/>
      <c r="M253" s="2"/>
    </row>
    <row r="254" spans="2:13" x14ac:dyDescent="0.25">
      <c r="C254" s="2">
        <f t="shared" si="25"/>
        <v>1</v>
      </c>
      <c r="D254" s="79" t="s">
        <v>6764</v>
      </c>
      <c r="E254" s="95" t="s">
        <v>6765</v>
      </c>
      <c r="F254" s="95" t="s">
        <v>6686</v>
      </c>
      <c r="H254" s="2">
        <f t="shared" si="26"/>
        <v>0</v>
      </c>
      <c r="J254" s="96"/>
      <c r="K254" s="96"/>
      <c r="M254" s="2"/>
    </row>
    <row r="255" spans="2:13" x14ac:dyDescent="0.25">
      <c r="C255" s="2">
        <f t="shared" si="25"/>
        <v>0</v>
      </c>
      <c r="D255" s="4"/>
      <c r="E255" s="96"/>
      <c r="F255" s="96"/>
      <c r="H255" s="2">
        <f t="shared" si="26"/>
        <v>0</v>
      </c>
      <c r="J255" s="96"/>
      <c r="K255" s="96"/>
      <c r="M255" s="2"/>
    </row>
    <row r="256" spans="2:13" x14ac:dyDescent="0.25">
      <c r="C256" s="2">
        <f t="shared" si="25"/>
        <v>0</v>
      </c>
      <c r="D256" s="4"/>
      <c r="E256" s="96"/>
      <c r="F256" s="96"/>
      <c r="H256" s="2">
        <f t="shared" si="26"/>
        <v>0</v>
      </c>
      <c r="J256" s="96"/>
      <c r="K256" s="96"/>
      <c r="M256" s="2"/>
    </row>
    <row r="257" spans="2:13" x14ac:dyDescent="0.25">
      <c r="C257" s="2">
        <f t="shared" si="25"/>
        <v>0</v>
      </c>
      <c r="D257" s="73"/>
      <c r="E257" s="99"/>
      <c r="F257" s="99"/>
      <c r="H257" s="2">
        <f t="shared" si="26"/>
        <v>0</v>
      </c>
      <c r="J257" s="99"/>
      <c r="K257" s="99"/>
      <c r="M257" s="2"/>
    </row>
    <row r="258" spans="2:13" x14ac:dyDescent="0.25">
      <c r="C258" s="2">
        <f t="shared" si="25"/>
        <v>0</v>
      </c>
      <c r="D258" s="73"/>
      <c r="E258" s="99"/>
      <c r="F258" s="99"/>
      <c r="H258" s="2">
        <f t="shared" si="26"/>
        <v>0</v>
      </c>
      <c r="J258" s="96"/>
      <c r="K258" s="96"/>
      <c r="M258" s="2"/>
    </row>
    <row r="259" spans="2:13" x14ac:dyDescent="0.25">
      <c r="C259" s="2">
        <f t="shared" si="25"/>
        <v>0</v>
      </c>
      <c r="D259" s="4"/>
      <c r="E259" s="96"/>
      <c r="F259" s="96"/>
      <c r="H259" s="2">
        <f t="shared" si="26"/>
        <v>0</v>
      </c>
      <c r="J259" s="96"/>
      <c r="K259" s="96"/>
      <c r="M259" s="2"/>
    </row>
    <row r="260" spans="2:13" x14ac:dyDescent="0.25">
      <c r="C260" s="2">
        <f t="shared" si="25"/>
        <v>0</v>
      </c>
      <c r="D260"/>
      <c r="E260" s="96"/>
      <c r="F260" s="96"/>
      <c r="H260" s="2">
        <f t="shared" si="26"/>
        <v>0</v>
      </c>
      <c r="J260" s="96"/>
      <c r="K260" s="96"/>
      <c r="M260" s="2"/>
    </row>
    <row r="261" spans="2:13" x14ac:dyDescent="0.25">
      <c r="C261" s="2">
        <f t="shared" si="25"/>
        <v>0</v>
      </c>
      <c r="D261"/>
      <c r="E261" s="96"/>
      <c r="F261" s="96"/>
      <c r="H261" s="2">
        <f t="shared" si="26"/>
        <v>0</v>
      </c>
      <c r="J261" s="96"/>
      <c r="K261" s="96"/>
      <c r="M261" s="2"/>
    </row>
    <row r="262" spans="2:13" x14ac:dyDescent="0.25">
      <c r="C262" s="2">
        <f t="shared" si="25"/>
        <v>0</v>
      </c>
      <c r="D262"/>
      <c r="E262" s="96"/>
      <c r="F262" s="96"/>
      <c r="H262" s="2">
        <f t="shared" si="26"/>
        <v>0</v>
      </c>
      <c r="J262" s="96"/>
      <c r="K262" s="96"/>
      <c r="M262" s="2"/>
    </row>
    <row r="263" spans="2:13" x14ac:dyDescent="0.25">
      <c r="C263" s="2">
        <f t="shared" si="25"/>
        <v>0</v>
      </c>
      <c r="D263"/>
      <c r="E263" s="96"/>
      <c r="F263" s="96"/>
      <c r="H263" s="2">
        <f t="shared" si="26"/>
        <v>0</v>
      </c>
      <c r="J263" s="96"/>
      <c r="K263" s="96"/>
      <c r="M263" s="2"/>
    </row>
    <row r="264" spans="2:13" x14ac:dyDescent="0.25">
      <c r="C264" s="2">
        <f t="shared" si="25"/>
        <v>0</v>
      </c>
      <c r="D264"/>
      <c r="E264" s="96"/>
      <c r="F264" s="96"/>
      <c r="H264" s="2">
        <f t="shared" si="26"/>
        <v>0</v>
      </c>
      <c r="J264" s="96"/>
      <c r="K264" s="96"/>
      <c r="M264" s="2"/>
    </row>
    <row r="265" spans="2:13" x14ac:dyDescent="0.25">
      <c r="D265"/>
      <c r="E265" s="96"/>
      <c r="F265" s="96"/>
      <c r="J265" s="96"/>
      <c r="K265" s="96"/>
    </row>
    <row r="266" spans="2:13" x14ac:dyDescent="0.25">
      <c r="B266" s="1">
        <v>3</v>
      </c>
      <c r="C266" s="2">
        <f t="shared" ref="C266:C272" si="27">COUNTIFS(D:D,D266)</f>
        <v>0</v>
      </c>
      <c r="D266" s="4"/>
      <c r="E266" s="96"/>
      <c r="F266" s="96"/>
      <c r="H266" s="2">
        <f t="shared" ref="H266:H272" si="28">COUNTIFS(I:I,I266)</f>
        <v>0</v>
      </c>
      <c r="J266" s="96"/>
      <c r="K266" s="96"/>
      <c r="M266" s="2"/>
    </row>
    <row r="267" spans="2:13" x14ac:dyDescent="0.25">
      <c r="C267" s="2">
        <f t="shared" si="27"/>
        <v>0</v>
      </c>
      <c r="D267" s="4"/>
      <c r="E267" s="96"/>
      <c r="F267" s="96"/>
      <c r="H267" s="2">
        <f t="shared" si="28"/>
        <v>0</v>
      </c>
      <c r="J267" s="96"/>
      <c r="K267" s="96"/>
      <c r="M267" s="2"/>
    </row>
    <row r="268" spans="2:13" x14ac:dyDescent="0.25">
      <c r="C268" s="2">
        <f t="shared" si="27"/>
        <v>0</v>
      </c>
      <c r="D268" s="4"/>
      <c r="E268" s="96"/>
      <c r="F268" s="96"/>
      <c r="H268" s="2">
        <f t="shared" si="28"/>
        <v>0</v>
      </c>
      <c r="J268" s="96"/>
      <c r="K268" s="96"/>
      <c r="M268" s="2"/>
    </row>
    <row r="269" spans="2:13" x14ac:dyDescent="0.25">
      <c r="C269" s="2">
        <f t="shared" si="27"/>
        <v>0</v>
      </c>
      <c r="D269" s="4"/>
      <c r="E269" s="96"/>
      <c r="F269" s="96"/>
      <c r="H269" s="2">
        <f t="shared" si="28"/>
        <v>0</v>
      </c>
      <c r="J269" s="96"/>
      <c r="K269" s="96"/>
      <c r="M269" s="2"/>
    </row>
    <row r="270" spans="2:13" x14ac:dyDescent="0.25">
      <c r="C270" s="2">
        <f t="shared" si="27"/>
        <v>0</v>
      </c>
      <c r="D270" s="4"/>
      <c r="E270" s="96"/>
      <c r="F270" s="96"/>
      <c r="H270" s="2">
        <f t="shared" si="28"/>
        <v>0</v>
      </c>
      <c r="J270" s="96"/>
      <c r="K270" s="96"/>
      <c r="M270" s="2"/>
    </row>
    <row r="271" spans="2:13" x14ac:dyDescent="0.25">
      <c r="C271" s="2">
        <f t="shared" si="27"/>
        <v>0</v>
      </c>
      <c r="D271"/>
      <c r="E271" s="96"/>
      <c r="F271" s="96"/>
      <c r="H271" s="2">
        <f t="shared" si="28"/>
        <v>0</v>
      </c>
      <c r="J271" s="96"/>
      <c r="K271" s="96"/>
      <c r="M271" s="2"/>
    </row>
    <row r="272" spans="2:13" x14ac:dyDescent="0.25">
      <c r="C272" s="2">
        <f t="shared" si="27"/>
        <v>0</v>
      </c>
      <c r="D272" s="73"/>
      <c r="E272" s="99"/>
      <c r="F272" s="99"/>
      <c r="H272" s="2">
        <f t="shared" si="28"/>
        <v>0</v>
      </c>
      <c r="J272" s="99"/>
      <c r="K272" s="99"/>
      <c r="M272" s="2"/>
    </row>
    <row r="273" spans="2:14" x14ac:dyDescent="0.25">
      <c r="D273"/>
      <c r="E273" s="96"/>
      <c r="F273" s="96"/>
      <c r="J273" s="96"/>
      <c r="K273" s="96"/>
    </row>
    <row r="274" spans="2:14" x14ac:dyDescent="0.25">
      <c r="B274" s="5" t="s">
        <v>73</v>
      </c>
      <c r="D274"/>
      <c r="E274" s="96"/>
      <c r="F274" s="96"/>
      <c r="I274" s="77"/>
      <c r="J274" s="95"/>
      <c r="K274" s="95"/>
    </row>
    <row r="275" spans="2:14" x14ac:dyDescent="0.25">
      <c r="B275" s="1">
        <v>5</v>
      </c>
      <c r="C275" s="2">
        <f t="shared" ref="C275:C290" si="29">COUNTIFS(D:D,D275)</f>
        <v>0</v>
      </c>
      <c r="D275" s="73"/>
      <c r="E275" s="99"/>
      <c r="F275" s="99"/>
      <c r="H275" s="2">
        <f t="shared" ref="H275:H290" si="30">COUNTIFS(I:I,I275)</f>
        <v>1</v>
      </c>
      <c r="I275" s="79" t="s">
        <v>72</v>
      </c>
      <c r="J275" s="97" t="s">
        <v>6818</v>
      </c>
      <c r="K275" s="97" t="s">
        <v>6504</v>
      </c>
      <c r="M275" s="2"/>
      <c r="N275" s="73"/>
    </row>
    <row r="276" spans="2:14" x14ac:dyDescent="0.25">
      <c r="B276" s="5"/>
      <c r="C276" s="2">
        <f t="shared" si="29"/>
        <v>1</v>
      </c>
      <c r="D276" s="79" t="s">
        <v>71</v>
      </c>
      <c r="E276" s="97" t="s">
        <v>6690</v>
      </c>
      <c r="F276" s="97" t="s">
        <v>6498</v>
      </c>
      <c r="H276" s="2">
        <f t="shared" si="30"/>
        <v>1</v>
      </c>
      <c r="I276" s="79" t="s">
        <v>211</v>
      </c>
      <c r="J276" s="97" t="s">
        <v>6819</v>
      </c>
      <c r="K276" s="97" t="s">
        <v>6498</v>
      </c>
      <c r="M276" s="2"/>
    </row>
    <row r="277" spans="2:14" x14ac:dyDescent="0.25">
      <c r="C277" s="2">
        <f t="shared" si="29"/>
        <v>1</v>
      </c>
      <c r="D277" s="79" t="s">
        <v>70</v>
      </c>
      <c r="E277" s="97"/>
      <c r="F277" s="97"/>
      <c r="H277" s="2">
        <f t="shared" si="30"/>
        <v>1</v>
      </c>
      <c r="I277" s="79" t="s">
        <v>62</v>
      </c>
      <c r="J277" s="97" t="s">
        <v>6825</v>
      </c>
      <c r="K277" s="97" t="s">
        <v>6498</v>
      </c>
      <c r="M277" s="2"/>
    </row>
    <row r="278" spans="2:14" x14ac:dyDescent="0.25">
      <c r="C278" s="2">
        <f t="shared" si="29"/>
        <v>1</v>
      </c>
      <c r="D278" s="79" t="s">
        <v>7326</v>
      </c>
      <c r="E278" s="97" t="s">
        <v>7327</v>
      </c>
      <c r="F278" s="97" t="s">
        <v>6498</v>
      </c>
      <c r="H278" s="2">
        <f t="shared" si="30"/>
        <v>1</v>
      </c>
      <c r="I278" s="79" t="s">
        <v>69</v>
      </c>
      <c r="J278" s="97" t="s">
        <v>6747</v>
      </c>
      <c r="K278" s="97" t="s">
        <v>6498</v>
      </c>
      <c r="M278" s="2"/>
    </row>
    <row r="279" spans="2:14" x14ac:dyDescent="0.25">
      <c r="C279" s="2">
        <f t="shared" si="29"/>
        <v>1</v>
      </c>
      <c r="D279" s="79" t="s">
        <v>6252</v>
      </c>
      <c r="E279" s="97"/>
      <c r="F279" s="97"/>
      <c r="H279" s="2">
        <f t="shared" si="30"/>
        <v>1</v>
      </c>
      <c r="I279" s="79" t="s">
        <v>31</v>
      </c>
      <c r="J279" s="97" t="s">
        <v>6859</v>
      </c>
      <c r="K279" s="97" t="s">
        <v>6580</v>
      </c>
      <c r="M279" s="2"/>
    </row>
    <row r="280" spans="2:14" x14ac:dyDescent="0.25">
      <c r="C280" s="2">
        <f t="shared" si="29"/>
        <v>1</v>
      </c>
      <c r="D280" s="79" t="s">
        <v>6341</v>
      </c>
      <c r="E280" s="97"/>
      <c r="F280" s="97"/>
      <c r="H280" s="2">
        <f t="shared" si="30"/>
        <v>1</v>
      </c>
      <c r="I280" s="79" t="s">
        <v>24</v>
      </c>
      <c r="J280" s="97" t="s">
        <v>6863</v>
      </c>
      <c r="K280" s="97"/>
      <c r="M280" s="2"/>
    </row>
    <row r="281" spans="2:14" x14ac:dyDescent="0.25">
      <c r="C281" s="2">
        <f t="shared" si="29"/>
        <v>1</v>
      </c>
      <c r="D281" s="79" t="s">
        <v>67</v>
      </c>
      <c r="E281" s="97"/>
      <c r="F281" s="97"/>
      <c r="H281" s="2">
        <f t="shared" si="30"/>
        <v>0</v>
      </c>
      <c r="I281" s="79"/>
      <c r="J281" s="97"/>
      <c r="K281" s="97"/>
      <c r="M281" s="2"/>
    </row>
    <row r="282" spans="2:14" x14ac:dyDescent="0.25">
      <c r="C282" s="2">
        <f t="shared" si="29"/>
        <v>1</v>
      </c>
      <c r="D282" s="79" t="s">
        <v>5326</v>
      </c>
      <c r="E282" s="95" t="s">
        <v>7356</v>
      </c>
      <c r="F282" s="95" t="s">
        <v>6498</v>
      </c>
      <c r="H282" s="2">
        <f t="shared" si="30"/>
        <v>1</v>
      </c>
      <c r="I282" s="79" t="s">
        <v>6050</v>
      </c>
      <c r="J282" s="95" t="s">
        <v>6821</v>
      </c>
      <c r="K282" s="95" t="s">
        <v>6498</v>
      </c>
      <c r="M282" s="2"/>
    </row>
    <row r="283" spans="2:14" x14ac:dyDescent="0.25">
      <c r="C283" s="2">
        <f t="shared" si="29"/>
        <v>0</v>
      </c>
      <c r="D283" s="77"/>
      <c r="E283" s="95"/>
      <c r="F283" s="95"/>
      <c r="H283" s="2">
        <f t="shared" si="30"/>
        <v>1</v>
      </c>
      <c r="I283" s="79" t="s">
        <v>6059</v>
      </c>
      <c r="J283" s="95" t="s">
        <v>6822</v>
      </c>
      <c r="K283" s="95" t="s">
        <v>5758</v>
      </c>
      <c r="M283" s="2"/>
    </row>
    <row r="284" spans="2:14" x14ac:dyDescent="0.25">
      <c r="C284" s="2">
        <f t="shared" si="29"/>
        <v>1</v>
      </c>
      <c r="D284" s="77" t="s">
        <v>6448</v>
      </c>
      <c r="E284" s="95" t="s">
        <v>6691</v>
      </c>
      <c r="F284" s="95" t="s">
        <v>6498</v>
      </c>
      <c r="H284" s="2">
        <f t="shared" si="30"/>
        <v>1</v>
      </c>
      <c r="I284" s="79" t="s">
        <v>6391</v>
      </c>
      <c r="J284" s="95" t="s">
        <v>6823</v>
      </c>
      <c r="K284" s="95" t="s">
        <v>6486</v>
      </c>
      <c r="M284" s="2"/>
    </row>
    <row r="285" spans="2:14" x14ac:dyDescent="0.25">
      <c r="C285" s="2">
        <f t="shared" si="29"/>
        <v>1</v>
      </c>
      <c r="D285" s="77" t="s">
        <v>6449</v>
      </c>
      <c r="E285" s="95" t="s">
        <v>6692</v>
      </c>
      <c r="F285" s="95" t="s">
        <v>6498</v>
      </c>
      <c r="H285" s="2">
        <f t="shared" si="30"/>
        <v>1</v>
      </c>
      <c r="I285" s="77" t="s">
        <v>7324</v>
      </c>
      <c r="J285" s="95" t="s">
        <v>7325</v>
      </c>
      <c r="K285" s="95" t="s">
        <v>6498</v>
      </c>
      <c r="M285" s="2"/>
    </row>
    <row r="286" spans="2:14" x14ac:dyDescent="0.25">
      <c r="C286" s="2">
        <f t="shared" si="29"/>
        <v>0</v>
      </c>
      <c r="D286" s="77"/>
      <c r="E286" s="95"/>
      <c r="F286" s="95"/>
      <c r="H286" s="2">
        <f t="shared" si="30"/>
        <v>1</v>
      </c>
      <c r="I286" s="79" t="s">
        <v>5563</v>
      </c>
      <c r="J286" s="95" t="s">
        <v>7319</v>
      </c>
      <c r="K286" s="95" t="s">
        <v>6498</v>
      </c>
      <c r="M286" s="2"/>
    </row>
    <row r="287" spans="2:14" x14ac:dyDescent="0.25">
      <c r="C287" s="2">
        <f t="shared" si="29"/>
        <v>0</v>
      </c>
      <c r="D287"/>
      <c r="E287" s="96"/>
      <c r="F287" s="96"/>
      <c r="H287" s="2">
        <f t="shared" si="30"/>
        <v>0</v>
      </c>
      <c r="J287" s="96"/>
      <c r="K287" s="96"/>
      <c r="M287" s="2"/>
    </row>
    <row r="288" spans="2:14" x14ac:dyDescent="0.25">
      <c r="C288" s="2">
        <f t="shared" si="29"/>
        <v>0</v>
      </c>
      <c r="D288"/>
      <c r="E288" s="96"/>
      <c r="F288" s="96"/>
      <c r="H288" s="2">
        <f t="shared" si="30"/>
        <v>0</v>
      </c>
      <c r="J288" s="96"/>
      <c r="K288" s="96"/>
      <c r="M288" s="2"/>
    </row>
    <row r="289" spans="2:20" x14ac:dyDescent="0.25">
      <c r="C289" s="2">
        <f t="shared" si="29"/>
        <v>0</v>
      </c>
      <c r="D289"/>
      <c r="E289" s="96"/>
      <c r="F289" s="96"/>
      <c r="H289" s="2">
        <f t="shared" si="30"/>
        <v>0</v>
      </c>
      <c r="J289" s="96"/>
      <c r="K289" s="96"/>
      <c r="M289" s="2"/>
    </row>
    <row r="290" spans="2:20" x14ac:dyDescent="0.25">
      <c r="C290" s="2">
        <f t="shared" si="29"/>
        <v>0</v>
      </c>
      <c r="D290"/>
      <c r="E290" s="96"/>
      <c r="F290" s="96"/>
      <c r="H290" s="2">
        <f t="shared" si="30"/>
        <v>0</v>
      </c>
      <c r="J290" s="96"/>
      <c r="K290" s="96"/>
      <c r="M290" s="2"/>
    </row>
    <row r="291" spans="2:20" x14ac:dyDescent="0.25">
      <c r="C291" s="2"/>
      <c r="D291"/>
      <c r="E291" s="96"/>
      <c r="F291" s="96"/>
      <c r="J291" s="96"/>
      <c r="K291" s="96"/>
    </row>
    <row r="292" spans="2:20" x14ac:dyDescent="0.25">
      <c r="B292" s="1">
        <v>4</v>
      </c>
      <c r="C292" s="2">
        <f t="shared" ref="C292:C324" si="31">COUNTIFS(D:D,D292)</f>
        <v>1</v>
      </c>
      <c r="D292" s="79" t="s">
        <v>66</v>
      </c>
      <c r="E292" s="97" t="s">
        <v>6460</v>
      </c>
      <c r="F292" s="97"/>
      <c r="H292" s="2">
        <f t="shared" ref="H292:H324" si="32">COUNTIFS(I:I,I292)</f>
        <v>1</v>
      </c>
      <c r="I292" s="79" t="s">
        <v>65</v>
      </c>
      <c r="J292" s="97" t="s">
        <v>6824</v>
      </c>
      <c r="K292" s="97" t="s">
        <v>6580</v>
      </c>
      <c r="M292" s="2"/>
      <c r="N292" s="73"/>
    </row>
    <row r="293" spans="2:20" x14ac:dyDescent="0.25">
      <c r="C293" s="2">
        <f t="shared" si="31"/>
        <v>1</v>
      </c>
      <c r="D293" s="79" t="s">
        <v>63</v>
      </c>
      <c r="E293" s="97" t="s">
        <v>6461</v>
      </c>
      <c r="F293" s="97"/>
      <c r="H293" s="2">
        <f t="shared" si="32"/>
        <v>1</v>
      </c>
      <c r="I293" s="79" t="s">
        <v>6841</v>
      </c>
      <c r="J293" s="97" t="s">
        <v>6840</v>
      </c>
      <c r="K293" s="97" t="s">
        <v>6580</v>
      </c>
      <c r="M293" s="2"/>
      <c r="N293" s="73"/>
    </row>
    <row r="294" spans="2:20" x14ac:dyDescent="0.25">
      <c r="C294" s="2">
        <f t="shared" si="31"/>
        <v>1</v>
      </c>
      <c r="D294" s="79" t="s">
        <v>6072</v>
      </c>
      <c r="E294" s="97" t="s">
        <v>6488</v>
      </c>
      <c r="F294" s="97" t="s">
        <v>6480</v>
      </c>
      <c r="H294" s="2">
        <f t="shared" si="32"/>
        <v>1</v>
      </c>
      <c r="I294" s="79" t="s">
        <v>6831</v>
      </c>
      <c r="J294" s="97" t="s">
        <v>6832</v>
      </c>
      <c r="K294" s="97" t="s">
        <v>6498</v>
      </c>
      <c r="M294" s="2"/>
      <c r="N294" s="73"/>
    </row>
    <row r="295" spans="2:20" x14ac:dyDescent="0.25">
      <c r="C295" s="2">
        <f t="shared" si="31"/>
        <v>1</v>
      </c>
      <c r="D295" s="79" t="s">
        <v>6450</v>
      </c>
      <c r="E295" s="97" t="s">
        <v>6515</v>
      </c>
      <c r="F295" s="97" t="s">
        <v>6479</v>
      </c>
      <c r="H295" s="2">
        <f t="shared" si="32"/>
        <v>1</v>
      </c>
      <c r="I295" s="79" t="s">
        <v>57</v>
      </c>
      <c r="J295" s="97" t="s">
        <v>6830</v>
      </c>
      <c r="K295" s="97" t="s">
        <v>6498</v>
      </c>
      <c r="M295" s="2"/>
    </row>
    <row r="296" spans="2:20" x14ac:dyDescent="0.25">
      <c r="C296" s="2">
        <f t="shared" si="31"/>
        <v>1</v>
      </c>
      <c r="D296" s="79" t="s">
        <v>56</v>
      </c>
      <c r="E296" s="97" t="s">
        <v>6463</v>
      </c>
      <c r="F296" s="97"/>
      <c r="H296" s="2">
        <f t="shared" si="32"/>
        <v>1</v>
      </c>
      <c r="I296" s="79" t="s">
        <v>6849</v>
      </c>
      <c r="J296" s="97" t="s">
        <v>6840</v>
      </c>
      <c r="K296" s="97" t="s">
        <v>6580</v>
      </c>
      <c r="M296" s="2"/>
    </row>
    <row r="297" spans="2:20" x14ac:dyDescent="0.25">
      <c r="C297" s="2">
        <f t="shared" si="31"/>
        <v>1</v>
      </c>
      <c r="D297" s="79" t="s">
        <v>54</v>
      </c>
      <c r="E297" s="97" t="s">
        <v>6464</v>
      </c>
      <c r="F297" s="97" t="s">
        <v>6480</v>
      </c>
      <c r="H297" s="2">
        <f t="shared" si="32"/>
        <v>1</v>
      </c>
      <c r="I297" s="79" t="s">
        <v>53</v>
      </c>
      <c r="J297" s="97" t="s">
        <v>6844</v>
      </c>
      <c r="K297" s="97" t="s">
        <v>6580</v>
      </c>
      <c r="M297" s="2"/>
    </row>
    <row r="298" spans="2:20" x14ac:dyDescent="0.25">
      <c r="C298" s="2">
        <f t="shared" si="31"/>
        <v>1</v>
      </c>
      <c r="D298" s="79" t="s">
        <v>52</v>
      </c>
      <c r="E298" s="97" t="s">
        <v>6465</v>
      </c>
      <c r="F298" s="97"/>
      <c r="H298" s="2">
        <f t="shared" si="32"/>
        <v>1</v>
      </c>
      <c r="I298" s="79" t="s">
        <v>51</v>
      </c>
      <c r="J298" s="97" t="s">
        <v>6846</v>
      </c>
      <c r="K298" s="97" t="s">
        <v>6498</v>
      </c>
      <c r="M298" s="2"/>
    </row>
    <row r="299" spans="2:20" x14ac:dyDescent="0.25">
      <c r="C299" s="2">
        <f t="shared" si="31"/>
        <v>1</v>
      </c>
      <c r="D299" s="79" t="s">
        <v>32</v>
      </c>
      <c r="E299" s="97" t="s">
        <v>6487</v>
      </c>
      <c r="F299" s="97" t="s">
        <v>6486</v>
      </c>
      <c r="H299" s="2">
        <f t="shared" si="32"/>
        <v>1</v>
      </c>
      <c r="I299" s="79" t="s">
        <v>49</v>
      </c>
      <c r="J299" s="97" t="s">
        <v>6847</v>
      </c>
      <c r="K299" s="97" t="s">
        <v>6498</v>
      </c>
      <c r="M299" s="2"/>
    </row>
    <row r="300" spans="2:20" x14ac:dyDescent="0.25">
      <c r="C300" s="2">
        <f t="shared" si="31"/>
        <v>1</v>
      </c>
      <c r="D300" s="79" t="s">
        <v>27</v>
      </c>
      <c r="E300" s="97" t="s">
        <v>6494</v>
      </c>
      <c r="F300" s="97" t="s">
        <v>5719</v>
      </c>
      <c r="H300" s="2">
        <f t="shared" si="32"/>
        <v>1</v>
      </c>
      <c r="I300" s="79" t="s">
        <v>33</v>
      </c>
      <c r="J300" s="97" t="s">
        <v>6845</v>
      </c>
      <c r="K300" s="97" t="s">
        <v>6580</v>
      </c>
      <c r="M300" s="2"/>
    </row>
    <row r="301" spans="2:20" x14ac:dyDescent="0.25">
      <c r="C301" s="2">
        <f t="shared" si="31"/>
        <v>1</v>
      </c>
      <c r="D301" s="79" t="s">
        <v>6452</v>
      </c>
      <c r="E301" s="97" t="s">
        <v>6516</v>
      </c>
      <c r="F301" s="97" t="s">
        <v>6498</v>
      </c>
      <c r="H301" s="2">
        <f t="shared" si="32"/>
        <v>1</v>
      </c>
      <c r="I301" s="79" t="s">
        <v>46</v>
      </c>
      <c r="J301" s="97" t="s">
        <v>6850</v>
      </c>
      <c r="K301" s="97" t="s">
        <v>323</v>
      </c>
      <c r="M301" s="2"/>
    </row>
    <row r="302" spans="2:20" x14ac:dyDescent="0.25">
      <c r="C302" s="2">
        <f t="shared" si="31"/>
        <v>1</v>
      </c>
      <c r="D302" s="79" t="s">
        <v>13</v>
      </c>
      <c r="E302" s="97" t="s">
        <v>6578</v>
      </c>
      <c r="F302" s="97" t="s">
        <v>6486</v>
      </c>
      <c r="H302" s="2">
        <f t="shared" si="32"/>
        <v>1</v>
      </c>
      <c r="I302" s="79" t="s">
        <v>6451</v>
      </c>
      <c r="J302" s="95" t="s">
        <v>6838</v>
      </c>
      <c r="K302" s="97" t="s">
        <v>6498</v>
      </c>
      <c r="M302" s="2"/>
      <c r="T302" s="92"/>
    </row>
    <row r="303" spans="2:20" x14ac:dyDescent="0.25">
      <c r="C303" s="2">
        <f t="shared" si="31"/>
        <v>1</v>
      </c>
      <c r="D303" s="79" t="s">
        <v>6292</v>
      </c>
      <c r="E303" s="97" t="s">
        <v>6506</v>
      </c>
      <c r="F303" s="97" t="s">
        <v>6486</v>
      </c>
      <c r="H303" s="2">
        <f t="shared" si="32"/>
        <v>1</v>
      </c>
      <c r="I303" s="77" t="s">
        <v>156</v>
      </c>
      <c r="J303" s="95" t="s">
        <v>6817</v>
      </c>
      <c r="K303" s="95" t="s">
        <v>6498</v>
      </c>
      <c r="M303" s="2"/>
    </row>
    <row r="304" spans="2:20" x14ac:dyDescent="0.25">
      <c r="C304" s="2">
        <f t="shared" si="31"/>
        <v>1</v>
      </c>
      <c r="D304" s="79" t="s">
        <v>131</v>
      </c>
      <c r="E304" s="97" t="s">
        <v>6192</v>
      </c>
      <c r="F304" s="97" t="s">
        <v>6486</v>
      </c>
      <c r="H304" s="2">
        <f t="shared" si="32"/>
        <v>1</v>
      </c>
      <c r="I304" s="77" t="s">
        <v>6060</v>
      </c>
      <c r="J304" s="95" t="s">
        <v>6828</v>
      </c>
      <c r="K304" s="95" t="s">
        <v>6504</v>
      </c>
      <c r="M304" s="2"/>
    </row>
    <row r="305" spans="3:13" x14ac:dyDescent="0.25">
      <c r="C305" s="2">
        <f t="shared" si="31"/>
        <v>1</v>
      </c>
      <c r="D305" s="79" t="s">
        <v>6721</v>
      </c>
      <c r="E305" s="97" t="s">
        <v>6722</v>
      </c>
      <c r="F305" s="97" t="s">
        <v>6479</v>
      </c>
      <c r="H305" s="2">
        <f t="shared" si="32"/>
        <v>1</v>
      </c>
      <c r="I305" s="77" t="s">
        <v>6456</v>
      </c>
      <c r="J305" s="97" t="s">
        <v>6868</v>
      </c>
      <c r="K305" s="97" t="s">
        <v>6580</v>
      </c>
      <c r="M305" s="2"/>
    </row>
    <row r="306" spans="3:13" x14ac:dyDescent="0.25">
      <c r="C306" s="2">
        <f t="shared" si="31"/>
        <v>1</v>
      </c>
      <c r="D306" s="97" t="s">
        <v>6731</v>
      </c>
      <c r="E306" s="97" t="s">
        <v>6732</v>
      </c>
      <c r="F306" s="97" t="s">
        <v>6486</v>
      </c>
      <c r="H306" s="2">
        <f t="shared" si="32"/>
        <v>1</v>
      </c>
      <c r="I306" s="79" t="s">
        <v>6749</v>
      </c>
      <c r="J306" s="97" t="s">
        <v>6748</v>
      </c>
      <c r="K306" s="97" t="s">
        <v>6498</v>
      </c>
      <c r="M306" s="2"/>
    </row>
    <row r="307" spans="3:13" x14ac:dyDescent="0.25">
      <c r="C307" s="2">
        <f t="shared" si="31"/>
        <v>1</v>
      </c>
      <c r="D307" s="79" t="s">
        <v>6762</v>
      </c>
      <c r="E307" s="97" t="s">
        <v>6760</v>
      </c>
      <c r="F307" s="97" t="s">
        <v>6761</v>
      </c>
      <c r="H307" s="2">
        <f t="shared" si="32"/>
        <v>1</v>
      </c>
      <c r="I307" s="79" t="s">
        <v>6427</v>
      </c>
      <c r="J307" s="97" t="s">
        <v>6861</v>
      </c>
      <c r="K307" s="95" t="s">
        <v>6580</v>
      </c>
      <c r="M307" s="2"/>
    </row>
    <row r="308" spans="3:13" x14ac:dyDescent="0.25">
      <c r="C308" s="2">
        <f t="shared" si="31"/>
        <v>1</v>
      </c>
      <c r="D308" s="79" t="s">
        <v>7322</v>
      </c>
      <c r="E308" s="97" t="s">
        <v>7323</v>
      </c>
      <c r="F308" s="97" t="s">
        <v>6508</v>
      </c>
      <c r="H308" s="2">
        <f t="shared" si="32"/>
        <v>1</v>
      </c>
      <c r="I308" s="79" t="s">
        <v>22</v>
      </c>
      <c r="J308" s="95" t="s">
        <v>6865</v>
      </c>
      <c r="K308" s="95" t="s">
        <v>6580</v>
      </c>
      <c r="M308" s="2"/>
    </row>
    <row r="309" spans="3:13" x14ac:dyDescent="0.25">
      <c r="C309" s="2">
        <f t="shared" si="31"/>
        <v>1</v>
      </c>
      <c r="D309" s="79" t="s">
        <v>7335</v>
      </c>
      <c r="E309" s="97" t="s">
        <v>7336</v>
      </c>
      <c r="F309" s="97" t="s">
        <v>6498</v>
      </c>
      <c r="H309" s="2">
        <f t="shared" si="32"/>
        <v>1</v>
      </c>
      <c r="I309" s="79" t="s">
        <v>61</v>
      </c>
      <c r="J309" s="97" t="s">
        <v>6872</v>
      </c>
      <c r="K309" s="97" t="s">
        <v>6486</v>
      </c>
      <c r="M309" s="2"/>
    </row>
    <row r="310" spans="3:13" x14ac:dyDescent="0.25">
      <c r="C310" s="2">
        <f t="shared" si="31"/>
        <v>1</v>
      </c>
      <c r="D310" s="79" t="s">
        <v>59</v>
      </c>
      <c r="E310" s="97" t="s">
        <v>6732</v>
      </c>
      <c r="F310" s="97" t="s">
        <v>6479</v>
      </c>
      <c r="H310" s="2">
        <f t="shared" si="32"/>
        <v>0</v>
      </c>
      <c r="I310" s="79"/>
      <c r="J310" s="97"/>
      <c r="K310" s="97"/>
      <c r="M310" s="2"/>
    </row>
    <row r="311" spans="3:13" x14ac:dyDescent="0.25">
      <c r="C311" s="2">
        <f t="shared" si="31"/>
        <v>0</v>
      </c>
      <c r="D311" s="73"/>
      <c r="E311" s="99"/>
      <c r="F311" s="99"/>
      <c r="H311" s="2">
        <f t="shared" si="32"/>
        <v>1</v>
      </c>
      <c r="I311" s="77" t="s">
        <v>6053</v>
      </c>
      <c r="J311" s="95" t="s">
        <v>6876</v>
      </c>
      <c r="K311" s="95" t="s">
        <v>6877</v>
      </c>
      <c r="M311" s="2"/>
    </row>
    <row r="312" spans="3:13" x14ac:dyDescent="0.25">
      <c r="C312" s="2">
        <f t="shared" si="31"/>
        <v>0</v>
      </c>
      <c r="D312" s="73"/>
      <c r="E312" s="99"/>
      <c r="F312" s="99"/>
      <c r="H312" s="2">
        <f t="shared" si="32"/>
        <v>1</v>
      </c>
      <c r="I312" s="79" t="s">
        <v>6045</v>
      </c>
      <c r="J312" s="97" t="s">
        <v>6878</v>
      </c>
      <c r="K312" s="95" t="s">
        <v>6498</v>
      </c>
      <c r="M312" s="2"/>
    </row>
    <row r="313" spans="3:13" x14ac:dyDescent="0.25">
      <c r="C313" s="2">
        <f t="shared" si="31"/>
        <v>0</v>
      </c>
      <c r="D313" s="73"/>
      <c r="E313" s="99"/>
      <c r="F313" s="99"/>
      <c r="H313" s="2">
        <f t="shared" si="32"/>
        <v>1</v>
      </c>
      <c r="I313" s="79" t="s">
        <v>6051</v>
      </c>
      <c r="J313" s="97" t="s">
        <v>6884</v>
      </c>
      <c r="K313" s="95" t="s">
        <v>6877</v>
      </c>
      <c r="M313" s="2"/>
    </row>
    <row r="314" spans="3:13" x14ac:dyDescent="0.25">
      <c r="C314" s="2">
        <f t="shared" si="31"/>
        <v>0</v>
      </c>
      <c r="D314" s="73"/>
      <c r="E314" s="99"/>
      <c r="F314" s="99"/>
      <c r="H314" s="2">
        <f t="shared" si="32"/>
        <v>1</v>
      </c>
      <c r="I314" s="79" t="s">
        <v>6169</v>
      </c>
      <c r="J314" s="97" t="s">
        <v>6885</v>
      </c>
      <c r="K314" s="95" t="s">
        <v>6498</v>
      </c>
      <c r="M314" s="2"/>
    </row>
    <row r="315" spans="3:13" x14ac:dyDescent="0.25">
      <c r="C315" s="2">
        <f t="shared" si="31"/>
        <v>0</v>
      </c>
      <c r="D315" s="73"/>
      <c r="E315" s="99"/>
      <c r="F315" s="99"/>
      <c r="H315" s="2">
        <f t="shared" si="32"/>
        <v>1</v>
      </c>
      <c r="I315" s="79" t="s">
        <v>6889</v>
      </c>
      <c r="J315" s="97" t="s">
        <v>6888</v>
      </c>
      <c r="K315" s="97" t="s">
        <v>6887</v>
      </c>
      <c r="M315" s="2"/>
    </row>
    <row r="316" spans="3:13" x14ac:dyDescent="0.25">
      <c r="C316" s="2">
        <f t="shared" si="31"/>
        <v>0</v>
      </c>
      <c r="D316" s="73"/>
      <c r="E316" s="99"/>
      <c r="F316" s="99"/>
      <c r="H316" s="2">
        <f t="shared" si="32"/>
        <v>1</v>
      </c>
      <c r="I316" s="79" t="s">
        <v>6892</v>
      </c>
      <c r="J316" s="97" t="s">
        <v>6891</v>
      </c>
      <c r="K316" s="97" t="s">
        <v>5758</v>
      </c>
      <c r="M316" s="2"/>
    </row>
    <row r="317" spans="3:13" x14ac:dyDescent="0.25">
      <c r="C317" s="2">
        <f t="shared" si="31"/>
        <v>0</v>
      </c>
      <c r="D317" s="73"/>
      <c r="E317" s="99"/>
      <c r="F317" s="99"/>
      <c r="H317" s="2">
        <f t="shared" si="32"/>
        <v>1</v>
      </c>
      <c r="I317" s="79" t="s">
        <v>6390</v>
      </c>
      <c r="J317" s="97" t="s">
        <v>6896</v>
      </c>
      <c r="K317" s="95" t="s">
        <v>6498</v>
      </c>
      <c r="M317" s="2"/>
    </row>
    <row r="318" spans="3:13" x14ac:dyDescent="0.25">
      <c r="C318" s="2">
        <f t="shared" si="31"/>
        <v>0</v>
      </c>
      <c r="D318" s="73"/>
      <c r="E318" s="99"/>
      <c r="F318" s="99"/>
      <c r="H318" s="2">
        <f t="shared" si="32"/>
        <v>1</v>
      </c>
      <c r="I318" s="79" t="s">
        <v>6913</v>
      </c>
      <c r="J318" s="97" t="s">
        <v>5505</v>
      </c>
      <c r="K318" s="97" t="s">
        <v>323</v>
      </c>
      <c r="M318" s="2"/>
    </row>
    <row r="319" spans="3:13" x14ac:dyDescent="0.25">
      <c r="C319" s="2">
        <f t="shared" si="31"/>
        <v>0</v>
      </c>
      <c r="D319" s="4"/>
      <c r="E319" s="96"/>
      <c r="F319" s="96"/>
      <c r="H319" s="2">
        <f t="shared" si="32"/>
        <v>1</v>
      </c>
      <c r="I319" s="79" t="s">
        <v>7317</v>
      </c>
      <c r="J319" s="97" t="s">
        <v>7318</v>
      </c>
      <c r="K319" s="95" t="s">
        <v>6816</v>
      </c>
      <c r="M319" s="2"/>
    </row>
    <row r="320" spans="3:13" x14ac:dyDescent="0.25">
      <c r="C320" s="2">
        <f t="shared" si="31"/>
        <v>0</v>
      </c>
      <c r="D320" s="73"/>
      <c r="E320" s="96"/>
      <c r="F320" s="96"/>
      <c r="H320" s="2">
        <f t="shared" si="32"/>
        <v>0</v>
      </c>
      <c r="I320" s="79"/>
      <c r="J320" s="95"/>
      <c r="K320" s="95"/>
      <c r="M320" s="2"/>
    </row>
    <row r="321" spans="2:13" x14ac:dyDescent="0.25">
      <c r="C321" s="2">
        <f t="shared" si="31"/>
        <v>0</v>
      </c>
      <c r="D321"/>
      <c r="E321" s="96"/>
      <c r="F321" s="96"/>
      <c r="H321" s="2">
        <f t="shared" si="32"/>
        <v>1</v>
      </c>
      <c r="I321" s="77" t="s">
        <v>6454</v>
      </c>
      <c r="J321" s="95" t="s">
        <v>6837</v>
      </c>
      <c r="K321" s="95" t="s">
        <v>6498</v>
      </c>
      <c r="M321" s="2"/>
    </row>
    <row r="322" spans="2:13" x14ac:dyDescent="0.25">
      <c r="C322" s="2">
        <f t="shared" si="31"/>
        <v>0</v>
      </c>
      <c r="D322"/>
      <c r="E322" s="96"/>
      <c r="F322" s="96"/>
      <c r="H322" s="2">
        <f t="shared" si="32"/>
        <v>1</v>
      </c>
      <c r="I322" s="77" t="s">
        <v>7351</v>
      </c>
      <c r="J322" s="95" t="s">
        <v>7352</v>
      </c>
      <c r="K322" s="95" t="s">
        <v>6498</v>
      </c>
      <c r="M322" s="2"/>
    </row>
    <row r="323" spans="2:13" x14ac:dyDescent="0.25">
      <c r="C323" s="2">
        <f t="shared" si="31"/>
        <v>0</v>
      </c>
      <c r="D323"/>
      <c r="E323" s="96"/>
      <c r="F323" s="96"/>
      <c r="H323" s="2">
        <f t="shared" si="32"/>
        <v>1</v>
      </c>
      <c r="I323" s="77" t="s">
        <v>7353</v>
      </c>
      <c r="J323" s="95" t="s">
        <v>7354</v>
      </c>
      <c r="K323" s="95" t="s">
        <v>5758</v>
      </c>
      <c r="M323" s="2"/>
    </row>
    <row r="324" spans="2:13" x14ac:dyDescent="0.25">
      <c r="C324" s="2">
        <f t="shared" si="31"/>
        <v>0</v>
      </c>
      <c r="D324"/>
      <c r="E324" s="96"/>
      <c r="F324" s="96"/>
      <c r="H324" s="2">
        <f t="shared" si="32"/>
        <v>0</v>
      </c>
      <c r="I324" s="77"/>
      <c r="J324" s="95"/>
      <c r="K324" s="95"/>
      <c r="M324" s="2"/>
    </row>
    <row r="325" spans="2:13" x14ac:dyDescent="0.25">
      <c r="C325" s="2">
        <f t="shared" ref="C325:C329" si="33">COUNTIFS(D:D,D325)</f>
        <v>0</v>
      </c>
      <c r="D325"/>
      <c r="E325" s="96"/>
      <c r="F325" s="96"/>
      <c r="H325" s="2">
        <f t="shared" ref="H325:H329" si="34">COUNTIFS(I:I,I325)</f>
        <v>0</v>
      </c>
      <c r="I325" s="77"/>
      <c r="J325" s="95"/>
      <c r="K325" s="95"/>
      <c r="M325" s="2"/>
    </row>
    <row r="326" spans="2:13" x14ac:dyDescent="0.25">
      <c r="C326" s="2">
        <f t="shared" si="33"/>
        <v>0</v>
      </c>
      <c r="D326"/>
      <c r="E326" s="96"/>
      <c r="F326" s="96"/>
      <c r="H326" s="2">
        <f t="shared" si="34"/>
        <v>0</v>
      </c>
      <c r="I326" s="77"/>
      <c r="J326" s="95"/>
      <c r="K326" s="95"/>
      <c r="M326" s="2"/>
    </row>
    <row r="327" spans="2:13" x14ac:dyDescent="0.25">
      <c r="C327" s="2">
        <f t="shared" si="33"/>
        <v>0</v>
      </c>
      <c r="D327"/>
      <c r="E327" s="96"/>
      <c r="F327" s="96"/>
      <c r="H327" s="2">
        <f t="shared" si="34"/>
        <v>0</v>
      </c>
      <c r="I327" s="77"/>
      <c r="J327" s="95"/>
      <c r="K327" s="95"/>
      <c r="M327" s="2"/>
    </row>
    <row r="328" spans="2:13" x14ac:dyDescent="0.25">
      <c r="C328" s="2">
        <f t="shared" si="33"/>
        <v>0</v>
      </c>
      <c r="D328"/>
      <c r="E328" s="96"/>
      <c r="F328" s="96"/>
      <c r="H328" s="2">
        <f t="shared" si="34"/>
        <v>0</v>
      </c>
      <c r="I328" s="77"/>
      <c r="J328" s="95"/>
      <c r="K328" s="95"/>
      <c r="M328" s="2"/>
    </row>
    <row r="329" spans="2:13" x14ac:dyDescent="0.25">
      <c r="C329" s="2">
        <f t="shared" si="33"/>
        <v>0</v>
      </c>
      <c r="D329"/>
      <c r="E329" s="96"/>
      <c r="F329" s="96"/>
      <c r="H329" s="2">
        <f t="shared" si="34"/>
        <v>0</v>
      </c>
      <c r="I329" s="77"/>
      <c r="J329" s="95"/>
      <c r="K329" s="95"/>
      <c r="M329" s="2"/>
    </row>
    <row r="330" spans="2:13" x14ac:dyDescent="0.25">
      <c r="C330" s="2"/>
      <c r="D330"/>
      <c r="E330" s="96"/>
      <c r="F330" s="96"/>
      <c r="H330" s="2"/>
      <c r="J330" s="96"/>
      <c r="K330" s="96"/>
      <c r="M330" s="2"/>
    </row>
    <row r="331" spans="2:13" x14ac:dyDescent="0.25">
      <c r="B331" s="1">
        <v>3</v>
      </c>
      <c r="C331" s="2">
        <f t="shared" ref="C331:C378" si="35">COUNTIFS(D:D,D331)</f>
        <v>1</v>
      </c>
      <c r="D331" s="79" t="s">
        <v>25</v>
      </c>
      <c r="E331" s="97" t="s">
        <v>6497</v>
      </c>
      <c r="F331" s="97" t="s">
        <v>6498</v>
      </c>
      <c r="H331" s="2">
        <f t="shared" ref="H331:H354" si="36">COUNTIFS(I:I,I331)</f>
        <v>1</v>
      </c>
      <c r="I331" s="79" t="s">
        <v>60</v>
      </c>
      <c r="J331" s="97" t="s">
        <v>6826</v>
      </c>
      <c r="K331" s="97" t="s">
        <v>6827</v>
      </c>
      <c r="M331" s="2"/>
    </row>
    <row r="332" spans="2:13" x14ac:dyDescent="0.25">
      <c r="C332" s="2">
        <f t="shared" si="35"/>
        <v>1</v>
      </c>
      <c r="D332" s="79" t="s">
        <v>6499</v>
      </c>
      <c r="E332" s="97" t="s">
        <v>6500</v>
      </c>
      <c r="F332" s="97" t="s">
        <v>6501</v>
      </c>
      <c r="H332" s="2">
        <f t="shared" si="36"/>
        <v>1</v>
      </c>
      <c r="I332" s="79" t="s">
        <v>6410</v>
      </c>
      <c r="J332" s="97" t="s">
        <v>6835</v>
      </c>
      <c r="K332" s="97" t="s">
        <v>6508</v>
      </c>
      <c r="M332" s="2"/>
    </row>
    <row r="333" spans="2:13" x14ac:dyDescent="0.25">
      <c r="C333" s="2">
        <f t="shared" si="35"/>
        <v>1</v>
      </c>
      <c r="D333" s="79" t="s">
        <v>6502</v>
      </c>
      <c r="E333" s="97" t="s">
        <v>6490</v>
      </c>
      <c r="F333" s="97" t="s">
        <v>6501</v>
      </c>
      <c r="H333" s="2">
        <f t="shared" si="36"/>
        <v>1</v>
      </c>
      <c r="I333" s="79" t="s">
        <v>6061</v>
      </c>
      <c r="J333" s="97" t="s">
        <v>6829</v>
      </c>
      <c r="K333" s="97" t="s">
        <v>6498</v>
      </c>
      <c r="M333" s="2"/>
    </row>
    <row r="334" spans="2:13" x14ac:dyDescent="0.25">
      <c r="C334" s="2">
        <f t="shared" si="35"/>
        <v>1</v>
      </c>
      <c r="D334" s="79" t="s">
        <v>30</v>
      </c>
      <c r="E334" s="97" t="s">
        <v>6490</v>
      </c>
      <c r="F334" s="97" t="s">
        <v>6491</v>
      </c>
      <c r="H334" s="2">
        <f t="shared" si="36"/>
        <v>1</v>
      </c>
      <c r="I334" s="79" t="s">
        <v>6834</v>
      </c>
      <c r="J334" s="97" t="s">
        <v>6833</v>
      </c>
      <c r="K334" s="97" t="s">
        <v>6498</v>
      </c>
      <c r="M334" s="2"/>
    </row>
    <row r="335" spans="2:13" x14ac:dyDescent="0.25">
      <c r="C335" s="2">
        <f t="shared" si="35"/>
        <v>1</v>
      </c>
      <c r="D335" s="79" t="s">
        <v>6039</v>
      </c>
      <c r="E335" s="95" t="s">
        <v>6495</v>
      </c>
      <c r="F335" s="95" t="s">
        <v>6496</v>
      </c>
      <c r="H335" s="2">
        <f t="shared" si="36"/>
        <v>1</v>
      </c>
      <c r="I335" s="79" t="s">
        <v>6459</v>
      </c>
      <c r="J335" s="97" t="s">
        <v>6836</v>
      </c>
      <c r="K335" s="97" t="s">
        <v>6498</v>
      </c>
      <c r="M335" s="2"/>
    </row>
    <row r="336" spans="2:13" x14ac:dyDescent="0.25">
      <c r="C336" s="2">
        <f t="shared" si="35"/>
        <v>1</v>
      </c>
      <c r="D336" s="79" t="s">
        <v>6234</v>
      </c>
      <c r="E336" s="95" t="s">
        <v>6507</v>
      </c>
      <c r="F336" s="95" t="s">
        <v>6508</v>
      </c>
      <c r="H336" s="2">
        <f t="shared" si="36"/>
        <v>1</v>
      </c>
      <c r="I336" s="79" t="s">
        <v>6455</v>
      </c>
      <c r="J336" s="97" t="s">
        <v>6835</v>
      </c>
      <c r="K336" s="97" t="s">
        <v>6498</v>
      </c>
      <c r="M336" s="2"/>
    </row>
    <row r="337" spans="3:13" x14ac:dyDescent="0.25">
      <c r="C337" s="2">
        <f t="shared" si="35"/>
        <v>1</v>
      </c>
      <c r="D337" s="79" t="s">
        <v>6510</v>
      </c>
      <c r="E337" s="95" t="s">
        <v>6509</v>
      </c>
      <c r="F337" s="95" t="s">
        <v>6504</v>
      </c>
      <c r="H337" s="2">
        <f t="shared" si="36"/>
        <v>1</v>
      </c>
      <c r="I337" s="79" t="s">
        <v>6458</v>
      </c>
      <c r="J337" s="97" t="s">
        <v>6839</v>
      </c>
      <c r="K337" s="97" t="s">
        <v>6498</v>
      </c>
      <c r="M337" s="2"/>
    </row>
    <row r="338" spans="3:13" x14ac:dyDescent="0.25">
      <c r="C338" s="2">
        <f t="shared" si="35"/>
        <v>1</v>
      </c>
      <c r="D338" s="77" t="s">
        <v>6054</v>
      </c>
      <c r="E338" s="95" t="s">
        <v>6503</v>
      </c>
      <c r="F338" s="95" t="s">
        <v>6504</v>
      </c>
      <c r="H338" s="2">
        <f t="shared" si="36"/>
        <v>1</v>
      </c>
      <c r="I338" s="79" t="s">
        <v>55</v>
      </c>
      <c r="J338" s="97" t="s">
        <v>6842</v>
      </c>
      <c r="K338" s="97" t="s">
        <v>6843</v>
      </c>
      <c r="M338" s="2"/>
    </row>
    <row r="339" spans="3:13" x14ac:dyDescent="0.25">
      <c r="C339" s="2">
        <f t="shared" si="35"/>
        <v>1</v>
      </c>
      <c r="D339" s="97" t="s">
        <v>6432</v>
      </c>
      <c r="E339" s="97" t="s">
        <v>6514</v>
      </c>
      <c r="F339" s="95" t="s">
        <v>6496</v>
      </c>
      <c r="H339" s="2">
        <f t="shared" si="36"/>
        <v>1</v>
      </c>
      <c r="I339" s="79" t="s">
        <v>47</v>
      </c>
      <c r="J339" s="97" t="s">
        <v>6848</v>
      </c>
      <c r="K339" s="97" t="s">
        <v>6498</v>
      </c>
      <c r="M339" s="2"/>
    </row>
    <row r="340" spans="3:13" x14ac:dyDescent="0.25">
      <c r="C340" s="2">
        <f t="shared" si="35"/>
        <v>1</v>
      </c>
      <c r="D340" s="79" t="s">
        <v>6453</v>
      </c>
      <c r="E340" s="97" t="s">
        <v>6517</v>
      </c>
      <c r="F340" s="97" t="s">
        <v>6498</v>
      </c>
      <c r="H340" s="2">
        <f t="shared" si="36"/>
        <v>1</v>
      </c>
      <c r="I340" s="79" t="s">
        <v>44</v>
      </c>
      <c r="J340" s="97" t="s">
        <v>6495</v>
      </c>
      <c r="K340" s="97" t="s">
        <v>6486</v>
      </c>
      <c r="M340" s="2"/>
    </row>
    <row r="341" spans="3:13" x14ac:dyDescent="0.25">
      <c r="C341" s="2">
        <f t="shared" si="35"/>
        <v>1</v>
      </c>
      <c r="D341" s="79" t="s">
        <v>6233</v>
      </c>
      <c r="E341" s="97" t="s">
        <v>6587</v>
      </c>
      <c r="F341" s="97" t="s">
        <v>6486</v>
      </c>
      <c r="H341" s="2">
        <f t="shared" si="36"/>
        <v>1</v>
      </c>
      <c r="I341" s="79" t="s">
        <v>26</v>
      </c>
      <c r="J341" s="97" t="s">
        <v>6851</v>
      </c>
      <c r="K341" s="97" t="s">
        <v>6537</v>
      </c>
      <c r="M341" s="2"/>
    </row>
    <row r="342" spans="3:13" x14ac:dyDescent="0.25">
      <c r="C342" s="2">
        <f t="shared" si="35"/>
        <v>1</v>
      </c>
      <c r="D342" s="79" t="s">
        <v>6328</v>
      </c>
      <c r="E342" s="97" t="s">
        <v>6512</v>
      </c>
      <c r="F342" s="95" t="s">
        <v>6479</v>
      </c>
      <c r="H342" s="2">
        <f t="shared" si="36"/>
        <v>1</v>
      </c>
      <c r="I342" s="79" t="s">
        <v>39</v>
      </c>
      <c r="J342" s="97" t="s">
        <v>6835</v>
      </c>
      <c r="K342" s="97" t="s">
        <v>6613</v>
      </c>
      <c r="M342" s="2"/>
    </row>
    <row r="343" spans="3:13" x14ac:dyDescent="0.25">
      <c r="C343" s="2">
        <f t="shared" si="35"/>
        <v>1</v>
      </c>
      <c r="D343" s="77" t="s">
        <v>6349</v>
      </c>
      <c r="E343" s="95" t="s">
        <v>6511</v>
      </c>
      <c r="F343" s="95" t="s">
        <v>6479</v>
      </c>
      <c r="H343" s="2">
        <f t="shared" si="36"/>
        <v>1</v>
      </c>
      <c r="I343" s="79" t="s">
        <v>42</v>
      </c>
      <c r="J343" s="97" t="s">
        <v>6852</v>
      </c>
      <c r="K343" s="97" t="s">
        <v>6853</v>
      </c>
      <c r="M343" s="2"/>
    </row>
    <row r="344" spans="3:13" x14ac:dyDescent="0.25">
      <c r="C344" s="2">
        <f t="shared" si="35"/>
        <v>1</v>
      </c>
      <c r="D344" s="77" t="s">
        <v>6353</v>
      </c>
      <c r="E344" s="95" t="s">
        <v>6513</v>
      </c>
      <c r="F344" s="95" t="s">
        <v>6479</v>
      </c>
      <c r="H344" s="2">
        <f t="shared" si="36"/>
        <v>1</v>
      </c>
      <c r="I344" s="79" t="s">
        <v>41</v>
      </c>
      <c r="J344" s="97" t="s">
        <v>6854</v>
      </c>
      <c r="K344" s="97" t="s">
        <v>6486</v>
      </c>
      <c r="M344" s="2"/>
    </row>
    <row r="345" spans="3:13" x14ac:dyDescent="0.25">
      <c r="C345" s="2">
        <f t="shared" si="35"/>
        <v>1</v>
      </c>
      <c r="D345" s="79" t="s">
        <v>6932</v>
      </c>
      <c r="E345" s="95" t="s">
        <v>6931</v>
      </c>
      <c r="F345" s="95" t="s">
        <v>6596</v>
      </c>
      <c r="H345" s="2">
        <f t="shared" si="36"/>
        <v>1</v>
      </c>
      <c r="I345" s="79" t="s">
        <v>6856</v>
      </c>
      <c r="J345" s="97" t="s">
        <v>6855</v>
      </c>
      <c r="K345" s="97" t="s">
        <v>6486</v>
      </c>
      <c r="M345" s="2"/>
    </row>
    <row r="346" spans="3:13" x14ac:dyDescent="0.25">
      <c r="C346" s="2">
        <f t="shared" si="35"/>
        <v>1</v>
      </c>
      <c r="D346" s="79" t="s">
        <v>6410</v>
      </c>
      <c r="E346" s="97" t="s">
        <v>6509</v>
      </c>
      <c r="F346" s="95" t="s">
        <v>6596</v>
      </c>
      <c r="H346" s="2">
        <f t="shared" si="36"/>
        <v>1</v>
      </c>
      <c r="I346" s="79" t="s">
        <v>36</v>
      </c>
      <c r="J346" s="97" t="s">
        <v>6857</v>
      </c>
      <c r="K346" s="97" t="s">
        <v>6486</v>
      </c>
      <c r="M346" s="2"/>
    </row>
    <row r="347" spans="3:13" x14ac:dyDescent="0.25">
      <c r="C347" s="2">
        <f t="shared" si="35"/>
        <v>1</v>
      </c>
      <c r="D347" s="77" t="s">
        <v>7337</v>
      </c>
      <c r="E347" s="95" t="s">
        <v>7338</v>
      </c>
      <c r="F347" s="95" t="s">
        <v>6501</v>
      </c>
      <c r="H347" s="2">
        <f t="shared" si="36"/>
        <v>1</v>
      </c>
      <c r="I347" s="79" t="s">
        <v>34</v>
      </c>
      <c r="J347" s="97" t="s">
        <v>6858</v>
      </c>
      <c r="K347" s="97" t="s">
        <v>6613</v>
      </c>
      <c r="M347" s="2"/>
    </row>
    <row r="348" spans="3:13" x14ac:dyDescent="0.25">
      <c r="C348" s="2">
        <f t="shared" si="35"/>
        <v>0</v>
      </c>
      <c r="D348" s="77"/>
      <c r="E348" s="95"/>
      <c r="F348" s="95"/>
      <c r="H348" s="2">
        <f t="shared" si="36"/>
        <v>1</v>
      </c>
      <c r="I348" s="79" t="s">
        <v>6416</v>
      </c>
      <c r="J348" s="97" t="s">
        <v>6860</v>
      </c>
      <c r="K348" s="97" t="s">
        <v>6580</v>
      </c>
      <c r="M348" s="2"/>
    </row>
    <row r="349" spans="3:13" x14ac:dyDescent="0.25">
      <c r="C349" s="2">
        <f t="shared" si="35"/>
        <v>1</v>
      </c>
      <c r="D349" s="79" t="s">
        <v>58</v>
      </c>
      <c r="E349" s="97" t="s">
        <v>6462</v>
      </c>
      <c r="F349" s="97"/>
      <c r="H349" s="2">
        <f t="shared" si="36"/>
        <v>1</v>
      </c>
      <c r="I349" s="79" t="s">
        <v>29</v>
      </c>
      <c r="J349" s="97" t="s">
        <v>6862</v>
      </c>
      <c r="K349" s="97" t="s">
        <v>6498</v>
      </c>
      <c r="M349" s="2"/>
    </row>
    <row r="350" spans="3:13" x14ac:dyDescent="0.25">
      <c r="C350" s="2">
        <f t="shared" si="35"/>
        <v>1</v>
      </c>
      <c r="D350" s="97" t="s">
        <v>50</v>
      </c>
      <c r="E350" s="97" t="s">
        <v>6472</v>
      </c>
      <c r="F350" s="97"/>
      <c r="H350" s="2">
        <f t="shared" si="36"/>
        <v>1</v>
      </c>
      <c r="I350" s="79" t="s">
        <v>23</v>
      </c>
      <c r="J350" s="97" t="s">
        <v>6864</v>
      </c>
      <c r="K350" s="97" t="s">
        <v>6596</v>
      </c>
      <c r="M350" s="2"/>
    </row>
    <row r="351" spans="3:13" x14ac:dyDescent="0.25">
      <c r="C351" s="2">
        <f t="shared" si="35"/>
        <v>1</v>
      </c>
      <c r="D351" s="79" t="s">
        <v>45</v>
      </c>
      <c r="E351" s="97" t="s">
        <v>6466</v>
      </c>
      <c r="F351" s="97"/>
      <c r="H351" s="2">
        <f t="shared" si="36"/>
        <v>1</v>
      </c>
      <c r="I351" s="79" t="s">
        <v>6867</v>
      </c>
      <c r="J351" s="97" t="s">
        <v>6866</v>
      </c>
      <c r="K351" s="97" t="s">
        <v>6580</v>
      </c>
      <c r="M351" s="2"/>
    </row>
    <row r="352" spans="3:13" x14ac:dyDescent="0.25">
      <c r="C352" s="2">
        <f t="shared" si="35"/>
        <v>1</v>
      </c>
      <c r="D352" s="79" t="s">
        <v>38</v>
      </c>
      <c r="E352" s="97" t="s">
        <v>5516</v>
      </c>
      <c r="F352" s="97"/>
      <c r="H352" s="2">
        <f t="shared" si="36"/>
        <v>1</v>
      </c>
      <c r="I352" s="79" t="s">
        <v>21</v>
      </c>
      <c r="J352" s="97" t="s">
        <v>6869</v>
      </c>
      <c r="K352" s="97" t="s">
        <v>323</v>
      </c>
      <c r="M352" s="2"/>
    </row>
    <row r="353" spans="3:13" x14ac:dyDescent="0.25">
      <c r="C353" s="2">
        <f t="shared" si="35"/>
        <v>1</v>
      </c>
      <c r="D353" s="79" t="s">
        <v>48</v>
      </c>
      <c r="E353" s="97" t="s">
        <v>6473</v>
      </c>
      <c r="F353" s="97"/>
      <c r="H353" s="2">
        <f t="shared" si="36"/>
        <v>1</v>
      </c>
      <c r="I353" s="79" t="s">
        <v>6871</v>
      </c>
      <c r="J353" s="97" t="s">
        <v>6870</v>
      </c>
      <c r="K353" s="97" t="s">
        <v>323</v>
      </c>
      <c r="M353" s="2"/>
    </row>
    <row r="354" spans="3:13" x14ac:dyDescent="0.25">
      <c r="C354" s="2">
        <f t="shared" si="35"/>
        <v>1</v>
      </c>
      <c r="D354" s="77" t="s">
        <v>43</v>
      </c>
      <c r="E354" s="95" t="s">
        <v>6474</v>
      </c>
      <c r="F354" s="95"/>
      <c r="H354" s="2">
        <f t="shared" si="36"/>
        <v>1</v>
      </c>
      <c r="I354" s="79" t="s">
        <v>7362</v>
      </c>
      <c r="J354" s="97" t="s">
        <v>7350</v>
      </c>
      <c r="K354" s="97" t="s">
        <v>6498</v>
      </c>
      <c r="M354" s="2"/>
    </row>
    <row r="355" spans="3:13" x14ac:dyDescent="0.25">
      <c r="C355" s="2">
        <f t="shared" si="35"/>
        <v>1</v>
      </c>
      <c r="D355" s="77" t="s">
        <v>40</v>
      </c>
      <c r="E355" s="95" t="s">
        <v>6478</v>
      </c>
      <c r="F355" s="95" t="s">
        <v>6481</v>
      </c>
      <c r="H355" s="2">
        <f t="shared" ref="H355:H378" si="37">COUNTIFS(I:I,I355)</f>
        <v>1</v>
      </c>
      <c r="I355" s="79" t="s">
        <v>64</v>
      </c>
      <c r="J355" s="97" t="s">
        <v>6873</v>
      </c>
      <c r="K355" s="95" t="s">
        <v>6498</v>
      </c>
      <c r="M355" s="2"/>
    </row>
    <row r="356" spans="3:13" x14ac:dyDescent="0.25">
      <c r="C356" s="2">
        <f t="shared" si="35"/>
        <v>1</v>
      </c>
      <c r="D356" s="77" t="s">
        <v>6040</v>
      </c>
      <c r="E356" s="95" t="s">
        <v>6477</v>
      </c>
      <c r="F356" s="95" t="s">
        <v>6479</v>
      </c>
      <c r="H356" s="2">
        <f t="shared" si="37"/>
        <v>1</v>
      </c>
      <c r="I356" s="79" t="s">
        <v>6875</v>
      </c>
      <c r="J356" s="97" t="s">
        <v>6874</v>
      </c>
      <c r="K356" s="95" t="s">
        <v>6498</v>
      </c>
      <c r="M356" s="2"/>
    </row>
    <row r="357" spans="3:13" x14ac:dyDescent="0.25">
      <c r="C357" s="2">
        <f t="shared" si="35"/>
        <v>1</v>
      </c>
      <c r="D357" s="79" t="s">
        <v>35</v>
      </c>
      <c r="E357" s="97" t="s">
        <v>6482</v>
      </c>
      <c r="F357" s="95" t="s">
        <v>6483</v>
      </c>
      <c r="H357" s="2">
        <f t="shared" si="37"/>
        <v>0</v>
      </c>
      <c r="I357" s="79"/>
      <c r="J357" s="97"/>
      <c r="K357" s="95"/>
      <c r="M357" s="2"/>
    </row>
    <row r="358" spans="3:13" x14ac:dyDescent="0.25">
      <c r="C358" s="2">
        <f t="shared" si="35"/>
        <v>1</v>
      </c>
      <c r="D358" s="77" t="s">
        <v>37</v>
      </c>
      <c r="E358" s="95" t="s">
        <v>6484</v>
      </c>
      <c r="F358" s="95" t="s">
        <v>6485</v>
      </c>
      <c r="H358" s="2">
        <f t="shared" si="37"/>
        <v>1</v>
      </c>
      <c r="I358" s="79" t="s">
        <v>6046</v>
      </c>
      <c r="J358" s="97" t="s">
        <v>6879</v>
      </c>
      <c r="K358" s="95" t="s">
        <v>6498</v>
      </c>
      <c r="M358" s="2"/>
    </row>
    <row r="359" spans="3:13" x14ac:dyDescent="0.25">
      <c r="C359" s="2">
        <f t="shared" si="35"/>
        <v>0</v>
      </c>
      <c r="D359" s="77"/>
      <c r="E359" s="95"/>
      <c r="F359" s="95"/>
      <c r="H359" s="2">
        <f t="shared" si="37"/>
        <v>1</v>
      </c>
      <c r="I359" s="79" t="s">
        <v>6047</v>
      </c>
      <c r="J359" s="97" t="s">
        <v>6880</v>
      </c>
      <c r="K359" s="95" t="s">
        <v>6498</v>
      </c>
      <c r="M359" s="2"/>
    </row>
    <row r="360" spans="3:13" x14ac:dyDescent="0.25">
      <c r="C360" s="2">
        <f t="shared" si="35"/>
        <v>0</v>
      </c>
      <c r="D360"/>
      <c r="E360" s="96"/>
      <c r="F360" s="96"/>
      <c r="H360" s="2">
        <f t="shared" si="37"/>
        <v>1</v>
      </c>
      <c r="I360" s="77" t="s">
        <v>6048</v>
      </c>
      <c r="J360" s="95" t="s">
        <v>6881</v>
      </c>
      <c r="K360" s="95" t="s">
        <v>6498</v>
      </c>
      <c r="M360" s="2"/>
    </row>
    <row r="361" spans="3:13" x14ac:dyDescent="0.25">
      <c r="C361" s="2">
        <f t="shared" si="35"/>
        <v>0</v>
      </c>
      <c r="D361"/>
      <c r="E361" s="96"/>
      <c r="F361" s="96"/>
      <c r="H361" s="2">
        <f t="shared" si="37"/>
        <v>1</v>
      </c>
      <c r="I361" s="77" t="s">
        <v>6883</v>
      </c>
      <c r="J361" s="95" t="s">
        <v>6882</v>
      </c>
      <c r="K361" s="95" t="s">
        <v>6498</v>
      </c>
      <c r="M361" s="2"/>
    </row>
    <row r="362" spans="3:13" x14ac:dyDescent="0.25">
      <c r="C362" s="2">
        <f t="shared" si="35"/>
        <v>0</v>
      </c>
      <c r="D362"/>
      <c r="E362" s="96"/>
      <c r="F362" s="96"/>
      <c r="H362" s="2">
        <f t="shared" si="37"/>
        <v>1</v>
      </c>
      <c r="I362" s="79" t="s">
        <v>6229</v>
      </c>
      <c r="J362" s="95" t="s">
        <v>6886</v>
      </c>
      <c r="K362" s="95" t="s">
        <v>6887</v>
      </c>
      <c r="M362" s="2"/>
    </row>
    <row r="363" spans="3:13" x14ac:dyDescent="0.25">
      <c r="C363" s="2">
        <f t="shared" si="35"/>
        <v>0</v>
      </c>
      <c r="D363"/>
      <c r="E363" s="96"/>
      <c r="F363" s="96"/>
      <c r="H363" s="2">
        <f t="shared" si="37"/>
        <v>1</v>
      </c>
      <c r="I363" s="77" t="s">
        <v>6358</v>
      </c>
      <c r="J363" s="95" t="s">
        <v>6890</v>
      </c>
      <c r="K363" s="95" t="s">
        <v>6498</v>
      </c>
      <c r="M363" s="2"/>
    </row>
    <row r="364" spans="3:13" x14ac:dyDescent="0.25">
      <c r="C364" s="2">
        <f t="shared" si="35"/>
        <v>0</v>
      </c>
      <c r="D364"/>
      <c r="E364" s="96"/>
      <c r="F364" s="96"/>
      <c r="H364" s="2">
        <f t="shared" si="37"/>
        <v>1</v>
      </c>
      <c r="I364" s="77" t="s">
        <v>6893</v>
      </c>
      <c r="J364" s="95" t="s">
        <v>6895</v>
      </c>
      <c r="K364" s="95" t="s">
        <v>6894</v>
      </c>
      <c r="M364" s="2"/>
    </row>
    <row r="365" spans="3:13" x14ac:dyDescent="0.25">
      <c r="C365" s="2">
        <f t="shared" si="35"/>
        <v>0</v>
      </c>
      <c r="D365"/>
      <c r="E365" s="96"/>
      <c r="F365" s="96"/>
      <c r="H365" s="2">
        <f t="shared" si="37"/>
        <v>1</v>
      </c>
      <c r="I365" s="77" t="s">
        <v>6409</v>
      </c>
      <c r="J365" s="97" t="s">
        <v>6835</v>
      </c>
      <c r="K365" s="97" t="s">
        <v>6580</v>
      </c>
      <c r="M365" s="2"/>
    </row>
    <row r="366" spans="3:13" x14ac:dyDescent="0.25">
      <c r="C366" s="2">
        <f t="shared" si="35"/>
        <v>0</v>
      </c>
      <c r="D366"/>
      <c r="E366" s="96"/>
      <c r="F366" s="96"/>
      <c r="H366" s="2">
        <f t="shared" si="37"/>
        <v>1</v>
      </c>
      <c r="I366" s="77" t="s">
        <v>6408</v>
      </c>
      <c r="J366" s="95" t="s">
        <v>6897</v>
      </c>
      <c r="K366" s="95" t="s">
        <v>6498</v>
      </c>
      <c r="M366" s="2"/>
    </row>
    <row r="367" spans="3:13" x14ac:dyDescent="0.25">
      <c r="C367" s="2">
        <f t="shared" si="35"/>
        <v>0</v>
      </c>
      <c r="D367"/>
      <c r="E367" s="96"/>
      <c r="F367" s="96"/>
      <c r="H367" s="2">
        <f t="shared" si="37"/>
        <v>1</v>
      </c>
      <c r="I367" s="77" t="s">
        <v>6411</v>
      </c>
      <c r="J367" s="95" t="s">
        <v>6898</v>
      </c>
      <c r="K367" s="95" t="s">
        <v>6498</v>
      </c>
      <c r="M367" s="2"/>
    </row>
    <row r="368" spans="3:13" x14ac:dyDescent="0.25">
      <c r="C368" s="2">
        <f t="shared" si="35"/>
        <v>0</v>
      </c>
      <c r="D368"/>
      <c r="E368" s="96"/>
      <c r="F368" s="96"/>
      <c r="H368" s="2">
        <f t="shared" si="37"/>
        <v>1</v>
      </c>
      <c r="I368" s="77" t="s">
        <v>7309</v>
      </c>
      <c r="J368" s="95" t="s">
        <v>7310</v>
      </c>
      <c r="K368" s="95" t="s">
        <v>6580</v>
      </c>
      <c r="M368" s="2"/>
    </row>
    <row r="369" spans="2:13" x14ac:dyDescent="0.25">
      <c r="C369" s="2">
        <f t="shared" si="35"/>
        <v>0</v>
      </c>
      <c r="D369"/>
      <c r="E369" s="96"/>
      <c r="F369" s="96"/>
      <c r="H369" s="2">
        <f t="shared" si="37"/>
        <v>1</v>
      </c>
      <c r="I369" s="77" t="s">
        <v>7311</v>
      </c>
      <c r="J369" s="95" t="s">
        <v>7312</v>
      </c>
      <c r="K369" s="95" t="s">
        <v>6580</v>
      </c>
      <c r="M369" s="2"/>
    </row>
    <row r="370" spans="2:13" x14ac:dyDescent="0.25">
      <c r="C370" s="2">
        <f t="shared" si="35"/>
        <v>0</v>
      </c>
      <c r="D370"/>
      <c r="E370" s="96"/>
      <c r="F370" s="96"/>
      <c r="H370" s="2">
        <f t="shared" si="37"/>
        <v>1</v>
      </c>
      <c r="I370" s="77" t="s">
        <v>7320</v>
      </c>
      <c r="J370" s="95" t="s">
        <v>7321</v>
      </c>
      <c r="K370" s="95" t="s">
        <v>6498</v>
      </c>
      <c r="M370" s="2"/>
    </row>
    <row r="371" spans="2:13" x14ac:dyDescent="0.25">
      <c r="C371" s="2">
        <f t="shared" si="35"/>
        <v>0</v>
      </c>
      <c r="D371"/>
      <c r="E371" s="96"/>
      <c r="F371" s="96"/>
      <c r="H371" s="2">
        <f t="shared" si="37"/>
        <v>1</v>
      </c>
      <c r="I371" s="77" t="s">
        <v>7330</v>
      </c>
      <c r="J371" s="95" t="s">
        <v>7314</v>
      </c>
      <c r="K371" s="95" t="s">
        <v>6508</v>
      </c>
      <c r="M371" s="2"/>
    </row>
    <row r="372" spans="2:13" x14ac:dyDescent="0.25">
      <c r="C372" s="2">
        <f t="shared" si="35"/>
        <v>0</v>
      </c>
      <c r="D372"/>
      <c r="E372" s="96"/>
      <c r="F372" s="96"/>
      <c r="H372" s="2">
        <f t="shared" si="37"/>
        <v>1</v>
      </c>
      <c r="I372" s="77" t="s">
        <v>7331</v>
      </c>
      <c r="J372" s="95" t="s">
        <v>7332</v>
      </c>
      <c r="K372" s="95" t="s">
        <v>6498</v>
      </c>
      <c r="M372" s="2"/>
    </row>
    <row r="373" spans="2:13" x14ac:dyDescent="0.25">
      <c r="C373" s="2">
        <f t="shared" si="35"/>
        <v>0</v>
      </c>
      <c r="D373"/>
      <c r="E373" s="96"/>
      <c r="F373" s="96"/>
      <c r="H373" s="2">
        <f t="shared" si="37"/>
        <v>0</v>
      </c>
      <c r="I373" s="77"/>
      <c r="J373" s="95"/>
      <c r="K373" s="95"/>
      <c r="M373" s="2"/>
    </row>
    <row r="374" spans="2:13" x14ac:dyDescent="0.25">
      <c r="C374" s="2">
        <f t="shared" si="35"/>
        <v>0</v>
      </c>
      <c r="D374"/>
      <c r="E374" s="96"/>
      <c r="F374" s="96"/>
      <c r="H374" s="2">
        <f t="shared" si="37"/>
        <v>0</v>
      </c>
      <c r="I374" s="77"/>
      <c r="J374" s="95"/>
      <c r="K374" s="95"/>
      <c r="M374" s="2"/>
    </row>
    <row r="375" spans="2:13" x14ac:dyDescent="0.25">
      <c r="C375" s="2">
        <f t="shared" si="35"/>
        <v>0</v>
      </c>
      <c r="D375"/>
      <c r="E375" s="96"/>
      <c r="F375" s="96"/>
      <c r="H375" s="2">
        <f t="shared" si="37"/>
        <v>0</v>
      </c>
      <c r="I375" s="77"/>
      <c r="J375" s="95"/>
      <c r="K375" s="95"/>
      <c r="M375" s="2"/>
    </row>
    <row r="376" spans="2:13" x14ac:dyDescent="0.25">
      <c r="C376" s="2">
        <f t="shared" si="35"/>
        <v>0</v>
      </c>
      <c r="D376"/>
      <c r="E376" s="96"/>
      <c r="F376" s="96"/>
      <c r="H376" s="2">
        <f t="shared" si="37"/>
        <v>0</v>
      </c>
      <c r="I376" s="77"/>
      <c r="J376" s="95"/>
      <c r="K376" s="95"/>
      <c r="M376" s="2"/>
    </row>
    <row r="377" spans="2:13" x14ac:dyDescent="0.25">
      <c r="C377" s="2">
        <f t="shared" si="35"/>
        <v>0</v>
      </c>
      <c r="D377"/>
      <c r="E377" s="96"/>
      <c r="F377" s="96"/>
      <c r="H377" s="2">
        <f t="shared" si="37"/>
        <v>0</v>
      </c>
      <c r="J377" s="96"/>
      <c r="K377" s="96"/>
      <c r="M377" s="2"/>
    </row>
    <row r="378" spans="2:13" x14ac:dyDescent="0.25">
      <c r="C378" s="2">
        <f t="shared" si="35"/>
        <v>0</v>
      </c>
      <c r="D378"/>
      <c r="E378" s="96"/>
      <c r="F378" s="96"/>
      <c r="H378" s="2">
        <f t="shared" si="37"/>
        <v>0</v>
      </c>
      <c r="J378" s="96"/>
      <c r="K378" s="96"/>
      <c r="M378" s="2"/>
    </row>
    <row r="379" spans="2:13" x14ac:dyDescent="0.25">
      <c r="B379" s="1">
        <v>2</v>
      </c>
      <c r="C379" s="2"/>
      <c r="D379"/>
      <c r="E379" s="96"/>
      <c r="F379" s="96"/>
      <c r="H379" s="2"/>
      <c r="J379" s="96"/>
      <c r="K379" s="96"/>
      <c r="M379" s="2"/>
    </row>
    <row r="380" spans="2:13" x14ac:dyDescent="0.25">
      <c r="C380" s="2">
        <f t="shared" ref="C380:C392" si="38">COUNTIFS(D:D,D380)</f>
        <v>0</v>
      </c>
      <c r="D380" s="79"/>
      <c r="E380" s="97"/>
      <c r="F380" s="97"/>
      <c r="H380" s="2">
        <f t="shared" ref="H380:H392" si="39">COUNTIFS(I:I,I380)</f>
        <v>1</v>
      </c>
      <c r="I380" t="s">
        <v>7306</v>
      </c>
      <c r="J380" s="99" t="s">
        <v>5300</v>
      </c>
      <c r="K380" s="99" t="s">
        <v>6894</v>
      </c>
      <c r="M380" s="2"/>
    </row>
    <row r="381" spans="2:13" x14ac:dyDescent="0.25">
      <c r="C381" s="2">
        <f t="shared" si="38"/>
        <v>1</v>
      </c>
      <c r="D381" s="79" t="s">
        <v>6438</v>
      </c>
      <c r="E381" s="95" t="s">
        <v>6475</v>
      </c>
      <c r="F381" s="95"/>
      <c r="H381" s="2">
        <f t="shared" si="39"/>
        <v>1</v>
      </c>
      <c r="I381" t="s">
        <v>7307</v>
      </c>
      <c r="J381" s="96" t="s">
        <v>7308</v>
      </c>
      <c r="K381" s="96" t="s">
        <v>6580</v>
      </c>
      <c r="M381" s="2"/>
    </row>
    <row r="382" spans="2:13" x14ac:dyDescent="0.25">
      <c r="C382" s="2">
        <f t="shared" si="38"/>
        <v>1</v>
      </c>
      <c r="D382" s="77" t="s">
        <v>6469</v>
      </c>
      <c r="E382" s="95" t="s">
        <v>6470</v>
      </c>
      <c r="F382" s="95"/>
      <c r="H382" s="2">
        <f t="shared" si="39"/>
        <v>1</v>
      </c>
      <c r="I382" t="s">
        <v>7313</v>
      </c>
      <c r="J382" s="96" t="s">
        <v>7314</v>
      </c>
      <c r="K382" s="96" t="s">
        <v>6504</v>
      </c>
      <c r="M382" s="2"/>
    </row>
    <row r="383" spans="2:13" x14ac:dyDescent="0.25">
      <c r="C383" s="2">
        <f t="shared" si="38"/>
        <v>1</v>
      </c>
      <c r="D383" s="77" t="s">
        <v>6249</v>
      </c>
      <c r="E383" s="95" t="s">
        <v>6505</v>
      </c>
      <c r="F383" s="95" t="s">
        <v>6479</v>
      </c>
      <c r="H383" s="2">
        <f t="shared" si="39"/>
        <v>1</v>
      </c>
      <c r="I383" t="s">
        <v>7315</v>
      </c>
      <c r="J383" s="96" t="s">
        <v>7316</v>
      </c>
      <c r="K383" s="96" t="s">
        <v>6498</v>
      </c>
      <c r="M383" s="2"/>
    </row>
    <row r="384" spans="2:13" x14ac:dyDescent="0.25">
      <c r="C384" s="2">
        <f t="shared" si="38"/>
        <v>0</v>
      </c>
      <c r="D384"/>
      <c r="E384" s="96"/>
      <c r="F384" s="96"/>
      <c r="H384" s="2">
        <f t="shared" si="39"/>
        <v>0</v>
      </c>
      <c r="J384" s="96"/>
      <c r="K384" s="96"/>
      <c r="M384" s="2"/>
    </row>
    <row r="385" spans="2:13" x14ac:dyDescent="0.25">
      <c r="C385" s="2">
        <f t="shared" si="38"/>
        <v>0</v>
      </c>
      <c r="D385"/>
      <c r="E385" s="96"/>
      <c r="F385" s="96"/>
      <c r="H385" s="2">
        <f t="shared" si="39"/>
        <v>0</v>
      </c>
      <c r="J385" s="96"/>
      <c r="K385" s="96"/>
      <c r="M385" s="2"/>
    </row>
    <row r="386" spans="2:13" x14ac:dyDescent="0.25">
      <c r="C386" s="2">
        <f t="shared" si="38"/>
        <v>0</v>
      </c>
      <c r="D386"/>
      <c r="E386" s="96"/>
      <c r="F386" s="96"/>
      <c r="H386" s="2">
        <f t="shared" si="39"/>
        <v>0</v>
      </c>
      <c r="J386" s="96"/>
      <c r="K386" s="96"/>
      <c r="M386" s="2"/>
    </row>
    <row r="387" spans="2:13" x14ac:dyDescent="0.25">
      <c r="C387" s="2">
        <f t="shared" si="38"/>
        <v>0</v>
      </c>
      <c r="D387"/>
      <c r="E387" s="96"/>
      <c r="F387" s="96"/>
      <c r="H387" s="2">
        <f t="shared" si="39"/>
        <v>0</v>
      </c>
      <c r="J387" s="96"/>
      <c r="K387" s="96"/>
      <c r="M387" s="2"/>
    </row>
    <row r="388" spans="2:13" x14ac:dyDescent="0.25">
      <c r="C388" s="2">
        <f t="shared" si="38"/>
        <v>0</v>
      </c>
      <c r="D388"/>
      <c r="E388" s="96"/>
      <c r="F388" s="96"/>
      <c r="H388" s="2">
        <f t="shared" si="39"/>
        <v>0</v>
      </c>
      <c r="J388" s="96"/>
      <c r="K388" s="96"/>
      <c r="M388" s="2"/>
    </row>
    <row r="389" spans="2:13" x14ac:dyDescent="0.25">
      <c r="C389" s="2">
        <f t="shared" si="38"/>
        <v>0</v>
      </c>
      <c r="D389"/>
      <c r="E389" s="96"/>
      <c r="F389" s="96"/>
      <c r="H389" s="2">
        <f t="shared" si="39"/>
        <v>0</v>
      </c>
      <c r="J389" s="96"/>
      <c r="K389" s="96"/>
      <c r="M389" s="2"/>
    </row>
    <row r="390" spans="2:13" x14ac:dyDescent="0.25">
      <c r="C390" s="2">
        <f t="shared" si="38"/>
        <v>0</v>
      </c>
      <c r="D390"/>
      <c r="E390" s="96"/>
      <c r="F390" s="96"/>
      <c r="H390" s="2">
        <f t="shared" si="39"/>
        <v>0</v>
      </c>
      <c r="J390" s="96"/>
      <c r="K390" s="96"/>
      <c r="M390" s="2"/>
    </row>
    <row r="391" spans="2:13" x14ac:dyDescent="0.25">
      <c r="C391" s="2">
        <f t="shared" si="38"/>
        <v>0</v>
      </c>
      <c r="D391"/>
      <c r="E391" s="96"/>
      <c r="F391" s="96"/>
      <c r="H391" s="2">
        <f t="shared" si="39"/>
        <v>0</v>
      </c>
      <c r="J391" s="96"/>
      <c r="K391" s="96"/>
      <c r="M391" s="2"/>
    </row>
    <row r="392" spans="2:13" x14ac:dyDescent="0.25">
      <c r="C392" s="2">
        <f t="shared" si="38"/>
        <v>0</v>
      </c>
      <c r="D392"/>
      <c r="E392" s="96"/>
      <c r="F392" s="96"/>
      <c r="H392" s="2">
        <f t="shared" si="39"/>
        <v>0</v>
      </c>
      <c r="J392" s="96"/>
      <c r="K392" s="96"/>
      <c r="M392" s="2"/>
    </row>
    <row r="393" spans="2:13" x14ac:dyDescent="0.25">
      <c r="C393" s="2"/>
      <c r="D393"/>
      <c r="E393" s="96"/>
      <c r="F393" s="96"/>
      <c r="H393" s="2"/>
      <c r="J393" s="96"/>
      <c r="K393" s="96"/>
      <c r="M393" s="2"/>
    </row>
    <row r="394" spans="2:13" x14ac:dyDescent="0.25">
      <c r="B394" s="1">
        <v>1</v>
      </c>
      <c r="C394" s="2"/>
      <c r="D394"/>
      <c r="E394" s="96"/>
      <c r="F394" s="96"/>
      <c r="H394" s="2"/>
      <c r="J394" s="96"/>
      <c r="K394" s="96"/>
      <c r="M394" s="2"/>
    </row>
    <row r="395" spans="2:13" x14ac:dyDescent="0.25">
      <c r="C395" s="2">
        <f>COUNTIFS(D:D,D395)</f>
        <v>0</v>
      </c>
      <c r="D395"/>
      <c r="E395" s="96"/>
      <c r="F395" s="96"/>
      <c r="H395" s="2">
        <f>COUNTIFS(I:I,I395)</f>
        <v>0</v>
      </c>
      <c r="J395" s="96"/>
      <c r="K395" s="96"/>
      <c r="M395" s="2"/>
    </row>
    <row r="396" spans="2:13" x14ac:dyDescent="0.25">
      <c r="C396" s="2">
        <f>COUNTIFS(D:D,D396)</f>
        <v>1</v>
      </c>
      <c r="D396" s="77" t="s">
        <v>6467</v>
      </c>
      <c r="E396" s="95" t="s">
        <v>6468</v>
      </c>
      <c r="F396" s="95" t="s">
        <v>6480</v>
      </c>
      <c r="H396" s="2">
        <f>COUNTIFS(I:I,I396)</f>
        <v>0</v>
      </c>
      <c r="J396" s="96"/>
      <c r="K396" s="96"/>
      <c r="M396" s="2"/>
    </row>
    <row r="397" spans="2:13" x14ac:dyDescent="0.25">
      <c r="C397" s="2">
        <f>COUNTIFS(D:D,D397)</f>
        <v>1</v>
      </c>
      <c r="D397" s="77" t="s">
        <v>6471</v>
      </c>
      <c r="E397" s="95" t="s">
        <v>6468</v>
      </c>
      <c r="F397" s="95" t="s">
        <v>6480</v>
      </c>
      <c r="H397" s="2">
        <f>COUNTIFS(I:I,I397)</f>
        <v>0</v>
      </c>
      <c r="J397" s="96"/>
      <c r="K397" s="96"/>
      <c r="M397" s="2"/>
    </row>
    <row r="398" spans="2:13" x14ac:dyDescent="0.25">
      <c r="C398" s="2">
        <f>COUNTIFS(D:D,D398)</f>
        <v>1</v>
      </c>
      <c r="D398" s="77" t="s">
        <v>6055</v>
      </c>
      <c r="E398" s="95" t="s">
        <v>6468</v>
      </c>
      <c r="F398" s="95" t="s">
        <v>6480</v>
      </c>
      <c r="H398" s="2">
        <f>COUNTIFS(I:I,I398)</f>
        <v>0</v>
      </c>
      <c r="J398" s="96"/>
      <c r="K398" s="96"/>
      <c r="M398" s="2"/>
    </row>
    <row r="399" spans="2:13" x14ac:dyDescent="0.25">
      <c r="C399" s="2">
        <f>COUNTIFS(D:D,D399)</f>
        <v>0</v>
      </c>
      <c r="D399"/>
      <c r="E399" s="96"/>
      <c r="F399" s="96"/>
      <c r="H399" s="2">
        <f>COUNTIFS(I:I,I399)</f>
        <v>0</v>
      </c>
      <c r="J399" s="96"/>
      <c r="K399" s="96"/>
      <c r="M399" s="2"/>
    </row>
    <row r="400" spans="2:13" x14ac:dyDescent="0.25">
      <c r="C400" s="2"/>
      <c r="D400"/>
      <c r="E400" s="96"/>
      <c r="F400" s="96"/>
      <c r="H400" s="2"/>
      <c r="J400" s="96"/>
      <c r="K400" s="96"/>
      <c r="M400" s="2"/>
    </row>
    <row r="401" spans="2:13" x14ac:dyDescent="0.25">
      <c r="C401" s="2"/>
      <c r="D401"/>
      <c r="E401" s="96"/>
      <c r="F401" s="96"/>
      <c r="H401" s="2"/>
      <c r="J401" s="96"/>
      <c r="K401" s="96"/>
      <c r="M401" s="2"/>
    </row>
    <row r="402" spans="2:13" x14ac:dyDescent="0.25">
      <c r="C402" s="2"/>
      <c r="D402"/>
      <c r="E402" s="96"/>
      <c r="F402" s="96"/>
      <c r="H402" s="2"/>
      <c r="J402" s="96"/>
      <c r="K402" s="96"/>
      <c r="M402" s="2"/>
    </row>
    <row r="403" spans="2:13" x14ac:dyDescent="0.25">
      <c r="C403" s="2"/>
      <c r="D403"/>
      <c r="E403" s="96"/>
      <c r="F403" s="96"/>
      <c r="H403" s="2"/>
      <c r="J403" s="96"/>
      <c r="K403" s="96"/>
      <c r="M403" s="2"/>
    </row>
    <row r="404" spans="2:13" x14ac:dyDescent="0.25">
      <c r="C404" s="2"/>
      <c r="D404"/>
      <c r="E404" s="96"/>
      <c r="F404" s="96"/>
      <c r="H404" s="2"/>
      <c r="J404" s="96"/>
      <c r="K404" s="96"/>
      <c r="M404" s="2"/>
    </row>
    <row r="405" spans="2:13" x14ac:dyDescent="0.25">
      <c r="C405" s="2"/>
      <c r="D405"/>
      <c r="E405" s="96"/>
      <c r="F405" s="96"/>
      <c r="H405" s="2"/>
      <c r="J405" s="96"/>
      <c r="K405" s="96"/>
      <c r="M405" s="2"/>
    </row>
    <row r="406" spans="2:13" x14ac:dyDescent="0.25">
      <c r="C406" s="2"/>
      <c r="D406"/>
      <c r="E406" s="96"/>
      <c r="F406" s="96"/>
      <c r="H406" s="2"/>
      <c r="J406" s="96"/>
      <c r="K406" s="96"/>
      <c r="M406" s="2"/>
    </row>
    <row r="407" spans="2:13" x14ac:dyDescent="0.25">
      <c r="C407" s="2"/>
      <c r="D407"/>
      <c r="E407" s="96"/>
      <c r="F407" s="96"/>
      <c r="H407" s="2"/>
      <c r="J407" s="96"/>
      <c r="K407" s="96"/>
      <c r="M407" s="2"/>
    </row>
    <row r="408" spans="2:13" x14ac:dyDescent="0.25">
      <c r="C408" s="2"/>
      <c r="D408"/>
      <c r="E408" s="96"/>
      <c r="F408" s="96"/>
      <c r="H408" s="2"/>
      <c r="J408" s="96"/>
      <c r="K408" s="96"/>
      <c r="M408" s="2"/>
    </row>
    <row r="409" spans="2:13" x14ac:dyDescent="0.25">
      <c r="C409" s="2"/>
      <c r="D409"/>
      <c r="E409" s="96"/>
      <c r="F409" s="96"/>
      <c r="H409" s="2"/>
      <c r="J409" s="96"/>
      <c r="K409" s="96"/>
      <c r="M409" s="2"/>
    </row>
    <row r="410" spans="2:13" x14ac:dyDescent="0.25">
      <c r="C410" s="2"/>
      <c r="D410"/>
      <c r="E410" s="96"/>
      <c r="F410" s="96"/>
      <c r="H410" s="2"/>
      <c r="J410" s="96"/>
      <c r="K410" s="96"/>
      <c r="M410" s="2"/>
    </row>
    <row r="411" spans="2:13" x14ac:dyDescent="0.25">
      <c r="C411" s="2"/>
      <c r="D411"/>
      <c r="E411" s="96"/>
      <c r="F411" s="96"/>
      <c r="H411" s="2"/>
      <c r="J411" s="96"/>
      <c r="K411" s="96"/>
      <c r="M411" s="2"/>
    </row>
    <row r="412" spans="2:13" x14ac:dyDescent="0.25">
      <c r="B412" s="5" t="s">
        <v>20</v>
      </c>
      <c r="D412"/>
      <c r="E412" s="96"/>
      <c r="F412" s="96"/>
      <c r="J412" s="96"/>
      <c r="K412" s="96"/>
    </row>
    <row r="413" spans="2:13" x14ac:dyDescent="0.25">
      <c r="B413" s="1">
        <v>5</v>
      </c>
      <c r="C413" s="2">
        <f t="shared" ref="C413:C431" si="40">COUNTIFS(D:D,D413)</f>
        <v>1</v>
      </c>
      <c r="D413" s="79" t="s">
        <v>6254</v>
      </c>
      <c r="E413" s="97" t="s">
        <v>6476</v>
      </c>
      <c r="F413" s="97" t="s">
        <v>6479</v>
      </c>
      <c r="J413" s="99"/>
      <c r="K413" s="99"/>
    </row>
    <row r="414" spans="2:13" x14ac:dyDescent="0.25">
      <c r="C414" s="2">
        <f t="shared" si="40"/>
        <v>1</v>
      </c>
      <c r="D414" s="79" t="s">
        <v>14</v>
      </c>
      <c r="E414" s="97" t="s">
        <v>306</v>
      </c>
      <c r="F414" s="97" t="s">
        <v>6479</v>
      </c>
      <c r="J414" s="99"/>
      <c r="K414" s="99"/>
    </row>
    <row r="415" spans="2:13" x14ac:dyDescent="0.25">
      <c r="C415" s="2">
        <f t="shared" si="40"/>
        <v>1</v>
      </c>
      <c r="D415" s="79" t="s">
        <v>18</v>
      </c>
      <c r="E415" s="97" t="s">
        <v>6522</v>
      </c>
      <c r="F415" s="97" t="s">
        <v>6523</v>
      </c>
      <c r="J415" s="99"/>
      <c r="K415" s="99"/>
    </row>
    <row r="416" spans="2:13" x14ac:dyDescent="0.25">
      <c r="C416" s="2">
        <f t="shared" si="40"/>
        <v>1</v>
      </c>
      <c r="D416" s="79" t="s">
        <v>15</v>
      </c>
      <c r="E416" s="97" t="s">
        <v>6576</v>
      </c>
      <c r="F416" s="97" t="s">
        <v>6577</v>
      </c>
      <c r="J416" s="99"/>
      <c r="K416" s="99"/>
    </row>
    <row r="417" spans="3:30" x14ac:dyDescent="0.25">
      <c r="C417" s="2">
        <f t="shared" si="40"/>
        <v>0</v>
      </c>
      <c r="D417" s="73"/>
      <c r="E417" s="99"/>
      <c r="F417" s="99"/>
      <c r="J417" s="99"/>
      <c r="K417" s="99"/>
      <c r="Z417" s="92"/>
      <c r="AB417" s="92"/>
      <c r="AD417" s="92"/>
    </row>
    <row r="418" spans="3:30" x14ac:dyDescent="0.25">
      <c r="C418" s="2">
        <f t="shared" si="40"/>
        <v>0</v>
      </c>
      <c r="D418" s="73"/>
      <c r="E418" s="99"/>
      <c r="F418" s="99"/>
      <c r="J418" s="99"/>
      <c r="K418" s="99"/>
    </row>
    <row r="419" spans="3:30" x14ac:dyDescent="0.25">
      <c r="C419" s="2">
        <f t="shared" si="40"/>
        <v>0</v>
      </c>
      <c r="D419" s="73"/>
      <c r="E419" s="99"/>
      <c r="F419" s="99"/>
      <c r="J419" s="99"/>
      <c r="K419" s="99"/>
    </row>
    <row r="420" spans="3:30" x14ac:dyDescent="0.25">
      <c r="C420" s="2">
        <f t="shared" si="40"/>
        <v>0</v>
      </c>
      <c r="D420" s="73"/>
      <c r="E420" s="99"/>
      <c r="F420" s="99"/>
      <c r="J420" s="99"/>
      <c r="K420" s="99"/>
    </row>
    <row r="421" spans="3:30" x14ac:dyDescent="0.25">
      <c r="C421" s="2">
        <f t="shared" si="40"/>
        <v>0</v>
      </c>
      <c r="D421" s="73"/>
      <c r="E421" s="99"/>
      <c r="F421" s="99"/>
      <c r="J421" s="99"/>
      <c r="K421" s="99"/>
    </row>
    <row r="422" spans="3:30" x14ac:dyDescent="0.25">
      <c r="C422" s="2">
        <f t="shared" si="40"/>
        <v>0</v>
      </c>
      <c r="D422" s="73"/>
      <c r="E422" s="99"/>
      <c r="F422" s="99"/>
      <c r="J422" s="99"/>
      <c r="K422" s="99"/>
    </row>
    <row r="423" spans="3:30" x14ac:dyDescent="0.25">
      <c r="C423" s="2">
        <f t="shared" si="40"/>
        <v>0</v>
      </c>
      <c r="D423" s="73"/>
      <c r="E423" s="99"/>
      <c r="F423" s="99"/>
      <c r="J423" s="99"/>
      <c r="K423" s="99"/>
    </row>
    <row r="424" spans="3:30" x14ac:dyDescent="0.25">
      <c r="C424" s="2">
        <f t="shared" si="40"/>
        <v>0</v>
      </c>
      <c r="D424" s="73"/>
      <c r="E424" s="99"/>
      <c r="F424" s="99"/>
      <c r="J424" s="99"/>
      <c r="K424" s="99"/>
    </row>
    <row r="425" spans="3:30" x14ac:dyDescent="0.25">
      <c r="C425" s="2">
        <f t="shared" si="40"/>
        <v>0</v>
      </c>
      <c r="D425"/>
      <c r="E425" s="96"/>
      <c r="F425" s="96"/>
      <c r="J425" s="96"/>
      <c r="K425" s="96"/>
    </row>
    <row r="426" spans="3:30" x14ac:dyDescent="0.25">
      <c r="C426" s="2">
        <f t="shared" si="40"/>
        <v>0</v>
      </c>
      <c r="D426"/>
      <c r="E426" s="96"/>
      <c r="F426" s="96"/>
      <c r="J426" s="96"/>
      <c r="K426" s="96"/>
    </row>
    <row r="427" spans="3:30" x14ac:dyDescent="0.25">
      <c r="C427" s="2">
        <f t="shared" si="40"/>
        <v>0</v>
      </c>
      <c r="D427"/>
      <c r="E427" s="96"/>
      <c r="F427" s="96"/>
      <c r="J427" s="96"/>
      <c r="K427" s="96"/>
    </row>
    <row r="428" spans="3:30" x14ac:dyDescent="0.25">
      <c r="C428" s="2">
        <f t="shared" si="40"/>
        <v>0</v>
      </c>
      <c r="D428"/>
      <c r="E428" s="96"/>
      <c r="F428" s="96"/>
      <c r="J428" s="96"/>
      <c r="K428" s="96"/>
    </row>
    <row r="429" spans="3:30" x14ac:dyDescent="0.25">
      <c r="C429" s="2">
        <f t="shared" si="40"/>
        <v>0</v>
      </c>
      <c r="D429"/>
      <c r="E429" s="96"/>
      <c r="F429" s="96"/>
      <c r="J429" s="96"/>
      <c r="K429" s="96"/>
    </row>
    <row r="430" spans="3:30" x14ac:dyDescent="0.25">
      <c r="C430" s="2">
        <f t="shared" si="40"/>
        <v>0</v>
      </c>
      <c r="D430"/>
      <c r="E430" s="96"/>
      <c r="F430" s="96"/>
      <c r="J430" s="96"/>
      <c r="K430" s="96"/>
    </row>
    <row r="431" spans="3:30" x14ac:dyDescent="0.25">
      <c r="C431" s="2">
        <f t="shared" si="40"/>
        <v>0</v>
      </c>
      <c r="D431"/>
      <c r="E431" s="96"/>
      <c r="F431" s="96"/>
      <c r="J431" s="96"/>
      <c r="K431" s="96"/>
    </row>
    <row r="432" spans="3:30" x14ac:dyDescent="0.25">
      <c r="C432" s="2"/>
      <c r="D432"/>
      <c r="E432" s="96"/>
      <c r="F432" s="96"/>
      <c r="J432" s="96"/>
      <c r="K432" s="96"/>
    </row>
    <row r="433" spans="2:11" x14ac:dyDescent="0.25">
      <c r="B433" s="1">
        <v>4</v>
      </c>
      <c r="C433" s="2">
        <f t="shared" ref="C433:C461" si="41">COUNTIFS(D:D,D433)</f>
        <v>1</v>
      </c>
      <c r="D433" s="79" t="s">
        <v>19</v>
      </c>
      <c r="E433" s="97" t="s">
        <v>6518</v>
      </c>
      <c r="F433" s="97" t="s">
        <v>6519</v>
      </c>
      <c r="J433" s="99"/>
      <c r="K433" s="99"/>
    </row>
    <row r="434" spans="2:11" x14ac:dyDescent="0.25">
      <c r="C434" s="2">
        <f t="shared" si="41"/>
        <v>1</v>
      </c>
      <c r="D434" s="79" t="s">
        <v>17</v>
      </c>
      <c r="E434" s="97" t="s">
        <v>6535</v>
      </c>
      <c r="F434" s="97" t="s">
        <v>6479</v>
      </c>
      <c r="J434" s="99"/>
      <c r="K434" s="99"/>
    </row>
    <row r="435" spans="2:11" x14ac:dyDescent="0.25">
      <c r="C435" s="2">
        <f t="shared" si="41"/>
        <v>1</v>
      </c>
      <c r="D435" s="79" t="s">
        <v>16</v>
      </c>
      <c r="E435" s="97" t="s">
        <v>6536</v>
      </c>
      <c r="F435" s="97" t="s">
        <v>6537</v>
      </c>
      <c r="J435" s="99"/>
      <c r="K435" s="99"/>
    </row>
    <row r="436" spans="2:11" x14ac:dyDescent="0.25">
      <c r="C436" s="2">
        <f t="shared" si="41"/>
        <v>1</v>
      </c>
      <c r="D436" s="79" t="s">
        <v>6</v>
      </c>
      <c r="E436" s="97" t="s">
        <v>6546</v>
      </c>
      <c r="F436" s="97" t="s">
        <v>6547</v>
      </c>
      <c r="J436" s="99"/>
      <c r="K436" s="99"/>
    </row>
    <row r="437" spans="2:11" x14ac:dyDescent="0.25">
      <c r="C437" s="2">
        <f t="shared" si="41"/>
        <v>1</v>
      </c>
      <c r="D437" s="79" t="s">
        <v>5</v>
      </c>
      <c r="E437" s="97" t="s">
        <v>6554</v>
      </c>
      <c r="F437" s="97" t="s">
        <v>6486</v>
      </c>
      <c r="J437" s="99"/>
      <c r="K437" s="99"/>
    </row>
    <row r="438" spans="2:11" x14ac:dyDescent="0.25">
      <c r="C438" s="2">
        <f t="shared" si="41"/>
        <v>1</v>
      </c>
      <c r="D438" s="79" t="s">
        <v>4</v>
      </c>
      <c r="E438" s="97" t="s">
        <v>6555</v>
      </c>
      <c r="F438" s="97" t="s">
        <v>6556</v>
      </c>
      <c r="J438" s="99"/>
      <c r="K438" s="99"/>
    </row>
    <row r="439" spans="2:11" x14ac:dyDescent="0.25">
      <c r="C439" s="2">
        <f t="shared" si="41"/>
        <v>1</v>
      </c>
      <c r="D439" s="79" t="s">
        <v>3</v>
      </c>
      <c r="E439" s="97" t="s">
        <v>6569</v>
      </c>
      <c r="F439" s="97" t="s">
        <v>6556</v>
      </c>
      <c r="J439" s="99"/>
      <c r="K439" s="99"/>
    </row>
    <row r="440" spans="2:11" x14ac:dyDescent="0.25">
      <c r="C440" s="2">
        <f t="shared" si="41"/>
        <v>1</v>
      </c>
      <c r="D440" s="79" t="s">
        <v>6077</v>
      </c>
      <c r="E440" s="97" t="s">
        <v>6579</v>
      </c>
      <c r="F440" s="97" t="s">
        <v>6580</v>
      </c>
      <c r="J440" s="99"/>
      <c r="K440" s="99"/>
    </row>
    <row r="441" spans="2:11" x14ac:dyDescent="0.25">
      <c r="C441" s="2">
        <f t="shared" si="41"/>
        <v>1</v>
      </c>
      <c r="D441" s="79" t="s">
        <v>6348</v>
      </c>
      <c r="E441" s="97" t="s">
        <v>6200</v>
      </c>
      <c r="F441" s="97" t="s">
        <v>6479</v>
      </c>
      <c r="J441" s="99"/>
      <c r="K441" s="99"/>
    </row>
    <row r="442" spans="2:11" x14ac:dyDescent="0.25">
      <c r="C442" s="2">
        <f t="shared" si="41"/>
        <v>1</v>
      </c>
      <c r="D442" s="79" t="s">
        <v>9</v>
      </c>
      <c r="E442" s="97" t="s">
        <v>6581</v>
      </c>
      <c r="F442" s="97" t="s">
        <v>6582</v>
      </c>
      <c r="J442" s="99"/>
      <c r="K442" s="99"/>
    </row>
    <row r="443" spans="2:11" x14ac:dyDescent="0.25">
      <c r="C443" s="2">
        <f t="shared" si="41"/>
        <v>1</v>
      </c>
      <c r="D443" s="79" t="s">
        <v>6347</v>
      </c>
      <c r="E443" s="97" t="s">
        <v>6594</v>
      </c>
      <c r="F443" s="97" t="s">
        <v>6485</v>
      </c>
      <c r="J443" s="99"/>
      <c r="K443" s="99"/>
    </row>
    <row r="444" spans="2:11" x14ac:dyDescent="0.25">
      <c r="C444" s="2">
        <f t="shared" si="41"/>
        <v>1</v>
      </c>
      <c r="D444" s="79" t="s">
        <v>132</v>
      </c>
      <c r="E444" s="97" t="s">
        <v>6689</v>
      </c>
      <c r="F444" s="97" t="s">
        <v>6479</v>
      </c>
      <c r="J444" s="99"/>
      <c r="K444" s="99"/>
    </row>
    <row r="445" spans="2:11" x14ac:dyDescent="0.25">
      <c r="C445" s="2">
        <f t="shared" si="41"/>
        <v>0</v>
      </c>
      <c r="D445" s="73"/>
      <c r="E445" s="99"/>
      <c r="F445" s="99"/>
      <c r="J445" s="99"/>
      <c r="K445" s="99"/>
    </row>
    <row r="446" spans="2:11" x14ac:dyDescent="0.25">
      <c r="C446" s="2">
        <f t="shared" si="41"/>
        <v>0</v>
      </c>
      <c r="D446" s="73"/>
      <c r="E446" s="99"/>
      <c r="F446" s="99"/>
      <c r="J446" s="99"/>
      <c r="K446" s="99"/>
    </row>
    <row r="447" spans="2:11" x14ac:dyDescent="0.25">
      <c r="C447" s="2">
        <f t="shared" si="41"/>
        <v>0</v>
      </c>
      <c r="D447" s="73"/>
      <c r="E447" s="96"/>
      <c r="F447" s="96"/>
      <c r="J447" s="96"/>
      <c r="K447" s="96"/>
    </row>
    <row r="448" spans="2:11" x14ac:dyDescent="0.25">
      <c r="C448" s="2">
        <f t="shared" si="41"/>
        <v>0</v>
      </c>
      <c r="D448" s="73"/>
      <c r="E448" s="96"/>
      <c r="F448" s="96"/>
      <c r="J448" s="96"/>
      <c r="K448" s="96"/>
    </row>
    <row r="449" spans="2:11" x14ac:dyDescent="0.25">
      <c r="C449" s="2">
        <f t="shared" si="41"/>
        <v>0</v>
      </c>
      <c r="D449" s="73"/>
      <c r="E449" s="96"/>
      <c r="F449" s="96"/>
      <c r="J449" s="96"/>
      <c r="K449" s="96"/>
    </row>
    <row r="450" spans="2:11" x14ac:dyDescent="0.25">
      <c r="C450" s="2">
        <f t="shared" si="41"/>
        <v>0</v>
      </c>
      <c r="D450" s="73"/>
      <c r="E450" s="96"/>
      <c r="F450" s="96"/>
      <c r="J450" s="96"/>
      <c r="K450" s="96"/>
    </row>
    <row r="451" spans="2:11" x14ac:dyDescent="0.25">
      <c r="C451" s="2">
        <f t="shared" si="41"/>
        <v>0</v>
      </c>
      <c r="D451" s="73"/>
      <c r="E451" s="96"/>
      <c r="F451" s="96"/>
      <c r="J451" s="96"/>
      <c r="K451" s="96"/>
    </row>
    <row r="452" spans="2:11" x14ac:dyDescent="0.25">
      <c r="C452" s="2">
        <f t="shared" si="41"/>
        <v>0</v>
      </c>
      <c r="D452" s="73"/>
      <c r="E452" s="96"/>
      <c r="F452" s="96"/>
      <c r="J452" s="96"/>
      <c r="K452" s="96"/>
    </row>
    <row r="453" spans="2:11" x14ac:dyDescent="0.25">
      <c r="C453" s="2">
        <f t="shared" si="41"/>
        <v>0</v>
      </c>
      <c r="D453" s="73"/>
      <c r="E453" s="96"/>
      <c r="F453" s="96"/>
      <c r="J453" s="96"/>
      <c r="K453" s="96"/>
    </row>
    <row r="454" spans="2:11" x14ac:dyDescent="0.25">
      <c r="C454" s="2">
        <f t="shared" si="41"/>
        <v>0</v>
      </c>
      <c r="D454" s="73"/>
      <c r="E454" s="96"/>
      <c r="F454" s="96"/>
      <c r="J454" s="96"/>
      <c r="K454" s="96"/>
    </row>
    <row r="455" spans="2:11" x14ac:dyDescent="0.25">
      <c r="C455" s="2">
        <f t="shared" si="41"/>
        <v>0</v>
      </c>
      <c r="D455" s="73"/>
      <c r="E455" s="96"/>
      <c r="F455" s="96"/>
      <c r="J455" s="96"/>
      <c r="K455" s="96"/>
    </row>
    <row r="456" spans="2:11" x14ac:dyDescent="0.25">
      <c r="C456" s="2">
        <f t="shared" si="41"/>
        <v>0</v>
      </c>
      <c r="D456" s="73"/>
      <c r="E456" s="99"/>
      <c r="F456" s="99"/>
      <c r="J456" s="99"/>
      <c r="K456" s="99"/>
    </row>
    <row r="457" spans="2:11" x14ac:dyDescent="0.25">
      <c r="C457" s="2">
        <f t="shared" si="41"/>
        <v>0</v>
      </c>
      <c r="D457" s="73"/>
      <c r="E457" s="96"/>
      <c r="F457" s="96"/>
      <c r="J457" s="96"/>
      <c r="K457" s="96"/>
    </row>
    <row r="458" spans="2:11" x14ac:dyDescent="0.25">
      <c r="C458" s="2">
        <f t="shared" si="41"/>
        <v>0</v>
      </c>
      <c r="D458" s="73"/>
      <c r="E458" s="96"/>
      <c r="F458" s="96"/>
      <c r="J458" s="96"/>
      <c r="K458" s="96"/>
    </row>
    <row r="459" spans="2:11" x14ac:dyDescent="0.25">
      <c r="C459" s="2">
        <f t="shared" si="41"/>
        <v>0</v>
      </c>
      <c r="D459" s="73"/>
      <c r="E459" s="99"/>
      <c r="F459" s="99"/>
      <c r="J459" s="96"/>
      <c r="K459" s="96"/>
    </row>
    <row r="460" spans="2:11" x14ac:dyDescent="0.25">
      <c r="C460" s="2">
        <f t="shared" si="41"/>
        <v>0</v>
      </c>
      <c r="D460"/>
      <c r="E460" s="96"/>
      <c r="F460" s="96"/>
      <c r="J460" s="96"/>
      <c r="K460" s="96"/>
    </row>
    <row r="461" spans="2:11" x14ac:dyDescent="0.25">
      <c r="C461" s="2">
        <f t="shared" si="41"/>
        <v>0</v>
      </c>
      <c r="D461" s="73"/>
      <c r="E461" s="96"/>
      <c r="F461" s="96"/>
      <c r="J461" s="96"/>
      <c r="K461" s="96"/>
    </row>
    <row r="462" spans="2:11" x14ac:dyDescent="0.25">
      <c r="C462" s="2"/>
      <c r="D462"/>
      <c r="E462" s="96"/>
      <c r="F462" s="96"/>
      <c r="J462" s="96"/>
      <c r="K462" s="96"/>
    </row>
    <row r="463" spans="2:11" x14ac:dyDescent="0.25">
      <c r="C463" s="2"/>
      <c r="D463"/>
      <c r="E463" s="96"/>
      <c r="F463" s="96"/>
      <c r="J463" s="96"/>
      <c r="K463" s="96"/>
    </row>
    <row r="464" spans="2:11" x14ac:dyDescent="0.25">
      <c r="B464" s="1">
        <v>3</v>
      </c>
      <c r="C464" s="2">
        <f t="shared" ref="C464:C480" si="42">COUNTIFS(D:D,D464)</f>
        <v>0</v>
      </c>
      <c r="D464" s="73"/>
      <c r="E464" s="99"/>
      <c r="F464" s="99"/>
      <c r="J464" s="99"/>
      <c r="K464" s="99"/>
    </row>
    <row r="465" spans="3:11" x14ac:dyDescent="0.25">
      <c r="C465" s="2">
        <f t="shared" si="42"/>
        <v>1</v>
      </c>
      <c r="D465" s="79" t="s">
        <v>11</v>
      </c>
      <c r="E465" s="97" t="s">
        <v>6542</v>
      </c>
      <c r="F465" s="97" t="s">
        <v>6479</v>
      </c>
      <c r="J465" s="99"/>
      <c r="K465" s="99"/>
    </row>
    <row r="466" spans="3:11" x14ac:dyDescent="0.25">
      <c r="C466" s="2">
        <f t="shared" si="42"/>
        <v>1</v>
      </c>
      <c r="D466" s="79" t="s">
        <v>10</v>
      </c>
      <c r="E466" s="97" t="s">
        <v>6543</v>
      </c>
      <c r="F466" s="97" t="s">
        <v>6519</v>
      </c>
      <c r="J466" s="99"/>
      <c r="K466" s="99"/>
    </row>
    <row r="467" spans="3:11" x14ac:dyDescent="0.25">
      <c r="C467" s="2">
        <f t="shared" si="42"/>
        <v>1</v>
      </c>
      <c r="D467" s="79" t="s">
        <v>6232</v>
      </c>
      <c r="E467" s="97" t="s">
        <v>6586</v>
      </c>
      <c r="F467" s="97" t="s">
        <v>6577</v>
      </c>
      <c r="J467" s="99"/>
      <c r="K467" s="99"/>
    </row>
    <row r="468" spans="3:11" x14ac:dyDescent="0.25">
      <c r="C468" s="2">
        <f t="shared" si="42"/>
        <v>1</v>
      </c>
      <c r="D468" s="79" t="s">
        <v>8</v>
      </c>
      <c r="E468" s="97" t="s">
        <v>6512</v>
      </c>
      <c r="F468" s="97" t="s">
        <v>6479</v>
      </c>
      <c r="J468" s="99"/>
      <c r="K468" s="99"/>
    </row>
    <row r="469" spans="3:11" x14ac:dyDescent="0.25">
      <c r="C469" s="2">
        <f t="shared" si="42"/>
        <v>1</v>
      </c>
      <c r="D469" s="79" t="s">
        <v>6253</v>
      </c>
      <c r="E469" s="97" t="s">
        <v>6538</v>
      </c>
      <c r="F469" s="97" t="s">
        <v>6539</v>
      </c>
      <c r="J469" s="99"/>
      <c r="K469" s="99"/>
    </row>
    <row r="470" spans="3:11" x14ac:dyDescent="0.25">
      <c r="C470" s="2">
        <f t="shared" si="42"/>
        <v>1</v>
      </c>
      <c r="D470" s="79" t="s">
        <v>12</v>
      </c>
      <c r="E470" s="97" t="s">
        <v>6541</v>
      </c>
      <c r="F470" s="97" t="s">
        <v>6540</v>
      </c>
      <c r="J470" s="99"/>
      <c r="K470" s="99"/>
    </row>
    <row r="471" spans="3:11" x14ac:dyDescent="0.25">
      <c r="C471" s="2">
        <f t="shared" si="42"/>
        <v>1</v>
      </c>
      <c r="D471" s="79" t="s">
        <v>6564</v>
      </c>
      <c r="E471" s="97" t="s">
        <v>6563</v>
      </c>
      <c r="F471" s="97" t="s">
        <v>5758</v>
      </c>
      <c r="J471" s="99"/>
      <c r="K471" s="99"/>
    </row>
    <row r="472" spans="3:11" x14ac:dyDescent="0.25">
      <c r="C472" s="2">
        <f t="shared" si="42"/>
        <v>1</v>
      </c>
      <c r="D472" s="79" t="s">
        <v>6230</v>
      </c>
      <c r="E472" s="97" t="s">
        <v>6583</v>
      </c>
      <c r="F472" s="97" t="s">
        <v>6584</v>
      </c>
      <c r="J472" s="99"/>
      <c r="K472" s="99"/>
    </row>
    <row r="473" spans="3:11" x14ac:dyDescent="0.25">
      <c r="C473" s="2">
        <f t="shared" si="42"/>
        <v>1</v>
      </c>
      <c r="D473" s="79" t="s">
        <v>6293</v>
      </c>
      <c r="E473" s="97" t="s">
        <v>6588</v>
      </c>
      <c r="F473" s="97" t="s">
        <v>6556</v>
      </c>
      <c r="J473" s="99"/>
      <c r="K473" s="99"/>
    </row>
    <row r="474" spans="3:11" x14ac:dyDescent="0.25">
      <c r="C474" s="2">
        <f t="shared" si="42"/>
        <v>1</v>
      </c>
      <c r="D474" s="79" t="s">
        <v>6340</v>
      </c>
      <c r="E474" s="77" t="s">
        <v>6592</v>
      </c>
      <c r="F474" s="97" t="s">
        <v>6556</v>
      </c>
      <c r="J474" s="99"/>
      <c r="K474" s="99"/>
    </row>
    <row r="475" spans="3:11" x14ac:dyDescent="0.25">
      <c r="C475" s="2">
        <f t="shared" si="42"/>
        <v>0</v>
      </c>
      <c r="D475" s="73"/>
      <c r="E475" s="99"/>
      <c r="F475" s="99"/>
      <c r="J475" s="99"/>
      <c r="K475" s="99"/>
    </row>
    <row r="476" spans="3:11" x14ac:dyDescent="0.25">
      <c r="C476" s="2">
        <f t="shared" si="42"/>
        <v>0</v>
      </c>
      <c r="D476" s="73"/>
      <c r="E476" s="99"/>
      <c r="F476" s="99"/>
      <c r="J476" s="99"/>
      <c r="K476" s="99"/>
    </row>
    <row r="477" spans="3:11" x14ac:dyDescent="0.25">
      <c r="C477" s="2">
        <f t="shared" si="42"/>
        <v>0</v>
      </c>
      <c r="D477" s="73"/>
      <c r="E477" s="99"/>
      <c r="F477" s="99"/>
      <c r="J477" s="99"/>
      <c r="K477" s="99"/>
    </row>
    <row r="478" spans="3:11" x14ac:dyDescent="0.25">
      <c r="C478" s="2">
        <f t="shared" si="42"/>
        <v>0</v>
      </c>
      <c r="D478" s="73"/>
      <c r="E478" s="99"/>
      <c r="F478" s="99"/>
      <c r="J478" s="99"/>
      <c r="K478" s="99"/>
    </row>
    <row r="479" spans="3:11" x14ac:dyDescent="0.25">
      <c r="C479" s="2">
        <f t="shared" si="42"/>
        <v>0</v>
      </c>
      <c r="D479" s="73"/>
      <c r="E479" s="99"/>
      <c r="F479" s="99"/>
      <c r="J479" s="99"/>
      <c r="K479" s="99"/>
    </row>
    <row r="480" spans="3:11" x14ac:dyDescent="0.25">
      <c r="C480" s="2">
        <f t="shared" si="42"/>
        <v>0</v>
      </c>
      <c r="D480" s="73"/>
      <c r="E480" s="99"/>
      <c r="F480" s="99"/>
      <c r="J480" s="99"/>
      <c r="K480" s="99"/>
    </row>
    <row r="481" spans="2:11" x14ac:dyDescent="0.25">
      <c r="C481" s="2"/>
      <c r="D481"/>
      <c r="E481" s="96"/>
      <c r="F481" s="96"/>
      <c r="J481" s="96"/>
      <c r="K481" s="96"/>
    </row>
    <row r="482" spans="2:11" x14ac:dyDescent="0.25">
      <c r="B482" s="1">
        <v>2</v>
      </c>
      <c r="C482" s="2">
        <f t="shared" ref="C482:C494" si="43">COUNTIFS(D:D,D482)</f>
        <v>1</v>
      </c>
      <c r="D482" s="79" t="s">
        <v>7</v>
      </c>
      <c r="E482" s="97" t="s">
        <v>6521</v>
      </c>
      <c r="F482" s="97" t="s">
        <v>6498</v>
      </c>
      <c r="J482" s="99"/>
      <c r="K482" s="99"/>
    </row>
    <row r="483" spans="2:11" x14ac:dyDescent="0.25">
      <c r="C483" s="2">
        <f t="shared" si="43"/>
        <v>1</v>
      </c>
      <c r="D483" s="79" t="s">
        <v>6231</v>
      </c>
      <c r="E483" s="97" t="s">
        <v>6585</v>
      </c>
      <c r="F483" s="97" t="s">
        <v>6540</v>
      </c>
      <c r="J483" s="99"/>
      <c r="K483" s="99"/>
    </row>
    <row r="484" spans="2:11" x14ac:dyDescent="0.25">
      <c r="C484" s="2">
        <f t="shared" si="43"/>
        <v>1</v>
      </c>
      <c r="D484" s="79" t="s">
        <v>6294</v>
      </c>
      <c r="E484" s="97" t="s">
        <v>6589</v>
      </c>
      <c r="F484" s="97" t="s">
        <v>6577</v>
      </c>
      <c r="J484" s="99"/>
      <c r="K484" s="99"/>
    </row>
    <row r="485" spans="2:11" x14ac:dyDescent="0.25">
      <c r="C485" s="2">
        <f t="shared" si="43"/>
        <v>1</v>
      </c>
      <c r="D485" s="79" t="s">
        <v>6295</v>
      </c>
      <c r="E485" s="97" t="s">
        <v>6590</v>
      </c>
      <c r="F485" s="97" t="s">
        <v>6591</v>
      </c>
      <c r="J485" s="99"/>
      <c r="K485" s="99"/>
    </row>
    <row r="486" spans="2:11" x14ac:dyDescent="0.25">
      <c r="C486" s="2">
        <f t="shared" si="43"/>
        <v>1</v>
      </c>
      <c r="D486" s="79" t="s">
        <v>6346</v>
      </c>
      <c r="E486" s="97" t="s">
        <v>6593</v>
      </c>
      <c r="F486" s="97" t="s">
        <v>6479</v>
      </c>
      <c r="J486" s="99"/>
      <c r="K486" s="99"/>
    </row>
    <row r="487" spans="2:11" x14ac:dyDescent="0.25">
      <c r="C487" s="2">
        <f t="shared" si="43"/>
        <v>1</v>
      </c>
      <c r="D487" s="79" t="s">
        <v>6350</v>
      </c>
      <c r="E487" s="97" t="s">
        <v>6595</v>
      </c>
      <c r="F487" s="97" t="s">
        <v>6596</v>
      </c>
      <c r="J487" s="99"/>
      <c r="K487" s="99"/>
    </row>
    <row r="488" spans="2:11" x14ac:dyDescent="0.25">
      <c r="C488" s="2">
        <f t="shared" si="43"/>
        <v>1</v>
      </c>
      <c r="D488" s="79" t="s">
        <v>6351</v>
      </c>
      <c r="E488" s="97" t="s">
        <v>5374</v>
      </c>
      <c r="F488" s="97" t="s">
        <v>6597</v>
      </c>
      <c r="J488" s="99"/>
      <c r="K488" s="99"/>
    </row>
    <row r="489" spans="2:11" x14ac:dyDescent="0.25">
      <c r="C489" s="2">
        <f t="shared" si="43"/>
        <v>1</v>
      </c>
      <c r="D489" s="79" t="s">
        <v>6352</v>
      </c>
      <c r="E489" s="97" t="s">
        <v>6219</v>
      </c>
      <c r="F489" s="97" t="s">
        <v>6479</v>
      </c>
      <c r="J489" s="99"/>
      <c r="K489" s="99"/>
    </row>
    <row r="490" spans="2:11" x14ac:dyDescent="0.25">
      <c r="C490" s="2">
        <f t="shared" si="43"/>
        <v>0</v>
      </c>
      <c r="D490" s="73"/>
      <c r="E490" s="99"/>
      <c r="F490" s="99"/>
      <c r="J490" s="99"/>
      <c r="K490" s="99"/>
    </row>
    <row r="491" spans="2:11" x14ac:dyDescent="0.25">
      <c r="C491" s="2">
        <f t="shared" si="43"/>
        <v>0</v>
      </c>
      <c r="D491" s="73"/>
      <c r="E491" s="99"/>
      <c r="F491" s="99"/>
      <c r="J491" s="99"/>
      <c r="K491" s="99"/>
    </row>
    <row r="492" spans="2:11" x14ac:dyDescent="0.25">
      <c r="C492" s="2">
        <f t="shared" si="43"/>
        <v>0</v>
      </c>
      <c r="D492" s="73"/>
      <c r="E492" s="99"/>
      <c r="F492" s="99"/>
      <c r="J492" s="99"/>
      <c r="K492" s="99"/>
    </row>
    <row r="493" spans="2:11" x14ac:dyDescent="0.25">
      <c r="C493" s="2">
        <f t="shared" si="43"/>
        <v>0</v>
      </c>
      <c r="D493" s="73"/>
      <c r="E493" s="99"/>
      <c r="F493" s="99"/>
      <c r="J493" s="99"/>
      <c r="K493" s="99"/>
    </row>
    <row r="494" spans="2:11" x14ac:dyDescent="0.25">
      <c r="C494" s="2">
        <f t="shared" si="43"/>
        <v>0</v>
      </c>
      <c r="D494" s="73"/>
      <c r="E494" s="99"/>
      <c r="F494" s="99"/>
      <c r="J494" s="99"/>
      <c r="K494" s="99"/>
    </row>
    <row r="495" spans="2:11" x14ac:dyDescent="0.25">
      <c r="C495" s="2"/>
      <c r="D495"/>
      <c r="E495" s="96"/>
      <c r="F495" s="96"/>
      <c r="J495" s="96"/>
      <c r="K495" s="96"/>
    </row>
    <row r="496" spans="2:11" x14ac:dyDescent="0.25">
      <c r="B496" s="1">
        <v>1</v>
      </c>
      <c r="C496" s="2">
        <f t="shared" ref="C496:C502" si="44">COUNTIFS(D:D,D496)</f>
        <v>0</v>
      </c>
      <c r="D496" s="73"/>
      <c r="E496" s="99"/>
      <c r="F496" s="99"/>
      <c r="J496" s="99"/>
      <c r="K496" s="99"/>
    </row>
    <row r="497" spans="2:13" x14ac:dyDescent="0.25">
      <c r="C497" s="2">
        <f t="shared" si="44"/>
        <v>0</v>
      </c>
      <c r="D497" s="73"/>
      <c r="E497" s="99"/>
      <c r="F497" s="99"/>
      <c r="J497" s="99"/>
      <c r="K497" s="99"/>
    </row>
    <row r="498" spans="2:13" x14ac:dyDescent="0.25">
      <c r="C498" s="2">
        <f t="shared" si="44"/>
        <v>0</v>
      </c>
      <c r="D498" s="73"/>
      <c r="E498" s="99"/>
      <c r="F498" s="99"/>
      <c r="J498" s="99"/>
      <c r="K498" s="99"/>
    </row>
    <row r="499" spans="2:13" x14ac:dyDescent="0.25">
      <c r="C499" s="2">
        <f t="shared" si="44"/>
        <v>0</v>
      </c>
      <c r="D499" s="73"/>
      <c r="E499" s="99"/>
      <c r="F499" s="99"/>
      <c r="J499" s="99"/>
      <c r="K499" s="99"/>
    </row>
    <row r="500" spans="2:13" x14ac:dyDescent="0.25">
      <c r="C500" s="2">
        <f t="shared" si="44"/>
        <v>0</v>
      </c>
      <c r="D500" s="73"/>
      <c r="E500" s="99"/>
      <c r="F500" s="99"/>
      <c r="J500" s="99"/>
      <c r="K500" s="99"/>
    </row>
    <row r="501" spans="2:13" x14ac:dyDescent="0.25">
      <c r="C501" s="2">
        <f t="shared" si="44"/>
        <v>0</v>
      </c>
      <c r="D501" s="73"/>
      <c r="E501" s="99"/>
      <c r="F501" s="99"/>
      <c r="J501" s="99"/>
      <c r="K501" s="99"/>
    </row>
    <row r="502" spans="2:13" x14ac:dyDescent="0.25">
      <c r="C502" s="2">
        <f t="shared" si="44"/>
        <v>0</v>
      </c>
      <c r="D502" s="73"/>
      <c r="E502" s="99"/>
      <c r="F502" s="99"/>
      <c r="J502" s="99"/>
      <c r="K502" s="99"/>
    </row>
    <row r="503" spans="2:13" x14ac:dyDescent="0.25">
      <c r="C503" s="2"/>
      <c r="D503"/>
      <c r="E503" s="96"/>
      <c r="F503" s="96"/>
      <c r="J503" s="96"/>
      <c r="K503" s="96"/>
    </row>
    <row r="504" spans="2:13" x14ac:dyDescent="0.25">
      <c r="C504" s="2"/>
      <c r="D504"/>
      <c r="E504" s="96"/>
      <c r="F504" s="96"/>
      <c r="J504" s="96"/>
      <c r="K504" s="96"/>
    </row>
    <row r="505" spans="2:13" x14ac:dyDescent="0.25">
      <c r="C505" s="2"/>
      <c r="D505"/>
      <c r="E505" s="96"/>
      <c r="F505" s="96"/>
      <c r="J505" s="96"/>
      <c r="K505" s="96"/>
    </row>
    <row r="506" spans="2:13" x14ac:dyDescent="0.25">
      <c r="B506" s="5" t="s">
        <v>2</v>
      </c>
      <c r="D506"/>
      <c r="E506" s="96"/>
      <c r="F506" s="96"/>
      <c r="H506" s="2"/>
      <c r="I506" s="73"/>
      <c r="J506" s="96"/>
      <c r="K506" s="96"/>
    </row>
    <row r="507" spans="2:13" x14ac:dyDescent="0.25">
      <c r="B507" s="1">
        <v>5</v>
      </c>
      <c r="C507" s="2">
        <f t="shared" ref="C507:C522" si="45">COUNTIFS(D:D,D507)</f>
        <v>0</v>
      </c>
      <c r="D507"/>
      <c r="E507" s="96"/>
      <c r="F507" s="96"/>
      <c r="H507" s="2">
        <f t="shared" ref="H507:H522" si="46">COUNTIFS(I:I,I507)</f>
        <v>1</v>
      </c>
      <c r="I507" s="79" t="s">
        <v>1</v>
      </c>
      <c r="J507" s="95" t="s">
        <v>6612</v>
      </c>
      <c r="K507" s="95" t="s">
        <v>6613</v>
      </c>
      <c r="M507" s="2"/>
    </row>
    <row r="508" spans="2:13" x14ac:dyDescent="0.25">
      <c r="C508" s="2">
        <f t="shared" si="45"/>
        <v>0</v>
      </c>
      <c r="D508" s="73"/>
      <c r="E508" s="99"/>
      <c r="F508" s="99"/>
      <c r="H508" s="2">
        <f t="shared" si="46"/>
        <v>1</v>
      </c>
      <c r="I508" s="79" t="s">
        <v>0</v>
      </c>
      <c r="J508" s="97" t="s">
        <v>6615</v>
      </c>
      <c r="K508" s="97" t="s">
        <v>6486</v>
      </c>
      <c r="M508" s="2"/>
    </row>
    <row r="509" spans="2:13" x14ac:dyDescent="0.25">
      <c r="C509" s="2">
        <f t="shared" si="45"/>
        <v>0</v>
      </c>
      <c r="D509"/>
      <c r="E509" s="96"/>
      <c r="F509" s="96"/>
      <c r="H509" s="2">
        <f t="shared" si="46"/>
        <v>1</v>
      </c>
      <c r="I509" s="79" t="s">
        <v>5396</v>
      </c>
      <c r="J509" s="95" t="s">
        <v>6616</v>
      </c>
      <c r="K509" s="95" t="s">
        <v>6584</v>
      </c>
      <c r="M509" s="2"/>
    </row>
    <row r="510" spans="2:13" x14ac:dyDescent="0.25">
      <c r="C510" s="2">
        <f t="shared" si="45"/>
        <v>0</v>
      </c>
      <c r="D510"/>
      <c r="E510" s="96"/>
      <c r="F510" s="96"/>
      <c r="H510" s="2">
        <f t="shared" si="46"/>
        <v>1</v>
      </c>
      <c r="I510" s="79" t="s">
        <v>5401</v>
      </c>
      <c r="J510" s="95" t="s">
        <v>6614</v>
      </c>
      <c r="K510" s="95" t="s">
        <v>6584</v>
      </c>
      <c r="M510" s="2"/>
    </row>
    <row r="511" spans="2:13" x14ac:dyDescent="0.25">
      <c r="C511" s="2">
        <f t="shared" si="45"/>
        <v>0</v>
      </c>
      <c r="D511"/>
      <c r="E511" s="96"/>
      <c r="F511" s="96"/>
      <c r="H511" s="2">
        <f t="shared" si="46"/>
        <v>0</v>
      </c>
      <c r="J511" s="96"/>
      <c r="K511" s="96"/>
      <c r="M511" s="2"/>
    </row>
    <row r="512" spans="2:13" x14ac:dyDescent="0.25">
      <c r="C512" s="2">
        <f t="shared" si="45"/>
        <v>0</v>
      </c>
      <c r="D512"/>
      <c r="E512" s="96"/>
      <c r="F512" s="96"/>
      <c r="H512" s="2">
        <f t="shared" si="46"/>
        <v>0</v>
      </c>
      <c r="J512" s="96"/>
      <c r="K512" s="96"/>
      <c r="M512" s="2"/>
    </row>
    <row r="513" spans="2:22" x14ac:dyDescent="0.25">
      <c r="C513" s="2">
        <f t="shared" si="45"/>
        <v>0</v>
      </c>
      <c r="D513"/>
      <c r="E513" s="96"/>
      <c r="F513" s="96"/>
      <c r="H513" s="2">
        <f t="shared" si="46"/>
        <v>0</v>
      </c>
      <c r="J513" s="96"/>
      <c r="K513" s="96"/>
      <c r="M513" s="2"/>
    </row>
    <row r="514" spans="2:22" x14ac:dyDescent="0.25">
      <c r="C514" s="2">
        <f t="shared" si="45"/>
        <v>0</v>
      </c>
      <c r="D514"/>
      <c r="E514" s="96"/>
      <c r="F514" s="96"/>
      <c r="H514" s="2">
        <f t="shared" si="46"/>
        <v>0</v>
      </c>
      <c r="J514" s="96"/>
      <c r="K514" s="96"/>
      <c r="M514" s="2"/>
    </row>
    <row r="515" spans="2:22" x14ac:dyDescent="0.25">
      <c r="C515" s="2">
        <f t="shared" si="45"/>
        <v>0</v>
      </c>
      <c r="D515"/>
      <c r="E515" s="96"/>
      <c r="F515" s="96"/>
      <c r="H515" s="2">
        <f t="shared" si="46"/>
        <v>0</v>
      </c>
      <c r="J515" s="96"/>
      <c r="K515" s="96"/>
      <c r="M515" s="2"/>
    </row>
    <row r="516" spans="2:22" x14ac:dyDescent="0.25">
      <c r="C516" s="2">
        <f t="shared" si="45"/>
        <v>0</v>
      </c>
      <c r="D516"/>
      <c r="E516" s="96"/>
      <c r="F516" s="96"/>
      <c r="H516" s="2">
        <f t="shared" si="46"/>
        <v>0</v>
      </c>
      <c r="J516" s="96"/>
      <c r="K516" s="96"/>
      <c r="M516" s="2"/>
    </row>
    <row r="517" spans="2:22" x14ac:dyDescent="0.25">
      <c r="C517" s="2">
        <f t="shared" si="45"/>
        <v>0</v>
      </c>
      <c r="D517"/>
      <c r="E517" s="96"/>
      <c r="F517" s="96"/>
      <c r="H517" s="2">
        <f t="shared" si="46"/>
        <v>0</v>
      </c>
      <c r="J517" s="96"/>
      <c r="K517" s="96"/>
      <c r="M517" s="2"/>
    </row>
    <row r="518" spans="2:22" x14ac:dyDescent="0.25">
      <c r="C518" s="2">
        <f t="shared" si="45"/>
        <v>0</v>
      </c>
      <c r="D518"/>
      <c r="E518" s="96"/>
      <c r="F518" s="96"/>
      <c r="H518" s="2">
        <f t="shared" si="46"/>
        <v>0</v>
      </c>
      <c r="J518" s="96"/>
      <c r="K518" s="96"/>
      <c r="M518" s="2"/>
    </row>
    <row r="519" spans="2:22" x14ac:dyDescent="0.25">
      <c r="C519" s="2">
        <f t="shared" si="45"/>
        <v>0</v>
      </c>
      <c r="D519"/>
      <c r="E519" s="96"/>
      <c r="F519" s="96"/>
      <c r="H519" s="2">
        <f t="shared" si="46"/>
        <v>0</v>
      </c>
      <c r="J519" s="96"/>
      <c r="K519" s="96"/>
      <c r="M519" s="2"/>
    </row>
    <row r="520" spans="2:22" x14ac:dyDescent="0.25">
      <c r="C520" s="2">
        <f t="shared" si="45"/>
        <v>0</v>
      </c>
      <c r="D520"/>
      <c r="E520" s="96"/>
      <c r="F520" s="96"/>
      <c r="H520" s="2">
        <f t="shared" si="46"/>
        <v>0</v>
      </c>
      <c r="I520" s="73"/>
      <c r="J520" s="96"/>
      <c r="K520" s="96"/>
      <c r="M520" s="2"/>
    </row>
    <row r="521" spans="2:22" x14ac:dyDescent="0.25">
      <c r="C521" s="2">
        <f t="shared" si="45"/>
        <v>0</v>
      </c>
      <c r="D521"/>
      <c r="E521" s="96"/>
      <c r="F521" s="96"/>
      <c r="H521" s="2">
        <f t="shared" si="46"/>
        <v>0</v>
      </c>
      <c r="I521" s="73"/>
      <c r="J521" s="96"/>
      <c r="K521" s="96"/>
      <c r="M521" s="2"/>
    </row>
    <row r="522" spans="2:22" x14ac:dyDescent="0.25">
      <c r="C522" s="2">
        <f t="shared" si="45"/>
        <v>0</v>
      </c>
      <c r="D522"/>
      <c r="E522" s="96"/>
      <c r="F522" s="96"/>
      <c r="H522" s="2">
        <f t="shared" si="46"/>
        <v>0</v>
      </c>
      <c r="I522" s="73"/>
      <c r="J522" s="96"/>
      <c r="K522" s="96"/>
      <c r="M522" s="2"/>
    </row>
    <row r="523" spans="2:22" x14ac:dyDescent="0.25">
      <c r="H523" s="2"/>
      <c r="I523" s="73"/>
      <c r="V523" s="73"/>
    </row>
    <row r="524" spans="2:22" x14ac:dyDescent="0.25">
      <c r="B524" s="1">
        <v>4</v>
      </c>
      <c r="C524" s="2">
        <f t="shared" ref="C524:C538" si="47">COUNTIFS(D:D,D524)</f>
        <v>0</v>
      </c>
      <c r="D524"/>
      <c r="E524" s="96"/>
      <c r="F524" s="96"/>
      <c r="H524" s="2">
        <f t="shared" ref="H524:H538" si="48">COUNTIFS(I:I,I524)</f>
        <v>1</v>
      </c>
      <c r="I524" s="79" t="s">
        <v>6099</v>
      </c>
      <c r="J524" s="95" t="s">
        <v>6617</v>
      </c>
      <c r="K524" s="95" t="s">
        <v>6584</v>
      </c>
      <c r="M524" s="2"/>
    </row>
    <row r="525" spans="2:22" x14ac:dyDescent="0.25">
      <c r="C525" s="2">
        <f t="shared" si="47"/>
        <v>0</v>
      </c>
      <c r="D525"/>
      <c r="E525" s="96"/>
      <c r="F525" s="96"/>
      <c r="H525" s="2">
        <f t="shared" si="48"/>
        <v>1</v>
      </c>
      <c r="I525" s="79" t="s">
        <v>5363</v>
      </c>
      <c r="J525" s="95" t="s">
        <v>6618</v>
      </c>
      <c r="K525" s="95" t="s">
        <v>6577</v>
      </c>
      <c r="M525" s="2"/>
    </row>
    <row r="526" spans="2:22" x14ac:dyDescent="0.25">
      <c r="C526" s="2">
        <f t="shared" si="47"/>
        <v>0</v>
      </c>
      <c r="D526"/>
      <c r="E526" s="96"/>
      <c r="F526" s="96"/>
      <c r="H526" s="2">
        <f t="shared" si="48"/>
        <v>1</v>
      </c>
      <c r="I526" s="79" t="s">
        <v>5380</v>
      </c>
      <c r="J526" s="95" t="s">
        <v>6624</v>
      </c>
      <c r="K526" s="95" t="s">
        <v>6547</v>
      </c>
      <c r="M526" s="2"/>
    </row>
    <row r="527" spans="2:22" x14ac:dyDescent="0.25">
      <c r="C527" s="2">
        <f t="shared" si="47"/>
        <v>0</v>
      </c>
      <c r="D527"/>
      <c r="E527" s="96"/>
      <c r="F527" s="96"/>
      <c r="H527" s="2">
        <f t="shared" si="48"/>
        <v>1</v>
      </c>
      <c r="I527" s="79" t="s">
        <v>5387</v>
      </c>
      <c r="J527" s="95" t="s">
        <v>6623</v>
      </c>
      <c r="K527" s="95" t="s">
        <v>6619</v>
      </c>
      <c r="M527" s="2"/>
    </row>
    <row r="528" spans="2:22" x14ac:dyDescent="0.25">
      <c r="C528" s="2">
        <f t="shared" si="47"/>
        <v>0</v>
      </c>
      <c r="D528"/>
      <c r="E528" s="96"/>
      <c r="F528" s="96"/>
      <c r="H528" s="2">
        <f t="shared" si="48"/>
        <v>1</v>
      </c>
      <c r="I528" s="79" t="s">
        <v>5810</v>
      </c>
      <c r="J528" s="95" t="s">
        <v>6625</v>
      </c>
      <c r="K528" s="95" t="s">
        <v>6547</v>
      </c>
      <c r="M528" s="2"/>
    </row>
    <row r="529" spans="2:13" x14ac:dyDescent="0.25">
      <c r="C529" s="2">
        <f t="shared" si="47"/>
        <v>0</v>
      </c>
      <c r="D529"/>
      <c r="E529" s="96"/>
      <c r="F529" s="96"/>
      <c r="H529" s="2">
        <f t="shared" si="48"/>
        <v>1</v>
      </c>
      <c r="I529" s="79" t="s">
        <v>6329</v>
      </c>
      <c r="J529" s="95" t="s">
        <v>6626</v>
      </c>
      <c r="K529" s="95" t="s">
        <v>6547</v>
      </c>
      <c r="M529" s="2"/>
    </row>
    <row r="530" spans="2:13" x14ac:dyDescent="0.25">
      <c r="C530" s="2">
        <f t="shared" si="47"/>
        <v>0</v>
      </c>
      <c r="D530"/>
      <c r="E530" s="96"/>
      <c r="F530" s="96"/>
      <c r="H530" s="2">
        <f t="shared" si="48"/>
        <v>1</v>
      </c>
      <c r="I530" s="79" t="s">
        <v>6402</v>
      </c>
      <c r="J530" s="95" t="s">
        <v>6627</v>
      </c>
      <c r="K530" s="95" t="s">
        <v>6584</v>
      </c>
      <c r="M530" s="2"/>
    </row>
    <row r="531" spans="2:13" x14ac:dyDescent="0.25">
      <c r="C531" s="2">
        <f t="shared" si="47"/>
        <v>0</v>
      </c>
      <c r="D531"/>
      <c r="E531" s="96"/>
      <c r="F531" s="96"/>
      <c r="H531" s="2">
        <f t="shared" si="48"/>
        <v>1</v>
      </c>
      <c r="I531" s="79" t="s">
        <v>6447</v>
      </c>
      <c r="J531" s="95" t="s">
        <v>6628</v>
      </c>
      <c r="K531" s="95" t="s">
        <v>6584</v>
      </c>
      <c r="M531" s="2"/>
    </row>
    <row r="532" spans="2:13" x14ac:dyDescent="0.25">
      <c r="C532" s="2">
        <f t="shared" si="47"/>
        <v>0</v>
      </c>
      <c r="D532"/>
      <c r="E532" s="96"/>
      <c r="F532" s="96"/>
      <c r="H532" s="2">
        <f t="shared" si="48"/>
        <v>1</v>
      </c>
      <c r="I532" s="77" t="s">
        <v>5392</v>
      </c>
      <c r="J532" s="95" t="s">
        <v>5275</v>
      </c>
      <c r="K532" s="95" t="s">
        <v>6619</v>
      </c>
      <c r="M532" s="2"/>
    </row>
    <row r="533" spans="2:13" x14ac:dyDescent="0.25">
      <c r="C533" s="2">
        <f t="shared" si="47"/>
        <v>0</v>
      </c>
      <c r="D533"/>
      <c r="E533" s="96"/>
      <c r="F533" s="96"/>
      <c r="H533" s="2">
        <f t="shared" si="48"/>
        <v>1</v>
      </c>
      <c r="I533" s="77" t="s">
        <v>5390</v>
      </c>
      <c r="J533" s="95" t="s">
        <v>5388</v>
      </c>
      <c r="K533" s="95" t="s">
        <v>6540</v>
      </c>
      <c r="M533" s="2"/>
    </row>
    <row r="534" spans="2:13" x14ac:dyDescent="0.25">
      <c r="C534" s="2">
        <f t="shared" si="47"/>
        <v>0</v>
      </c>
      <c r="D534"/>
      <c r="E534" s="96"/>
      <c r="F534" s="96"/>
      <c r="H534" s="2">
        <f t="shared" si="48"/>
        <v>1</v>
      </c>
      <c r="I534" s="77" t="s">
        <v>158</v>
      </c>
      <c r="J534" s="95" t="s">
        <v>6814</v>
      </c>
      <c r="K534" s="95" t="s">
        <v>6584</v>
      </c>
      <c r="M534" s="2"/>
    </row>
    <row r="535" spans="2:13" x14ac:dyDescent="0.25">
      <c r="C535" s="2">
        <f t="shared" si="47"/>
        <v>0</v>
      </c>
      <c r="D535"/>
      <c r="E535" s="96"/>
      <c r="F535" s="96"/>
      <c r="H535" s="2">
        <f t="shared" si="48"/>
        <v>1</v>
      </c>
      <c r="I535" s="77" t="s">
        <v>7349</v>
      </c>
      <c r="J535" s="95" t="s">
        <v>7350</v>
      </c>
      <c r="K535" s="95" t="s">
        <v>6584</v>
      </c>
      <c r="M535" s="2"/>
    </row>
    <row r="536" spans="2:13" x14ac:dyDescent="0.25">
      <c r="C536" s="2">
        <f t="shared" si="47"/>
        <v>0</v>
      </c>
      <c r="D536"/>
      <c r="E536" s="96"/>
      <c r="F536" s="96"/>
      <c r="H536" s="2">
        <f t="shared" si="48"/>
        <v>0</v>
      </c>
      <c r="I536" s="77"/>
      <c r="J536" s="95"/>
      <c r="K536" s="95"/>
      <c r="M536" s="2"/>
    </row>
    <row r="537" spans="2:13" x14ac:dyDescent="0.25">
      <c r="C537" s="2">
        <f t="shared" si="47"/>
        <v>0</v>
      </c>
      <c r="D537"/>
      <c r="E537" s="96"/>
      <c r="F537" s="96"/>
      <c r="H537" s="2">
        <f t="shared" si="48"/>
        <v>0</v>
      </c>
      <c r="I537" s="77"/>
      <c r="J537" s="95"/>
      <c r="K537" s="95"/>
      <c r="M537" s="2"/>
    </row>
    <row r="538" spans="2:13" x14ac:dyDescent="0.25">
      <c r="C538" s="2">
        <f t="shared" si="47"/>
        <v>0</v>
      </c>
      <c r="D538"/>
      <c r="E538" s="96"/>
      <c r="F538" s="96"/>
      <c r="H538" s="2">
        <f t="shared" si="48"/>
        <v>0</v>
      </c>
      <c r="I538" s="77"/>
      <c r="J538" s="95"/>
      <c r="K538" s="95"/>
      <c r="M538" s="2"/>
    </row>
    <row r="540" spans="2:13" x14ac:dyDescent="0.25">
      <c r="B540" s="1">
        <v>3</v>
      </c>
      <c r="C540" s="2">
        <f t="shared" ref="C540:C557" si="49">COUNTIFS(D:D,D540)</f>
        <v>0</v>
      </c>
      <c r="D540"/>
      <c r="E540" s="96"/>
      <c r="F540" s="96"/>
      <c r="H540" s="2">
        <f t="shared" ref="H540:H557" si="50">COUNTIFS(I:I,I540)</f>
        <v>1</v>
      </c>
      <c r="I540" s="79" t="s">
        <v>5368</v>
      </c>
      <c r="J540" s="95" t="s">
        <v>5366</v>
      </c>
      <c r="K540" s="95" t="s">
        <v>6619</v>
      </c>
      <c r="M540" s="2"/>
    </row>
    <row r="541" spans="2:13" x14ac:dyDescent="0.25">
      <c r="C541" s="2">
        <f t="shared" si="49"/>
        <v>0</v>
      </c>
      <c r="D541"/>
      <c r="E541" s="96"/>
      <c r="F541" s="96"/>
      <c r="H541" s="2">
        <f t="shared" si="50"/>
        <v>1</v>
      </c>
      <c r="I541" s="77" t="s">
        <v>5365</v>
      </c>
      <c r="J541" s="95" t="s">
        <v>6620</v>
      </c>
      <c r="K541" s="95" t="s">
        <v>6619</v>
      </c>
      <c r="M541" s="2"/>
    </row>
    <row r="542" spans="2:13" x14ac:dyDescent="0.25">
      <c r="C542" s="2">
        <f t="shared" si="49"/>
        <v>0</v>
      </c>
      <c r="D542"/>
      <c r="E542" s="96"/>
      <c r="F542" s="96"/>
      <c r="H542" s="2">
        <f t="shared" si="50"/>
        <v>1</v>
      </c>
      <c r="I542" s="79" t="s">
        <v>6170</v>
      </c>
      <c r="J542" s="95" t="s">
        <v>6629</v>
      </c>
      <c r="K542" s="95" t="s">
        <v>6584</v>
      </c>
      <c r="M542" s="2"/>
    </row>
    <row r="543" spans="2:13" x14ac:dyDescent="0.25">
      <c r="C543" s="2">
        <f t="shared" si="49"/>
        <v>0</v>
      </c>
      <c r="D543"/>
      <c r="E543" s="96"/>
      <c r="F543" s="96"/>
      <c r="H543" s="2">
        <f t="shared" si="50"/>
        <v>1</v>
      </c>
      <c r="I543" s="79" t="s">
        <v>6403</v>
      </c>
      <c r="J543" s="95" t="s">
        <v>5492</v>
      </c>
      <c r="K543" s="95" t="s">
        <v>6584</v>
      </c>
      <c r="M543" s="2"/>
    </row>
    <row r="544" spans="2:13" x14ac:dyDescent="0.25">
      <c r="C544" s="2">
        <f t="shared" si="49"/>
        <v>0</v>
      </c>
      <c r="D544"/>
      <c r="E544" s="96"/>
      <c r="F544" s="96"/>
      <c r="H544" s="2">
        <f t="shared" si="50"/>
        <v>1</v>
      </c>
      <c r="I544" s="77" t="s">
        <v>7361</v>
      </c>
      <c r="J544" s="95" t="s">
        <v>5366</v>
      </c>
      <c r="K544" s="95" t="s">
        <v>6619</v>
      </c>
      <c r="M544" s="2"/>
    </row>
    <row r="545" spans="2:13" x14ac:dyDescent="0.25">
      <c r="C545" s="2">
        <f t="shared" si="49"/>
        <v>0</v>
      </c>
      <c r="D545"/>
      <c r="E545" s="96"/>
      <c r="F545" s="96"/>
      <c r="H545" s="2">
        <f t="shared" si="50"/>
        <v>0</v>
      </c>
      <c r="I545" s="73"/>
      <c r="J545" s="96"/>
      <c r="K545" s="96"/>
      <c r="M545" s="2"/>
    </row>
    <row r="546" spans="2:13" x14ac:dyDescent="0.25">
      <c r="C546" s="2">
        <f t="shared" si="49"/>
        <v>0</v>
      </c>
      <c r="D546"/>
      <c r="E546" s="96"/>
      <c r="F546" s="96"/>
      <c r="H546" s="2">
        <f t="shared" si="50"/>
        <v>0</v>
      </c>
      <c r="I546" s="73"/>
      <c r="J546" s="96"/>
      <c r="K546" s="96"/>
      <c r="M546" s="2"/>
    </row>
    <row r="547" spans="2:13" x14ac:dyDescent="0.25">
      <c r="C547" s="2">
        <f t="shared" si="49"/>
        <v>0</v>
      </c>
      <c r="D547"/>
      <c r="E547" s="96"/>
      <c r="F547" s="96"/>
      <c r="H547" s="2">
        <f t="shared" si="50"/>
        <v>0</v>
      </c>
      <c r="J547" s="96"/>
      <c r="K547" s="96"/>
      <c r="M547" s="2"/>
    </row>
    <row r="548" spans="2:13" x14ac:dyDescent="0.25">
      <c r="C548" s="2">
        <f t="shared" si="49"/>
        <v>0</v>
      </c>
      <c r="D548"/>
      <c r="E548" s="96"/>
      <c r="F548" s="96"/>
      <c r="H548" s="2">
        <f t="shared" si="50"/>
        <v>0</v>
      </c>
      <c r="I548" s="73"/>
      <c r="J548" s="96"/>
      <c r="K548" s="96"/>
      <c r="M548" s="2"/>
    </row>
    <row r="549" spans="2:13" x14ac:dyDescent="0.25">
      <c r="C549" s="2">
        <f t="shared" si="49"/>
        <v>0</v>
      </c>
      <c r="D549"/>
      <c r="E549" s="96"/>
      <c r="F549" s="96"/>
      <c r="H549" s="2">
        <f t="shared" si="50"/>
        <v>0</v>
      </c>
      <c r="I549" s="73"/>
      <c r="J549" s="96"/>
      <c r="K549" s="96"/>
      <c r="M549" s="2"/>
    </row>
    <row r="550" spans="2:13" x14ac:dyDescent="0.25">
      <c r="C550" s="2">
        <f t="shared" si="49"/>
        <v>0</v>
      </c>
      <c r="D550"/>
      <c r="E550" s="96"/>
      <c r="F550" s="96"/>
      <c r="H550" s="2">
        <f t="shared" si="50"/>
        <v>0</v>
      </c>
      <c r="I550" s="73"/>
      <c r="J550" s="96"/>
      <c r="K550" s="96"/>
      <c r="M550" s="2"/>
    </row>
    <row r="551" spans="2:13" x14ac:dyDescent="0.25">
      <c r="C551" s="2">
        <f t="shared" si="49"/>
        <v>0</v>
      </c>
      <c r="D551"/>
      <c r="E551" s="96"/>
      <c r="F551" s="96"/>
      <c r="H551" s="2">
        <f t="shared" si="50"/>
        <v>0</v>
      </c>
      <c r="I551" s="73"/>
      <c r="J551" s="96"/>
      <c r="K551" s="96"/>
      <c r="M551" s="2"/>
    </row>
    <row r="552" spans="2:13" x14ac:dyDescent="0.25">
      <c r="C552" s="2">
        <f t="shared" si="49"/>
        <v>0</v>
      </c>
      <c r="D552"/>
      <c r="E552" s="96"/>
      <c r="F552" s="96"/>
      <c r="H552" s="2">
        <f t="shared" si="50"/>
        <v>0</v>
      </c>
      <c r="I552" s="73"/>
      <c r="J552" s="96"/>
      <c r="K552" s="96"/>
      <c r="M552" s="2"/>
    </row>
    <row r="553" spans="2:13" x14ac:dyDescent="0.25">
      <c r="C553" s="2">
        <f t="shared" si="49"/>
        <v>0</v>
      </c>
      <c r="D553"/>
      <c r="E553" s="96"/>
      <c r="F553" s="96"/>
      <c r="H553" s="2">
        <f t="shared" si="50"/>
        <v>0</v>
      </c>
      <c r="J553" s="96"/>
      <c r="K553" s="96"/>
      <c r="M553" s="2"/>
    </row>
    <row r="554" spans="2:13" x14ac:dyDescent="0.25">
      <c r="C554" s="2">
        <f t="shared" si="49"/>
        <v>0</v>
      </c>
      <c r="D554"/>
      <c r="E554" s="96"/>
      <c r="F554" s="96"/>
      <c r="H554" s="2">
        <f t="shared" si="50"/>
        <v>0</v>
      </c>
      <c r="J554" s="96"/>
      <c r="K554" s="96"/>
      <c r="M554" s="2"/>
    </row>
    <row r="555" spans="2:13" x14ac:dyDescent="0.25">
      <c r="C555" s="2">
        <f t="shared" si="49"/>
        <v>0</v>
      </c>
      <c r="D555"/>
      <c r="E555" s="96"/>
      <c r="F555" s="96"/>
      <c r="H555" s="2">
        <f t="shared" si="50"/>
        <v>0</v>
      </c>
      <c r="J555" s="96"/>
      <c r="K555" s="96"/>
      <c r="M555" s="2"/>
    </row>
    <row r="556" spans="2:13" x14ac:dyDescent="0.25">
      <c r="C556" s="2">
        <f t="shared" si="49"/>
        <v>0</v>
      </c>
      <c r="D556"/>
      <c r="E556" s="96"/>
      <c r="F556" s="96"/>
      <c r="H556" s="2">
        <f t="shared" si="50"/>
        <v>0</v>
      </c>
      <c r="J556" s="96"/>
      <c r="K556" s="96"/>
      <c r="M556" s="2"/>
    </row>
    <row r="557" spans="2:13" x14ac:dyDescent="0.25">
      <c r="C557" s="2">
        <f t="shared" si="49"/>
        <v>0</v>
      </c>
      <c r="D557"/>
      <c r="E557" s="96"/>
      <c r="F557" s="96"/>
      <c r="H557" s="2">
        <f t="shared" si="50"/>
        <v>0</v>
      </c>
      <c r="J557" s="96"/>
      <c r="K557" s="96"/>
      <c r="M557" s="2"/>
    </row>
    <row r="559" spans="2:13" x14ac:dyDescent="0.25">
      <c r="B559" s="1">
        <v>2</v>
      </c>
      <c r="C559" s="2">
        <f t="shared" ref="C559:C576" si="51">COUNTIFS(D:D,D559)</f>
        <v>0</v>
      </c>
      <c r="D559"/>
      <c r="E559" s="96"/>
      <c r="F559" s="96"/>
      <c r="H559" s="2">
        <f t="shared" ref="H559:H576" si="52">COUNTIFS(I:I,I559)</f>
        <v>1</v>
      </c>
      <c r="I559" s="79" t="s">
        <v>6171</v>
      </c>
      <c r="J559" s="95" t="s">
        <v>280</v>
      </c>
      <c r="K559" s="95" t="s">
        <v>6577</v>
      </c>
      <c r="M559" s="2"/>
    </row>
    <row r="560" spans="2:13" x14ac:dyDescent="0.25">
      <c r="C560" s="2">
        <f t="shared" si="51"/>
        <v>0</v>
      </c>
      <c r="D560"/>
      <c r="E560" s="96"/>
      <c r="F560" s="96"/>
      <c r="H560" s="2">
        <f t="shared" si="52"/>
        <v>1</v>
      </c>
      <c r="I560" s="77" t="s">
        <v>5382</v>
      </c>
      <c r="J560" s="95" t="s">
        <v>280</v>
      </c>
      <c r="K560" s="95" t="s">
        <v>6577</v>
      </c>
      <c r="M560" s="2"/>
    </row>
    <row r="561" spans="3:13" x14ac:dyDescent="0.25">
      <c r="C561" s="2">
        <f t="shared" si="51"/>
        <v>0</v>
      </c>
      <c r="D561"/>
      <c r="E561" s="96"/>
      <c r="F561" s="96"/>
      <c r="H561" s="2">
        <f t="shared" si="52"/>
        <v>1</v>
      </c>
      <c r="I561" s="77" t="s">
        <v>6359</v>
      </c>
      <c r="J561" s="95" t="s">
        <v>6630</v>
      </c>
      <c r="K561" s="95" t="s">
        <v>6577</v>
      </c>
      <c r="M561" s="2"/>
    </row>
    <row r="562" spans="3:13" x14ac:dyDescent="0.25">
      <c r="C562" s="2">
        <f t="shared" si="51"/>
        <v>0</v>
      </c>
      <c r="D562"/>
      <c r="E562" s="96"/>
      <c r="F562" s="96"/>
      <c r="H562" s="2">
        <f t="shared" si="52"/>
        <v>1</v>
      </c>
      <c r="I562" s="77" t="s">
        <v>6360</v>
      </c>
      <c r="J562" s="95" t="s">
        <v>6631</v>
      </c>
      <c r="K562" s="95" t="s">
        <v>6619</v>
      </c>
      <c r="M562" s="2"/>
    </row>
    <row r="563" spans="3:13" x14ac:dyDescent="0.25">
      <c r="C563" s="2">
        <f t="shared" si="51"/>
        <v>0</v>
      </c>
      <c r="D563"/>
      <c r="E563" s="96"/>
      <c r="F563" s="96"/>
      <c r="H563" s="2">
        <f t="shared" si="52"/>
        <v>1</v>
      </c>
      <c r="I563" s="79" t="s">
        <v>6173</v>
      </c>
      <c r="J563" s="95" t="s">
        <v>6621</v>
      </c>
      <c r="K563" s="95" t="s">
        <v>6622</v>
      </c>
      <c r="M563" s="2"/>
    </row>
    <row r="564" spans="3:13" x14ac:dyDescent="0.25">
      <c r="C564" s="2">
        <f t="shared" si="51"/>
        <v>0</v>
      </c>
      <c r="D564"/>
      <c r="E564" s="96"/>
      <c r="F564" s="96"/>
      <c r="H564" s="2">
        <f t="shared" si="52"/>
        <v>1</v>
      </c>
      <c r="I564" s="77" t="s">
        <v>6361</v>
      </c>
      <c r="J564" s="95" t="s">
        <v>6632</v>
      </c>
      <c r="K564" s="95" t="s">
        <v>6577</v>
      </c>
      <c r="M564" s="2"/>
    </row>
    <row r="565" spans="3:13" x14ac:dyDescent="0.25">
      <c r="C565" s="2">
        <f t="shared" si="51"/>
        <v>0</v>
      </c>
      <c r="D565"/>
      <c r="E565" s="96"/>
      <c r="F565" s="96"/>
      <c r="H565" s="2">
        <f t="shared" si="52"/>
        <v>1</v>
      </c>
      <c r="I565" s="79" t="s">
        <v>6172</v>
      </c>
      <c r="J565" s="95" t="s">
        <v>6633</v>
      </c>
      <c r="K565" s="95" t="s">
        <v>6577</v>
      </c>
      <c r="M565" s="2"/>
    </row>
    <row r="566" spans="3:13" x14ac:dyDescent="0.25">
      <c r="C566" s="2">
        <f t="shared" si="51"/>
        <v>0</v>
      </c>
      <c r="D566"/>
      <c r="E566" s="96"/>
      <c r="F566" s="96"/>
      <c r="H566" s="2">
        <f t="shared" si="52"/>
        <v>1</v>
      </c>
      <c r="I566" s="79" t="s">
        <v>6174</v>
      </c>
      <c r="J566" s="95" t="s">
        <v>6634</v>
      </c>
      <c r="K566" s="95" t="s">
        <v>6584</v>
      </c>
      <c r="M566" s="2"/>
    </row>
    <row r="567" spans="3:13" x14ac:dyDescent="0.25">
      <c r="C567" s="2">
        <f t="shared" si="51"/>
        <v>0</v>
      </c>
      <c r="D567"/>
      <c r="E567" s="96"/>
      <c r="F567" s="96"/>
      <c r="H567" s="2">
        <f t="shared" si="52"/>
        <v>0</v>
      </c>
      <c r="J567" s="96"/>
      <c r="K567" s="96"/>
      <c r="M567" s="2"/>
    </row>
    <row r="568" spans="3:13" x14ac:dyDescent="0.25">
      <c r="C568" s="2">
        <f t="shared" si="51"/>
        <v>0</v>
      </c>
      <c r="D568"/>
      <c r="E568" s="96"/>
      <c r="F568" s="96"/>
      <c r="H568" s="2">
        <f t="shared" si="52"/>
        <v>0</v>
      </c>
      <c r="J568" s="96"/>
      <c r="K568" s="96"/>
      <c r="M568" s="2"/>
    </row>
    <row r="569" spans="3:13" x14ac:dyDescent="0.25">
      <c r="C569" s="2">
        <f t="shared" si="51"/>
        <v>0</v>
      </c>
      <c r="D569"/>
      <c r="E569" s="96"/>
      <c r="F569" s="96"/>
      <c r="H569" s="2">
        <f t="shared" si="52"/>
        <v>0</v>
      </c>
      <c r="J569" s="96"/>
      <c r="K569" s="96"/>
      <c r="M569" s="2"/>
    </row>
    <row r="570" spans="3:13" x14ac:dyDescent="0.25">
      <c r="C570" s="2">
        <f t="shared" si="51"/>
        <v>0</v>
      </c>
      <c r="D570"/>
      <c r="E570" s="96"/>
      <c r="F570" s="96"/>
      <c r="H570" s="2">
        <f t="shared" si="52"/>
        <v>0</v>
      </c>
      <c r="J570" s="96"/>
      <c r="K570" s="96"/>
      <c r="M570" s="2"/>
    </row>
    <row r="571" spans="3:13" x14ac:dyDescent="0.25">
      <c r="C571" s="2">
        <f t="shared" si="51"/>
        <v>0</v>
      </c>
      <c r="D571"/>
      <c r="E571" s="96"/>
      <c r="F571" s="96"/>
      <c r="H571" s="2">
        <f t="shared" si="52"/>
        <v>0</v>
      </c>
      <c r="I571" s="73"/>
      <c r="J571" s="96"/>
      <c r="K571" s="96"/>
      <c r="M571" s="2"/>
    </row>
    <row r="572" spans="3:13" x14ac:dyDescent="0.25">
      <c r="C572" s="2">
        <f t="shared" si="51"/>
        <v>0</v>
      </c>
      <c r="D572"/>
      <c r="E572" s="96"/>
      <c r="F572" s="96"/>
      <c r="H572" s="2">
        <f t="shared" si="52"/>
        <v>0</v>
      </c>
      <c r="J572" s="96"/>
      <c r="K572" s="96"/>
      <c r="M572" s="2"/>
    </row>
    <row r="573" spans="3:13" x14ac:dyDescent="0.25">
      <c r="C573" s="2">
        <f t="shared" si="51"/>
        <v>0</v>
      </c>
      <c r="D573"/>
      <c r="E573" s="96"/>
      <c r="F573" s="96"/>
      <c r="H573" s="2">
        <f t="shared" si="52"/>
        <v>0</v>
      </c>
      <c r="J573" s="96"/>
      <c r="K573" s="96"/>
      <c r="M573" s="2"/>
    </row>
    <row r="574" spans="3:13" x14ac:dyDescent="0.25">
      <c r="C574" s="2">
        <f t="shared" si="51"/>
        <v>0</v>
      </c>
      <c r="D574"/>
      <c r="E574" s="96"/>
      <c r="F574" s="96"/>
      <c r="H574" s="2">
        <f t="shared" si="52"/>
        <v>0</v>
      </c>
      <c r="J574" s="96"/>
      <c r="K574" s="96"/>
      <c r="M574" s="2"/>
    </row>
    <row r="575" spans="3:13" x14ac:dyDescent="0.25">
      <c r="C575" s="2">
        <f t="shared" si="51"/>
        <v>0</v>
      </c>
      <c r="D575"/>
      <c r="E575" s="96"/>
      <c r="F575" s="96"/>
      <c r="H575" s="2">
        <f t="shared" si="52"/>
        <v>0</v>
      </c>
      <c r="J575" s="96"/>
      <c r="K575" s="96"/>
      <c r="M575" s="2"/>
    </row>
    <row r="576" spans="3:13" x14ac:dyDescent="0.25">
      <c r="C576" s="2">
        <f t="shared" si="51"/>
        <v>0</v>
      </c>
      <c r="D576"/>
      <c r="E576" s="96"/>
      <c r="F576" s="96"/>
      <c r="H576" s="2">
        <f t="shared" si="52"/>
        <v>0</v>
      </c>
      <c r="J576" s="96"/>
      <c r="K576" s="96"/>
      <c r="M576" s="2"/>
    </row>
    <row r="583" spans="2:13" x14ac:dyDescent="0.25">
      <c r="B583" s="5" t="s">
        <v>6304</v>
      </c>
      <c r="D583"/>
      <c r="E583" s="96"/>
      <c r="F583" s="96"/>
      <c r="H583" s="2"/>
      <c r="I583" s="73"/>
      <c r="J583" s="96"/>
      <c r="K583" s="96"/>
    </row>
    <row r="584" spans="2:13" x14ac:dyDescent="0.25">
      <c r="B584" s="1">
        <v>5</v>
      </c>
      <c r="C584" s="2">
        <f t="shared" ref="C584:C599" si="53">COUNTIFS(D:D,D584)</f>
        <v>1</v>
      </c>
      <c r="D584" s="79" t="s">
        <v>5695</v>
      </c>
      <c r="E584" s="95" t="s">
        <v>6600</v>
      </c>
      <c r="F584" s="95" t="s">
        <v>6601</v>
      </c>
      <c r="H584" s="2">
        <f t="shared" ref="H584:H599" si="54">COUNTIFS(I:I,I584)</f>
        <v>0</v>
      </c>
      <c r="I584" s="73"/>
      <c r="J584" s="96"/>
      <c r="K584" s="96"/>
      <c r="M584" s="2"/>
    </row>
    <row r="585" spans="2:13" x14ac:dyDescent="0.25">
      <c r="C585" s="2">
        <f t="shared" si="53"/>
        <v>1</v>
      </c>
      <c r="D585" s="77" t="s">
        <v>6602</v>
      </c>
      <c r="E585" s="95" t="s">
        <v>6381</v>
      </c>
      <c r="F585" s="95" t="s">
        <v>6603</v>
      </c>
      <c r="H585" s="2">
        <f t="shared" si="54"/>
        <v>0</v>
      </c>
      <c r="I585" s="73"/>
      <c r="J585" s="96"/>
      <c r="K585" s="96"/>
      <c r="M585" s="2"/>
    </row>
    <row r="586" spans="2:13" x14ac:dyDescent="0.25">
      <c r="C586" s="2">
        <f t="shared" si="53"/>
        <v>1</v>
      </c>
      <c r="D586" s="77" t="s">
        <v>6611</v>
      </c>
      <c r="E586" s="95" t="s">
        <v>6610</v>
      </c>
      <c r="F586" s="95" t="s">
        <v>6486</v>
      </c>
      <c r="H586" s="2">
        <f t="shared" si="54"/>
        <v>0</v>
      </c>
      <c r="I586" s="73"/>
      <c r="J586" s="96"/>
      <c r="K586" s="96"/>
      <c r="M586" s="2"/>
    </row>
    <row r="587" spans="2:13" x14ac:dyDescent="0.25">
      <c r="C587" s="2">
        <f t="shared" si="53"/>
        <v>0</v>
      </c>
      <c r="D587"/>
      <c r="E587" s="96"/>
      <c r="F587" s="96"/>
      <c r="H587" s="2">
        <f t="shared" si="54"/>
        <v>0</v>
      </c>
      <c r="I587" s="73"/>
      <c r="J587" s="96"/>
      <c r="K587" s="96"/>
      <c r="M587" s="2"/>
    </row>
    <row r="588" spans="2:13" x14ac:dyDescent="0.25">
      <c r="C588" s="2">
        <f t="shared" si="53"/>
        <v>0</v>
      </c>
      <c r="D588"/>
      <c r="E588" s="96"/>
      <c r="F588" s="96"/>
      <c r="H588" s="2">
        <f t="shared" si="54"/>
        <v>0</v>
      </c>
      <c r="J588" s="96"/>
      <c r="K588" s="96"/>
      <c r="M588" s="2"/>
    </row>
    <row r="589" spans="2:13" x14ac:dyDescent="0.25">
      <c r="C589" s="2">
        <f t="shared" si="53"/>
        <v>0</v>
      </c>
      <c r="D589"/>
      <c r="E589" s="96"/>
      <c r="F589" s="96"/>
      <c r="H589" s="2">
        <f t="shared" si="54"/>
        <v>0</v>
      </c>
      <c r="J589" s="96"/>
      <c r="K589" s="96"/>
      <c r="M589" s="2"/>
    </row>
    <row r="590" spans="2:13" x14ac:dyDescent="0.25">
      <c r="C590" s="2">
        <f t="shared" si="53"/>
        <v>0</v>
      </c>
      <c r="D590"/>
      <c r="E590" s="96"/>
      <c r="F590" s="96"/>
      <c r="H590" s="2">
        <f t="shared" si="54"/>
        <v>0</v>
      </c>
      <c r="J590" s="96"/>
      <c r="K590" s="96"/>
      <c r="M590" s="2"/>
    </row>
    <row r="591" spans="2:13" x14ac:dyDescent="0.25">
      <c r="C591" s="2">
        <f t="shared" si="53"/>
        <v>0</v>
      </c>
      <c r="D591"/>
      <c r="E591" s="96"/>
      <c r="F591" s="96"/>
      <c r="H591" s="2">
        <f t="shared" si="54"/>
        <v>0</v>
      </c>
      <c r="J591" s="96"/>
      <c r="K591" s="96"/>
      <c r="M591" s="2"/>
    </row>
    <row r="592" spans="2:13" x14ac:dyDescent="0.25">
      <c r="C592" s="2">
        <f t="shared" si="53"/>
        <v>0</v>
      </c>
      <c r="D592"/>
      <c r="E592" s="96"/>
      <c r="F592" s="96"/>
      <c r="H592" s="2">
        <f t="shared" si="54"/>
        <v>0</v>
      </c>
      <c r="J592" s="96"/>
      <c r="K592" s="96"/>
      <c r="M592" s="2"/>
    </row>
    <row r="593" spans="2:22" x14ac:dyDescent="0.25">
      <c r="C593" s="2">
        <f t="shared" si="53"/>
        <v>0</v>
      </c>
      <c r="D593"/>
      <c r="E593" s="96"/>
      <c r="F593" s="96"/>
      <c r="H593" s="2">
        <f t="shared" si="54"/>
        <v>0</v>
      </c>
      <c r="J593" s="96"/>
      <c r="K593" s="96"/>
      <c r="M593" s="2"/>
    </row>
    <row r="594" spans="2:22" x14ac:dyDescent="0.25">
      <c r="C594" s="2">
        <f t="shared" si="53"/>
        <v>0</v>
      </c>
      <c r="D594"/>
      <c r="E594" s="96"/>
      <c r="F594" s="96"/>
      <c r="H594" s="2">
        <f t="shared" si="54"/>
        <v>0</v>
      </c>
      <c r="J594" s="96"/>
      <c r="K594" s="96"/>
      <c r="M594" s="2"/>
    </row>
    <row r="595" spans="2:22" x14ac:dyDescent="0.25">
      <c r="C595" s="2">
        <f t="shared" si="53"/>
        <v>0</v>
      </c>
      <c r="D595"/>
      <c r="E595" s="96"/>
      <c r="F595" s="96"/>
      <c r="H595" s="2">
        <f t="shared" si="54"/>
        <v>0</v>
      </c>
      <c r="J595" s="96"/>
      <c r="K595" s="96"/>
      <c r="M595" s="2"/>
    </row>
    <row r="596" spans="2:22" x14ac:dyDescent="0.25">
      <c r="C596" s="2">
        <f t="shared" si="53"/>
        <v>0</v>
      </c>
      <c r="D596"/>
      <c r="E596" s="96"/>
      <c r="F596" s="96"/>
      <c r="H596" s="2">
        <f t="shared" si="54"/>
        <v>0</v>
      </c>
      <c r="J596" s="96"/>
      <c r="K596" s="96"/>
      <c r="M596" s="2"/>
    </row>
    <row r="597" spans="2:22" x14ac:dyDescent="0.25">
      <c r="C597" s="2">
        <f t="shared" si="53"/>
        <v>0</v>
      </c>
      <c r="D597"/>
      <c r="E597" s="96"/>
      <c r="F597" s="96"/>
      <c r="H597" s="2">
        <f t="shared" si="54"/>
        <v>0</v>
      </c>
      <c r="I597" s="73"/>
      <c r="J597" s="96"/>
      <c r="K597" s="96"/>
      <c r="M597" s="2"/>
    </row>
    <row r="598" spans="2:22" x14ac:dyDescent="0.25">
      <c r="C598" s="2">
        <f t="shared" si="53"/>
        <v>0</v>
      </c>
      <c r="D598"/>
      <c r="E598" s="96"/>
      <c r="F598" s="96"/>
      <c r="H598" s="2">
        <f t="shared" si="54"/>
        <v>0</v>
      </c>
      <c r="I598" s="73"/>
      <c r="J598" s="96"/>
      <c r="K598" s="96"/>
      <c r="M598" s="2"/>
    </row>
    <row r="599" spans="2:22" x14ac:dyDescent="0.25">
      <c r="C599" s="2">
        <f t="shared" si="53"/>
        <v>0</v>
      </c>
      <c r="D599"/>
      <c r="E599" s="96"/>
      <c r="F599" s="96"/>
      <c r="H599" s="2">
        <f t="shared" si="54"/>
        <v>0</v>
      </c>
      <c r="I599" s="73"/>
      <c r="J599" s="96"/>
      <c r="K599" s="96"/>
      <c r="M599" s="2"/>
    </row>
    <row r="600" spans="2:22" x14ac:dyDescent="0.25">
      <c r="H600" s="2"/>
      <c r="I600" s="73"/>
      <c r="V600" s="73"/>
    </row>
    <row r="601" spans="2:22" x14ac:dyDescent="0.25">
      <c r="B601" s="1">
        <v>4</v>
      </c>
      <c r="C601" s="2">
        <f t="shared" ref="C601:C612" si="55">COUNTIFS(D:D,D601)</f>
        <v>1</v>
      </c>
      <c r="D601" s="79" t="s">
        <v>6327</v>
      </c>
      <c r="E601" s="95" t="s">
        <v>6608</v>
      </c>
      <c r="F601" s="95" t="s">
        <v>6609</v>
      </c>
      <c r="H601" s="2">
        <f t="shared" ref="H601:H612" si="56">COUNTIFS(I:I,I601)</f>
        <v>0</v>
      </c>
      <c r="I601" s="73"/>
      <c r="J601" s="96"/>
      <c r="K601" s="96"/>
      <c r="M601" s="2"/>
    </row>
    <row r="602" spans="2:22" x14ac:dyDescent="0.25">
      <c r="C602" s="2">
        <f t="shared" si="55"/>
        <v>1</v>
      </c>
      <c r="D602" s="79" t="s">
        <v>5697</v>
      </c>
      <c r="E602" s="95" t="s">
        <v>5275</v>
      </c>
      <c r="F602" s="95" t="s">
        <v>6486</v>
      </c>
      <c r="H602" s="2">
        <f t="shared" si="56"/>
        <v>0</v>
      </c>
      <c r="I602" s="73"/>
      <c r="J602" s="96"/>
      <c r="K602" s="96"/>
      <c r="M602" s="2"/>
    </row>
    <row r="603" spans="2:22" x14ac:dyDescent="0.25">
      <c r="C603" s="2">
        <f t="shared" si="55"/>
        <v>1</v>
      </c>
      <c r="D603" s="77" t="s">
        <v>6345</v>
      </c>
      <c r="E603" s="95" t="s">
        <v>6604</v>
      </c>
      <c r="F603" s="95" t="s">
        <v>6501</v>
      </c>
      <c r="H603" s="2">
        <f t="shared" si="56"/>
        <v>0</v>
      </c>
      <c r="I603" s="73"/>
      <c r="J603" s="96"/>
      <c r="K603" s="96"/>
      <c r="M603" s="2"/>
    </row>
    <row r="604" spans="2:22" x14ac:dyDescent="0.25">
      <c r="C604" s="2">
        <f t="shared" si="55"/>
        <v>1</v>
      </c>
      <c r="D604" s="79" t="s">
        <v>6305</v>
      </c>
      <c r="E604" s="95" t="s">
        <v>6598</v>
      </c>
      <c r="F604" s="95" t="s">
        <v>6599</v>
      </c>
      <c r="H604" s="2">
        <f t="shared" si="56"/>
        <v>0</v>
      </c>
      <c r="I604" s="73"/>
      <c r="J604" s="96"/>
      <c r="K604" s="96"/>
      <c r="M604" s="2"/>
    </row>
    <row r="605" spans="2:22" x14ac:dyDescent="0.25">
      <c r="C605" s="2">
        <f t="shared" si="55"/>
        <v>1</v>
      </c>
      <c r="D605" s="77" t="s">
        <v>5703</v>
      </c>
      <c r="E605" s="95" t="s">
        <v>6607</v>
      </c>
      <c r="F605" s="95" t="s">
        <v>5717</v>
      </c>
      <c r="H605" s="2">
        <f t="shared" si="56"/>
        <v>0</v>
      </c>
      <c r="I605" s="73"/>
      <c r="J605" s="96"/>
      <c r="K605" s="96"/>
      <c r="M605" s="2"/>
    </row>
    <row r="606" spans="2:22" x14ac:dyDescent="0.25">
      <c r="C606" s="2">
        <f t="shared" si="55"/>
        <v>0</v>
      </c>
      <c r="D606"/>
      <c r="E606" s="96"/>
      <c r="F606" s="96"/>
      <c r="H606" s="2">
        <f t="shared" si="56"/>
        <v>0</v>
      </c>
      <c r="J606" s="96"/>
      <c r="K606" s="96"/>
      <c r="M606" s="2"/>
    </row>
    <row r="607" spans="2:22" x14ac:dyDescent="0.25">
      <c r="C607" s="2">
        <f t="shared" si="55"/>
        <v>0</v>
      </c>
      <c r="D607"/>
      <c r="E607" s="96"/>
      <c r="F607" s="96"/>
      <c r="H607" s="2">
        <f t="shared" si="56"/>
        <v>0</v>
      </c>
      <c r="J607" s="96"/>
      <c r="K607" s="96"/>
      <c r="M607" s="2"/>
    </row>
    <row r="608" spans="2:22" x14ac:dyDescent="0.25">
      <c r="C608" s="2">
        <f t="shared" si="55"/>
        <v>0</v>
      </c>
      <c r="D608"/>
      <c r="E608" s="96"/>
      <c r="F608" s="96"/>
      <c r="H608" s="2">
        <f t="shared" si="56"/>
        <v>0</v>
      </c>
      <c r="J608" s="96"/>
      <c r="K608" s="96"/>
      <c r="M608" s="2"/>
    </row>
    <row r="609" spans="2:13" x14ac:dyDescent="0.25">
      <c r="C609" s="2">
        <f t="shared" si="55"/>
        <v>0</v>
      </c>
      <c r="D609"/>
      <c r="E609" s="96"/>
      <c r="F609" s="96"/>
      <c r="H609" s="2">
        <f t="shared" si="56"/>
        <v>0</v>
      </c>
      <c r="J609" s="96"/>
      <c r="K609" s="96"/>
      <c r="M609" s="2"/>
    </row>
    <row r="610" spans="2:13" x14ac:dyDescent="0.25">
      <c r="C610" s="2">
        <f t="shared" si="55"/>
        <v>0</v>
      </c>
      <c r="D610"/>
      <c r="E610" s="96"/>
      <c r="F610" s="96"/>
      <c r="H610" s="2">
        <f t="shared" si="56"/>
        <v>0</v>
      </c>
      <c r="J610" s="96"/>
      <c r="K610" s="96"/>
      <c r="M610" s="2"/>
    </row>
    <row r="611" spans="2:13" x14ac:dyDescent="0.25">
      <c r="C611" s="2">
        <f t="shared" si="55"/>
        <v>0</v>
      </c>
      <c r="D611"/>
      <c r="E611" s="96"/>
      <c r="F611" s="96"/>
      <c r="H611" s="2">
        <f t="shared" si="56"/>
        <v>0</v>
      </c>
      <c r="J611" s="96"/>
      <c r="K611" s="96"/>
      <c r="M611" s="2"/>
    </row>
    <row r="612" spans="2:13" x14ac:dyDescent="0.25">
      <c r="C612" s="2">
        <f t="shared" si="55"/>
        <v>0</v>
      </c>
      <c r="D612"/>
      <c r="E612" s="96"/>
      <c r="F612" s="96"/>
      <c r="H612" s="2">
        <f t="shared" si="56"/>
        <v>0</v>
      </c>
      <c r="J612" s="96"/>
      <c r="K612" s="96"/>
      <c r="M612" s="2"/>
    </row>
    <row r="614" spans="2:13" x14ac:dyDescent="0.25">
      <c r="B614" s="1">
        <v>3</v>
      </c>
      <c r="C614" s="2">
        <f t="shared" ref="C614:C625" si="57">COUNTIFS(D:D,D614)</f>
        <v>1</v>
      </c>
      <c r="D614" s="77" t="s">
        <v>6606</v>
      </c>
      <c r="E614" s="95" t="s">
        <v>6604</v>
      </c>
      <c r="F614" s="95" t="s">
        <v>6605</v>
      </c>
      <c r="H614" s="2">
        <f t="shared" ref="H614:H625" si="58">COUNTIFS(I:I,I614)</f>
        <v>0</v>
      </c>
      <c r="I614" s="73"/>
      <c r="J614" s="96"/>
      <c r="K614" s="96"/>
      <c r="M614" s="2"/>
    </row>
    <row r="615" spans="2:13" x14ac:dyDescent="0.25">
      <c r="C615" s="2">
        <f t="shared" si="57"/>
        <v>0</v>
      </c>
      <c r="D615"/>
      <c r="E615" s="96"/>
      <c r="F615" s="96"/>
      <c r="H615" s="2">
        <f t="shared" si="58"/>
        <v>0</v>
      </c>
      <c r="I615" s="73"/>
      <c r="J615" s="96"/>
      <c r="K615" s="96"/>
      <c r="M615" s="2"/>
    </row>
    <row r="616" spans="2:13" x14ac:dyDescent="0.25">
      <c r="C616" s="2">
        <f t="shared" si="57"/>
        <v>0</v>
      </c>
      <c r="D616"/>
      <c r="E616" s="96"/>
      <c r="F616" s="96"/>
      <c r="H616" s="2">
        <f t="shared" si="58"/>
        <v>0</v>
      </c>
      <c r="I616" s="73"/>
      <c r="J616" s="96"/>
      <c r="K616" s="96"/>
      <c r="M616" s="2"/>
    </row>
    <row r="617" spans="2:13" x14ac:dyDescent="0.25">
      <c r="C617" s="2">
        <f t="shared" si="57"/>
        <v>0</v>
      </c>
      <c r="D617" s="4"/>
      <c r="E617" s="96"/>
      <c r="F617" s="96"/>
      <c r="H617" s="2">
        <f t="shared" si="58"/>
        <v>0</v>
      </c>
      <c r="I617" s="73"/>
      <c r="J617" s="96"/>
      <c r="K617" s="96"/>
      <c r="M617" s="2"/>
    </row>
    <row r="618" spans="2:13" x14ac:dyDescent="0.25">
      <c r="C618" s="2">
        <f t="shared" si="57"/>
        <v>0</v>
      </c>
      <c r="D618"/>
      <c r="E618" s="96"/>
      <c r="F618" s="96"/>
      <c r="H618" s="2">
        <f t="shared" si="58"/>
        <v>0</v>
      </c>
      <c r="I618" s="73"/>
      <c r="J618" s="96"/>
      <c r="K618" s="96"/>
      <c r="M618" s="2"/>
    </row>
    <row r="619" spans="2:13" x14ac:dyDescent="0.25">
      <c r="C619" s="2">
        <f t="shared" si="57"/>
        <v>0</v>
      </c>
      <c r="D619"/>
      <c r="E619" s="96"/>
      <c r="F619" s="96"/>
      <c r="H619" s="2">
        <f t="shared" si="58"/>
        <v>0</v>
      </c>
      <c r="J619" s="96"/>
      <c r="K619" s="96"/>
      <c r="M619" s="2"/>
    </row>
    <row r="620" spans="2:13" x14ac:dyDescent="0.25">
      <c r="C620" s="2">
        <f t="shared" si="57"/>
        <v>0</v>
      </c>
      <c r="D620"/>
      <c r="E620" s="96"/>
      <c r="F620" s="96"/>
      <c r="H620" s="2">
        <f t="shared" si="58"/>
        <v>0</v>
      </c>
      <c r="J620" s="96"/>
      <c r="K620" s="96"/>
      <c r="M620" s="2"/>
    </row>
    <row r="621" spans="2:13" x14ac:dyDescent="0.25">
      <c r="C621" s="2">
        <f t="shared" si="57"/>
        <v>0</v>
      </c>
      <c r="D621"/>
      <c r="E621" s="96"/>
      <c r="F621" s="96"/>
      <c r="H621" s="2">
        <f t="shared" si="58"/>
        <v>0</v>
      </c>
      <c r="J621" s="96"/>
      <c r="K621" s="96"/>
      <c r="M621" s="2"/>
    </row>
    <row r="622" spans="2:13" x14ac:dyDescent="0.25">
      <c r="C622" s="2">
        <f t="shared" si="57"/>
        <v>0</v>
      </c>
      <c r="D622"/>
      <c r="E622" s="96"/>
      <c r="F622" s="96"/>
      <c r="H622" s="2">
        <f t="shared" si="58"/>
        <v>0</v>
      </c>
      <c r="J622" s="96"/>
      <c r="K622" s="96"/>
      <c r="M622" s="2"/>
    </row>
    <row r="623" spans="2:13" x14ac:dyDescent="0.25">
      <c r="C623" s="2">
        <f t="shared" si="57"/>
        <v>0</v>
      </c>
      <c r="D623"/>
      <c r="E623" s="96"/>
      <c r="F623" s="96"/>
      <c r="H623" s="2">
        <f t="shared" si="58"/>
        <v>0</v>
      </c>
      <c r="J623" s="96"/>
      <c r="K623" s="96"/>
      <c r="M623" s="2"/>
    </row>
    <row r="624" spans="2:13" x14ac:dyDescent="0.25">
      <c r="C624" s="2">
        <f t="shared" si="57"/>
        <v>0</v>
      </c>
      <c r="D624"/>
      <c r="E624" s="96"/>
      <c r="F624" s="96"/>
      <c r="H624" s="2">
        <f t="shared" si="58"/>
        <v>0</v>
      </c>
      <c r="J624" s="96"/>
      <c r="K624" s="96"/>
      <c r="M624" s="2"/>
    </row>
    <row r="625" spans="3:13" x14ac:dyDescent="0.25">
      <c r="C625" s="2">
        <f t="shared" si="57"/>
        <v>0</v>
      </c>
      <c r="D625"/>
      <c r="E625" s="96"/>
      <c r="F625" s="96"/>
      <c r="H625" s="2">
        <f t="shared" si="58"/>
        <v>0</v>
      </c>
      <c r="J625" s="96"/>
      <c r="K625" s="96"/>
      <c r="M625" s="2"/>
    </row>
  </sheetData>
  <hyperlinks>
    <hyperlink ref="X6" r:id="rId1" xr:uid="{DD03CFFF-93AB-43B4-83FA-8BF68C7BA13E}"/>
    <hyperlink ref="X7" r:id="rId2" xr:uid="{2883BBBC-93B2-4B8B-82DD-D956A5165B2A}"/>
    <hyperlink ref="X8" r:id="rId3" xr:uid="{B27306B9-DE0C-4040-B006-F33EDDAC77F2}"/>
    <hyperlink ref="X9" r:id="rId4" xr:uid="{4B300593-EF1A-4CD4-A09D-DCEA7F70D73F}"/>
    <hyperlink ref="X10" r:id="rId5" xr:uid="{850EA4F1-9144-4DBF-97EC-38A712CB5E1D}"/>
    <hyperlink ref="X11" r:id="rId6" xr:uid="{915D3AAE-774F-4650-8FAC-FA5F9BA68B18}"/>
    <hyperlink ref="X12" r:id="rId7" display="https://www.linkedin.com/in/zac-murphy/?original_referer=https%3A%2F%2Fwww%2Egoogle%2Ecom%2F&amp;originalSubdomain=au" xr:uid="{E177BA09-D82C-45A0-BE30-05EAF2636355}"/>
    <hyperlink ref="X13" r:id="rId8" display="https://www.linkedin.com/in/danny-winata-b2329239/?originalSubdomain=au" xr:uid="{AF602C0E-9A5E-48E5-AFEC-C5C4CC46BD88}"/>
    <hyperlink ref="X15" r:id="rId9" xr:uid="{1D5A3E7F-2517-4A3A-83D5-505C71BAEEE4}"/>
    <hyperlink ref="X14" r:id="rId10" xr:uid="{67A15C80-AC33-47E3-9395-358FFD3AE4DA}"/>
    <hyperlink ref="X16" r:id="rId11" xr:uid="{6BAC7E48-ECF3-4274-B247-6484F506CD9D}"/>
    <hyperlink ref="X17" r:id="rId12" xr:uid="{E8F06B2F-6397-4C51-91CA-79C8539AD1BB}"/>
    <hyperlink ref="X18" r:id="rId13" xr:uid="{7617B6C3-EF57-4421-A649-AAD8208FEC47}"/>
    <hyperlink ref="X25" r:id="rId14" xr:uid="{CBCEE4A4-DD18-479A-9958-C58B738FB289}"/>
    <hyperlink ref="X26" r:id="rId15" xr:uid="{3B22B40D-2794-4627-9197-0DA2154EEB9C}"/>
    <hyperlink ref="X200" r:id="rId16" xr:uid="{3145C4CC-4BF6-467F-837A-BE0125AC65B5}"/>
    <hyperlink ref="X201" r:id="rId17" xr:uid="{C9F5BD06-DE1A-4F6C-90B9-F347D7E30C0C}"/>
    <hyperlink ref="X203" r:id="rId18" xr:uid="{034397FB-AB6E-4C5A-B98D-5E185696A6A5}"/>
    <hyperlink ref="X204" r:id="rId19" xr:uid="{31A12CD9-AF0F-409A-82C2-AFCF9C63B7E7}"/>
    <hyperlink ref="X205" r:id="rId20" xr:uid="{99D6F5A6-AF2C-400D-A08D-375C7B189640}"/>
    <hyperlink ref="X202" r:id="rId21" xr:uid="{C8DCF622-A311-4D26-9ED0-232DF41FA75B}"/>
    <hyperlink ref="I507" r:id="rId22" xr:uid="{8D1C600A-8FF2-49DE-B6FC-6833F4D7CBE5}"/>
    <hyperlink ref="I508" r:id="rId23" xr:uid="{1009D4AA-0A0B-4175-B818-A05CEA318BB0}"/>
    <hyperlink ref="D9" r:id="rId24" xr:uid="{5CAFFAA0-CABF-4B2D-ADEA-3071229DBE4E}"/>
    <hyperlink ref="D11" r:id="rId25" xr:uid="{F6215393-713C-4944-A1CC-F77D57AA44EC}"/>
    <hyperlink ref="D12" r:id="rId26" xr:uid="{2C960997-82E8-4B81-839B-B4738FA9A759}"/>
    <hyperlink ref="D13" r:id="rId27" xr:uid="{0274ECDE-D0F9-4E01-960A-3AEE97CA82F4}"/>
    <hyperlink ref="D29" r:id="rId28" xr:uid="{4B7FAFA1-B257-4121-81A4-223461B73A5F}"/>
    <hyperlink ref="D31" r:id="rId29" xr:uid="{2685113B-5A8C-4C17-BB89-DABF7A9179B2}"/>
    <hyperlink ref="I28" r:id="rId30" xr:uid="{A4F23A40-A6C1-4711-8CCA-3AC1A6A4EB5F}"/>
    <hyperlink ref="I178" r:id="rId31" xr:uid="{099E9477-F7D4-4E88-9FD8-D016A470BF08}"/>
    <hyperlink ref="D276" r:id="rId32" xr:uid="{327A40B6-D162-4AAD-BB12-19D867E66815}"/>
    <hyperlink ref="D277" r:id="rId33" xr:uid="{61A48804-2713-4DEC-B328-278AA5653FA6}"/>
    <hyperlink ref="I275" r:id="rId34" xr:uid="{0519B4B6-EF2D-461A-BD01-70324976A1CE}"/>
    <hyperlink ref="I278" r:id="rId35" xr:uid="{3ED66FE1-55F4-46F2-BEEA-8DE6C2EB21A6}"/>
    <hyperlink ref="I292" r:id="rId36" xr:uid="{A839B5EB-E510-4782-B8A0-8CE32395A0CC}"/>
    <hyperlink ref="D292" r:id="rId37" xr:uid="{4B6C7E40-3673-4884-A8AB-852E12C356FA}"/>
    <hyperlink ref="D293" r:id="rId38" xr:uid="{D37C0DD9-F514-48E6-B895-4E2E7B20284A}"/>
    <hyperlink ref="D296" r:id="rId39" xr:uid="{DE481073-05B9-48CC-B126-6B1B3BFDD888}"/>
    <hyperlink ref="D297" r:id="rId40" xr:uid="{28E4A582-790D-4493-9631-0DC5D00861BB}"/>
    <hyperlink ref="D298" r:id="rId41" xr:uid="{7FAD3F71-3905-4ABD-B0EE-07F79C097F75}"/>
    <hyperlink ref="I295" r:id="rId42" xr:uid="{284B5292-50A3-47A3-AB8A-722DFFB17E48}"/>
    <hyperlink ref="D415" r:id="rId43" xr:uid="{6465DF64-AD79-4081-830E-173EB426AB59}"/>
    <hyperlink ref="I297" r:id="rId44" xr:uid="{D1FAC55B-B3C8-4893-9CD0-475BAE2DDC09}"/>
    <hyperlink ref="I298" r:id="rId45" xr:uid="{39D92400-52D9-45EF-8553-F5A591C2DD52}"/>
    <hyperlink ref="I299" r:id="rId46" xr:uid="{1E3F6A0E-5167-446A-B6B8-43E40B306538}"/>
    <hyperlink ref="I301" r:id="rId47" xr:uid="{523AF29E-2F43-454E-A263-C9CA6F9437E4}"/>
    <hyperlink ref="X19" r:id="rId48" xr:uid="{4623D416-9882-48DF-AC04-CA625725BF5E}"/>
    <hyperlink ref="X20" r:id="rId49" xr:uid="{3E072995-D501-4D24-BA86-7F03772AEE97}"/>
    <hyperlink ref="X21" r:id="rId50" xr:uid="{4B556E2D-6F41-487C-8D5B-75B8DD3E061B}"/>
    <hyperlink ref="X22" r:id="rId51" xr:uid="{4877B078-A917-4FFB-A892-A4154A761EA5}"/>
    <hyperlink ref="X23" r:id="rId52" xr:uid="{C2E2F17E-5AE2-4EDA-A121-08C5EE1D635E}"/>
    <hyperlink ref="I208" r:id="rId53" xr:uid="{9C78F979-3F21-4763-9669-0A01418E5AFB}"/>
    <hyperlink ref="D15" r:id="rId54" xr:uid="{AB9D6AEA-DCB1-42DF-8BFD-42FF471FEA3F}"/>
    <hyperlink ref="I282" r:id="rId55" xr:uid="{03B9CEC8-B3C8-4429-B9C5-E7EE09C91969}"/>
    <hyperlink ref="I283" r:id="rId56" xr:uid="{F23FB9F1-ED37-4A4A-935D-DC47F6EF149C}"/>
    <hyperlink ref="I525" r:id="rId57" xr:uid="{4FFD1F6F-1E4D-4C4E-A123-2FCDAD918DB8}"/>
    <hyperlink ref="I524" r:id="rId58" xr:uid="{A2C0D924-47B9-43F7-AF5B-00C03B2BA169}"/>
    <hyperlink ref="I526" r:id="rId59" xr:uid="{16D7A70C-D18D-4E70-830E-328D57B05662}"/>
    <hyperlink ref="I528" r:id="rId60" xr:uid="{0717B2AF-5424-4BAE-85EB-6062058D2792}"/>
    <hyperlink ref="D10" r:id="rId61" xr:uid="{06B64395-60C1-41F3-A50E-F9939ABDC7D6}"/>
    <hyperlink ref="D281" r:id="rId62" xr:uid="{0499AE37-68E0-434B-BFE1-E3E8D07AB92F}"/>
    <hyperlink ref="D279" r:id="rId63" xr:uid="{B38D0315-B299-4D4E-8471-2BB50ADC5924}"/>
    <hyperlink ref="D280" r:id="rId64" xr:uid="{97DBFE6F-CCC7-426B-85C1-3785DE8734F7}"/>
    <hyperlink ref="I276" r:id="rId65" xr:uid="{1428E81E-0AAB-4414-A267-F8C054CACBBB}"/>
    <hyperlink ref="I284" r:id="rId66" xr:uid="{F11352C2-4942-4276-9BE9-76A7E66F3111}"/>
    <hyperlink ref="D381" r:id="rId67" xr:uid="{C5805C2D-7F86-4C98-8DEF-599B40240B53}"/>
    <hyperlink ref="D294" r:id="rId68" xr:uid="{AF0547BC-871E-4251-91E0-30EC16904C39}"/>
    <hyperlink ref="D335" r:id="rId69" xr:uid="{3815368E-3E24-4804-935E-EFF69C7ECB5B}"/>
    <hyperlink ref="D303" r:id="rId70" xr:uid="{3F88F820-458F-459B-90F1-452CCC3124E5}"/>
    <hyperlink ref="D353" r:id="rId71" xr:uid="{E1A52E43-1611-4E47-8EF2-901EC0134673}"/>
    <hyperlink ref="D349" r:id="rId72" xr:uid="{7651AD2D-5E82-45F3-8428-AEB6987A113A}"/>
    <hyperlink ref="D350" r:id="rId73" xr:uid="{7820909D-9672-4B72-B3CC-D5187353FF23}"/>
    <hyperlink ref="D351" r:id="rId74" xr:uid="{4E1BC365-C0B4-48AE-B7A8-530132E8C433}"/>
    <hyperlink ref="D352" r:id="rId75" xr:uid="{2AEB7CCF-A82A-4EF5-A647-F404832565FA}"/>
    <hyperlink ref="D357" r:id="rId76" xr:uid="{51939DBF-A195-4A1C-B522-5FE5EE44D454}"/>
    <hyperlink ref="D295" r:id="rId77" xr:uid="{3C9A0A0F-B5F8-45D1-A918-92C8A7A60A9A}"/>
    <hyperlink ref="D301" r:id="rId78" xr:uid="{316FCDD3-40CA-4CAF-9474-1F8C5CB05F0D}"/>
    <hyperlink ref="D465" r:id="rId79" xr:uid="{0AFFF6D4-CEA3-4CB2-905E-B6E0E3F40E87}"/>
    <hyperlink ref="D466" r:id="rId80" xr:uid="{562EF8A7-CB94-47BF-9E98-753DB1603981}"/>
    <hyperlink ref="D433" r:id="rId81" xr:uid="{C8539B89-3C9D-4200-AB48-8CE99CDC33D3}"/>
    <hyperlink ref="D434" r:id="rId82" xr:uid="{65A1E329-7987-4254-9691-127E33FFCEC9}"/>
    <hyperlink ref="D438" r:id="rId83" xr:uid="{154F2B9F-30AA-4534-866C-DFEC054BF6D5}"/>
    <hyperlink ref="D414" r:id="rId84" xr:uid="{85F962D6-F667-42B8-AF0B-20BE65962534}"/>
    <hyperlink ref="D416" r:id="rId85" xr:uid="{8FBFEA56-A809-4CC5-8A81-5097DE675D6C}"/>
    <hyperlink ref="D472" r:id="rId86" xr:uid="{1ADB5452-9B82-48FD-83B0-9E0B019C1B19}"/>
    <hyperlink ref="D604" r:id="rId87" xr:uid="{CA295B58-DB75-4512-A790-4BB95A3021D9}"/>
    <hyperlink ref="D601" r:id="rId88" xr:uid="{2349A513-22A4-450B-BF36-A83731174573}"/>
    <hyperlink ref="D602" r:id="rId89" xr:uid="{C5A38826-CA10-4204-BB5B-0C869F029D1B}"/>
    <hyperlink ref="I529" r:id="rId90" xr:uid="{802CEC8F-1473-4D1A-B04A-83B56FA18A5E}"/>
    <hyperlink ref="I530" r:id="rId91" xr:uid="{8B857344-DE94-424F-A414-BB3CF8211F6A}"/>
    <hyperlink ref="I531" r:id="rId92" xr:uid="{6C6B1FF6-10A4-43A5-86F0-F361714A7831}"/>
    <hyperlink ref="I542" r:id="rId93" xr:uid="{A11A4636-CE9C-4825-9FE9-8EEE6AA30493}"/>
    <hyperlink ref="I563" r:id="rId94" xr:uid="{CEEA3A6C-C848-4728-A551-B6721FB4A7CC}"/>
    <hyperlink ref="I543" r:id="rId95" xr:uid="{1F305B72-4AFB-4BDF-8D13-DBB5AB0F41CD}"/>
    <hyperlink ref="I565" r:id="rId96" xr:uid="{E9DD6441-AE7C-4540-9AB7-80349E720087}"/>
    <hyperlink ref="I566" r:id="rId97" xr:uid="{08188C4A-F4DC-4E1B-8428-7516BEC642A0}"/>
    <hyperlink ref="I196" r:id="rId98" xr:uid="{2372644E-58A4-4B50-BCEB-A1CB6835A5E9}"/>
    <hyperlink ref="D189" r:id="rId99" xr:uid="{9B843D9D-6C98-4A0B-AF97-1AAF7E3A1B25}"/>
    <hyperlink ref="D178" r:id="rId100" xr:uid="{6F2391E2-75F9-4552-85E6-2E262579E86E}"/>
    <hyperlink ref="D140" r:id="rId101" xr:uid="{70EEA9C0-3486-4BBB-B845-7E18FF689290}"/>
    <hyperlink ref="D141" r:id="rId102" xr:uid="{2717540F-AE26-4E9E-975F-EF784FA69709}"/>
    <hyperlink ref="D82" r:id="rId103" xr:uid="{F1294410-2D43-4020-A74B-AF7485DA0A3A}"/>
    <hyperlink ref="D190" r:id="rId104" xr:uid="{894065D7-BF79-4BA5-86EB-AD0883BDDE71}"/>
    <hyperlink ref="D191" r:id="rId105" xr:uid="{B89E86F3-9E90-465D-AA8A-AD689B3C186A}"/>
    <hyperlink ref="D179" r:id="rId106" xr:uid="{54FCA999-6E8F-45BC-829A-BC63D270153C}"/>
    <hyperlink ref="D180" r:id="rId107" xr:uid="{ED4E38EB-6D44-4256-8264-AB6874077B1E}"/>
    <hyperlink ref="D183" r:id="rId108" xr:uid="{FDC08245-CDE5-422F-B5F4-2DE1C2BED490}"/>
    <hyperlink ref="D186" r:id="rId109" xr:uid="{9E0DAA28-59EC-4BE4-9CA8-5BD3B2CB9019}"/>
    <hyperlink ref="D185" r:id="rId110" xr:uid="{62658E15-DAEC-4023-BED2-CA9168BE7E6D}"/>
    <hyperlink ref="D203" r:id="rId111" xr:uid="{AAF257B2-E39E-4ED9-B6F5-04FB32F795FA}"/>
    <hyperlink ref="D205" r:id="rId112" xr:uid="{33F18A73-0D16-41FE-A989-867E430BFCB7}"/>
    <hyperlink ref="D206" r:id="rId113" xr:uid="{CD11BB95-CF2A-4562-A4CA-B49F02D46F88}"/>
    <hyperlink ref="D208" r:id="rId114" xr:uid="{8FB5CC05-D68B-4C41-AA1A-99EA5E9568AE}"/>
    <hyperlink ref="D223" r:id="rId115" xr:uid="{6BFD45C5-F939-46D6-90C2-CF828DCFFB15}"/>
    <hyperlink ref="D252" r:id="rId116" xr:uid="{1BC7ED34-4491-4EB4-AF6F-251E08201619}"/>
    <hyperlink ref="D254" r:id="rId117" xr:uid="{6E0D6189-BA7C-41EA-B926-EB5D08AC1789}"/>
    <hyperlink ref="I8" r:id="rId118" xr:uid="{24FA40A4-FC77-4D45-8818-01BC6CDDF2B6}"/>
    <hyperlink ref="I9" r:id="rId119" xr:uid="{6819D033-B9B6-4E91-BA9A-2BDCD4E4B10F}"/>
    <hyperlink ref="I26" r:id="rId120" xr:uid="{7BCA40C1-4987-4294-B918-86F65824BB2D}"/>
    <hyperlink ref="I27" r:id="rId121" xr:uid="{9167CCCD-C6D6-488E-B97D-B8571AC77D9D}"/>
    <hyperlink ref="I331" r:id="rId122" xr:uid="{8FF5A422-3BC6-410F-9A97-952BFAF5BB68}"/>
    <hyperlink ref="I277" r:id="rId123" xr:uid="{65E450E2-2703-4B7D-B4EE-556CC9A71F23}"/>
    <hyperlink ref="I334" r:id="rId124" xr:uid="{E6226103-BD20-4C31-97DE-93CB193B8B54}"/>
    <hyperlink ref="I332" r:id="rId125" xr:uid="{E336F652-F551-4594-B8EF-BD9842BD9C3F}"/>
    <hyperlink ref="I293" r:id="rId126" xr:uid="{2AAAD77C-010A-4FF0-93C9-12EBB7725B55}"/>
    <hyperlink ref="I340" r:id="rId127" xr:uid="{63CA8392-DAAF-4F91-82FD-8110EE69E51D}"/>
    <hyperlink ref="I341" r:id="rId128" xr:uid="{6A66CA42-1F11-4F09-AB76-4DB60EF04F2B}"/>
    <hyperlink ref="I342" r:id="rId129" xr:uid="{E3F0BDDF-691F-4ABC-93B0-CF24F443C4D0}"/>
    <hyperlink ref="I302" r:id="rId130" xr:uid="{7E646FAB-D19F-4ADC-9AE8-5A7D49258E62}"/>
    <hyperlink ref="I300" r:id="rId131" xr:uid="{461F5636-B5EE-46CD-9342-AA6DDE6E7DC7}"/>
    <hyperlink ref="J346" r:id="rId132" display="https://www.linkedin.com/company/28595961/" xr:uid="{3635E891-D372-4BA2-BF4F-88C7C312DE8C}"/>
    <hyperlink ref="I347" r:id="rId133" xr:uid="{E1880F21-66B9-4704-A0EA-2931A6C8109D}"/>
    <hyperlink ref="I279" r:id="rId134" xr:uid="{0F9E30C9-FEAF-4B6E-87AB-34A67FCDA5E5}"/>
    <hyperlink ref="I308" r:id="rId135" xr:uid="{78E13614-81FD-407A-A9A4-BBAA3B601B24}"/>
    <hyperlink ref="I312" r:id="rId136" xr:uid="{D6D6DBD5-BCF6-48F9-9F9B-1470F183F7FC}"/>
    <hyperlink ref="I314" r:id="rId137" xr:uid="{1879FE87-FFEC-4840-B950-05984187D244}"/>
    <hyperlink ref="I362" r:id="rId138" xr:uid="{4E687142-E307-41EA-95A3-FF5D54359C67}"/>
    <hyperlink ref="I317" r:id="rId139" xr:uid="{182952C5-B428-4237-B330-2B224D4B8FD9}"/>
    <hyperlink ref="I197" r:id="rId140" xr:uid="{7F0A4536-AFB3-4FB8-8C8B-D72960346205}"/>
    <hyperlink ref="I198" r:id="rId141" xr:uid="{6E2DF344-CD06-4930-BCFC-A7F9A65A5189}"/>
    <hyperlink ref="I199" r:id="rId142" xr:uid="{BB8DED2E-8FB7-438B-80B8-859FD2F399CB}"/>
    <hyperlink ref="I201" r:id="rId143" xr:uid="{2A0CF791-CBBE-46A1-A26D-47E996EF8F18}"/>
    <hyperlink ref="I202" r:id="rId144" xr:uid="{82553F2B-CCC4-4065-922F-E2DFD73FE366}"/>
    <hyperlink ref="I204" r:id="rId145" xr:uid="{8495ED32-56B7-4544-8A5A-342267E6A37B}"/>
    <hyperlink ref="I207" r:id="rId146" xr:uid="{064A5C45-11C1-4DA5-B361-E8FCA5A1B184}"/>
    <hyperlink ref="D310" r:id="rId147" xr:uid="{85291713-667D-483C-9A24-D403D18483DE}"/>
  </hyperlinks>
  <pageMargins left="0.7" right="0.7" top="0.75" bottom="0.75" header="0.3" footer="0.3"/>
  <pageSetup paperSize="9" orientation="portrait" r:id="rId14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C455-FA10-4607-9AEE-EFF9DB1B0EE6}">
  <sheetPr>
    <tabColor theme="3" tint="0.749992370372631"/>
  </sheetPr>
  <dimension ref="A2:P620"/>
  <sheetViews>
    <sheetView workbookViewId="0">
      <pane xSplit="1" ySplit="2" topLeftCell="B288" activePane="bottomRight" state="frozen"/>
      <selection pane="topRight" activeCell="B1" sqref="B1"/>
      <selection pane="bottomLeft" activeCell="A3" sqref="A3"/>
      <selection pane="bottomRight" activeCell="F311" sqref="F311"/>
    </sheetView>
  </sheetViews>
  <sheetFormatPr defaultColWidth="9.140625" defaultRowHeight="15" x14ac:dyDescent="0.25"/>
  <cols>
    <col min="1" max="1" width="2.7109375" style="14" customWidth="1"/>
    <col min="2" max="2" width="9.140625" style="14"/>
    <col min="3" max="3" width="22.28515625" style="14" customWidth="1"/>
    <col min="4" max="4" width="18.140625" style="14" bestFit="1" customWidth="1"/>
    <col min="5" max="5" width="6" style="14" bestFit="1" customWidth="1"/>
    <col min="6" max="6" width="36.140625" style="14" bestFit="1" customWidth="1"/>
    <col min="7" max="7" width="7.7109375" style="16" bestFit="1" customWidth="1"/>
    <col min="8" max="8" width="7.7109375" style="14" bestFit="1" customWidth="1"/>
    <col min="9" max="9" width="17.28515625" style="87" bestFit="1" customWidth="1"/>
    <col min="10" max="11" width="47.85546875" style="15" customWidth="1"/>
    <col min="12" max="16384" width="9.140625" style="14"/>
  </cols>
  <sheetData>
    <row r="2" spans="2:11" s="28" customFormat="1" x14ac:dyDescent="0.25">
      <c r="C2" s="31" t="s">
        <v>319</v>
      </c>
      <c r="D2" s="31" t="s">
        <v>318</v>
      </c>
      <c r="E2" s="31" t="s">
        <v>317</v>
      </c>
      <c r="F2" s="29" t="s">
        <v>316</v>
      </c>
      <c r="G2" s="29" t="s">
        <v>315</v>
      </c>
      <c r="H2" s="29" t="s">
        <v>314</v>
      </c>
      <c r="I2" s="84" t="s">
        <v>313</v>
      </c>
      <c r="J2" s="30" t="s">
        <v>312</v>
      </c>
      <c r="K2" s="30" t="s">
        <v>312</v>
      </c>
    </row>
    <row r="3" spans="2:11" s="27" customFormat="1" x14ac:dyDescent="0.25">
      <c r="I3" s="85"/>
    </row>
    <row r="4" spans="2:11" x14ac:dyDescent="0.25">
      <c r="B4" s="2"/>
      <c r="C4" s="74" t="s">
        <v>6081</v>
      </c>
      <c r="D4" s="63"/>
      <c r="E4" s="19"/>
      <c r="F4" s="63"/>
      <c r="G4" s="2"/>
      <c r="H4" s="33"/>
      <c r="I4" s="86"/>
      <c r="J4" s="14"/>
      <c r="K4" s="14"/>
    </row>
    <row r="5" spans="2:11" x14ac:dyDescent="0.25">
      <c r="B5" s="2"/>
      <c r="C5" s="70" t="s">
        <v>6082</v>
      </c>
      <c r="D5" s="63"/>
      <c r="E5" s="19"/>
      <c r="F5" s="63"/>
      <c r="G5" s="2"/>
      <c r="H5" s="33"/>
      <c r="I5" s="86"/>
      <c r="J5" s="14"/>
      <c r="K5" s="14"/>
    </row>
    <row r="6" spans="2:11" x14ac:dyDescent="0.25">
      <c r="B6" s="2"/>
      <c r="C6" s="70" t="s">
        <v>6083</v>
      </c>
      <c r="D6" s="63"/>
      <c r="E6" s="19"/>
      <c r="F6" s="63"/>
      <c r="G6" s="2"/>
      <c r="H6" s="33"/>
      <c r="I6" s="86"/>
      <c r="J6" s="14"/>
      <c r="K6" s="14"/>
    </row>
    <row r="7" spans="2:11" x14ac:dyDescent="0.25">
      <c r="B7" s="2"/>
      <c r="C7" s="70" t="s">
        <v>6084</v>
      </c>
      <c r="D7" s="63"/>
      <c r="E7" s="19"/>
      <c r="F7" s="63"/>
      <c r="G7" s="2"/>
      <c r="H7" s="33"/>
      <c r="I7" s="86"/>
      <c r="J7" s="14"/>
      <c r="K7" s="14"/>
    </row>
    <row r="8" spans="2:11" x14ac:dyDescent="0.25">
      <c r="B8" s="2"/>
      <c r="C8" s="70" t="s">
        <v>6085</v>
      </c>
      <c r="D8" s="63"/>
      <c r="E8" s="19"/>
      <c r="F8" s="63"/>
      <c r="G8" s="2"/>
      <c r="H8" s="33"/>
      <c r="I8" s="86"/>
      <c r="J8" s="14"/>
      <c r="K8" s="14"/>
    </row>
    <row r="9" spans="2:11" x14ac:dyDescent="0.25">
      <c r="B9" s="2"/>
      <c r="C9" s="70" t="s">
        <v>6086</v>
      </c>
      <c r="D9" s="63"/>
      <c r="E9" s="19"/>
      <c r="F9" s="63"/>
      <c r="G9" s="2"/>
      <c r="H9" s="33"/>
      <c r="I9" s="86"/>
      <c r="J9" s="14"/>
      <c r="K9" s="14"/>
    </row>
    <row r="10" spans="2:11" x14ac:dyDescent="0.25">
      <c r="B10" s="2"/>
      <c r="C10" s="70" t="s">
        <v>6087</v>
      </c>
      <c r="D10" s="63"/>
      <c r="E10" s="19"/>
      <c r="F10" s="63"/>
      <c r="G10" s="2"/>
      <c r="H10" s="33"/>
      <c r="I10" s="86"/>
      <c r="J10" s="14"/>
      <c r="K10" s="14"/>
    </row>
    <row r="11" spans="2:11" x14ac:dyDescent="0.25">
      <c r="B11" s="2"/>
      <c r="C11" s="70" t="s">
        <v>6088</v>
      </c>
      <c r="D11" s="63"/>
      <c r="E11" s="19"/>
      <c r="F11" s="63"/>
      <c r="G11" s="2"/>
      <c r="H11" s="33"/>
      <c r="I11" s="86"/>
      <c r="J11" s="14"/>
      <c r="K11" s="14"/>
    </row>
    <row r="12" spans="2:11" x14ac:dyDescent="0.25">
      <c r="B12" s="2"/>
      <c r="C12" s="70" t="s">
        <v>6089</v>
      </c>
      <c r="D12" s="63"/>
      <c r="E12" s="19"/>
      <c r="F12" s="63"/>
      <c r="G12" s="2"/>
      <c r="H12" s="33"/>
      <c r="I12" s="86"/>
      <c r="J12" s="14"/>
      <c r="K12" s="14"/>
    </row>
    <row r="13" spans="2:11" x14ac:dyDescent="0.25">
      <c r="B13" s="2"/>
      <c r="C13" s="70" t="s">
        <v>5326</v>
      </c>
      <c r="D13" s="63"/>
      <c r="E13" s="19"/>
      <c r="F13" s="63"/>
      <c r="G13" s="2"/>
      <c r="H13" s="33"/>
      <c r="I13" s="86"/>
      <c r="J13" s="14"/>
      <c r="K13" s="14"/>
    </row>
    <row r="14" spans="2:11" x14ac:dyDescent="0.25">
      <c r="B14" s="2"/>
      <c r="C14" s="70"/>
      <c r="D14" s="63"/>
      <c r="E14" s="19"/>
      <c r="F14" s="63"/>
      <c r="G14" s="2"/>
      <c r="H14" s="33"/>
      <c r="I14" s="86"/>
      <c r="J14" s="14"/>
      <c r="K14" s="14"/>
    </row>
    <row r="15" spans="2:11" x14ac:dyDescent="0.25">
      <c r="B15" s="2"/>
      <c r="C15" s="70"/>
      <c r="D15" s="63"/>
      <c r="E15" s="19"/>
      <c r="F15" s="63"/>
      <c r="G15" s="2"/>
      <c r="H15" s="33"/>
      <c r="I15" s="86"/>
      <c r="J15" s="14"/>
      <c r="K15" s="14"/>
    </row>
    <row r="16" spans="2:11" x14ac:dyDescent="0.25">
      <c r="B16" s="2"/>
      <c r="C16" s="70"/>
      <c r="D16" s="63"/>
      <c r="E16" s="19"/>
      <c r="F16" s="63"/>
      <c r="G16" s="2"/>
      <c r="H16" s="33"/>
      <c r="I16" s="86"/>
      <c r="J16" s="14"/>
      <c r="K16" s="14"/>
    </row>
    <row r="17" spans="2:11" x14ac:dyDescent="0.25">
      <c r="B17" s="2"/>
      <c r="C17" s="70"/>
      <c r="D17" s="63"/>
      <c r="E17" s="19"/>
      <c r="F17" s="63"/>
      <c r="G17" s="2"/>
      <c r="H17" s="33"/>
      <c r="I17" s="86"/>
      <c r="J17" s="14"/>
      <c r="K17" s="14"/>
    </row>
    <row r="18" spans="2:11" x14ac:dyDescent="0.25">
      <c r="B18" s="2"/>
      <c r="C18" s="69" t="s">
        <v>6091</v>
      </c>
      <c r="D18" s="63"/>
      <c r="E18" s="19"/>
      <c r="F18" s="63"/>
      <c r="G18" s="2"/>
      <c r="H18" s="33"/>
      <c r="I18" s="86"/>
      <c r="J18" s="14"/>
      <c r="K18" s="14"/>
    </row>
    <row r="19" spans="2:11" x14ac:dyDescent="0.25">
      <c r="B19" s="2"/>
      <c r="C19" s="70" t="s">
        <v>6090</v>
      </c>
      <c r="D19" s="63"/>
      <c r="E19" s="19"/>
      <c r="F19" s="63"/>
      <c r="G19" s="2"/>
      <c r="H19" s="33"/>
      <c r="I19" s="86"/>
      <c r="J19" s="14"/>
      <c r="K19" s="14"/>
    </row>
    <row r="20" spans="2:11" x14ac:dyDescent="0.25">
      <c r="B20" s="2"/>
      <c r="C20" s="70" t="s">
        <v>6092</v>
      </c>
      <c r="D20" s="63"/>
      <c r="E20" s="19"/>
      <c r="F20" s="63"/>
      <c r="G20" s="2"/>
      <c r="H20" s="33"/>
      <c r="I20" s="86"/>
      <c r="J20" s="14"/>
      <c r="K20" s="14"/>
    </row>
    <row r="21" spans="2:11" x14ac:dyDescent="0.25">
      <c r="B21" s="2"/>
      <c r="C21" s="70" t="s">
        <v>6093</v>
      </c>
      <c r="D21" s="63"/>
      <c r="E21" s="19"/>
      <c r="F21" s="63"/>
      <c r="G21" s="2"/>
      <c r="H21" s="33"/>
      <c r="I21" s="86"/>
      <c r="J21" s="14"/>
      <c r="K21" s="14"/>
    </row>
    <row r="22" spans="2:11" x14ac:dyDescent="0.25">
      <c r="B22" s="2"/>
      <c r="C22" s="70" t="s">
        <v>6094</v>
      </c>
      <c r="D22" s="63"/>
      <c r="E22" s="19"/>
      <c r="F22" s="63"/>
      <c r="G22" s="2"/>
      <c r="H22" s="33"/>
      <c r="I22" s="86"/>
      <c r="J22" s="14"/>
      <c r="K22" s="14"/>
    </row>
    <row r="23" spans="2:11" x14ac:dyDescent="0.25">
      <c r="B23" s="2"/>
      <c r="C23" s="70" t="s">
        <v>6092</v>
      </c>
      <c r="D23" s="63"/>
      <c r="E23" s="19"/>
      <c r="F23" s="63"/>
      <c r="G23" s="2"/>
      <c r="H23" s="33"/>
      <c r="I23" s="86"/>
      <c r="J23" s="14"/>
      <c r="K23" s="14"/>
    </row>
    <row r="24" spans="2:11" x14ac:dyDescent="0.25">
      <c r="B24" s="2"/>
      <c r="C24" s="70" t="s">
        <v>6135</v>
      </c>
      <c r="D24" s="63"/>
      <c r="E24" s="19"/>
      <c r="F24" s="63"/>
      <c r="G24" s="2"/>
      <c r="H24" s="33"/>
      <c r="I24" s="86"/>
      <c r="J24" s="14"/>
      <c r="K24" s="14"/>
    </row>
    <row r="25" spans="2:11" x14ac:dyDescent="0.25">
      <c r="B25" s="2"/>
      <c r="C25" s="70" t="s">
        <v>6095</v>
      </c>
      <c r="D25" s="63"/>
      <c r="E25" s="19"/>
      <c r="F25" s="63"/>
      <c r="G25" s="2"/>
      <c r="H25" s="33"/>
      <c r="I25" s="86"/>
      <c r="J25" s="14"/>
      <c r="K25" s="14"/>
    </row>
    <row r="26" spans="2:11" x14ac:dyDescent="0.25">
      <c r="B26" s="2"/>
      <c r="C26" s="70"/>
      <c r="D26" s="63"/>
      <c r="E26" s="19"/>
      <c r="F26" s="63"/>
      <c r="G26" s="2"/>
      <c r="H26" s="33"/>
      <c r="I26" s="86"/>
      <c r="J26" s="14"/>
      <c r="K26" s="14"/>
    </row>
    <row r="27" spans="2:11" x14ac:dyDescent="0.25">
      <c r="B27" s="2"/>
      <c r="C27" s="70"/>
      <c r="D27" s="63"/>
      <c r="E27" s="19"/>
      <c r="F27" s="63"/>
      <c r="G27" s="2"/>
      <c r="H27" s="33"/>
      <c r="I27" s="86"/>
      <c r="J27" s="14"/>
      <c r="K27" s="14"/>
    </row>
    <row r="28" spans="2:11" x14ac:dyDescent="0.25">
      <c r="B28" s="2"/>
      <c r="C28" s="70"/>
      <c r="D28" s="63"/>
      <c r="E28" s="19"/>
      <c r="F28" s="63"/>
      <c r="G28" s="2"/>
      <c r="H28" s="33"/>
      <c r="I28" s="86"/>
      <c r="J28" s="14"/>
      <c r="K28" s="14"/>
    </row>
    <row r="29" spans="2:11" x14ac:dyDescent="0.25">
      <c r="B29" s="2"/>
      <c r="C29" s="70"/>
      <c r="D29" s="63"/>
      <c r="E29" s="19"/>
      <c r="F29" s="63"/>
      <c r="G29" s="2"/>
      <c r="H29" s="33"/>
      <c r="I29" s="86"/>
      <c r="J29" s="14"/>
      <c r="K29" s="14"/>
    </row>
    <row r="30" spans="2:11" x14ac:dyDescent="0.25">
      <c r="B30" s="2"/>
      <c r="C30" s="70"/>
      <c r="D30" s="63"/>
      <c r="E30" s="19"/>
      <c r="F30" s="63"/>
      <c r="G30" s="2"/>
      <c r="H30" s="33"/>
      <c r="I30" s="86"/>
      <c r="J30" s="14"/>
      <c r="K30" s="14"/>
    </row>
    <row r="31" spans="2:11" x14ac:dyDescent="0.25">
      <c r="B31" s="2"/>
      <c r="C31" s="69" t="s">
        <v>5681</v>
      </c>
      <c r="D31" s="63"/>
      <c r="E31" s="19"/>
      <c r="F31" s="63"/>
      <c r="G31" s="2"/>
      <c r="H31" s="33"/>
      <c r="I31" s="86"/>
      <c r="J31" s="14"/>
      <c r="K31" s="14"/>
    </row>
    <row r="32" spans="2:11" x14ac:dyDescent="0.25">
      <c r="B32" s="2"/>
      <c r="C32" s="70" t="s">
        <v>6143</v>
      </c>
      <c r="D32" s="63"/>
      <c r="E32" s="19"/>
      <c r="F32" s="63"/>
      <c r="G32" s="2"/>
      <c r="H32" s="33"/>
      <c r="I32" s="86"/>
      <c r="J32" s="14"/>
      <c r="K32" s="14"/>
    </row>
    <row r="33" spans="2:11" x14ac:dyDescent="0.25">
      <c r="B33" s="2"/>
      <c r="C33" s="70" t="s">
        <v>6318</v>
      </c>
      <c r="D33" s="63"/>
      <c r="E33" s="19"/>
      <c r="F33" s="63"/>
      <c r="G33" s="2"/>
      <c r="H33" s="33"/>
      <c r="I33" s="86"/>
      <c r="J33" s="14"/>
      <c r="K33" s="14"/>
    </row>
    <row r="34" spans="2:11" x14ac:dyDescent="0.25">
      <c r="B34" s="2"/>
      <c r="C34" s="70" t="s">
        <v>6319</v>
      </c>
      <c r="D34" s="63"/>
      <c r="E34" s="19"/>
      <c r="F34" s="63"/>
      <c r="G34" s="2"/>
      <c r="H34" s="33"/>
      <c r="I34" s="86"/>
      <c r="J34" s="14"/>
      <c r="K34" s="14"/>
    </row>
    <row r="35" spans="2:11" x14ac:dyDescent="0.25">
      <c r="B35" s="2"/>
      <c r="C35" s="70"/>
      <c r="D35" s="63"/>
      <c r="E35" s="19"/>
      <c r="F35" s="63"/>
      <c r="G35" s="2"/>
      <c r="H35" s="33"/>
      <c r="I35" s="86"/>
      <c r="J35" s="14"/>
      <c r="K35" s="14"/>
    </row>
    <row r="36" spans="2:11" x14ac:dyDescent="0.25">
      <c r="B36" s="2"/>
      <c r="C36" s="70"/>
      <c r="D36" s="63"/>
      <c r="E36" s="19"/>
      <c r="F36" s="63"/>
      <c r="G36" s="2"/>
      <c r="H36" s="33"/>
      <c r="I36" s="86"/>
      <c r="J36" s="14"/>
      <c r="K36" s="14"/>
    </row>
    <row r="37" spans="2:11" x14ac:dyDescent="0.25">
      <c r="B37" s="2"/>
      <c r="C37" s="70"/>
      <c r="D37" s="63"/>
      <c r="E37" s="19"/>
      <c r="F37" s="63"/>
      <c r="G37" s="2"/>
      <c r="H37" s="33"/>
      <c r="I37" s="86"/>
      <c r="J37" s="14"/>
      <c r="K37" s="14"/>
    </row>
    <row r="38" spans="2:11" x14ac:dyDescent="0.25">
      <c r="B38" s="2"/>
      <c r="C38" s="70"/>
      <c r="D38" s="63"/>
      <c r="E38" s="19"/>
      <c r="F38" s="63"/>
      <c r="G38" s="2"/>
      <c r="H38" s="33"/>
      <c r="I38" s="86"/>
      <c r="J38" s="14"/>
      <c r="K38" s="14"/>
    </row>
    <row r="39" spans="2:11" x14ac:dyDescent="0.25">
      <c r="B39" s="2"/>
      <c r="C39" s="69" t="s">
        <v>5969</v>
      </c>
      <c r="D39" s="63"/>
      <c r="E39" s="19"/>
      <c r="F39" s="63"/>
      <c r="G39" s="2"/>
      <c r="H39" s="33"/>
      <c r="I39" s="86"/>
      <c r="J39" s="14"/>
      <c r="K39" s="14"/>
    </row>
    <row r="40" spans="2:11" x14ac:dyDescent="0.25">
      <c r="B40" s="2"/>
      <c r="C40" s="70" t="s">
        <v>6143</v>
      </c>
      <c r="D40" s="63"/>
      <c r="E40" s="19"/>
      <c r="F40" s="63"/>
      <c r="G40" s="2"/>
      <c r="H40" s="33"/>
      <c r="I40" s="86"/>
      <c r="J40" s="14"/>
      <c r="K40" s="14"/>
    </row>
    <row r="41" spans="2:11" x14ac:dyDescent="0.25">
      <c r="B41" s="2"/>
      <c r="C41" s="70" t="s">
        <v>6145</v>
      </c>
      <c r="D41" s="63"/>
      <c r="E41" s="19"/>
      <c r="F41" s="63"/>
      <c r="G41" s="2"/>
      <c r="H41" s="33"/>
      <c r="I41" s="86"/>
      <c r="J41" s="14"/>
      <c r="K41" s="14"/>
    </row>
    <row r="42" spans="2:11" x14ac:dyDescent="0.25">
      <c r="B42" s="2"/>
      <c r="C42" s="70" t="s">
        <v>6387</v>
      </c>
      <c r="D42" s="63"/>
      <c r="E42" s="19"/>
      <c r="F42" s="63"/>
      <c r="G42" s="2"/>
      <c r="H42" s="33"/>
      <c r="I42" s="86"/>
      <c r="J42" s="14"/>
      <c r="K42" s="14"/>
    </row>
    <row r="43" spans="2:11" x14ac:dyDescent="0.25">
      <c r="B43" s="2"/>
      <c r="C43" s="70"/>
      <c r="D43" s="63"/>
      <c r="E43" s="19"/>
      <c r="F43" s="63"/>
      <c r="G43" s="2"/>
      <c r="H43" s="33"/>
      <c r="I43" s="86"/>
      <c r="J43" s="14"/>
      <c r="K43" s="14"/>
    </row>
    <row r="44" spans="2:11" x14ac:dyDescent="0.25">
      <c r="B44" s="2"/>
      <c r="C44" s="69" t="s">
        <v>6227</v>
      </c>
      <c r="D44" s="63"/>
      <c r="E44" s="19"/>
      <c r="F44" s="63"/>
      <c r="G44" s="2"/>
      <c r="H44" s="33"/>
      <c r="I44" s="86"/>
      <c r="J44" s="14"/>
      <c r="K44" s="14"/>
    </row>
    <row r="45" spans="2:11" x14ac:dyDescent="0.25">
      <c r="B45" s="2"/>
      <c r="C45" s="70" t="s">
        <v>6226</v>
      </c>
      <c r="D45" s="63"/>
      <c r="E45" s="19"/>
      <c r="F45" s="63"/>
      <c r="G45" s="2"/>
      <c r="H45" s="33"/>
      <c r="I45" s="86"/>
      <c r="J45" s="14"/>
      <c r="K45" s="14"/>
    </row>
    <row r="46" spans="2:11" x14ac:dyDescent="0.25">
      <c r="B46" s="2"/>
      <c r="C46" s="70"/>
      <c r="D46" s="63"/>
      <c r="E46" s="19"/>
      <c r="F46" s="63"/>
      <c r="G46" s="2"/>
      <c r="H46" s="33"/>
      <c r="I46" s="86"/>
      <c r="J46" s="14"/>
      <c r="K46" s="14"/>
    </row>
    <row r="47" spans="2:11" x14ac:dyDescent="0.25">
      <c r="B47" s="2"/>
      <c r="C47" s="70"/>
      <c r="D47" s="63"/>
      <c r="E47" s="19"/>
      <c r="F47" s="63"/>
      <c r="G47" s="2"/>
      <c r="H47" s="33"/>
      <c r="I47" s="86"/>
      <c r="J47" s="14"/>
      <c r="K47" s="14"/>
    </row>
    <row r="48" spans="2:11" x14ac:dyDescent="0.25">
      <c r="B48" s="2"/>
      <c r="C48" s="69" t="s">
        <v>6388</v>
      </c>
      <c r="D48" s="63"/>
      <c r="E48" s="19"/>
      <c r="F48" s="63"/>
      <c r="G48" s="2"/>
      <c r="H48" s="33"/>
      <c r="I48" s="86"/>
      <c r="J48" s="14"/>
      <c r="K48" s="14"/>
    </row>
    <row r="49" spans="2:11" x14ac:dyDescent="0.25">
      <c r="B49" s="2"/>
      <c r="C49" s="70" t="s">
        <v>6389</v>
      </c>
      <c r="D49" s="63"/>
      <c r="E49" s="19"/>
      <c r="F49" s="63"/>
      <c r="G49" s="2"/>
      <c r="H49" s="33"/>
      <c r="I49" s="86"/>
      <c r="J49" s="14"/>
      <c r="K49" s="14"/>
    </row>
    <row r="50" spans="2:11" x14ac:dyDescent="0.25">
      <c r="B50" s="2"/>
      <c r="C50" s="70"/>
      <c r="D50" s="63"/>
      <c r="E50" s="19"/>
      <c r="F50" s="63"/>
      <c r="G50" s="2"/>
      <c r="H50" s="33"/>
      <c r="I50" s="86"/>
      <c r="J50" s="14"/>
      <c r="K50" s="14"/>
    </row>
    <row r="51" spans="2:11" x14ac:dyDescent="0.25">
      <c r="B51" s="2"/>
      <c r="C51" s="70"/>
      <c r="D51" s="63"/>
      <c r="E51" s="19"/>
      <c r="F51" s="63"/>
      <c r="G51" s="2"/>
      <c r="H51" s="33"/>
      <c r="I51" s="86"/>
      <c r="J51" s="14"/>
      <c r="K51" s="14"/>
    </row>
    <row r="52" spans="2:11" x14ac:dyDescent="0.25">
      <c r="B52" s="2"/>
      <c r="C52" s="69" t="s">
        <v>321</v>
      </c>
      <c r="D52" s="63"/>
      <c r="E52" s="19"/>
      <c r="F52" s="63"/>
      <c r="G52" s="2"/>
      <c r="H52" s="33"/>
      <c r="I52" s="86"/>
      <c r="J52" s="14"/>
      <c r="K52" s="14"/>
    </row>
    <row r="53" spans="2:11" x14ac:dyDescent="0.25">
      <c r="B53" s="2"/>
      <c r="C53" s="70" t="s">
        <v>6395</v>
      </c>
      <c r="D53" s="63"/>
      <c r="E53" s="19"/>
      <c r="F53" s="63"/>
      <c r="G53" s="2"/>
      <c r="H53" s="33"/>
      <c r="I53" s="86"/>
      <c r="J53" s="14"/>
      <c r="K53" s="14"/>
    </row>
    <row r="54" spans="2:11" x14ac:dyDescent="0.25">
      <c r="B54" s="2"/>
      <c r="C54" s="70"/>
      <c r="D54" s="63"/>
      <c r="E54" s="19"/>
      <c r="F54" s="63"/>
      <c r="G54" s="2"/>
      <c r="H54" s="33"/>
      <c r="I54" s="86"/>
      <c r="J54" s="14"/>
      <c r="K54" s="14"/>
    </row>
    <row r="55" spans="2:11" x14ac:dyDescent="0.25">
      <c r="B55" s="2"/>
      <c r="C55" s="70"/>
      <c r="D55" s="63"/>
      <c r="E55" s="19"/>
      <c r="F55" s="63"/>
      <c r="G55" s="2"/>
      <c r="H55" s="33"/>
      <c r="I55" s="86"/>
      <c r="J55" s="14"/>
      <c r="K55" s="14"/>
    </row>
    <row r="56" spans="2:11" x14ac:dyDescent="0.25">
      <c r="B56" s="2"/>
      <c r="C56" s="70"/>
      <c r="D56" s="63"/>
      <c r="E56" s="19"/>
      <c r="F56" s="63"/>
      <c r="G56" s="2"/>
      <c r="H56" s="33"/>
      <c r="I56" s="86"/>
      <c r="J56" s="14"/>
      <c r="K56" s="14"/>
    </row>
    <row r="57" spans="2:11" x14ac:dyDescent="0.25">
      <c r="B57" s="2"/>
      <c r="C57" s="70"/>
      <c r="D57" s="63"/>
      <c r="E57" s="19"/>
      <c r="F57" s="63"/>
      <c r="G57" s="2"/>
      <c r="H57" s="33"/>
      <c r="I57" s="86"/>
      <c r="J57" s="14"/>
      <c r="K57" s="14"/>
    </row>
    <row r="58" spans="2:11" x14ac:dyDescent="0.25">
      <c r="B58" s="2"/>
      <c r="C58" s="69" t="s">
        <v>6144</v>
      </c>
      <c r="D58" s="63"/>
      <c r="E58" s="19"/>
      <c r="F58" s="63"/>
      <c r="G58" s="2"/>
      <c r="H58" s="33"/>
      <c r="I58" s="86"/>
      <c r="J58" s="14"/>
      <c r="K58" s="14"/>
    </row>
    <row r="59" spans="2:11" x14ac:dyDescent="0.25">
      <c r="B59" s="2"/>
      <c r="C59" s="70" t="s">
        <v>6136</v>
      </c>
      <c r="D59" s="63"/>
      <c r="E59" s="19"/>
      <c r="F59" s="63"/>
      <c r="G59" s="2"/>
      <c r="H59" s="33"/>
      <c r="I59" s="86"/>
      <c r="J59" s="14"/>
      <c r="K59" s="14"/>
    </row>
    <row r="60" spans="2:11" x14ac:dyDescent="0.25">
      <c r="B60" s="2"/>
      <c r="C60" s="70" t="s">
        <v>6137</v>
      </c>
      <c r="D60" s="63"/>
      <c r="E60" s="19"/>
      <c r="F60" s="63"/>
      <c r="G60" s="2"/>
      <c r="H60" s="33"/>
      <c r="I60" s="86"/>
      <c r="J60" s="14"/>
      <c r="K60" s="14"/>
    </row>
    <row r="61" spans="2:11" x14ac:dyDescent="0.25">
      <c r="B61" s="2"/>
      <c r="C61" s="70" t="s">
        <v>6138</v>
      </c>
      <c r="D61" s="63"/>
      <c r="E61" s="19"/>
      <c r="F61" s="63"/>
      <c r="G61" s="2"/>
      <c r="H61" s="33"/>
      <c r="I61" s="86"/>
      <c r="J61" s="14"/>
      <c r="K61" s="14"/>
    </row>
    <row r="62" spans="2:11" x14ac:dyDescent="0.25">
      <c r="B62" s="2"/>
      <c r="C62" s="70" t="s">
        <v>6139</v>
      </c>
      <c r="D62" s="63"/>
      <c r="E62" s="19"/>
      <c r="F62" s="63"/>
      <c r="G62" s="2"/>
      <c r="H62" s="33"/>
      <c r="I62" s="86"/>
      <c r="J62" s="14"/>
      <c r="K62" s="14"/>
    </row>
    <row r="63" spans="2:11" x14ac:dyDescent="0.25">
      <c r="B63" s="2"/>
      <c r="C63" s="70" t="s">
        <v>6140</v>
      </c>
      <c r="D63" s="63"/>
      <c r="E63" s="19"/>
      <c r="F63" s="63"/>
      <c r="G63" s="2"/>
      <c r="H63" s="33"/>
      <c r="I63" s="86"/>
      <c r="J63" s="14"/>
      <c r="K63" s="14"/>
    </row>
    <row r="64" spans="2:11" x14ac:dyDescent="0.25">
      <c r="B64" s="2"/>
      <c r="C64" s="70" t="s">
        <v>6392</v>
      </c>
      <c r="D64" s="63"/>
      <c r="E64" s="19"/>
      <c r="F64" s="63"/>
      <c r="G64" s="2"/>
      <c r="H64" s="33"/>
      <c r="I64" s="86"/>
      <c r="J64" s="14"/>
      <c r="K64" s="14"/>
    </row>
    <row r="65" spans="2:11" x14ac:dyDescent="0.25">
      <c r="B65" s="2"/>
      <c r="C65" s="70" t="s">
        <v>6393</v>
      </c>
      <c r="D65" s="63"/>
      <c r="E65" s="19"/>
      <c r="F65" s="63"/>
      <c r="G65" s="2"/>
      <c r="H65" s="33"/>
      <c r="I65" s="86"/>
      <c r="J65" s="14"/>
      <c r="K65" s="14"/>
    </row>
    <row r="66" spans="2:11" x14ac:dyDescent="0.25">
      <c r="B66" s="2"/>
      <c r="C66" s="70" t="s">
        <v>6396</v>
      </c>
      <c r="D66" s="63"/>
      <c r="E66" s="19"/>
      <c r="F66" s="63"/>
      <c r="G66" s="2"/>
      <c r="H66" s="33"/>
      <c r="I66" s="86"/>
      <c r="J66" s="14"/>
      <c r="K66" s="14"/>
    </row>
    <row r="67" spans="2:11" x14ac:dyDescent="0.25">
      <c r="B67" s="2"/>
      <c r="C67" s="70" t="s">
        <v>6397</v>
      </c>
      <c r="D67" s="63"/>
      <c r="E67" s="19"/>
      <c r="F67" s="63"/>
      <c r="G67" s="2"/>
      <c r="H67" s="33"/>
      <c r="I67" s="86"/>
      <c r="J67" s="14"/>
      <c r="K67" s="14"/>
    </row>
    <row r="68" spans="2:11" x14ac:dyDescent="0.25">
      <c r="B68" s="2"/>
      <c r="C68" s="70" t="s">
        <v>6398</v>
      </c>
      <c r="D68" s="63"/>
      <c r="E68" s="19"/>
      <c r="F68" s="63"/>
      <c r="G68" s="2"/>
      <c r="H68" s="33"/>
      <c r="I68" s="86"/>
      <c r="J68" s="14"/>
      <c r="K68" s="14"/>
    </row>
    <row r="69" spans="2:11" x14ac:dyDescent="0.25">
      <c r="B69" s="2"/>
      <c r="C69" s="70" t="s">
        <v>6393</v>
      </c>
      <c r="D69" s="63"/>
      <c r="E69" s="19"/>
      <c r="F69" s="63"/>
      <c r="G69" s="2"/>
      <c r="H69" s="33"/>
      <c r="I69" s="86"/>
      <c r="J69" s="14"/>
      <c r="K69" s="14"/>
    </row>
    <row r="70" spans="2:11" x14ac:dyDescent="0.25">
      <c r="B70" s="2"/>
      <c r="C70" s="70" t="s">
        <v>6457</v>
      </c>
      <c r="D70" s="63"/>
      <c r="E70" s="19"/>
      <c r="F70" s="63"/>
      <c r="G70" s="2"/>
      <c r="H70" s="33"/>
      <c r="I70" s="86"/>
      <c r="J70" s="14"/>
      <c r="K70" s="14"/>
    </row>
    <row r="71" spans="2:11" x14ac:dyDescent="0.25">
      <c r="B71" s="2"/>
      <c r="C71" s="70"/>
      <c r="D71" s="63"/>
      <c r="E71" s="19"/>
      <c r="F71" s="63"/>
      <c r="G71" s="2"/>
      <c r="H71" s="33"/>
      <c r="I71" s="86"/>
      <c r="J71" s="14"/>
      <c r="K71" s="14"/>
    </row>
    <row r="72" spans="2:11" x14ac:dyDescent="0.25">
      <c r="B72" s="2"/>
      <c r="C72" s="70"/>
      <c r="D72" s="63"/>
      <c r="E72" s="19"/>
      <c r="F72" s="63"/>
      <c r="G72" s="2"/>
      <c r="H72" s="33"/>
      <c r="I72" s="86"/>
      <c r="J72" s="14"/>
      <c r="K72" s="14"/>
    </row>
    <row r="73" spans="2:11" x14ac:dyDescent="0.25">
      <c r="B73" s="2"/>
      <c r="D73" s="63"/>
      <c r="E73" s="19"/>
      <c r="F73" s="63"/>
      <c r="G73" s="2"/>
      <c r="H73" s="33"/>
      <c r="I73" s="86"/>
      <c r="J73" s="14"/>
      <c r="K73" s="14"/>
    </row>
    <row r="74" spans="2:11" x14ac:dyDescent="0.25">
      <c r="B74" s="2"/>
      <c r="D74" s="63"/>
      <c r="E74" s="19"/>
      <c r="F74" s="63"/>
      <c r="G74" s="2"/>
      <c r="H74" s="33"/>
      <c r="I74" s="86"/>
      <c r="J74" s="14"/>
      <c r="K74" s="14"/>
    </row>
    <row r="75" spans="2:11" x14ac:dyDescent="0.25">
      <c r="B75" s="2"/>
      <c r="D75" s="63"/>
      <c r="E75" s="19"/>
      <c r="F75" s="63"/>
      <c r="G75" s="2"/>
      <c r="H75" s="33"/>
      <c r="I75" s="86"/>
      <c r="J75" s="14"/>
      <c r="K75" s="14"/>
    </row>
    <row r="76" spans="2:11" x14ac:dyDescent="0.25">
      <c r="B76" s="2"/>
      <c r="C76" s="69" t="s">
        <v>6147</v>
      </c>
      <c r="D76" s="63"/>
      <c r="E76" s="19"/>
      <c r="F76" s="63"/>
      <c r="G76" s="2"/>
      <c r="H76" s="33"/>
      <c r="I76" s="86"/>
      <c r="J76" s="14"/>
      <c r="K76" s="14"/>
    </row>
    <row r="77" spans="2:11" x14ac:dyDescent="0.25">
      <c r="B77" s="2"/>
      <c r="C77" s="70" t="s">
        <v>6146</v>
      </c>
      <c r="D77" s="63"/>
      <c r="E77" s="19"/>
      <c r="F77" s="63"/>
      <c r="G77" s="2"/>
      <c r="H77" s="33"/>
      <c r="I77" s="86"/>
      <c r="J77" s="14"/>
      <c r="K77" s="14"/>
    </row>
    <row r="78" spans="2:11" x14ac:dyDescent="0.25">
      <c r="B78" s="2"/>
      <c r="C78" s="70" t="s">
        <v>6148</v>
      </c>
      <c r="D78" s="63"/>
      <c r="E78" s="19"/>
      <c r="F78" s="63"/>
      <c r="G78" s="2"/>
      <c r="H78" s="33"/>
      <c r="I78" s="86"/>
      <c r="J78" s="14"/>
      <c r="K78" s="14"/>
    </row>
    <row r="79" spans="2:11" x14ac:dyDescent="0.25">
      <c r="B79" s="2"/>
      <c r="C79" s="70" t="s">
        <v>6151</v>
      </c>
      <c r="D79" s="63"/>
      <c r="E79" s="19"/>
      <c r="F79" s="63"/>
      <c r="G79" s="2"/>
      <c r="H79" s="33"/>
      <c r="I79" s="86"/>
      <c r="J79" s="14"/>
      <c r="K79" s="14"/>
    </row>
    <row r="80" spans="2:11" x14ac:dyDescent="0.25">
      <c r="B80" s="2"/>
      <c r="C80" s="70" t="s">
        <v>6152</v>
      </c>
      <c r="D80" s="63"/>
      <c r="E80" s="19"/>
      <c r="F80" s="63"/>
      <c r="G80" s="2"/>
      <c r="H80" s="33"/>
      <c r="I80" s="86"/>
      <c r="J80" s="14"/>
      <c r="K80" s="14"/>
    </row>
    <row r="81" spans="2:11" x14ac:dyDescent="0.25">
      <c r="B81" s="2"/>
      <c r="C81" s="80" t="s">
        <v>6287</v>
      </c>
      <c r="D81" s="63"/>
      <c r="E81" s="19"/>
      <c r="F81" s="63"/>
      <c r="G81" s="2"/>
      <c r="H81" s="33"/>
      <c r="I81" s="86"/>
      <c r="J81" s="14"/>
      <c r="K81" s="14"/>
    </row>
    <row r="82" spans="2:11" x14ac:dyDescent="0.25">
      <c r="B82" s="2"/>
      <c r="C82" s="70"/>
      <c r="D82" s="63"/>
      <c r="E82" s="19"/>
      <c r="F82" s="63"/>
      <c r="G82" s="2"/>
      <c r="H82" s="33"/>
      <c r="I82" s="86"/>
      <c r="J82" s="14"/>
      <c r="K82" s="14"/>
    </row>
    <row r="83" spans="2:11" x14ac:dyDescent="0.25">
      <c r="B83" s="2"/>
      <c r="C83" s="70"/>
      <c r="D83" s="63"/>
      <c r="E83" s="19"/>
      <c r="F83" s="63"/>
      <c r="G83" s="2"/>
      <c r="H83" s="33"/>
      <c r="I83" s="86"/>
      <c r="J83" s="14"/>
      <c r="K83" s="14"/>
    </row>
    <row r="84" spans="2:11" x14ac:dyDescent="0.25">
      <c r="B84" s="2"/>
      <c r="C84" s="70"/>
      <c r="D84" s="63"/>
      <c r="E84" s="19"/>
      <c r="F84" s="63"/>
      <c r="G84" s="2"/>
      <c r="H84" s="33"/>
      <c r="I84" s="86"/>
      <c r="J84" s="14"/>
      <c r="K84" s="14"/>
    </row>
    <row r="85" spans="2:11" s="27" customFormat="1" x14ac:dyDescent="0.25">
      <c r="C85" s="69" t="s">
        <v>5544</v>
      </c>
      <c r="I85" s="85"/>
    </row>
    <row r="86" spans="2:11" x14ac:dyDescent="0.25">
      <c r="B86" s="2">
        <f t="shared" ref="B86:B101" si="0">COUNTIFS($C:$C,C86)</f>
        <v>1</v>
      </c>
      <c r="C86" s="70" t="s">
        <v>5519</v>
      </c>
      <c r="D86" s="63" t="s">
        <v>5520</v>
      </c>
      <c r="E86" s="19">
        <v>5</v>
      </c>
      <c r="F86" s="63" t="s">
        <v>5521</v>
      </c>
      <c r="G86" s="2"/>
      <c r="H86" s="33"/>
      <c r="I86" s="86"/>
      <c r="J86" s="14"/>
      <c r="K86" s="14"/>
    </row>
    <row r="87" spans="2:11" x14ac:dyDescent="0.25">
      <c r="B87" s="2">
        <f t="shared" si="0"/>
        <v>1</v>
      </c>
      <c r="C87" s="70" t="s">
        <v>5522</v>
      </c>
      <c r="D87" s="63" t="s">
        <v>5523</v>
      </c>
      <c r="E87" s="19">
        <v>5</v>
      </c>
      <c r="F87" s="63" t="s">
        <v>5524</v>
      </c>
      <c r="G87" s="2"/>
      <c r="H87" s="33"/>
      <c r="I87" s="86"/>
      <c r="J87" s="14"/>
      <c r="K87" s="14"/>
    </row>
    <row r="88" spans="2:11" x14ac:dyDescent="0.25">
      <c r="B88" s="2">
        <f t="shared" si="0"/>
        <v>1</v>
      </c>
      <c r="C88" s="70" t="s">
        <v>5528</v>
      </c>
      <c r="D88" s="63" t="s">
        <v>5530</v>
      </c>
      <c r="E88" s="19">
        <v>4</v>
      </c>
      <c r="F88" s="63" t="s">
        <v>5529</v>
      </c>
      <c r="G88" s="2"/>
      <c r="H88" s="33"/>
      <c r="I88" s="86"/>
      <c r="J88" s="14"/>
      <c r="K88" s="14"/>
    </row>
    <row r="89" spans="2:11" x14ac:dyDescent="0.25">
      <c r="B89" s="2">
        <f t="shared" si="0"/>
        <v>1</v>
      </c>
      <c r="C89" s="70" t="s">
        <v>5813</v>
      </c>
      <c r="D89" s="63" t="s">
        <v>5814</v>
      </c>
      <c r="E89" s="19">
        <v>4</v>
      </c>
      <c r="F89" s="63" t="s">
        <v>5815</v>
      </c>
      <c r="G89" s="2"/>
      <c r="H89" s="33"/>
      <c r="I89" s="86"/>
      <c r="J89" s="14"/>
      <c r="K89" s="14"/>
    </row>
    <row r="90" spans="2:11" x14ac:dyDescent="0.25">
      <c r="B90" s="2">
        <f t="shared" si="0"/>
        <v>1</v>
      </c>
      <c r="C90" s="70" t="s">
        <v>5534</v>
      </c>
      <c r="D90" s="63" t="s">
        <v>5535</v>
      </c>
      <c r="E90" s="19">
        <v>4</v>
      </c>
      <c r="F90" s="63" t="s">
        <v>5535</v>
      </c>
      <c r="G90" s="2"/>
      <c r="H90" s="33"/>
      <c r="I90" s="86"/>
      <c r="J90" s="14"/>
      <c r="K90" s="14"/>
    </row>
    <row r="91" spans="2:11" x14ac:dyDescent="0.25">
      <c r="B91" s="2">
        <f t="shared" si="0"/>
        <v>1</v>
      </c>
      <c r="C91" s="70" t="s">
        <v>5540</v>
      </c>
      <c r="D91" s="63" t="s">
        <v>5546</v>
      </c>
      <c r="E91" s="19">
        <v>5</v>
      </c>
      <c r="F91" s="63" t="s">
        <v>5541</v>
      </c>
      <c r="G91" s="2"/>
      <c r="H91" s="33"/>
      <c r="I91" s="86"/>
      <c r="J91" s="14"/>
      <c r="K91" s="14"/>
    </row>
    <row r="92" spans="2:11" x14ac:dyDescent="0.25">
      <c r="B92" s="2">
        <f t="shared" si="0"/>
        <v>1</v>
      </c>
      <c r="C92" s="70" t="s">
        <v>5542</v>
      </c>
      <c r="D92" s="63" t="s">
        <v>5545</v>
      </c>
      <c r="E92" s="19">
        <v>4</v>
      </c>
      <c r="F92" s="63" t="s">
        <v>5543</v>
      </c>
      <c r="G92" s="2"/>
      <c r="H92" s="33"/>
      <c r="I92" s="86"/>
      <c r="J92" s="14"/>
      <c r="K92" s="14"/>
    </row>
    <row r="93" spans="2:11" x14ac:dyDescent="0.25">
      <c r="B93" s="2">
        <f t="shared" si="0"/>
        <v>1</v>
      </c>
      <c r="C93" s="70" t="s">
        <v>5614</v>
      </c>
      <c r="D93" s="63" t="s">
        <v>5616</v>
      </c>
      <c r="E93" s="19">
        <v>4</v>
      </c>
      <c r="F93" s="63" t="s">
        <v>5615</v>
      </c>
      <c r="G93" s="2"/>
      <c r="H93" s="33"/>
      <c r="I93" s="86"/>
      <c r="J93" s="14"/>
      <c r="K93" s="14"/>
    </row>
    <row r="94" spans="2:11" x14ac:dyDescent="0.25">
      <c r="B94" s="2">
        <f t="shared" si="0"/>
        <v>0</v>
      </c>
      <c r="C94" s="70"/>
      <c r="D94" s="63"/>
      <c r="E94" s="19"/>
      <c r="F94" s="63"/>
      <c r="G94" s="2"/>
      <c r="H94" s="33"/>
      <c r="I94" s="86"/>
      <c r="J94" s="14"/>
      <c r="K94" s="14"/>
    </row>
    <row r="95" spans="2:11" x14ac:dyDescent="0.25">
      <c r="B95" s="2">
        <f t="shared" si="0"/>
        <v>0</v>
      </c>
      <c r="C95" s="70"/>
      <c r="D95" s="63"/>
      <c r="E95" s="19"/>
      <c r="F95" s="63"/>
      <c r="G95" s="2"/>
      <c r="H95" s="33"/>
      <c r="I95" s="86"/>
      <c r="J95" s="14"/>
      <c r="K95" s="14"/>
    </row>
    <row r="96" spans="2:11" x14ac:dyDescent="0.25">
      <c r="B96" s="2">
        <f t="shared" si="0"/>
        <v>0</v>
      </c>
      <c r="C96" s="70"/>
      <c r="D96" s="63"/>
      <c r="E96" s="19"/>
      <c r="F96" s="63"/>
      <c r="G96" s="2"/>
      <c r="H96" s="33"/>
      <c r="I96" s="86"/>
      <c r="J96" s="14"/>
      <c r="K96" s="14"/>
    </row>
    <row r="97" spans="2:11" x14ac:dyDescent="0.25">
      <c r="B97" s="2">
        <f t="shared" si="0"/>
        <v>0</v>
      </c>
      <c r="C97" s="70"/>
      <c r="D97" s="63"/>
      <c r="E97" s="19"/>
      <c r="F97" s="63"/>
      <c r="G97" s="2"/>
      <c r="H97" s="33"/>
      <c r="I97" s="86"/>
      <c r="J97" s="14"/>
      <c r="K97" s="14"/>
    </row>
    <row r="98" spans="2:11" x14ac:dyDescent="0.25">
      <c r="B98" s="2">
        <f t="shared" si="0"/>
        <v>0</v>
      </c>
      <c r="C98" s="70"/>
      <c r="D98" s="63"/>
      <c r="E98" s="19"/>
      <c r="F98" s="63"/>
      <c r="G98" s="2"/>
      <c r="H98" s="33"/>
      <c r="I98" s="86"/>
      <c r="J98" s="14"/>
      <c r="K98" s="14"/>
    </row>
    <row r="99" spans="2:11" x14ac:dyDescent="0.25">
      <c r="B99" s="2">
        <f t="shared" si="0"/>
        <v>0</v>
      </c>
      <c r="C99" s="70"/>
      <c r="D99" s="63"/>
      <c r="E99" s="19"/>
      <c r="F99" s="63"/>
      <c r="G99" s="2"/>
      <c r="H99" s="33"/>
      <c r="I99" s="86"/>
      <c r="J99" s="14"/>
      <c r="K99" s="14"/>
    </row>
    <row r="100" spans="2:11" x14ac:dyDescent="0.25">
      <c r="B100" s="2">
        <f t="shared" si="0"/>
        <v>0</v>
      </c>
      <c r="C100" s="70"/>
      <c r="D100" s="63"/>
      <c r="E100" s="19"/>
      <c r="F100" s="63"/>
      <c r="G100" s="2"/>
      <c r="H100" s="33"/>
      <c r="I100" s="86"/>
      <c r="J100" s="14"/>
      <c r="K100" s="14"/>
    </row>
    <row r="101" spans="2:11" x14ac:dyDescent="0.25">
      <c r="B101" s="2">
        <f t="shared" si="0"/>
        <v>0</v>
      </c>
      <c r="C101" s="70"/>
      <c r="D101" s="63"/>
      <c r="E101" s="19"/>
      <c r="F101" s="63"/>
      <c r="G101" s="2"/>
      <c r="H101" s="33"/>
      <c r="I101" s="86"/>
      <c r="J101" s="14"/>
      <c r="K101" s="14"/>
    </row>
    <row r="102" spans="2:11" x14ac:dyDescent="0.25">
      <c r="B102" s="2"/>
      <c r="C102" s="70"/>
      <c r="D102" s="63"/>
      <c r="E102" s="19"/>
      <c r="F102" s="63"/>
      <c r="G102" s="2"/>
      <c r="H102" s="33"/>
      <c r="I102" s="86"/>
      <c r="J102" s="14"/>
      <c r="K102" s="14"/>
    </row>
    <row r="103" spans="2:11" s="27" customFormat="1" x14ac:dyDescent="0.25">
      <c r="C103" s="69" t="s">
        <v>5749</v>
      </c>
      <c r="I103" s="85"/>
    </row>
    <row r="104" spans="2:11" x14ac:dyDescent="0.25">
      <c r="B104" s="2">
        <f t="shared" ref="B104:B109" si="1">COUNTIFS($C:$C,C104)</f>
        <v>1</v>
      </c>
      <c r="C104" s="70" t="s">
        <v>6309</v>
      </c>
      <c r="D104" s="63"/>
      <c r="E104" s="19"/>
      <c r="F104" s="63" t="s">
        <v>6310</v>
      </c>
      <c r="G104" s="2"/>
      <c r="H104" s="33"/>
      <c r="I104" s="86"/>
      <c r="J104" s="14"/>
      <c r="K104" s="14"/>
    </row>
    <row r="105" spans="2:11" x14ac:dyDescent="0.25">
      <c r="B105" s="2">
        <f t="shared" si="1"/>
        <v>1</v>
      </c>
      <c r="C105" s="70" t="s">
        <v>6279</v>
      </c>
      <c r="D105" s="63"/>
      <c r="E105" s="19"/>
      <c r="F105" s="63" t="s">
        <v>6280</v>
      </c>
      <c r="G105" s="2"/>
      <c r="H105" s="33"/>
      <c r="I105" s="86"/>
      <c r="J105" s="14"/>
      <c r="K105" s="14"/>
    </row>
    <row r="106" spans="2:11" x14ac:dyDescent="0.25">
      <c r="B106" s="2">
        <f t="shared" si="1"/>
        <v>0</v>
      </c>
      <c r="C106" s="70"/>
      <c r="D106" s="63"/>
      <c r="E106" s="19"/>
      <c r="F106" s="63"/>
      <c r="G106" s="2"/>
      <c r="H106" s="33"/>
      <c r="I106" s="86"/>
      <c r="J106" s="14"/>
      <c r="K106" s="14"/>
    </row>
    <row r="107" spans="2:11" x14ac:dyDescent="0.25">
      <c r="B107" s="2">
        <f t="shared" si="1"/>
        <v>0</v>
      </c>
      <c r="C107" s="70"/>
      <c r="D107" s="63"/>
      <c r="E107" s="19"/>
      <c r="F107" s="63"/>
      <c r="G107" s="2"/>
      <c r="H107" s="33"/>
      <c r="I107" s="86"/>
      <c r="J107" s="14"/>
      <c r="K107" s="14"/>
    </row>
    <row r="108" spans="2:11" x14ac:dyDescent="0.25">
      <c r="B108" s="2">
        <f t="shared" si="1"/>
        <v>0</v>
      </c>
      <c r="C108" s="70"/>
      <c r="D108" s="63"/>
      <c r="E108" s="19"/>
      <c r="F108" s="63"/>
      <c r="G108" s="2"/>
      <c r="H108" s="33"/>
      <c r="I108" s="86"/>
      <c r="J108" s="14"/>
      <c r="K108" s="14"/>
    </row>
    <row r="109" spans="2:11" x14ac:dyDescent="0.25">
      <c r="B109" s="2">
        <f t="shared" si="1"/>
        <v>0</v>
      </c>
      <c r="C109" s="70"/>
      <c r="D109" s="63"/>
      <c r="E109" s="19"/>
      <c r="F109" s="63"/>
      <c r="G109" s="2"/>
      <c r="H109" s="33"/>
      <c r="I109" s="86"/>
      <c r="J109" s="14"/>
      <c r="K109" s="14"/>
    </row>
    <row r="110" spans="2:11" x14ac:dyDescent="0.25">
      <c r="B110" s="2"/>
      <c r="C110" s="70"/>
      <c r="D110" s="63"/>
      <c r="E110" s="19"/>
      <c r="F110" s="63"/>
      <c r="G110" s="2"/>
      <c r="H110" s="33"/>
      <c r="I110" s="86"/>
      <c r="J110" s="14"/>
      <c r="K110" s="14"/>
    </row>
    <row r="111" spans="2:11" x14ac:dyDescent="0.25">
      <c r="B111" s="2">
        <f t="shared" ref="B111:B142" si="2">COUNTIFS($C:$C,C111)</f>
        <v>1</v>
      </c>
      <c r="C111" s="70" t="s">
        <v>5748</v>
      </c>
      <c r="D111" s="63"/>
      <c r="E111" s="19"/>
      <c r="F111" s="63" t="s">
        <v>5750</v>
      </c>
      <c r="G111" s="2"/>
      <c r="H111" s="33"/>
      <c r="I111" s="86"/>
      <c r="J111" s="14"/>
      <c r="K111" s="14"/>
    </row>
    <row r="112" spans="2:11" x14ac:dyDescent="0.25">
      <c r="B112" s="2">
        <f t="shared" si="2"/>
        <v>1</v>
      </c>
      <c r="C112" s="70" t="s">
        <v>5786</v>
      </c>
      <c r="D112" s="63"/>
      <c r="E112" s="19"/>
      <c r="F112" s="63" t="s">
        <v>5750</v>
      </c>
      <c r="G112" s="2"/>
      <c r="H112" s="33"/>
      <c r="I112" s="86"/>
      <c r="J112" s="14"/>
      <c r="K112" s="14"/>
    </row>
    <row r="113" spans="2:11" x14ac:dyDescent="0.25">
      <c r="B113" s="2">
        <f t="shared" si="2"/>
        <v>1</v>
      </c>
      <c r="C113" s="70" t="s">
        <v>6406</v>
      </c>
      <c r="D113" s="63"/>
      <c r="E113" s="19"/>
      <c r="F113" s="63" t="s">
        <v>5750</v>
      </c>
      <c r="G113" s="2"/>
      <c r="H113" s="33"/>
      <c r="I113" s="86"/>
      <c r="J113" s="14"/>
      <c r="K113" s="14"/>
    </row>
    <row r="114" spans="2:11" x14ac:dyDescent="0.25">
      <c r="B114" s="2">
        <f t="shared" si="2"/>
        <v>1</v>
      </c>
      <c r="C114" s="70" t="s">
        <v>5790</v>
      </c>
      <c r="D114" s="63"/>
      <c r="E114" s="19"/>
      <c r="F114" s="63" t="s">
        <v>5752</v>
      </c>
      <c r="G114" s="2"/>
      <c r="H114" s="33"/>
      <c r="I114" s="86"/>
      <c r="J114" s="14"/>
      <c r="K114" s="14"/>
    </row>
    <row r="115" spans="2:11" x14ac:dyDescent="0.25">
      <c r="B115" s="2">
        <f t="shared" si="2"/>
        <v>1</v>
      </c>
      <c r="C115" s="70" t="s">
        <v>5751</v>
      </c>
      <c r="D115" s="63"/>
      <c r="E115" s="19"/>
      <c r="F115" s="63" t="s">
        <v>5752</v>
      </c>
      <c r="G115" s="2"/>
      <c r="H115" s="33"/>
      <c r="I115" s="86"/>
      <c r="J115" s="14"/>
      <c r="K115" s="14"/>
    </row>
    <row r="116" spans="2:11" x14ac:dyDescent="0.25">
      <c r="B116" s="2">
        <f t="shared" si="2"/>
        <v>1</v>
      </c>
      <c r="C116" s="70" t="s">
        <v>5753</v>
      </c>
      <c r="D116" s="63"/>
      <c r="E116" s="19"/>
      <c r="F116" s="63" t="s">
        <v>5754</v>
      </c>
      <c r="G116" s="2"/>
      <c r="H116" s="33"/>
      <c r="I116" s="86"/>
      <c r="J116" s="14"/>
      <c r="K116" s="14"/>
    </row>
    <row r="117" spans="2:11" x14ac:dyDescent="0.25">
      <c r="B117" s="2">
        <f t="shared" si="2"/>
        <v>1</v>
      </c>
      <c r="C117" s="70" t="s">
        <v>5755</v>
      </c>
      <c r="D117" s="63"/>
      <c r="E117" s="19"/>
      <c r="F117" s="63" t="s">
        <v>5756</v>
      </c>
      <c r="G117" s="2"/>
      <c r="H117" s="33"/>
      <c r="I117" s="86"/>
      <c r="J117" s="14"/>
      <c r="K117" s="14"/>
    </row>
    <row r="118" spans="2:11" x14ac:dyDescent="0.25">
      <c r="B118" s="2">
        <f t="shared" si="2"/>
        <v>1</v>
      </c>
      <c r="C118" s="70" t="s">
        <v>5762</v>
      </c>
      <c r="D118" s="63"/>
      <c r="E118" s="19"/>
      <c r="F118" s="63" t="s">
        <v>5756</v>
      </c>
      <c r="G118" s="2"/>
      <c r="H118" s="33"/>
      <c r="I118" s="86"/>
      <c r="J118" s="14"/>
      <c r="K118" s="14"/>
    </row>
    <row r="119" spans="2:11" x14ac:dyDescent="0.25">
      <c r="B119" s="2">
        <f t="shared" si="2"/>
        <v>1</v>
      </c>
      <c r="C119" s="70" t="s">
        <v>5780</v>
      </c>
      <c r="D119" s="63"/>
      <c r="E119" s="19"/>
      <c r="F119" s="63" t="s">
        <v>5783</v>
      </c>
      <c r="G119" s="2"/>
      <c r="H119" s="33"/>
      <c r="I119" s="86"/>
      <c r="J119" s="14"/>
      <c r="K119" s="14"/>
    </row>
    <row r="120" spans="2:11" x14ac:dyDescent="0.25">
      <c r="B120" s="2">
        <f t="shared" si="2"/>
        <v>1</v>
      </c>
      <c r="C120" s="70" t="s">
        <v>5782</v>
      </c>
      <c r="D120" s="63"/>
      <c r="E120" s="19"/>
      <c r="F120" s="63" t="s">
        <v>5783</v>
      </c>
      <c r="G120" s="2"/>
      <c r="H120" s="33"/>
      <c r="I120" s="86"/>
      <c r="J120" s="14"/>
      <c r="K120" s="14"/>
    </row>
    <row r="121" spans="2:11" x14ac:dyDescent="0.25">
      <c r="B121" s="2">
        <f t="shared" si="2"/>
        <v>1</v>
      </c>
      <c r="C121" s="70" t="s">
        <v>5759</v>
      </c>
      <c r="D121" s="63"/>
      <c r="E121" s="19"/>
      <c r="F121" s="63" t="s">
        <v>5761</v>
      </c>
      <c r="G121" s="2"/>
      <c r="H121" s="33"/>
      <c r="I121" s="86"/>
      <c r="J121" s="14"/>
      <c r="K121" s="14"/>
    </row>
    <row r="122" spans="2:11" x14ac:dyDescent="0.25">
      <c r="B122" s="2">
        <f t="shared" si="2"/>
        <v>1</v>
      </c>
      <c r="C122" s="70" t="s">
        <v>5760</v>
      </c>
      <c r="D122" s="63"/>
      <c r="E122" s="19"/>
      <c r="F122" s="63" t="s">
        <v>5761</v>
      </c>
      <c r="G122" s="2"/>
      <c r="H122" s="33"/>
      <c r="I122" s="86"/>
      <c r="J122" s="14"/>
      <c r="K122" s="14"/>
    </row>
    <row r="123" spans="2:11" x14ac:dyDescent="0.25">
      <c r="B123" s="2">
        <f t="shared" si="2"/>
        <v>1</v>
      </c>
      <c r="C123" s="70" t="s">
        <v>6394</v>
      </c>
      <c r="D123" s="63"/>
      <c r="E123" s="19"/>
      <c r="F123" s="63" t="s">
        <v>5761</v>
      </c>
      <c r="G123" s="2"/>
      <c r="H123" s="33"/>
      <c r="I123" s="86"/>
      <c r="J123" s="14"/>
      <c r="K123" s="14"/>
    </row>
    <row r="124" spans="2:11" x14ac:dyDescent="0.25">
      <c r="B124" s="2">
        <f t="shared" si="2"/>
        <v>1</v>
      </c>
      <c r="C124" s="70" t="s">
        <v>5768</v>
      </c>
      <c r="D124" s="63"/>
      <c r="E124" s="19"/>
      <c r="F124" s="63" t="s">
        <v>5769</v>
      </c>
      <c r="G124" s="2"/>
      <c r="H124" s="33"/>
      <c r="I124" s="86"/>
      <c r="J124" s="14"/>
      <c r="K124" s="14"/>
    </row>
    <row r="125" spans="2:11" x14ac:dyDescent="0.25">
      <c r="B125" s="2">
        <f t="shared" si="2"/>
        <v>1</v>
      </c>
      <c r="C125" s="70" t="s">
        <v>5757</v>
      </c>
      <c r="D125" s="63"/>
      <c r="E125" s="19"/>
      <c r="F125" s="63" t="s">
        <v>5758</v>
      </c>
      <c r="G125" s="2"/>
      <c r="H125" s="33"/>
      <c r="I125" s="86"/>
      <c r="J125" s="14"/>
      <c r="K125" s="14"/>
    </row>
    <row r="126" spans="2:11" x14ac:dyDescent="0.25">
      <c r="B126" s="2">
        <f t="shared" si="2"/>
        <v>1</v>
      </c>
      <c r="C126" s="70" t="s">
        <v>6106</v>
      </c>
      <c r="D126" s="63"/>
      <c r="E126" s="19"/>
      <c r="F126" s="63" t="s">
        <v>5750</v>
      </c>
      <c r="G126" s="2"/>
      <c r="H126" s="33"/>
      <c r="I126" s="86"/>
      <c r="J126" s="14"/>
      <c r="K126" s="14"/>
    </row>
    <row r="127" spans="2:11" x14ac:dyDescent="0.25">
      <c r="B127" s="2">
        <f t="shared" si="2"/>
        <v>1</v>
      </c>
      <c r="C127" s="70" t="s">
        <v>6107</v>
      </c>
      <c r="D127" s="63"/>
      <c r="E127" s="19"/>
      <c r="F127" s="63" t="s">
        <v>5752</v>
      </c>
      <c r="G127" s="2"/>
      <c r="H127" s="33"/>
      <c r="I127" s="86"/>
      <c r="J127" s="14"/>
      <c r="K127" s="14"/>
    </row>
    <row r="128" spans="2:11" x14ac:dyDescent="0.25">
      <c r="B128" s="2">
        <f t="shared" si="2"/>
        <v>1</v>
      </c>
      <c r="C128" s="70" t="s">
        <v>6108</v>
      </c>
      <c r="D128" s="63"/>
      <c r="E128" s="19"/>
      <c r="F128" s="63" t="s">
        <v>6109</v>
      </c>
      <c r="G128" s="2"/>
      <c r="H128" s="33"/>
      <c r="I128" s="86"/>
      <c r="J128" s="14"/>
      <c r="K128" s="14"/>
    </row>
    <row r="129" spans="2:11" x14ac:dyDescent="0.25">
      <c r="B129" s="2">
        <f t="shared" si="2"/>
        <v>1</v>
      </c>
      <c r="C129" s="70" t="s">
        <v>6110</v>
      </c>
      <c r="D129" s="63"/>
      <c r="E129" s="19"/>
      <c r="F129" s="63" t="s">
        <v>6111</v>
      </c>
      <c r="G129" s="2"/>
      <c r="H129" s="33"/>
      <c r="I129" s="86"/>
      <c r="J129" s="14"/>
      <c r="K129" s="14"/>
    </row>
    <row r="130" spans="2:11" x14ac:dyDescent="0.25">
      <c r="B130" s="2">
        <f t="shared" si="2"/>
        <v>1</v>
      </c>
      <c r="C130" s="70" t="s">
        <v>6112</v>
      </c>
      <c r="D130" s="63"/>
      <c r="E130" s="19"/>
      <c r="F130" s="63" t="s">
        <v>6113</v>
      </c>
      <c r="G130" s="2"/>
      <c r="H130" s="33"/>
      <c r="I130" s="86"/>
      <c r="J130" s="14"/>
      <c r="K130" s="14"/>
    </row>
    <row r="131" spans="2:11" x14ac:dyDescent="0.25">
      <c r="B131" s="2">
        <f t="shared" si="2"/>
        <v>1</v>
      </c>
      <c r="C131" s="70" t="s">
        <v>6114</v>
      </c>
      <c r="D131" s="63"/>
      <c r="E131" s="19"/>
      <c r="F131" s="63" t="s">
        <v>6113</v>
      </c>
      <c r="G131" s="2"/>
      <c r="H131" s="33"/>
      <c r="I131" s="86"/>
      <c r="J131" s="14"/>
      <c r="K131" s="14"/>
    </row>
    <row r="132" spans="2:11" x14ac:dyDescent="0.25">
      <c r="B132" s="2">
        <f t="shared" si="2"/>
        <v>1</v>
      </c>
      <c r="C132" s="70" t="s">
        <v>6115</v>
      </c>
      <c r="D132" s="63"/>
      <c r="E132" s="19"/>
      <c r="F132" s="63" t="s">
        <v>6116</v>
      </c>
      <c r="G132" s="2"/>
      <c r="H132" s="33"/>
      <c r="I132" s="86"/>
      <c r="J132" s="14"/>
      <c r="K132" s="14"/>
    </row>
    <row r="133" spans="2:11" x14ac:dyDescent="0.25">
      <c r="B133" s="2">
        <f t="shared" si="2"/>
        <v>1</v>
      </c>
      <c r="C133" s="70" t="s">
        <v>6117</v>
      </c>
      <c r="D133" s="63"/>
      <c r="E133" s="19"/>
      <c r="F133" s="63" t="s">
        <v>6118</v>
      </c>
      <c r="G133" s="2"/>
      <c r="H133" s="33"/>
      <c r="I133" s="86"/>
      <c r="J133" s="14"/>
      <c r="K133" s="14"/>
    </row>
    <row r="134" spans="2:11" x14ac:dyDescent="0.25">
      <c r="B134" s="2">
        <f t="shared" si="2"/>
        <v>1</v>
      </c>
      <c r="C134" s="70" t="s">
        <v>6119</v>
      </c>
      <c r="D134" s="63"/>
      <c r="E134" s="19"/>
      <c r="F134" s="63" t="s">
        <v>6118</v>
      </c>
      <c r="G134" s="2"/>
      <c r="H134" s="33"/>
      <c r="I134" s="86"/>
      <c r="J134" s="14"/>
      <c r="K134" s="14"/>
    </row>
    <row r="135" spans="2:11" x14ac:dyDescent="0.25">
      <c r="B135" s="2">
        <f t="shared" si="2"/>
        <v>1</v>
      </c>
      <c r="C135" s="70" t="s">
        <v>6120</v>
      </c>
      <c r="D135" s="63"/>
      <c r="E135" s="19"/>
      <c r="F135" s="63" t="s">
        <v>6121</v>
      </c>
      <c r="G135" s="2"/>
      <c r="H135" s="33"/>
      <c r="I135" s="86"/>
      <c r="J135" s="14"/>
      <c r="K135" s="14"/>
    </row>
    <row r="136" spans="2:11" x14ac:dyDescent="0.25">
      <c r="B136" s="2">
        <f t="shared" si="2"/>
        <v>1</v>
      </c>
      <c r="C136" s="70" t="s">
        <v>6122</v>
      </c>
      <c r="D136" s="63"/>
      <c r="E136" s="19"/>
      <c r="F136" s="63" t="s">
        <v>6113</v>
      </c>
      <c r="G136" s="2"/>
      <c r="H136" s="33"/>
      <c r="I136" s="86"/>
      <c r="J136" s="14"/>
      <c r="K136" s="14"/>
    </row>
    <row r="137" spans="2:11" x14ac:dyDescent="0.25">
      <c r="B137" s="2">
        <f t="shared" si="2"/>
        <v>1</v>
      </c>
      <c r="C137" s="70" t="s">
        <v>6123</v>
      </c>
      <c r="D137" s="63"/>
      <c r="E137" s="19"/>
      <c r="F137" s="63" t="s">
        <v>6124</v>
      </c>
      <c r="G137" s="2"/>
      <c r="H137" s="33"/>
      <c r="I137" s="86"/>
      <c r="J137" s="14"/>
      <c r="K137" s="14"/>
    </row>
    <row r="138" spans="2:11" x14ac:dyDescent="0.25">
      <c r="B138" s="2">
        <f t="shared" si="2"/>
        <v>1</v>
      </c>
      <c r="C138" s="70" t="s">
        <v>6125</v>
      </c>
      <c r="D138" s="63"/>
      <c r="E138" s="19"/>
      <c r="F138" s="63" t="s">
        <v>6121</v>
      </c>
      <c r="G138" s="2"/>
      <c r="H138" s="33"/>
      <c r="I138" s="86"/>
      <c r="J138" s="14"/>
      <c r="K138" s="14"/>
    </row>
    <row r="139" spans="2:11" x14ac:dyDescent="0.25">
      <c r="B139" s="2">
        <f t="shared" si="2"/>
        <v>1</v>
      </c>
      <c r="C139" s="70" t="s">
        <v>6126</v>
      </c>
      <c r="D139" s="63"/>
      <c r="E139" s="19"/>
      <c r="F139" s="63" t="s">
        <v>6113</v>
      </c>
      <c r="G139" s="2"/>
      <c r="H139" s="33"/>
      <c r="I139" s="86"/>
      <c r="J139" s="14"/>
      <c r="K139" s="14"/>
    </row>
    <row r="140" spans="2:11" x14ac:dyDescent="0.25">
      <c r="B140" s="2">
        <f t="shared" si="2"/>
        <v>1</v>
      </c>
      <c r="C140" s="70" t="s">
        <v>6131</v>
      </c>
      <c r="D140" s="63"/>
      <c r="E140" s="19"/>
      <c r="F140" s="63" t="s">
        <v>5750</v>
      </c>
      <c r="G140" s="2"/>
      <c r="H140" s="33"/>
      <c r="I140" s="86"/>
      <c r="J140" s="14"/>
      <c r="K140" s="14"/>
    </row>
    <row r="141" spans="2:11" x14ac:dyDescent="0.25">
      <c r="B141" s="2">
        <f t="shared" si="2"/>
        <v>1</v>
      </c>
      <c r="C141" s="70" t="s">
        <v>6127</v>
      </c>
      <c r="D141" s="63"/>
      <c r="E141" s="19"/>
      <c r="F141" s="63" t="s">
        <v>6113</v>
      </c>
      <c r="G141" s="2"/>
      <c r="H141" s="33"/>
      <c r="I141" s="86"/>
      <c r="J141" s="14"/>
      <c r="K141" s="14"/>
    </row>
    <row r="142" spans="2:11" x14ac:dyDescent="0.25">
      <c r="B142" s="2">
        <f t="shared" si="2"/>
        <v>1</v>
      </c>
      <c r="C142" s="70" t="s">
        <v>6267</v>
      </c>
      <c r="D142" s="63"/>
      <c r="E142" s="19"/>
      <c r="F142" s="63" t="s">
        <v>6268</v>
      </c>
      <c r="G142" s="2"/>
      <c r="H142" s="33"/>
      <c r="I142" s="86"/>
      <c r="J142" s="14"/>
      <c r="K142" s="14"/>
    </row>
    <row r="143" spans="2:11" x14ac:dyDescent="0.25">
      <c r="B143" s="2">
        <f t="shared" ref="B143:B165" si="3">COUNTIFS($C:$C,C143)</f>
        <v>1</v>
      </c>
      <c r="C143" s="70" t="s">
        <v>6270</v>
      </c>
      <c r="D143" s="63"/>
      <c r="E143" s="19"/>
      <c r="F143" s="63" t="s">
        <v>6116</v>
      </c>
      <c r="G143" s="2"/>
      <c r="H143" s="33"/>
      <c r="I143" s="86"/>
      <c r="J143" s="14"/>
      <c r="K143" s="14"/>
    </row>
    <row r="144" spans="2:11" x14ac:dyDescent="0.25">
      <c r="B144" s="2">
        <f t="shared" si="3"/>
        <v>1</v>
      </c>
      <c r="C144" s="70" t="s">
        <v>6271</v>
      </c>
      <c r="D144" s="63"/>
      <c r="E144" s="19"/>
      <c r="F144" s="63" t="s">
        <v>6113</v>
      </c>
      <c r="G144" s="2"/>
      <c r="H144" s="33"/>
      <c r="I144" s="86"/>
      <c r="J144" s="14"/>
      <c r="K144" s="14"/>
    </row>
    <row r="145" spans="2:11" x14ac:dyDescent="0.25">
      <c r="B145" s="2">
        <f t="shared" si="3"/>
        <v>1</v>
      </c>
      <c r="C145" s="70" t="s">
        <v>6272</v>
      </c>
      <c r="D145" s="63"/>
      <c r="E145" s="19"/>
      <c r="F145" s="63" t="s">
        <v>6116</v>
      </c>
      <c r="G145" s="2"/>
      <c r="H145" s="33"/>
      <c r="I145" s="86"/>
      <c r="J145" s="14"/>
      <c r="K145" s="14"/>
    </row>
    <row r="146" spans="2:11" x14ac:dyDescent="0.25">
      <c r="B146" s="2">
        <f t="shared" si="3"/>
        <v>1</v>
      </c>
      <c r="C146" s="70" t="s">
        <v>6273</v>
      </c>
      <c r="D146" s="63"/>
      <c r="E146" s="19"/>
      <c r="F146" s="63" t="s">
        <v>6116</v>
      </c>
      <c r="G146" s="2"/>
      <c r="H146" s="33"/>
      <c r="I146" s="86"/>
      <c r="J146" s="14"/>
      <c r="K146" s="14"/>
    </row>
    <row r="147" spans="2:11" x14ac:dyDescent="0.25">
      <c r="B147" s="2">
        <f t="shared" si="3"/>
        <v>1</v>
      </c>
      <c r="C147" s="70" t="s">
        <v>6274</v>
      </c>
      <c r="D147" s="63"/>
      <c r="E147" s="19"/>
      <c r="F147" s="63" t="s">
        <v>6116</v>
      </c>
      <c r="G147" s="2"/>
      <c r="H147" s="33"/>
      <c r="I147" s="86"/>
      <c r="J147" s="14"/>
      <c r="K147" s="14"/>
    </row>
    <row r="148" spans="2:11" x14ac:dyDescent="0.25">
      <c r="B148" s="2">
        <f t="shared" si="3"/>
        <v>1</v>
      </c>
      <c r="C148" s="70" t="s">
        <v>6269</v>
      </c>
      <c r="D148" s="63"/>
      <c r="E148" s="19"/>
      <c r="F148" s="63" t="s">
        <v>6116</v>
      </c>
      <c r="G148" s="2"/>
      <c r="H148" s="33"/>
      <c r="I148" s="86"/>
      <c r="J148" s="14"/>
      <c r="K148" s="14"/>
    </row>
    <row r="149" spans="2:11" x14ac:dyDescent="0.25">
      <c r="B149" s="2">
        <f t="shared" si="3"/>
        <v>1</v>
      </c>
      <c r="C149" s="70" t="s">
        <v>6281</v>
      </c>
      <c r="D149" s="63"/>
      <c r="E149" s="19"/>
      <c r="F149" s="63" t="s">
        <v>6113</v>
      </c>
      <c r="G149" s="2"/>
      <c r="H149" s="33"/>
      <c r="I149" s="86"/>
      <c r="J149" s="14"/>
      <c r="K149" s="14"/>
    </row>
    <row r="150" spans="2:11" x14ac:dyDescent="0.25">
      <c r="B150" s="2">
        <f t="shared" si="3"/>
        <v>1</v>
      </c>
      <c r="C150" s="70" t="s">
        <v>6282</v>
      </c>
      <c r="D150" s="63"/>
      <c r="E150" s="19"/>
      <c r="F150" s="63" t="s">
        <v>6113</v>
      </c>
      <c r="G150" s="2"/>
      <c r="H150" s="33"/>
      <c r="I150" s="86"/>
      <c r="J150" s="14"/>
      <c r="K150" s="14"/>
    </row>
    <row r="151" spans="2:11" x14ac:dyDescent="0.25">
      <c r="B151" s="2">
        <f t="shared" si="3"/>
        <v>1</v>
      </c>
      <c r="C151" s="70" t="s">
        <v>6283</v>
      </c>
      <c r="D151" s="63"/>
      <c r="E151" s="19"/>
      <c r="F151" s="63" t="s">
        <v>6113</v>
      </c>
      <c r="G151" s="2"/>
      <c r="H151" s="33"/>
      <c r="I151" s="86"/>
      <c r="J151" s="14"/>
      <c r="K151" s="14"/>
    </row>
    <row r="152" spans="2:11" x14ac:dyDescent="0.25">
      <c r="B152" s="2">
        <f t="shared" si="3"/>
        <v>1</v>
      </c>
      <c r="C152" s="70" t="s">
        <v>6284</v>
      </c>
      <c r="D152" s="63"/>
      <c r="E152" s="19"/>
      <c r="F152" s="63" t="s">
        <v>6113</v>
      </c>
      <c r="G152" s="2"/>
      <c r="H152" s="33"/>
      <c r="I152" s="86"/>
      <c r="J152" s="14"/>
      <c r="K152" s="14"/>
    </row>
    <row r="153" spans="2:11" x14ac:dyDescent="0.25">
      <c r="B153" s="2">
        <f t="shared" si="3"/>
        <v>1</v>
      </c>
      <c r="C153" s="70" t="s">
        <v>6285</v>
      </c>
      <c r="D153" s="63"/>
      <c r="E153" s="19"/>
      <c r="F153" s="63" t="s">
        <v>6116</v>
      </c>
      <c r="G153" s="2"/>
      <c r="H153" s="33"/>
      <c r="I153" s="86"/>
      <c r="J153" s="14"/>
      <c r="K153" s="14"/>
    </row>
    <row r="154" spans="2:11" x14ac:dyDescent="0.25">
      <c r="B154" s="2">
        <f t="shared" si="3"/>
        <v>1</v>
      </c>
      <c r="C154" s="70" t="s">
        <v>6286</v>
      </c>
      <c r="D154" s="63"/>
      <c r="E154" s="19"/>
      <c r="F154" s="63" t="s">
        <v>6113</v>
      </c>
      <c r="G154" s="2"/>
      <c r="H154" s="33"/>
      <c r="I154" s="86"/>
      <c r="J154" s="14"/>
      <c r="K154" s="14"/>
    </row>
    <row r="155" spans="2:11" x14ac:dyDescent="0.25">
      <c r="B155" s="2">
        <f t="shared" si="3"/>
        <v>1</v>
      </c>
      <c r="C155" s="70" t="s">
        <v>6288</v>
      </c>
      <c r="D155" s="63"/>
      <c r="E155" s="19"/>
      <c r="F155" s="63" t="s">
        <v>6113</v>
      </c>
      <c r="G155" s="2"/>
      <c r="H155" s="33"/>
      <c r="I155" s="86"/>
      <c r="J155" s="14"/>
      <c r="K155" s="14"/>
    </row>
    <row r="156" spans="2:11" x14ac:dyDescent="0.25">
      <c r="B156" s="2">
        <f t="shared" si="3"/>
        <v>1</v>
      </c>
      <c r="C156" s="70" t="s">
        <v>6311</v>
      </c>
      <c r="D156" s="63"/>
      <c r="E156" s="19"/>
      <c r="F156" s="63" t="s">
        <v>6113</v>
      </c>
      <c r="G156" s="2"/>
      <c r="H156" s="33"/>
      <c r="I156" s="86"/>
      <c r="J156" s="14"/>
      <c r="K156" s="14"/>
    </row>
    <row r="157" spans="2:11" x14ac:dyDescent="0.25">
      <c r="B157" s="2">
        <f t="shared" si="3"/>
        <v>1</v>
      </c>
      <c r="C157" s="70" t="s">
        <v>6314</v>
      </c>
      <c r="D157" s="63"/>
      <c r="E157" s="19"/>
      <c r="F157" s="63" t="s">
        <v>6315</v>
      </c>
      <c r="G157" s="2"/>
      <c r="H157" s="33"/>
      <c r="I157" s="86"/>
      <c r="J157" s="14"/>
      <c r="K157" s="14"/>
    </row>
    <row r="158" spans="2:11" x14ac:dyDescent="0.25">
      <c r="B158" s="2">
        <f t="shared" si="3"/>
        <v>1</v>
      </c>
      <c r="C158" s="70" t="s">
        <v>6321</v>
      </c>
      <c r="D158" s="63"/>
      <c r="E158" s="19"/>
      <c r="F158" s="63" t="s">
        <v>6113</v>
      </c>
      <c r="G158" s="2"/>
      <c r="H158" s="33"/>
      <c r="I158" s="86"/>
      <c r="J158" s="14"/>
      <c r="K158" s="14"/>
    </row>
    <row r="159" spans="2:11" x14ac:dyDescent="0.25">
      <c r="B159" s="2">
        <f t="shared" si="3"/>
        <v>1</v>
      </c>
      <c r="C159" s="70" t="s">
        <v>6334</v>
      </c>
      <c r="D159" s="63"/>
      <c r="E159" s="19"/>
      <c r="F159" s="63" t="s">
        <v>6268</v>
      </c>
      <c r="G159" s="2"/>
      <c r="H159" s="33"/>
      <c r="I159" s="86"/>
      <c r="J159" s="14"/>
      <c r="K159" s="14"/>
    </row>
    <row r="160" spans="2:11" x14ac:dyDescent="0.25">
      <c r="B160" s="2">
        <f t="shared" si="3"/>
        <v>1</v>
      </c>
      <c r="C160" s="72" t="s">
        <v>6407</v>
      </c>
      <c r="D160" s="63"/>
      <c r="E160" s="19"/>
      <c r="F160" s="63" t="s">
        <v>5310</v>
      </c>
      <c r="G160" s="2"/>
      <c r="H160" s="33"/>
      <c r="I160" s="86"/>
      <c r="J160" s="14"/>
      <c r="K160" s="14"/>
    </row>
    <row r="161" spans="2:11" x14ac:dyDescent="0.25">
      <c r="B161" s="2">
        <f t="shared" si="3"/>
        <v>1</v>
      </c>
      <c r="C161" s="70" t="s">
        <v>6417</v>
      </c>
      <c r="D161" s="63"/>
      <c r="E161" s="19"/>
      <c r="F161" s="63" t="s">
        <v>6418</v>
      </c>
      <c r="G161" s="2"/>
      <c r="H161" s="33"/>
      <c r="I161" s="86"/>
      <c r="J161" s="14"/>
      <c r="K161" s="14"/>
    </row>
    <row r="162" spans="2:11" x14ac:dyDescent="0.25">
      <c r="B162" s="2">
        <f t="shared" si="3"/>
        <v>0</v>
      </c>
      <c r="C162" s="70"/>
      <c r="D162" s="63"/>
      <c r="E162" s="19"/>
      <c r="F162" s="63"/>
      <c r="G162" s="2"/>
      <c r="H162" s="33"/>
      <c r="I162" s="86"/>
      <c r="J162" s="14"/>
      <c r="K162" s="14"/>
    </row>
    <row r="163" spans="2:11" x14ac:dyDescent="0.25">
      <c r="B163" s="2">
        <f t="shared" si="3"/>
        <v>0</v>
      </c>
      <c r="C163" s="70"/>
      <c r="D163" s="63"/>
      <c r="E163" s="19"/>
      <c r="F163" s="63"/>
      <c r="G163" s="2"/>
      <c r="H163" s="33"/>
      <c r="I163" s="86"/>
      <c r="J163" s="14"/>
      <c r="K163" s="14"/>
    </row>
    <row r="164" spans="2:11" x14ac:dyDescent="0.25">
      <c r="B164" s="2">
        <f t="shared" si="3"/>
        <v>0</v>
      </c>
      <c r="C164" s="70"/>
      <c r="D164" s="63"/>
      <c r="E164" s="19"/>
      <c r="F164" s="63"/>
      <c r="G164" s="2"/>
      <c r="H164" s="33"/>
      <c r="I164" s="86"/>
      <c r="J164" s="14"/>
      <c r="K164" s="14"/>
    </row>
    <row r="165" spans="2:11" x14ac:dyDescent="0.25">
      <c r="B165" s="2">
        <f t="shared" si="3"/>
        <v>0</v>
      </c>
      <c r="C165" s="70"/>
      <c r="D165" s="63"/>
      <c r="E165" s="19"/>
      <c r="F165" s="63"/>
      <c r="G165" s="2"/>
      <c r="H165" s="33"/>
      <c r="I165" s="86"/>
      <c r="J165" s="14"/>
      <c r="K165" s="14"/>
    </row>
    <row r="166" spans="2:11" x14ac:dyDescent="0.25">
      <c r="B166" s="2"/>
      <c r="C166" s="70"/>
      <c r="D166" s="63"/>
      <c r="E166" s="19"/>
      <c r="F166" s="63"/>
      <c r="G166" s="2"/>
      <c r="H166" s="33"/>
      <c r="I166" s="86"/>
      <c r="J166" s="14"/>
      <c r="K166" s="14"/>
    </row>
    <row r="167" spans="2:11" x14ac:dyDescent="0.25">
      <c r="B167" s="2"/>
      <c r="C167" s="70"/>
      <c r="D167" s="63"/>
      <c r="E167" s="19"/>
      <c r="F167" s="63"/>
      <c r="G167" s="2"/>
      <c r="H167" s="33"/>
      <c r="I167" s="86"/>
      <c r="J167" s="14"/>
      <c r="K167" s="14"/>
    </row>
    <row r="168" spans="2:11" x14ac:dyDescent="0.25">
      <c r="B168" s="2"/>
      <c r="C168" s="70"/>
      <c r="D168" s="63"/>
      <c r="E168" s="19"/>
      <c r="F168" s="63"/>
      <c r="G168" s="2"/>
      <c r="H168" s="33"/>
      <c r="I168" s="86"/>
      <c r="J168" s="14"/>
      <c r="K168" s="14"/>
    </row>
    <row r="169" spans="2:11" x14ac:dyDescent="0.25">
      <c r="B169" s="2">
        <f t="shared" ref="B169:B200" si="4">COUNTIFS($C:$C,C169)</f>
        <v>1</v>
      </c>
      <c r="C169" s="70" t="s">
        <v>5773</v>
      </c>
      <c r="D169" s="63"/>
      <c r="E169" s="19"/>
      <c r="G169" s="2"/>
      <c r="H169" s="33"/>
      <c r="I169" s="86"/>
      <c r="J169" s="63">
        <v>800</v>
      </c>
    </row>
    <row r="170" spans="2:11" x14ac:dyDescent="0.25">
      <c r="B170" s="2">
        <f t="shared" si="4"/>
        <v>1</v>
      </c>
      <c r="C170" s="70" t="s">
        <v>5776</v>
      </c>
      <c r="D170" s="63"/>
      <c r="E170" s="19"/>
      <c r="G170" s="2"/>
      <c r="H170" s="33"/>
      <c r="I170" s="86"/>
      <c r="J170" s="63">
        <v>750</v>
      </c>
    </row>
    <row r="171" spans="2:11" x14ac:dyDescent="0.25">
      <c r="B171" s="2">
        <f t="shared" si="4"/>
        <v>1</v>
      </c>
      <c r="C171" s="70" t="s">
        <v>5781</v>
      </c>
      <c r="D171" s="63"/>
      <c r="E171" s="19"/>
      <c r="G171" s="2"/>
      <c r="H171" s="33"/>
      <c r="I171" s="86"/>
      <c r="J171" s="63">
        <v>750</v>
      </c>
      <c r="K171" s="14"/>
    </row>
    <row r="172" spans="2:11" x14ac:dyDescent="0.25">
      <c r="B172" s="2">
        <f t="shared" si="4"/>
        <v>1</v>
      </c>
      <c r="C172" s="70" t="s">
        <v>5764</v>
      </c>
      <c r="D172" s="63"/>
      <c r="E172" s="19"/>
      <c r="G172" s="2"/>
      <c r="H172" s="33"/>
      <c r="I172" s="86"/>
      <c r="J172" s="63">
        <v>700</v>
      </c>
      <c r="K172" s="14"/>
    </row>
    <row r="173" spans="2:11" x14ac:dyDescent="0.25">
      <c r="B173" s="2">
        <f t="shared" si="4"/>
        <v>1</v>
      </c>
      <c r="C173" s="70" t="s">
        <v>5767</v>
      </c>
      <c r="D173" s="63"/>
      <c r="E173" s="19"/>
      <c r="G173" s="2"/>
      <c r="H173" s="33"/>
      <c r="I173" s="86"/>
      <c r="J173" s="63">
        <v>700</v>
      </c>
      <c r="K173" s="14"/>
    </row>
    <row r="174" spans="2:11" x14ac:dyDescent="0.25">
      <c r="B174" s="2">
        <f t="shared" si="4"/>
        <v>1</v>
      </c>
      <c r="C174" s="70" t="s">
        <v>5784</v>
      </c>
      <c r="D174" s="63"/>
      <c r="E174" s="19"/>
      <c r="G174" s="2"/>
      <c r="H174" s="33"/>
      <c r="I174" s="86"/>
      <c r="J174" s="63">
        <v>650</v>
      </c>
      <c r="K174" s="14"/>
    </row>
    <row r="175" spans="2:11" x14ac:dyDescent="0.25">
      <c r="B175" s="2">
        <f t="shared" si="4"/>
        <v>1</v>
      </c>
      <c r="C175" s="70" t="s">
        <v>5785</v>
      </c>
      <c r="D175" s="63"/>
      <c r="E175" s="19"/>
      <c r="G175" s="2"/>
      <c r="H175" s="33"/>
      <c r="I175" s="86"/>
      <c r="J175" s="63">
        <v>650</v>
      </c>
      <c r="K175" s="14"/>
    </row>
    <row r="176" spans="2:11" x14ac:dyDescent="0.25">
      <c r="B176" s="2">
        <f t="shared" si="4"/>
        <v>1</v>
      </c>
      <c r="C176" s="3" t="s">
        <v>5789</v>
      </c>
      <c r="D176" s="34"/>
      <c r="E176" s="19"/>
      <c r="G176" s="2"/>
      <c r="H176" s="33"/>
      <c r="I176" s="86"/>
      <c r="J176" s="63">
        <v>650</v>
      </c>
      <c r="K176" s="14"/>
    </row>
    <row r="177" spans="2:11" x14ac:dyDescent="0.25">
      <c r="B177" s="2">
        <f t="shared" si="4"/>
        <v>1</v>
      </c>
      <c r="C177" s="70" t="s">
        <v>5777</v>
      </c>
      <c r="D177" s="63"/>
      <c r="E177" s="19"/>
      <c r="G177" s="2"/>
      <c r="H177" s="33"/>
      <c r="I177" s="86"/>
      <c r="J177" s="63">
        <v>600</v>
      </c>
      <c r="K177" s="14"/>
    </row>
    <row r="178" spans="2:11" x14ac:dyDescent="0.25">
      <c r="B178" s="2">
        <f t="shared" si="4"/>
        <v>1</v>
      </c>
      <c r="C178" s="3" t="s">
        <v>5766</v>
      </c>
      <c r="D178" s="63"/>
      <c r="E178" s="19"/>
      <c r="G178" s="2"/>
      <c r="H178" s="33"/>
      <c r="I178" s="86"/>
      <c r="J178" s="63">
        <v>500</v>
      </c>
      <c r="K178" s="14"/>
    </row>
    <row r="179" spans="2:11" x14ac:dyDescent="0.25">
      <c r="B179" s="2">
        <f t="shared" si="4"/>
        <v>1</v>
      </c>
      <c r="C179" s="70" t="s">
        <v>5765</v>
      </c>
      <c r="D179" s="63"/>
      <c r="E179" s="19"/>
      <c r="G179" s="2"/>
      <c r="H179" s="33"/>
      <c r="I179" s="86"/>
      <c r="J179" s="63">
        <v>400</v>
      </c>
      <c r="K179" s="14"/>
    </row>
    <row r="180" spans="2:11" x14ac:dyDescent="0.25">
      <c r="B180" s="2">
        <f t="shared" si="4"/>
        <v>1</v>
      </c>
      <c r="C180" s="70" t="s">
        <v>5787</v>
      </c>
      <c r="D180" s="63"/>
      <c r="E180" s="19"/>
      <c r="G180" s="2"/>
      <c r="H180" s="33"/>
      <c r="I180" s="86"/>
      <c r="J180" s="63">
        <v>400</v>
      </c>
      <c r="K180" s="14"/>
    </row>
    <row r="181" spans="2:11" x14ac:dyDescent="0.25">
      <c r="B181" s="2">
        <f t="shared" si="4"/>
        <v>1</v>
      </c>
      <c r="C181" s="3" t="s">
        <v>5788</v>
      </c>
      <c r="D181" s="34"/>
      <c r="E181" s="19"/>
      <c r="G181" s="2"/>
      <c r="H181" s="33"/>
      <c r="I181" s="86"/>
      <c r="J181" s="63">
        <v>300</v>
      </c>
      <c r="K181" s="14"/>
    </row>
    <row r="182" spans="2:11" x14ac:dyDescent="0.25">
      <c r="B182" s="2">
        <f t="shared" si="4"/>
        <v>1</v>
      </c>
      <c r="C182" s="70" t="s">
        <v>5763</v>
      </c>
      <c r="D182" s="63"/>
      <c r="E182" s="19"/>
      <c r="G182" s="2"/>
      <c r="H182" s="33"/>
      <c r="I182" s="86"/>
      <c r="J182" s="63">
        <v>300</v>
      </c>
      <c r="K182" s="14"/>
    </row>
    <row r="183" spans="2:11" x14ac:dyDescent="0.25">
      <c r="B183" s="2">
        <f t="shared" si="4"/>
        <v>1</v>
      </c>
      <c r="C183" s="70" t="s">
        <v>5876</v>
      </c>
      <c r="D183" s="63" t="s">
        <v>5877</v>
      </c>
      <c r="E183" s="19"/>
      <c r="F183" s="14" t="s">
        <v>5916</v>
      </c>
      <c r="G183" s="2"/>
      <c r="H183" s="33"/>
      <c r="I183" s="87" t="s">
        <v>5917</v>
      </c>
      <c r="J183" s="63">
        <v>750</v>
      </c>
      <c r="K183" s="14"/>
    </row>
    <row r="184" spans="2:11" x14ac:dyDescent="0.25">
      <c r="B184" s="2">
        <f t="shared" si="4"/>
        <v>1</v>
      </c>
      <c r="C184" s="70" t="s">
        <v>5779</v>
      </c>
      <c r="D184" s="63" t="s">
        <v>5878</v>
      </c>
      <c r="E184" s="19"/>
      <c r="F184" s="14" t="s">
        <v>5918</v>
      </c>
      <c r="G184" s="2"/>
      <c r="H184" s="33"/>
      <c r="I184" s="87" t="s">
        <v>5919</v>
      </c>
      <c r="J184" s="63">
        <v>750</v>
      </c>
      <c r="K184" s="14"/>
    </row>
    <row r="185" spans="2:11" x14ac:dyDescent="0.25">
      <c r="B185" s="2">
        <f t="shared" si="4"/>
        <v>1</v>
      </c>
      <c r="C185" s="70" t="s">
        <v>5879</v>
      </c>
      <c r="D185" s="63" t="s">
        <v>5880</v>
      </c>
      <c r="E185" s="19"/>
      <c r="F185" s="14" t="s">
        <v>5920</v>
      </c>
      <c r="G185" s="2"/>
      <c r="H185" s="33"/>
      <c r="I185" s="87" t="s">
        <v>5921</v>
      </c>
      <c r="J185" s="63">
        <v>740</v>
      </c>
      <c r="K185" s="14"/>
    </row>
    <row r="186" spans="2:11" x14ac:dyDescent="0.25">
      <c r="B186" s="2">
        <f t="shared" si="4"/>
        <v>1</v>
      </c>
      <c r="C186" s="70" t="s">
        <v>5881</v>
      </c>
      <c r="D186" s="63" t="s">
        <v>5882</v>
      </c>
      <c r="E186" s="19"/>
      <c r="F186" s="14" t="s">
        <v>5922</v>
      </c>
      <c r="G186" s="2"/>
      <c r="H186" s="33"/>
      <c r="I186" s="87" t="s">
        <v>5923</v>
      </c>
      <c r="J186" s="63">
        <v>740</v>
      </c>
      <c r="K186" s="14"/>
    </row>
    <row r="187" spans="2:11" x14ac:dyDescent="0.25">
      <c r="B187" s="2">
        <f t="shared" si="4"/>
        <v>1</v>
      </c>
      <c r="C187" s="70" t="s">
        <v>5883</v>
      </c>
      <c r="D187" s="63" t="s">
        <v>5884</v>
      </c>
      <c r="E187" s="19"/>
      <c r="F187" s="14" t="s">
        <v>5924</v>
      </c>
      <c r="G187" s="2"/>
      <c r="H187" s="33"/>
      <c r="I187" s="87" t="s">
        <v>5925</v>
      </c>
      <c r="J187" s="63">
        <v>700</v>
      </c>
      <c r="K187" s="14"/>
    </row>
    <row r="188" spans="2:11" x14ac:dyDescent="0.25">
      <c r="B188" s="2">
        <f t="shared" si="4"/>
        <v>1</v>
      </c>
      <c r="C188" s="70" t="s">
        <v>5885</v>
      </c>
      <c r="D188" s="63" t="s">
        <v>5886</v>
      </c>
      <c r="E188" s="19"/>
      <c r="F188" s="14" t="s">
        <v>5926</v>
      </c>
      <c r="G188" s="2"/>
      <c r="H188" s="33"/>
      <c r="I188" s="87" t="s">
        <v>5927</v>
      </c>
      <c r="J188" s="63">
        <v>700</v>
      </c>
      <c r="K188" s="14"/>
    </row>
    <row r="189" spans="2:11" x14ac:dyDescent="0.25">
      <c r="B189" s="2">
        <f t="shared" si="4"/>
        <v>1</v>
      </c>
      <c r="C189" s="70" t="s">
        <v>6399</v>
      </c>
      <c r="D189" s="63" t="s">
        <v>6401</v>
      </c>
      <c r="E189" s="19"/>
      <c r="F189" s="14" t="s">
        <v>6400</v>
      </c>
      <c r="G189" s="2"/>
      <c r="H189" s="33"/>
      <c r="I189" s="87" t="s">
        <v>5927</v>
      </c>
      <c r="J189" s="63">
        <v>700</v>
      </c>
      <c r="K189" s="14"/>
    </row>
    <row r="190" spans="2:11" x14ac:dyDescent="0.25">
      <c r="B190" s="2">
        <f t="shared" si="4"/>
        <v>1</v>
      </c>
      <c r="C190" s="70" t="s">
        <v>5887</v>
      </c>
      <c r="D190" s="63" t="s">
        <v>5888</v>
      </c>
      <c r="E190" s="19"/>
      <c r="F190" s="14" t="s">
        <v>5928</v>
      </c>
      <c r="G190" s="2"/>
      <c r="H190" s="33"/>
      <c r="I190" s="87" t="s">
        <v>5929</v>
      </c>
      <c r="J190" s="63">
        <v>700</v>
      </c>
      <c r="K190" s="14"/>
    </row>
    <row r="191" spans="2:11" x14ac:dyDescent="0.25">
      <c r="B191" s="2">
        <f t="shared" si="4"/>
        <v>1</v>
      </c>
      <c r="C191" s="70" t="s">
        <v>5778</v>
      </c>
      <c r="D191" s="63" t="s">
        <v>5889</v>
      </c>
      <c r="E191" s="19"/>
      <c r="F191" s="14" t="s">
        <v>5281</v>
      </c>
      <c r="G191" s="2"/>
      <c r="H191" s="33"/>
      <c r="I191" s="87" t="s">
        <v>5930</v>
      </c>
      <c r="J191" s="63">
        <v>700</v>
      </c>
      <c r="K191" s="14"/>
    </row>
    <row r="192" spans="2:11" x14ac:dyDescent="0.25">
      <c r="B192" s="2">
        <f t="shared" si="4"/>
        <v>1</v>
      </c>
      <c r="C192" s="70" t="s">
        <v>5890</v>
      </c>
      <c r="D192" s="63" t="s">
        <v>5891</v>
      </c>
      <c r="E192" s="19"/>
      <c r="F192" s="14" t="s">
        <v>5931</v>
      </c>
      <c r="G192" s="2"/>
      <c r="H192" s="33"/>
      <c r="I192" s="87" t="s">
        <v>5932</v>
      </c>
      <c r="J192" s="63">
        <v>650</v>
      </c>
      <c r="K192" s="14"/>
    </row>
    <row r="193" spans="2:11" x14ac:dyDescent="0.25">
      <c r="B193" s="2">
        <f t="shared" si="4"/>
        <v>1</v>
      </c>
      <c r="C193" s="70" t="s">
        <v>5892</v>
      </c>
      <c r="D193" s="63" t="s">
        <v>5893</v>
      </c>
      <c r="E193" s="19"/>
      <c r="F193" s="14" t="s">
        <v>5281</v>
      </c>
      <c r="G193" s="2"/>
      <c r="H193" s="33"/>
      <c r="I193" s="87" t="s">
        <v>5933</v>
      </c>
      <c r="J193" s="63">
        <v>600</v>
      </c>
      <c r="K193" s="14"/>
    </row>
    <row r="194" spans="2:11" x14ac:dyDescent="0.25">
      <c r="B194" s="2">
        <f t="shared" si="4"/>
        <v>1</v>
      </c>
      <c r="C194" s="70" t="s">
        <v>5894</v>
      </c>
      <c r="D194" s="63" t="s">
        <v>5895</v>
      </c>
      <c r="E194" s="19"/>
      <c r="F194" s="14" t="s">
        <v>5934</v>
      </c>
      <c r="G194" s="2"/>
      <c r="H194" s="33"/>
      <c r="I194" s="87" t="s">
        <v>5935</v>
      </c>
      <c r="J194" s="63">
        <v>600</v>
      </c>
      <c r="K194" s="14"/>
    </row>
    <row r="195" spans="2:11" x14ac:dyDescent="0.25">
      <c r="B195" s="2">
        <f t="shared" si="4"/>
        <v>1</v>
      </c>
      <c r="C195" s="70" t="s">
        <v>5896</v>
      </c>
      <c r="D195" s="63" t="s">
        <v>5897</v>
      </c>
      <c r="E195" s="19"/>
      <c r="F195" s="14" t="s">
        <v>5936</v>
      </c>
      <c r="G195" s="2"/>
      <c r="H195" s="33"/>
      <c r="I195" s="87" t="s">
        <v>5937</v>
      </c>
      <c r="J195" s="63">
        <v>550</v>
      </c>
      <c r="K195" s="14"/>
    </row>
    <row r="196" spans="2:11" x14ac:dyDescent="0.25">
      <c r="B196" s="2">
        <f t="shared" si="4"/>
        <v>1</v>
      </c>
      <c r="C196" s="70" t="s">
        <v>5898</v>
      </c>
      <c r="D196" s="63" t="s">
        <v>5899</v>
      </c>
      <c r="E196" s="19"/>
      <c r="F196" s="14" t="s">
        <v>5938</v>
      </c>
      <c r="G196" s="2"/>
      <c r="H196" s="33"/>
      <c r="I196" s="87" t="s">
        <v>5939</v>
      </c>
      <c r="J196" s="63">
        <v>520</v>
      </c>
      <c r="K196" s="14"/>
    </row>
    <row r="197" spans="2:11" x14ac:dyDescent="0.25">
      <c r="B197" s="2">
        <f t="shared" si="4"/>
        <v>1</v>
      </c>
      <c r="C197" s="70" t="s">
        <v>5900</v>
      </c>
      <c r="D197" s="63" t="s">
        <v>5901</v>
      </c>
      <c r="E197" s="19"/>
      <c r="F197" s="14" t="s">
        <v>5705</v>
      </c>
      <c r="G197" s="2"/>
      <c r="H197" s="33"/>
      <c r="I197" s="87" t="s">
        <v>5940</v>
      </c>
      <c r="J197" s="63">
        <v>500</v>
      </c>
      <c r="K197" s="14"/>
    </row>
    <row r="198" spans="2:11" x14ac:dyDescent="0.25">
      <c r="B198" s="2">
        <f t="shared" si="4"/>
        <v>1</v>
      </c>
      <c r="C198" s="70" t="s">
        <v>5902</v>
      </c>
      <c r="D198" s="63" t="s">
        <v>5903</v>
      </c>
      <c r="E198" s="19"/>
      <c r="F198" s="14" t="s">
        <v>5941</v>
      </c>
      <c r="G198" s="2"/>
      <c r="H198" s="33"/>
      <c r="I198" s="87" t="s">
        <v>5942</v>
      </c>
      <c r="J198" s="63">
        <v>500</v>
      </c>
      <c r="K198" s="14"/>
    </row>
    <row r="199" spans="2:11" x14ac:dyDescent="0.25">
      <c r="B199" s="2">
        <f t="shared" si="4"/>
        <v>1</v>
      </c>
      <c r="C199" s="70" t="s">
        <v>5904</v>
      </c>
      <c r="D199" s="63" t="s">
        <v>5905</v>
      </c>
      <c r="E199" s="19"/>
      <c r="F199" s="14" t="s">
        <v>5943</v>
      </c>
      <c r="G199" s="2"/>
      <c r="H199" s="33"/>
      <c r="I199" s="87" t="s">
        <v>5944</v>
      </c>
      <c r="J199" s="63">
        <v>450</v>
      </c>
      <c r="K199" s="14"/>
    </row>
    <row r="200" spans="2:11" x14ac:dyDescent="0.25">
      <c r="B200" s="2">
        <f t="shared" si="4"/>
        <v>1</v>
      </c>
      <c r="C200" s="70" t="s">
        <v>5906</v>
      </c>
      <c r="D200" s="63" t="s">
        <v>5907</v>
      </c>
      <c r="E200" s="19"/>
      <c r="F200" s="14" t="s">
        <v>5945</v>
      </c>
      <c r="G200" s="2"/>
      <c r="H200" s="33"/>
      <c r="I200" s="87" t="s">
        <v>5946</v>
      </c>
      <c r="J200" s="63">
        <v>400</v>
      </c>
      <c r="K200" s="14"/>
    </row>
    <row r="201" spans="2:11" x14ac:dyDescent="0.25">
      <c r="B201" s="2">
        <f t="shared" ref="B201:B232" si="5">COUNTIFS($C:$C,C201)</f>
        <v>1</v>
      </c>
      <c r="C201" s="70" t="s">
        <v>5908</v>
      </c>
      <c r="D201" s="63" t="s">
        <v>5909</v>
      </c>
      <c r="E201" s="19"/>
      <c r="F201" s="14" t="s">
        <v>5281</v>
      </c>
      <c r="G201" s="2"/>
      <c r="H201" s="33"/>
      <c r="I201" s="87" t="s">
        <v>5947</v>
      </c>
      <c r="J201" s="63">
        <v>360</v>
      </c>
      <c r="K201" s="14"/>
    </row>
    <row r="202" spans="2:11" x14ac:dyDescent="0.25">
      <c r="B202" s="2">
        <f t="shared" si="5"/>
        <v>1</v>
      </c>
      <c r="C202" s="70" t="s">
        <v>5910</v>
      </c>
      <c r="D202" s="63" t="s">
        <v>5911</v>
      </c>
      <c r="E202" s="19"/>
      <c r="F202" s="14" t="s">
        <v>5948</v>
      </c>
      <c r="G202" s="2"/>
      <c r="H202" s="33"/>
      <c r="I202" s="87" t="s">
        <v>5949</v>
      </c>
      <c r="J202" s="63">
        <v>350</v>
      </c>
      <c r="K202" s="14"/>
    </row>
    <row r="203" spans="2:11" x14ac:dyDescent="0.25">
      <c r="B203" s="2">
        <f t="shared" si="5"/>
        <v>1</v>
      </c>
      <c r="C203" s="70" t="s">
        <v>5912</v>
      </c>
      <c r="D203" s="63" t="s">
        <v>5913</v>
      </c>
      <c r="E203" s="19"/>
      <c r="F203" s="14" t="s">
        <v>5281</v>
      </c>
      <c r="G203" s="2"/>
      <c r="H203" s="33"/>
      <c r="I203" s="87" t="s">
        <v>5950</v>
      </c>
      <c r="J203" s="63">
        <v>300</v>
      </c>
      <c r="K203" s="14"/>
    </row>
    <row r="204" spans="2:11" x14ac:dyDescent="0.25">
      <c r="B204" s="2">
        <f t="shared" si="5"/>
        <v>1</v>
      </c>
      <c r="C204" s="70" t="s">
        <v>5914</v>
      </c>
      <c r="D204" s="63" t="s">
        <v>5915</v>
      </c>
      <c r="E204" s="19"/>
      <c r="F204" s="14" t="s">
        <v>5820</v>
      </c>
      <c r="G204" s="2"/>
      <c r="H204" s="33"/>
      <c r="I204" s="87" t="s">
        <v>5951</v>
      </c>
      <c r="J204" s="63">
        <v>280</v>
      </c>
      <c r="K204" s="14"/>
    </row>
    <row r="205" spans="2:11" x14ac:dyDescent="0.25">
      <c r="B205" s="2">
        <f t="shared" si="5"/>
        <v>1</v>
      </c>
      <c r="C205" s="70" t="s">
        <v>6043</v>
      </c>
      <c r="D205" s="63"/>
      <c r="E205" s="19"/>
      <c r="G205" s="2"/>
      <c r="H205" s="33"/>
      <c r="I205" s="87" t="s">
        <v>6044</v>
      </c>
      <c r="J205" s="63">
        <v>400</v>
      </c>
      <c r="K205" s="14"/>
    </row>
    <row r="206" spans="2:11" x14ac:dyDescent="0.25">
      <c r="B206" s="2">
        <f t="shared" si="5"/>
        <v>1</v>
      </c>
      <c r="C206" s="70" t="s">
        <v>6100</v>
      </c>
      <c r="D206" s="63"/>
      <c r="E206" s="19"/>
      <c r="G206" s="2"/>
      <c r="H206" s="33"/>
      <c r="I206" s="87" t="s">
        <v>6101</v>
      </c>
      <c r="J206" s="63">
        <v>130</v>
      </c>
      <c r="K206" s="14"/>
    </row>
    <row r="207" spans="2:11" x14ac:dyDescent="0.25">
      <c r="B207" s="2">
        <f t="shared" si="5"/>
        <v>1</v>
      </c>
      <c r="C207" s="70" t="s">
        <v>6104</v>
      </c>
      <c r="D207" s="63"/>
      <c r="E207" s="19"/>
      <c r="G207" s="2"/>
      <c r="H207" s="33"/>
      <c r="I207" s="87" t="s">
        <v>6105</v>
      </c>
      <c r="J207" s="63">
        <v>130</v>
      </c>
      <c r="K207" s="14"/>
    </row>
    <row r="208" spans="2:11" x14ac:dyDescent="0.25">
      <c r="B208" s="2">
        <f t="shared" si="5"/>
        <v>1</v>
      </c>
      <c r="C208" s="70" t="s">
        <v>6129</v>
      </c>
      <c r="D208" s="63"/>
      <c r="E208" s="19"/>
      <c r="G208" s="2"/>
      <c r="H208" s="33"/>
      <c r="I208" s="87" t="s">
        <v>6130</v>
      </c>
      <c r="J208" s="63">
        <v>580</v>
      </c>
      <c r="K208" s="14"/>
    </row>
    <row r="209" spans="2:11" x14ac:dyDescent="0.25">
      <c r="B209" s="2">
        <f t="shared" si="5"/>
        <v>1</v>
      </c>
      <c r="C209" s="70" t="s">
        <v>6132</v>
      </c>
      <c r="D209" s="63"/>
      <c r="E209" s="19"/>
      <c r="G209" s="2"/>
      <c r="H209" s="33"/>
      <c r="I209" s="87" t="s">
        <v>6105</v>
      </c>
      <c r="J209" s="63">
        <v>200</v>
      </c>
      <c r="K209" s="14"/>
    </row>
    <row r="210" spans="2:11" x14ac:dyDescent="0.25">
      <c r="B210" s="2">
        <f t="shared" si="5"/>
        <v>1</v>
      </c>
      <c r="C210" s="70" t="s">
        <v>6265</v>
      </c>
      <c r="D210" s="63"/>
      <c r="E210" s="19"/>
      <c r="G210" s="2"/>
      <c r="H210" s="33"/>
      <c r="I210" s="87" t="s">
        <v>6266</v>
      </c>
      <c r="J210" s="63">
        <v>600</v>
      </c>
      <c r="K210" s="14"/>
    </row>
    <row r="211" spans="2:11" x14ac:dyDescent="0.25">
      <c r="B211" s="2">
        <f t="shared" si="5"/>
        <v>1</v>
      </c>
      <c r="C211" s="70" t="s">
        <v>6275</v>
      </c>
      <c r="D211" s="63"/>
      <c r="E211" s="19"/>
      <c r="G211" s="2"/>
      <c r="H211" s="33"/>
      <c r="J211" s="63">
        <v>400</v>
      </c>
      <c r="K211" s="14"/>
    </row>
    <row r="212" spans="2:11" x14ac:dyDescent="0.25">
      <c r="B212" s="2">
        <f t="shared" si="5"/>
        <v>1</v>
      </c>
      <c r="C212" s="70" t="s">
        <v>6276</v>
      </c>
      <c r="D212" s="63"/>
      <c r="E212" s="19"/>
      <c r="G212" s="2"/>
      <c r="H212" s="33"/>
      <c r="J212" s="63">
        <v>350</v>
      </c>
      <c r="K212" s="14"/>
    </row>
    <row r="213" spans="2:11" x14ac:dyDescent="0.25">
      <c r="B213" s="2">
        <f t="shared" si="5"/>
        <v>1</v>
      </c>
      <c r="C213" s="70" t="s">
        <v>6277</v>
      </c>
      <c r="D213" s="63"/>
      <c r="E213" s="19"/>
      <c r="G213" s="2"/>
      <c r="H213" s="33"/>
      <c r="J213" s="63">
        <v>500</v>
      </c>
      <c r="K213" s="14"/>
    </row>
    <row r="214" spans="2:11" x14ac:dyDescent="0.25">
      <c r="B214" s="2">
        <f t="shared" si="5"/>
        <v>1</v>
      </c>
      <c r="C214" s="70" t="s">
        <v>6278</v>
      </c>
      <c r="D214" s="63"/>
      <c r="E214" s="19"/>
      <c r="G214" s="2"/>
      <c r="H214" s="33"/>
      <c r="J214" s="63">
        <v>300</v>
      </c>
      <c r="K214" s="14"/>
    </row>
    <row r="215" spans="2:11" x14ac:dyDescent="0.25">
      <c r="B215" s="2">
        <f t="shared" si="5"/>
        <v>1</v>
      </c>
      <c r="C215" s="70" t="s">
        <v>6313</v>
      </c>
      <c r="D215" s="63"/>
      <c r="E215" s="19"/>
      <c r="G215" s="2"/>
      <c r="H215" s="33"/>
      <c r="J215" s="63">
        <v>650</v>
      </c>
      <c r="K215" s="14"/>
    </row>
    <row r="216" spans="2:11" x14ac:dyDescent="0.25">
      <c r="B216" s="2">
        <f t="shared" si="5"/>
        <v>1</v>
      </c>
      <c r="C216" s="70" t="s">
        <v>6320</v>
      </c>
      <c r="D216" s="63"/>
      <c r="E216" s="19"/>
      <c r="G216" s="2"/>
      <c r="H216" s="33"/>
      <c r="J216" s="63">
        <v>500</v>
      </c>
      <c r="K216" s="14"/>
    </row>
    <row r="217" spans="2:11" x14ac:dyDescent="0.25">
      <c r="B217" s="2">
        <f t="shared" si="5"/>
        <v>1</v>
      </c>
      <c r="C217" s="70" t="s">
        <v>6332</v>
      </c>
      <c r="D217" s="63"/>
      <c r="E217" s="19"/>
      <c r="G217" s="2"/>
      <c r="H217" s="33"/>
      <c r="J217" s="63">
        <v>700</v>
      </c>
      <c r="K217" s="14"/>
    </row>
    <row r="218" spans="2:11" x14ac:dyDescent="0.25">
      <c r="B218" s="2">
        <f t="shared" si="5"/>
        <v>1</v>
      </c>
      <c r="C218" s="70" t="s">
        <v>6333</v>
      </c>
      <c r="D218" s="63"/>
      <c r="E218" s="19"/>
      <c r="G218" s="2"/>
      <c r="H218" s="33"/>
      <c r="J218" s="63">
        <v>700</v>
      </c>
      <c r="K218" s="14"/>
    </row>
    <row r="219" spans="2:11" x14ac:dyDescent="0.25">
      <c r="B219" s="2">
        <f t="shared" si="5"/>
        <v>1</v>
      </c>
      <c r="C219" s="70" t="s">
        <v>6412</v>
      </c>
      <c r="D219" s="70"/>
      <c r="F219" s="63"/>
      <c r="G219" s="19"/>
      <c r="I219" s="88" t="s">
        <v>6413</v>
      </c>
      <c r="J219" s="63">
        <v>500</v>
      </c>
      <c r="K219" s="14"/>
    </row>
    <row r="220" spans="2:11" x14ac:dyDescent="0.25">
      <c r="B220" s="2">
        <f t="shared" si="5"/>
        <v>1</v>
      </c>
      <c r="C220" s="70" t="s">
        <v>6414</v>
      </c>
      <c r="D220" s="70"/>
      <c r="F220" s="63"/>
      <c r="G220" s="19"/>
      <c r="I220" s="88" t="s">
        <v>6415</v>
      </c>
      <c r="J220" s="63">
        <v>590</v>
      </c>
      <c r="K220" s="14"/>
    </row>
    <row r="221" spans="2:11" x14ac:dyDescent="0.25">
      <c r="B221" s="2">
        <f t="shared" si="5"/>
        <v>1</v>
      </c>
      <c r="C221" s="70" t="s">
        <v>6419</v>
      </c>
      <c r="D221" s="70"/>
      <c r="F221" s="63"/>
      <c r="G221" s="19"/>
      <c r="I221" s="88" t="s">
        <v>6420</v>
      </c>
      <c r="J221" s="63">
        <v>800</v>
      </c>
      <c r="K221" s="14"/>
    </row>
    <row r="222" spans="2:11" x14ac:dyDescent="0.25">
      <c r="B222" s="2">
        <f t="shared" si="5"/>
        <v>1</v>
      </c>
      <c r="C222" s="70" t="s">
        <v>6421</v>
      </c>
      <c r="D222" s="63"/>
      <c r="E222" s="19"/>
      <c r="G222" s="2"/>
      <c r="H222" s="33"/>
      <c r="I222" s="87" t="s">
        <v>6422</v>
      </c>
      <c r="J222" s="63">
        <v>430</v>
      </c>
      <c r="K222" s="14"/>
    </row>
    <row r="223" spans="2:11" x14ac:dyDescent="0.25">
      <c r="B223" s="2">
        <f t="shared" si="5"/>
        <v>1</v>
      </c>
      <c r="C223" s="70" t="s">
        <v>6423</v>
      </c>
      <c r="D223" s="63"/>
      <c r="E223" s="19"/>
      <c r="G223" s="2"/>
      <c r="H223" s="33"/>
      <c r="I223" s="87" t="s">
        <v>6424</v>
      </c>
      <c r="J223" s="63">
        <v>665</v>
      </c>
      <c r="K223" s="14"/>
    </row>
    <row r="224" spans="2:11" x14ac:dyDescent="0.25">
      <c r="B224" s="2">
        <f t="shared" si="5"/>
        <v>1</v>
      </c>
      <c r="C224" s="70" t="s">
        <v>6429</v>
      </c>
      <c r="D224" s="63"/>
      <c r="E224" s="19"/>
      <c r="G224" s="2"/>
      <c r="H224" s="33"/>
      <c r="I224" s="87" t="s">
        <v>6430</v>
      </c>
      <c r="J224" s="63">
        <v>800</v>
      </c>
      <c r="K224" s="14"/>
    </row>
    <row r="225" spans="2:11" x14ac:dyDescent="0.25">
      <c r="B225" s="2">
        <f t="shared" si="5"/>
        <v>1</v>
      </c>
      <c r="C225" s="70" t="s">
        <v>6437</v>
      </c>
      <c r="D225" s="63"/>
      <c r="E225" s="19"/>
      <c r="G225" s="2"/>
      <c r="H225" s="33"/>
      <c r="I225" s="87" t="s">
        <v>5951</v>
      </c>
      <c r="J225" s="63">
        <v>250</v>
      </c>
      <c r="K225" s="14"/>
    </row>
    <row r="226" spans="2:11" x14ac:dyDescent="0.25">
      <c r="B226" s="2">
        <f t="shared" si="5"/>
        <v>1</v>
      </c>
      <c r="C226" s="70" t="s">
        <v>6756</v>
      </c>
      <c r="D226" s="63"/>
      <c r="E226" s="19"/>
      <c r="G226" s="2"/>
      <c r="H226" s="33"/>
      <c r="I226" s="87" t="s">
        <v>6757</v>
      </c>
      <c r="J226" s="63">
        <v>250</v>
      </c>
      <c r="K226" s="14"/>
    </row>
    <row r="227" spans="2:11" x14ac:dyDescent="0.25">
      <c r="B227" s="2">
        <f t="shared" si="5"/>
        <v>1</v>
      </c>
      <c r="C227" s="70" t="s">
        <v>6758</v>
      </c>
      <c r="D227" s="63"/>
      <c r="E227" s="19"/>
      <c r="G227" s="2"/>
      <c r="H227" s="33"/>
      <c r="I227" s="87" t="s">
        <v>6759</v>
      </c>
      <c r="J227" s="63">
        <v>600</v>
      </c>
      <c r="K227" s="14"/>
    </row>
    <row r="228" spans="2:11" x14ac:dyDescent="0.25">
      <c r="B228" s="2">
        <f t="shared" si="5"/>
        <v>1</v>
      </c>
      <c r="C228" s="70" t="s">
        <v>7294</v>
      </c>
      <c r="D228" s="63"/>
      <c r="E228" s="19"/>
      <c r="G228" s="2"/>
      <c r="H228" s="33"/>
      <c r="I228" s="87" t="s">
        <v>7295</v>
      </c>
      <c r="J228" s="63">
        <v>500</v>
      </c>
      <c r="K228" s="14"/>
    </row>
    <row r="229" spans="2:11" x14ac:dyDescent="0.25">
      <c r="B229" s="2">
        <f t="shared" si="5"/>
        <v>1</v>
      </c>
      <c r="C229" s="70" t="s">
        <v>7305</v>
      </c>
      <c r="D229" s="63"/>
      <c r="E229" s="19"/>
      <c r="G229" s="2"/>
      <c r="H229" s="33"/>
      <c r="J229" s="63">
        <v>630</v>
      </c>
      <c r="K229" s="14"/>
    </row>
    <row r="230" spans="2:11" x14ac:dyDescent="0.25">
      <c r="B230" s="2">
        <f t="shared" si="5"/>
        <v>0</v>
      </c>
      <c r="C230" s="70"/>
      <c r="D230" s="63"/>
      <c r="E230" s="19"/>
      <c r="G230" s="2"/>
      <c r="H230" s="33"/>
      <c r="J230" s="63"/>
      <c r="K230" s="14"/>
    </row>
    <row r="231" spans="2:11" x14ac:dyDescent="0.25">
      <c r="B231" s="2">
        <f t="shared" si="5"/>
        <v>0</v>
      </c>
      <c r="C231" s="70"/>
      <c r="D231" s="63"/>
      <c r="E231" s="19"/>
      <c r="G231" s="2"/>
      <c r="H231" s="33"/>
      <c r="J231" s="63"/>
      <c r="K231" s="14"/>
    </row>
    <row r="232" spans="2:11" x14ac:dyDescent="0.25">
      <c r="B232" s="2">
        <f t="shared" si="5"/>
        <v>0</v>
      </c>
      <c r="C232" s="70"/>
      <c r="D232" s="63"/>
      <c r="E232" s="19"/>
      <c r="G232" s="2"/>
      <c r="H232" s="33"/>
      <c r="J232" s="63"/>
      <c r="K232" s="14"/>
    </row>
    <row r="233" spans="2:11" x14ac:dyDescent="0.25">
      <c r="B233" s="2">
        <f t="shared" ref="B233:B234" si="6">COUNTIFS($C:$C,C233)</f>
        <v>0</v>
      </c>
      <c r="C233" s="70"/>
      <c r="D233" s="63"/>
      <c r="E233" s="19"/>
      <c r="G233" s="2"/>
      <c r="H233" s="33"/>
      <c r="J233" s="63"/>
      <c r="K233" s="14"/>
    </row>
    <row r="234" spans="2:11" x14ac:dyDescent="0.25">
      <c r="B234" s="2">
        <f t="shared" si="6"/>
        <v>0</v>
      </c>
      <c r="C234" s="70"/>
      <c r="D234" s="63"/>
      <c r="E234" s="19"/>
      <c r="G234" s="2"/>
      <c r="H234" s="33"/>
      <c r="J234" s="63"/>
      <c r="K234" s="14"/>
    </row>
    <row r="235" spans="2:11" x14ac:dyDescent="0.25">
      <c r="B235" s="2"/>
      <c r="C235" s="70"/>
      <c r="D235" s="63"/>
      <c r="E235" s="19"/>
      <c r="G235" s="2"/>
      <c r="H235" s="33"/>
      <c r="J235" s="63"/>
      <c r="K235" s="14"/>
    </row>
    <row r="236" spans="2:11" x14ac:dyDescent="0.25">
      <c r="B236" s="2"/>
      <c r="C236" s="69" t="s">
        <v>5692</v>
      </c>
      <c r="D236" s="63"/>
      <c r="E236" s="19"/>
      <c r="F236" s="63"/>
      <c r="G236" s="2"/>
      <c r="H236" s="33"/>
      <c r="I236" s="86"/>
      <c r="J236" s="14"/>
      <c r="K236" s="14"/>
    </row>
    <row r="237" spans="2:11" x14ac:dyDescent="0.25">
      <c r="B237" s="2">
        <f t="shared" ref="B237:B243" si="7">COUNTIFS($C:$C,C237)</f>
        <v>1</v>
      </c>
      <c r="C237" s="70" t="s">
        <v>5960</v>
      </c>
      <c r="D237" s="63" t="s">
        <v>5959</v>
      </c>
      <c r="E237" s="19"/>
      <c r="F237" s="14" t="s">
        <v>5931</v>
      </c>
      <c r="G237" s="2"/>
      <c r="H237" s="33"/>
      <c r="I237" s="87" t="s">
        <v>5969</v>
      </c>
      <c r="J237" s="63"/>
      <c r="K237" s="14"/>
    </row>
    <row r="238" spans="2:11" x14ac:dyDescent="0.25">
      <c r="B238" s="2">
        <f t="shared" si="7"/>
        <v>1</v>
      </c>
      <c r="C238" s="70" t="s">
        <v>5970</v>
      </c>
      <c r="D238" s="63" t="s">
        <v>5971</v>
      </c>
      <c r="E238" s="19"/>
      <c r="F238" s="14" t="s">
        <v>5957</v>
      </c>
      <c r="G238" s="2"/>
      <c r="H238" s="33"/>
      <c r="I238" s="87" t="s">
        <v>5969</v>
      </c>
      <c r="J238" s="63"/>
      <c r="K238" s="14"/>
    </row>
    <row r="239" spans="2:11" x14ac:dyDescent="0.25">
      <c r="B239" s="2">
        <f t="shared" si="7"/>
        <v>1</v>
      </c>
      <c r="C239" s="70" t="s">
        <v>5972</v>
      </c>
      <c r="D239" s="63" t="s">
        <v>5973</v>
      </c>
      <c r="E239" s="19"/>
      <c r="F239" s="14" t="s">
        <v>5974</v>
      </c>
      <c r="G239" s="2"/>
      <c r="H239" s="33"/>
      <c r="I239" s="87" t="s">
        <v>5961</v>
      </c>
      <c r="J239" s="63"/>
      <c r="K239" s="14"/>
    </row>
    <row r="240" spans="2:11" x14ac:dyDescent="0.25">
      <c r="B240" s="2">
        <f t="shared" si="7"/>
        <v>1</v>
      </c>
      <c r="C240" s="70" t="s">
        <v>5975</v>
      </c>
      <c r="D240" s="63" t="s">
        <v>5976</v>
      </c>
      <c r="E240" s="19"/>
      <c r="F240" s="14" t="s">
        <v>5977</v>
      </c>
      <c r="G240" s="2"/>
      <c r="H240" s="33"/>
      <c r="I240" s="87" t="s">
        <v>5961</v>
      </c>
      <c r="J240" s="63"/>
      <c r="K240" s="14"/>
    </row>
    <row r="241" spans="2:11" x14ac:dyDescent="0.25">
      <c r="B241" s="2">
        <f t="shared" si="7"/>
        <v>0</v>
      </c>
      <c r="C241" s="70"/>
      <c r="D241" s="63"/>
      <c r="E241" s="19"/>
      <c r="G241" s="2"/>
      <c r="H241" s="33"/>
      <c r="J241" s="63"/>
      <c r="K241" s="14"/>
    </row>
    <row r="242" spans="2:11" x14ac:dyDescent="0.25">
      <c r="B242" s="2">
        <f t="shared" si="7"/>
        <v>0</v>
      </c>
      <c r="C242" s="70"/>
      <c r="D242" s="63"/>
      <c r="E242" s="19"/>
      <c r="G242" s="2"/>
      <c r="H242" s="33"/>
      <c r="J242" s="63"/>
      <c r="K242" s="14"/>
    </row>
    <row r="243" spans="2:11" x14ac:dyDescent="0.25">
      <c r="B243" s="2">
        <f t="shared" si="7"/>
        <v>0</v>
      </c>
      <c r="C243" s="70"/>
      <c r="D243" s="63"/>
      <c r="E243" s="19"/>
      <c r="G243" s="2"/>
      <c r="H243" s="33"/>
      <c r="J243" s="63"/>
      <c r="K243" s="14"/>
    </row>
    <row r="244" spans="2:11" x14ac:dyDescent="0.25">
      <c r="B244" s="2"/>
      <c r="C244" s="70"/>
      <c r="D244" s="63"/>
      <c r="E244" s="19"/>
      <c r="F244" s="63"/>
      <c r="G244" s="2"/>
      <c r="H244" s="33"/>
      <c r="I244" s="86"/>
      <c r="J244" s="14"/>
      <c r="K244" s="14"/>
    </row>
    <row r="245" spans="2:11" s="27" customFormat="1" x14ac:dyDescent="0.25">
      <c r="C245" s="69" t="s">
        <v>5628</v>
      </c>
      <c r="I245" s="85"/>
    </row>
    <row r="246" spans="2:11" x14ac:dyDescent="0.25">
      <c r="B246" s="2">
        <f>COUNTIFS($C:$C,C246)</f>
        <v>1</v>
      </c>
      <c r="C246" s="70" t="s">
        <v>5629</v>
      </c>
      <c r="D246" s="63" t="s">
        <v>5630</v>
      </c>
      <c r="E246" s="19"/>
      <c r="F246" s="63" t="s">
        <v>5631</v>
      </c>
      <c r="G246" s="2"/>
      <c r="H246" s="33"/>
      <c r="I246" s="86"/>
      <c r="J246" s="14"/>
      <c r="K246" s="14"/>
    </row>
    <row r="247" spans="2:11" x14ac:dyDescent="0.25">
      <c r="B247" s="2"/>
      <c r="C247" s="70"/>
      <c r="D247" s="63"/>
      <c r="E247" s="19"/>
      <c r="F247" s="63"/>
      <c r="G247" s="2"/>
      <c r="H247" s="33"/>
      <c r="I247" s="86"/>
      <c r="J247" s="14"/>
      <c r="K247" s="14"/>
    </row>
    <row r="248" spans="2:11" x14ac:dyDescent="0.25">
      <c r="B248" s="2"/>
      <c r="C248" s="70"/>
      <c r="D248" s="63"/>
      <c r="E248" s="19"/>
      <c r="F248" s="63"/>
      <c r="G248" s="2"/>
      <c r="H248" s="33"/>
      <c r="I248" s="86"/>
      <c r="J248" s="14"/>
      <c r="K248" s="14"/>
    </row>
    <row r="249" spans="2:11" x14ac:dyDescent="0.25">
      <c r="B249" s="2"/>
      <c r="C249" s="70"/>
      <c r="D249" s="63"/>
      <c r="E249" s="19"/>
      <c r="F249" s="63"/>
      <c r="G249" s="2"/>
      <c r="H249" s="33"/>
      <c r="I249" s="86"/>
      <c r="J249" s="14"/>
      <c r="K249" s="14"/>
    </row>
    <row r="250" spans="2:11" x14ac:dyDescent="0.25">
      <c r="B250" s="2"/>
      <c r="C250" s="70"/>
      <c r="D250" s="63"/>
      <c r="E250" s="19"/>
      <c r="F250" s="63"/>
      <c r="G250" s="2"/>
      <c r="H250" s="33"/>
      <c r="I250" s="86"/>
      <c r="J250" s="14"/>
      <c r="K250" s="14"/>
    </row>
    <row r="251" spans="2:11" x14ac:dyDescent="0.25">
      <c r="B251" s="2"/>
      <c r="C251" s="70"/>
      <c r="D251" s="63"/>
      <c r="E251" s="19"/>
      <c r="F251" s="63"/>
      <c r="G251" s="2"/>
      <c r="H251" s="33"/>
      <c r="I251" s="86"/>
      <c r="J251" s="14"/>
      <c r="K251" s="14"/>
    </row>
    <row r="252" spans="2:11" x14ac:dyDescent="0.25">
      <c r="B252" s="2"/>
      <c r="C252" s="70"/>
      <c r="D252" s="63"/>
      <c r="E252" s="19"/>
      <c r="F252" s="63"/>
      <c r="G252" s="2"/>
      <c r="H252" s="33"/>
      <c r="I252" s="86"/>
      <c r="J252" s="14"/>
      <c r="K252" s="14"/>
    </row>
    <row r="253" spans="2:11" s="27" customFormat="1" x14ac:dyDescent="0.25">
      <c r="C253" s="69" t="s">
        <v>122</v>
      </c>
      <c r="I253" s="85"/>
    </row>
    <row r="254" spans="2:11" x14ac:dyDescent="0.25">
      <c r="B254" s="2">
        <f>COUNTIFS($C:$C,C254)</f>
        <v>1</v>
      </c>
      <c r="C254" s="70" t="s">
        <v>5547</v>
      </c>
      <c r="D254" s="63" t="s">
        <v>5548</v>
      </c>
      <c r="E254" s="19">
        <v>4</v>
      </c>
      <c r="F254" s="63" t="s">
        <v>5550</v>
      </c>
      <c r="G254" s="2" t="s">
        <v>105</v>
      </c>
      <c r="H254" s="33">
        <v>45717</v>
      </c>
      <c r="I254" s="86" t="s">
        <v>5549</v>
      </c>
      <c r="J254" s="14"/>
      <c r="K254" s="14"/>
    </row>
    <row r="255" spans="2:11" x14ac:dyDescent="0.25">
      <c r="B255" s="2">
        <f>COUNTIFS($C:$C,C255)</f>
        <v>1</v>
      </c>
      <c r="C255" s="70" t="s">
        <v>5744</v>
      </c>
      <c r="D255" s="63" t="s">
        <v>5747</v>
      </c>
      <c r="E255" s="19">
        <v>3</v>
      </c>
      <c r="F255" s="63" t="s">
        <v>5746</v>
      </c>
      <c r="G255" s="2" t="s">
        <v>224</v>
      </c>
      <c r="H255" s="33">
        <v>42826</v>
      </c>
      <c r="I255" s="86" t="s">
        <v>5745</v>
      </c>
      <c r="J255" s="14"/>
      <c r="K255" s="14"/>
    </row>
    <row r="256" spans="2:11" x14ac:dyDescent="0.25">
      <c r="B256" s="2">
        <f>COUNTIFS($C:$C,C256)</f>
        <v>0</v>
      </c>
      <c r="C256" s="70"/>
      <c r="D256" s="63"/>
      <c r="E256" s="19"/>
      <c r="F256" s="63"/>
      <c r="G256" s="2"/>
      <c r="H256" s="33"/>
      <c r="I256" s="86"/>
      <c r="J256" s="14"/>
      <c r="K256" s="14"/>
    </row>
    <row r="257" spans="2:11" x14ac:dyDescent="0.25">
      <c r="B257" s="2">
        <f>COUNTIFS($C:$C,C257)</f>
        <v>0</v>
      </c>
      <c r="C257" s="70"/>
      <c r="D257" s="63"/>
      <c r="E257" s="19"/>
      <c r="F257" s="63"/>
      <c r="G257" s="2"/>
      <c r="H257" s="33"/>
      <c r="I257" s="86"/>
      <c r="J257" s="14"/>
      <c r="K257" s="14"/>
    </row>
    <row r="258" spans="2:11" x14ac:dyDescent="0.25">
      <c r="B258" s="2">
        <f>COUNTIFS($C:$C,C258)</f>
        <v>0</v>
      </c>
      <c r="C258" s="70"/>
      <c r="D258" s="63"/>
      <c r="E258" s="19"/>
      <c r="F258" s="63"/>
      <c r="G258" s="2"/>
      <c r="H258" s="33"/>
      <c r="I258" s="86"/>
      <c r="J258" s="14"/>
      <c r="K258" s="14"/>
    </row>
    <row r="259" spans="2:11" x14ac:dyDescent="0.25">
      <c r="B259" s="2"/>
      <c r="C259" s="70"/>
      <c r="D259" s="63"/>
      <c r="E259" s="19"/>
      <c r="F259" s="63"/>
      <c r="G259" s="2"/>
      <c r="H259" s="33"/>
      <c r="I259" s="86"/>
      <c r="J259" s="14"/>
      <c r="K259" s="14"/>
    </row>
    <row r="260" spans="2:11" x14ac:dyDescent="0.25">
      <c r="B260" s="2"/>
      <c r="C260" s="70"/>
      <c r="D260" s="63"/>
      <c r="E260" s="19"/>
      <c r="F260" s="63"/>
      <c r="G260" s="2"/>
      <c r="H260" s="33"/>
      <c r="I260" s="86"/>
      <c r="J260" s="14"/>
      <c r="K260" s="14"/>
    </row>
    <row r="261" spans="2:11" s="27" customFormat="1" x14ac:dyDescent="0.25">
      <c r="C261" s="69" t="s">
        <v>5694</v>
      </c>
      <c r="I261" s="85"/>
    </row>
    <row r="262" spans="2:11" x14ac:dyDescent="0.25">
      <c r="B262" s="2">
        <f t="shared" ref="B262:B270" si="8">COUNTIFS($C:$C,C262)</f>
        <v>1</v>
      </c>
      <c r="C262" s="70" t="s">
        <v>5695</v>
      </c>
      <c r="D262" s="63" t="s">
        <v>5696</v>
      </c>
      <c r="E262" s="19">
        <v>5</v>
      </c>
      <c r="F262" s="63" t="s">
        <v>246</v>
      </c>
      <c r="G262" s="2" t="s">
        <v>105</v>
      </c>
      <c r="H262" s="33">
        <v>42156</v>
      </c>
      <c r="I262" s="86" t="s">
        <v>5282</v>
      </c>
      <c r="J262" s="14"/>
      <c r="K262" s="14"/>
    </row>
    <row r="263" spans="2:11" x14ac:dyDescent="0.25">
      <c r="B263" s="2">
        <f t="shared" si="8"/>
        <v>1</v>
      </c>
      <c r="C263" s="70" t="s">
        <v>5697</v>
      </c>
      <c r="D263" s="63" t="s">
        <v>5699</v>
      </c>
      <c r="E263" s="19">
        <v>3</v>
      </c>
      <c r="F263" s="63" t="s">
        <v>5698</v>
      </c>
      <c r="G263" s="2" t="s">
        <v>320</v>
      </c>
      <c r="H263" s="33">
        <v>44531</v>
      </c>
      <c r="I263" s="86" t="s">
        <v>5282</v>
      </c>
      <c r="J263" s="14"/>
      <c r="K263" s="14"/>
    </row>
    <row r="264" spans="2:11" x14ac:dyDescent="0.25">
      <c r="B264" s="2">
        <f t="shared" si="8"/>
        <v>1</v>
      </c>
      <c r="C264" s="70" t="s">
        <v>5700</v>
      </c>
      <c r="D264" s="63" t="s">
        <v>5701</v>
      </c>
      <c r="E264" s="19">
        <v>3</v>
      </c>
      <c r="F264" s="63" t="s">
        <v>5702</v>
      </c>
      <c r="G264" s="2" t="s">
        <v>236</v>
      </c>
      <c r="H264" s="33" t="s">
        <v>236</v>
      </c>
      <c r="I264" s="86" t="s">
        <v>5282</v>
      </c>
      <c r="J264" s="14"/>
      <c r="K264" s="14"/>
    </row>
    <row r="265" spans="2:11" x14ac:dyDescent="0.25">
      <c r="B265" s="2">
        <f t="shared" si="8"/>
        <v>1</v>
      </c>
      <c r="C265" s="70" t="s">
        <v>5703</v>
      </c>
      <c r="D265" s="63" t="s">
        <v>5706</v>
      </c>
      <c r="E265" s="19">
        <v>4</v>
      </c>
      <c r="F265" s="63" t="s">
        <v>5704</v>
      </c>
      <c r="G265" s="2" t="s">
        <v>5705</v>
      </c>
      <c r="H265" s="33">
        <v>45078</v>
      </c>
      <c r="I265" s="86" t="s">
        <v>5282</v>
      </c>
      <c r="J265" s="14"/>
      <c r="K265" s="14"/>
    </row>
    <row r="266" spans="2:11" x14ac:dyDescent="0.25">
      <c r="B266" s="2">
        <f t="shared" si="8"/>
        <v>0</v>
      </c>
      <c r="C266" s="70"/>
      <c r="D266" s="63"/>
      <c r="E266" s="19"/>
      <c r="F266" s="63"/>
      <c r="G266" s="2"/>
      <c r="H266" s="33"/>
      <c r="I266" s="86"/>
      <c r="J266" s="14"/>
      <c r="K266" s="14"/>
    </row>
    <row r="267" spans="2:11" x14ac:dyDescent="0.25">
      <c r="B267" s="2">
        <f t="shared" si="8"/>
        <v>0</v>
      </c>
      <c r="C267" s="70"/>
      <c r="D267" s="63"/>
      <c r="E267" s="19"/>
      <c r="F267" s="63"/>
      <c r="G267" s="2"/>
      <c r="H267" s="33"/>
      <c r="I267" s="86"/>
      <c r="J267" s="14"/>
      <c r="K267" s="14"/>
    </row>
    <row r="268" spans="2:11" x14ac:dyDescent="0.25">
      <c r="B268" s="2">
        <f t="shared" si="8"/>
        <v>0</v>
      </c>
      <c r="C268" s="70"/>
      <c r="D268" s="63"/>
      <c r="E268" s="19"/>
      <c r="F268" s="63"/>
      <c r="G268" s="2"/>
      <c r="H268" s="33"/>
      <c r="I268" s="86"/>
      <c r="J268" s="14"/>
      <c r="K268" s="14"/>
    </row>
    <row r="269" spans="2:11" x14ac:dyDescent="0.25">
      <c r="B269" s="2">
        <f t="shared" si="8"/>
        <v>0</v>
      </c>
      <c r="C269" s="70"/>
      <c r="D269" s="63"/>
      <c r="E269" s="19"/>
      <c r="F269" s="63"/>
      <c r="G269" s="2"/>
      <c r="H269" s="33"/>
      <c r="I269" s="86"/>
      <c r="J269" s="14"/>
      <c r="K269" s="14"/>
    </row>
    <row r="270" spans="2:11" x14ac:dyDescent="0.25">
      <c r="B270" s="2">
        <f t="shared" si="8"/>
        <v>0</v>
      </c>
      <c r="C270" s="70"/>
      <c r="D270" s="63"/>
      <c r="E270" s="19"/>
      <c r="F270" s="63"/>
      <c r="G270" s="2"/>
      <c r="H270" s="33"/>
      <c r="I270" s="86"/>
      <c r="J270" s="14"/>
      <c r="K270" s="14"/>
    </row>
    <row r="271" spans="2:11" x14ac:dyDescent="0.25">
      <c r="B271" s="2"/>
      <c r="C271" s="70"/>
      <c r="D271" s="63"/>
      <c r="E271" s="19"/>
      <c r="F271" s="63"/>
      <c r="G271" s="2"/>
      <c r="H271" s="33"/>
      <c r="I271" s="86"/>
      <c r="J271" s="14"/>
      <c r="K271" s="14"/>
    </row>
    <row r="272" spans="2:11" x14ac:dyDescent="0.25">
      <c r="C272" s="69" t="s">
        <v>5774</v>
      </c>
      <c r="D272" s="68"/>
      <c r="E272" s="19"/>
      <c r="F272" s="63"/>
      <c r="G272" s="71"/>
      <c r="H272" s="71"/>
      <c r="I272" s="89"/>
      <c r="J272" s="71"/>
      <c r="K272" s="71"/>
    </row>
    <row r="273" spans="2:11" x14ac:dyDescent="0.25">
      <c r="B273" s="2">
        <f t="shared" ref="B273:B289" si="9">COUNTIFS($C:$C,C273)</f>
        <v>1</v>
      </c>
      <c r="C273" s="70" t="s">
        <v>5401</v>
      </c>
      <c r="D273" s="63" t="s">
        <v>5400</v>
      </c>
      <c r="E273" s="19">
        <v>5</v>
      </c>
      <c r="F273" s="63" t="s">
        <v>5399</v>
      </c>
      <c r="G273" s="2" t="s">
        <v>236</v>
      </c>
      <c r="H273" s="33" t="s">
        <v>236</v>
      </c>
      <c r="I273" s="86" t="s">
        <v>105</v>
      </c>
      <c r="J273" s="14"/>
      <c r="K273" s="14"/>
    </row>
    <row r="274" spans="2:11" x14ac:dyDescent="0.25">
      <c r="B274" s="2">
        <f t="shared" si="9"/>
        <v>1</v>
      </c>
      <c r="C274" s="70" t="s">
        <v>5392</v>
      </c>
      <c r="D274" s="63" t="s">
        <v>5398</v>
      </c>
      <c r="E274" s="19">
        <v>4</v>
      </c>
      <c r="F274" s="63" t="s">
        <v>5397</v>
      </c>
      <c r="G274" s="2" t="s">
        <v>236</v>
      </c>
      <c r="H274" s="33" t="s">
        <v>236</v>
      </c>
      <c r="I274" s="86" t="s">
        <v>105</v>
      </c>
      <c r="J274" s="14"/>
      <c r="K274" s="14"/>
    </row>
    <row r="275" spans="2:11" x14ac:dyDescent="0.25">
      <c r="B275" s="2">
        <f t="shared" si="9"/>
        <v>1</v>
      </c>
      <c r="C275" s="70" t="s">
        <v>5396</v>
      </c>
      <c r="D275" s="63" t="s">
        <v>5395</v>
      </c>
      <c r="E275" s="19">
        <v>4</v>
      </c>
      <c r="F275" s="63" t="s">
        <v>5394</v>
      </c>
      <c r="G275" s="2" t="s">
        <v>236</v>
      </c>
      <c r="H275" s="33" t="s">
        <v>236</v>
      </c>
      <c r="I275" s="86" t="s">
        <v>105</v>
      </c>
      <c r="J275" s="14"/>
      <c r="K275" s="14"/>
    </row>
    <row r="276" spans="2:11" x14ac:dyDescent="0.25">
      <c r="B276" s="2">
        <f t="shared" si="9"/>
        <v>1</v>
      </c>
      <c r="C276" s="70" t="s">
        <v>0</v>
      </c>
      <c r="D276" s="63" t="s">
        <v>5393</v>
      </c>
      <c r="E276" s="19">
        <v>4</v>
      </c>
      <c r="F276" s="63" t="s">
        <v>271</v>
      </c>
      <c r="G276" s="2" t="s">
        <v>224</v>
      </c>
      <c r="H276" s="33">
        <v>44562</v>
      </c>
      <c r="I276" s="86" t="s">
        <v>105</v>
      </c>
      <c r="J276" s="14"/>
      <c r="K276" s="14"/>
    </row>
    <row r="277" spans="2:11" x14ac:dyDescent="0.25">
      <c r="B277" s="2">
        <f t="shared" si="9"/>
        <v>1</v>
      </c>
      <c r="C277" s="70" t="s">
        <v>5810</v>
      </c>
      <c r="D277" s="63" t="s">
        <v>5811</v>
      </c>
      <c r="E277" s="19">
        <v>4</v>
      </c>
      <c r="F277" s="63" t="s">
        <v>5812</v>
      </c>
      <c r="G277" s="2" t="s">
        <v>236</v>
      </c>
      <c r="H277" s="33" t="s">
        <v>236</v>
      </c>
      <c r="I277" s="86" t="s">
        <v>105</v>
      </c>
      <c r="J277" s="14"/>
      <c r="K277" s="14"/>
    </row>
    <row r="278" spans="2:11" x14ac:dyDescent="0.25">
      <c r="B278" s="2">
        <f t="shared" si="9"/>
        <v>1</v>
      </c>
      <c r="C278" s="70" t="s">
        <v>5390</v>
      </c>
      <c r="D278" s="63" t="s">
        <v>5389</v>
      </c>
      <c r="E278" s="19">
        <v>3</v>
      </c>
      <c r="F278" s="63" t="s">
        <v>5388</v>
      </c>
      <c r="G278" s="2" t="s">
        <v>236</v>
      </c>
      <c r="H278" s="33" t="s">
        <v>236</v>
      </c>
      <c r="I278" s="86" t="s">
        <v>105</v>
      </c>
      <c r="J278" s="14"/>
      <c r="K278" s="14"/>
    </row>
    <row r="279" spans="2:11" x14ac:dyDescent="0.25">
      <c r="B279" s="2">
        <f t="shared" si="9"/>
        <v>1</v>
      </c>
      <c r="C279" s="70" t="s">
        <v>5387</v>
      </c>
      <c r="D279" s="63" t="s">
        <v>5386</v>
      </c>
      <c r="E279" s="19">
        <v>3</v>
      </c>
      <c r="F279" s="63" t="s">
        <v>5383</v>
      </c>
      <c r="G279" s="2" t="s">
        <v>236</v>
      </c>
      <c r="H279" s="33" t="s">
        <v>236</v>
      </c>
      <c r="I279" s="86" t="s">
        <v>105</v>
      </c>
      <c r="J279" s="14"/>
      <c r="K279" s="14"/>
    </row>
    <row r="280" spans="2:11" x14ac:dyDescent="0.25">
      <c r="B280" s="2">
        <f t="shared" si="9"/>
        <v>1</v>
      </c>
      <c r="C280" s="70" t="s">
        <v>5385</v>
      </c>
      <c r="D280" s="63" t="s">
        <v>5384</v>
      </c>
      <c r="E280" s="19">
        <v>3</v>
      </c>
      <c r="F280" s="63" t="s">
        <v>5383</v>
      </c>
      <c r="G280" s="33">
        <v>45536</v>
      </c>
      <c r="H280" s="33" t="s">
        <v>5349</v>
      </c>
      <c r="I280" s="86" t="s">
        <v>236</v>
      </c>
      <c r="J280" s="14"/>
      <c r="K280" s="14"/>
    </row>
    <row r="281" spans="2:11" x14ac:dyDescent="0.25">
      <c r="B281" s="2">
        <f t="shared" si="9"/>
        <v>1</v>
      </c>
      <c r="C281" s="70" t="s">
        <v>5382</v>
      </c>
      <c r="D281" s="63" t="s">
        <v>5381</v>
      </c>
      <c r="E281" s="19">
        <v>3</v>
      </c>
      <c r="F281" s="63" t="s">
        <v>280</v>
      </c>
      <c r="G281" s="2" t="s">
        <v>236</v>
      </c>
      <c r="H281" s="33" t="s">
        <v>236</v>
      </c>
      <c r="I281" s="86" t="s">
        <v>105</v>
      </c>
      <c r="J281" s="14"/>
      <c r="K281" s="14"/>
    </row>
    <row r="282" spans="2:11" x14ac:dyDescent="0.25">
      <c r="B282" s="2">
        <f t="shared" si="9"/>
        <v>1</v>
      </c>
      <c r="C282" s="70" t="s">
        <v>5380</v>
      </c>
      <c r="D282" s="63" t="s">
        <v>5379</v>
      </c>
      <c r="E282" s="19">
        <v>3</v>
      </c>
      <c r="F282" s="63" t="s">
        <v>5436</v>
      </c>
      <c r="G282" s="2" t="s">
        <v>236</v>
      </c>
      <c r="H282" s="33" t="s">
        <v>236</v>
      </c>
      <c r="I282" s="86" t="s">
        <v>105</v>
      </c>
      <c r="J282" s="14"/>
      <c r="K282" s="14"/>
    </row>
    <row r="283" spans="2:11" x14ac:dyDescent="0.25">
      <c r="B283" s="2">
        <f t="shared" si="9"/>
        <v>1</v>
      </c>
      <c r="C283" s="70" t="s">
        <v>5378</v>
      </c>
      <c r="D283" s="63" t="s">
        <v>5377</v>
      </c>
      <c r="E283" s="19">
        <v>2</v>
      </c>
      <c r="F283" s="63" t="s">
        <v>5300</v>
      </c>
      <c r="G283" s="2" t="s">
        <v>236</v>
      </c>
      <c r="H283" s="33" t="s">
        <v>236</v>
      </c>
      <c r="I283" s="86" t="s">
        <v>105</v>
      </c>
      <c r="J283" s="14"/>
      <c r="K283" s="14"/>
    </row>
    <row r="284" spans="2:11" x14ac:dyDescent="0.25">
      <c r="B284" s="2">
        <f t="shared" si="9"/>
        <v>1</v>
      </c>
      <c r="C284" s="70" t="s">
        <v>5376</v>
      </c>
      <c r="D284" s="63" t="s">
        <v>5375</v>
      </c>
      <c r="E284" s="19">
        <v>2</v>
      </c>
      <c r="F284" s="63" t="s">
        <v>5374</v>
      </c>
      <c r="G284" s="2" t="s">
        <v>236</v>
      </c>
      <c r="H284" s="33" t="s">
        <v>236</v>
      </c>
      <c r="I284" s="86" t="s">
        <v>105</v>
      </c>
      <c r="J284" s="14"/>
      <c r="K284" s="14"/>
    </row>
    <row r="285" spans="2:11" x14ac:dyDescent="0.25">
      <c r="B285" s="2">
        <f t="shared" si="9"/>
        <v>1</v>
      </c>
      <c r="C285" s="70" t="s">
        <v>5373</v>
      </c>
      <c r="D285" s="63" t="s">
        <v>5372</v>
      </c>
      <c r="E285" s="19">
        <v>2</v>
      </c>
      <c r="F285" s="63" t="s">
        <v>5369</v>
      </c>
      <c r="G285" s="2" t="s">
        <v>236</v>
      </c>
      <c r="H285" s="33" t="s">
        <v>236</v>
      </c>
      <c r="I285" s="86" t="s">
        <v>105</v>
      </c>
      <c r="J285" s="14"/>
      <c r="K285" s="14"/>
    </row>
    <row r="286" spans="2:11" x14ac:dyDescent="0.25">
      <c r="B286" s="2">
        <f t="shared" si="9"/>
        <v>1</v>
      </c>
      <c r="C286" s="70" t="s">
        <v>5371</v>
      </c>
      <c r="D286" s="63" t="s">
        <v>5370</v>
      </c>
      <c r="E286" s="19">
        <v>2</v>
      </c>
      <c r="F286" s="63" t="s">
        <v>5369</v>
      </c>
      <c r="G286" s="2" t="s">
        <v>236</v>
      </c>
      <c r="H286" s="33" t="s">
        <v>236</v>
      </c>
      <c r="I286" s="86" t="s">
        <v>105</v>
      </c>
      <c r="J286" s="14"/>
      <c r="K286" s="14"/>
    </row>
    <row r="287" spans="2:11" x14ac:dyDescent="0.25">
      <c r="B287" s="2">
        <f t="shared" si="9"/>
        <v>1</v>
      </c>
      <c r="C287" s="70" t="s">
        <v>5368</v>
      </c>
      <c r="D287" s="63" t="s">
        <v>5367</v>
      </c>
      <c r="E287" s="19">
        <v>2</v>
      </c>
      <c r="F287" s="63" t="s">
        <v>5366</v>
      </c>
      <c r="G287" s="2" t="s">
        <v>236</v>
      </c>
      <c r="H287" s="33" t="s">
        <v>236</v>
      </c>
      <c r="I287" s="86" t="s">
        <v>105</v>
      </c>
      <c r="J287" s="14"/>
      <c r="K287" s="14"/>
    </row>
    <row r="288" spans="2:11" x14ac:dyDescent="0.25">
      <c r="B288" s="2">
        <f t="shared" si="9"/>
        <v>1</v>
      </c>
      <c r="C288" s="70" t="s">
        <v>5365</v>
      </c>
      <c r="D288" s="63" t="s">
        <v>5364</v>
      </c>
      <c r="E288" s="19">
        <v>2</v>
      </c>
      <c r="F288" s="63" t="s">
        <v>5361</v>
      </c>
      <c r="G288" s="2" t="s">
        <v>236</v>
      </c>
      <c r="H288" s="33" t="s">
        <v>236</v>
      </c>
      <c r="I288" s="86" t="s">
        <v>105</v>
      </c>
      <c r="J288" s="14"/>
      <c r="K288" s="14"/>
    </row>
    <row r="289" spans="1:16" x14ac:dyDescent="0.25">
      <c r="B289" s="2">
        <f t="shared" si="9"/>
        <v>1</v>
      </c>
      <c r="C289" s="70" t="s">
        <v>5363</v>
      </c>
      <c r="D289" s="63" t="s">
        <v>5362</v>
      </c>
      <c r="E289" s="19">
        <v>2</v>
      </c>
      <c r="F289" s="63" t="s">
        <v>5361</v>
      </c>
      <c r="G289" s="2" t="s">
        <v>236</v>
      </c>
      <c r="H289" s="33" t="s">
        <v>236</v>
      </c>
      <c r="I289" s="86" t="s">
        <v>105</v>
      </c>
      <c r="J289" s="14"/>
      <c r="K289" s="14"/>
    </row>
    <row r="290" spans="1:16" x14ac:dyDescent="0.25">
      <c r="C290" s="70"/>
      <c r="D290" s="63"/>
      <c r="E290" s="19"/>
      <c r="F290" s="63"/>
      <c r="G290" s="2"/>
      <c r="H290" s="33"/>
      <c r="I290" s="86"/>
      <c r="J290" s="14"/>
      <c r="K290" s="14"/>
    </row>
    <row r="291" spans="1:16" x14ac:dyDescent="0.25">
      <c r="C291" s="69" t="s">
        <v>5775</v>
      </c>
      <c r="D291" s="20"/>
      <c r="E291" s="19"/>
      <c r="F291" s="63"/>
      <c r="G291" s="2"/>
      <c r="H291" s="33"/>
      <c r="I291" s="86"/>
      <c r="J291" s="16"/>
      <c r="K291" s="16"/>
    </row>
    <row r="292" spans="1:16" x14ac:dyDescent="0.25">
      <c r="B292" s="2">
        <f t="shared" ref="B292:B297" si="10">COUNTIFS($C:$C,C292)</f>
        <v>1</v>
      </c>
      <c r="C292" s="67" t="s">
        <v>5360</v>
      </c>
      <c r="D292" s="63" t="s">
        <v>5359</v>
      </c>
      <c r="E292" s="19">
        <v>3</v>
      </c>
      <c r="F292" s="63" t="s">
        <v>5358</v>
      </c>
      <c r="G292" s="2" t="s">
        <v>236</v>
      </c>
      <c r="H292" s="33" t="s">
        <v>236</v>
      </c>
      <c r="I292" s="86" t="s">
        <v>5349</v>
      </c>
      <c r="J292" s="14"/>
      <c r="K292" s="14"/>
    </row>
    <row r="293" spans="1:16" x14ac:dyDescent="0.25">
      <c r="B293" s="2">
        <f t="shared" si="10"/>
        <v>1</v>
      </c>
      <c r="C293" s="67" t="s">
        <v>5357</v>
      </c>
      <c r="D293" s="63" t="s">
        <v>5356</v>
      </c>
      <c r="E293" s="19">
        <v>3</v>
      </c>
      <c r="F293" s="63" t="s">
        <v>5343</v>
      </c>
      <c r="G293" s="2" t="s">
        <v>236</v>
      </c>
      <c r="H293" s="33" t="s">
        <v>236</v>
      </c>
      <c r="I293" s="86" t="s">
        <v>5349</v>
      </c>
      <c r="J293" s="14"/>
      <c r="K293" s="14"/>
    </row>
    <row r="294" spans="1:16" x14ac:dyDescent="0.25">
      <c r="B294" s="2">
        <f t="shared" si="10"/>
        <v>1</v>
      </c>
      <c r="C294" s="67" t="s">
        <v>5355</v>
      </c>
      <c r="D294" s="63" t="s">
        <v>5354</v>
      </c>
      <c r="E294" s="19">
        <v>3</v>
      </c>
      <c r="F294" s="63" t="s">
        <v>5353</v>
      </c>
      <c r="G294" s="2" t="s">
        <v>236</v>
      </c>
      <c r="H294" s="33" t="s">
        <v>236</v>
      </c>
      <c r="I294" s="86" t="s">
        <v>5349</v>
      </c>
      <c r="J294" s="14"/>
      <c r="K294" s="14"/>
    </row>
    <row r="295" spans="1:16" x14ac:dyDescent="0.25">
      <c r="B295" s="2">
        <f t="shared" si="10"/>
        <v>1</v>
      </c>
      <c r="C295" s="67" t="s">
        <v>5352</v>
      </c>
      <c r="D295" s="20" t="s">
        <v>5351</v>
      </c>
      <c r="E295" s="19">
        <v>3</v>
      </c>
      <c r="F295" s="63" t="s">
        <v>5350</v>
      </c>
      <c r="G295" s="2" t="s">
        <v>236</v>
      </c>
      <c r="H295" s="33" t="s">
        <v>236</v>
      </c>
      <c r="I295" s="86" t="s">
        <v>5349</v>
      </c>
      <c r="J295" s="16"/>
      <c r="K295" s="16"/>
    </row>
    <row r="296" spans="1:16" x14ac:dyDescent="0.25">
      <c r="B296" s="2">
        <f t="shared" si="10"/>
        <v>1</v>
      </c>
      <c r="C296" s="67" t="s">
        <v>5348</v>
      </c>
      <c r="D296" s="20" t="s">
        <v>5347</v>
      </c>
      <c r="E296" s="19">
        <v>3</v>
      </c>
      <c r="F296" s="63" t="s">
        <v>5346</v>
      </c>
      <c r="G296" s="2" t="s">
        <v>5345</v>
      </c>
      <c r="H296" s="33">
        <v>45839</v>
      </c>
      <c r="I296" s="86" t="s">
        <v>5345</v>
      </c>
      <c r="J296" s="16"/>
      <c r="K296" s="16"/>
    </row>
    <row r="297" spans="1:16" x14ac:dyDescent="0.25">
      <c r="B297" s="2">
        <f t="shared" si="10"/>
        <v>1</v>
      </c>
      <c r="C297" s="67" t="s">
        <v>6149</v>
      </c>
      <c r="D297" s="20"/>
      <c r="E297" s="19"/>
      <c r="F297" s="63" t="s">
        <v>6150</v>
      </c>
      <c r="G297" s="2"/>
      <c r="H297" s="33"/>
      <c r="I297" s="86"/>
      <c r="J297" s="16"/>
      <c r="K297" s="16"/>
    </row>
    <row r="298" spans="1:16" x14ac:dyDescent="0.25">
      <c r="B298" s="2"/>
      <c r="C298" s="67"/>
      <c r="D298" s="20"/>
      <c r="E298" s="19"/>
      <c r="F298" s="63"/>
      <c r="G298" s="2"/>
      <c r="H298" s="33"/>
      <c r="I298" s="86"/>
      <c r="J298" s="16"/>
      <c r="K298" s="16"/>
    </row>
    <row r="299" spans="1:16" x14ac:dyDescent="0.25">
      <c r="D299" s="68"/>
      <c r="F299" s="63"/>
      <c r="J299" s="14"/>
      <c r="K299" s="14"/>
    </row>
    <row r="300" spans="1:16" x14ac:dyDescent="0.25">
      <c r="C300" s="69" t="s">
        <v>5345</v>
      </c>
      <c r="D300" s="68"/>
      <c r="F300" s="63"/>
      <c r="J300" s="14"/>
      <c r="K300" s="14"/>
    </row>
    <row r="301" spans="1:16" x14ac:dyDescent="0.25">
      <c r="A301" s="66"/>
      <c r="B301" s="2">
        <f t="shared" ref="B301:B311" si="11">COUNTIFS($C:$C,C301)</f>
        <v>1</v>
      </c>
      <c r="C301" s="65" t="s">
        <v>5334</v>
      </c>
      <c r="D301" s="20"/>
      <c r="E301" s="16">
        <v>4</v>
      </c>
      <c r="F301" s="63" t="s">
        <v>5333</v>
      </c>
      <c r="G301" s="14"/>
      <c r="J301" s="20"/>
      <c r="K301" s="20"/>
      <c r="L301" s="17"/>
      <c r="M301" s="64"/>
      <c r="N301" s="16"/>
      <c r="P301" s="23"/>
    </row>
    <row r="302" spans="1:16" x14ac:dyDescent="0.25">
      <c r="A302" s="66"/>
      <c r="B302" s="2">
        <f t="shared" si="11"/>
        <v>1</v>
      </c>
      <c r="C302" s="65" t="s">
        <v>5344</v>
      </c>
      <c r="D302" s="20"/>
      <c r="E302" s="16">
        <v>3</v>
      </c>
      <c r="F302" s="63" t="s">
        <v>5343</v>
      </c>
      <c r="G302" s="14"/>
      <c r="J302" s="20"/>
      <c r="K302" s="20"/>
      <c r="L302" s="17"/>
      <c r="M302" s="64"/>
      <c r="N302" s="16"/>
      <c r="P302" s="23"/>
    </row>
    <row r="303" spans="1:16" x14ac:dyDescent="0.25">
      <c r="A303" s="66"/>
      <c r="B303" s="2">
        <f t="shared" si="11"/>
        <v>1</v>
      </c>
      <c r="C303" s="65" t="s">
        <v>5342</v>
      </c>
      <c r="D303" s="20"/>
      <c r="E303" s="16">
        <v>3</v>
      </c>
      <c r="F303" s="63" t="s">
        <v>271</v>
      </c>
      <c r="G303" s="14"/>
      <c r="J303" s="20"/>
      <c r="K303" s="20"/>
      <c r="L303" s="17"/>
      <c r="M303" s="64"/>
      <c r="N303" s="16"/>
      <c r="P303" s="23"/>
    </row>
    <row r="304" spans="1:16" x14ac:dyDescent="0.25">
      <c r="A304" s="66"/>
      <c r="B304" s="2">
        <f t="shared" si="11"/>
        <v>1</v>
      </c>
      <c r="C304" s="65" t="s">
        <v>5341</v>
      </c>
      <c r="D304" s="20"/>
      <c r="E304" s="16">
        <v>3</v>
      </c>
      <c r="F304" s="63" t="s">
        <v>5340</v>
      </c>
      <c r="G304" s="14"/>
      <c r="J304" s="20"/>
      <c r="K304" s="20"/>
      <c r="L304" s="17"/>
      <c r="M304" s="64"/>
      <c r="N304" s="16"/>
      <c r="P304" s="23"/>
    </row>
    <row r="305" spans="1:16" x14ac:dyDescent="0.25">
      <c r="A305" s="66"/>
      <c r="B305" s="2">
        <f t="shared" si="11"/>
        <v>1</v>
      </c>
      <c r="C305" s="65" t="s">
        <v>5339</v>
      </c>
      <c r="D305" s="20" t="s">
        <v>5338</v>
      </c>
      <c r="E305" s="16">
        <v>3</v>
      </c>
      <c r="F305" s="63" t="s">
        <v>5337</v>
      </c>
      <c r="G305" s="14"/>
      <c r="J305" s="20"/>
      <c r="K305" s="20"/>
      <c r="L305" s="17"/>
      <c r="M305" s="64"/>
      <c r="N305" s="16"/>
      <c r="P305" s="23"/>
    </row>
    <row r="306" spans="1:16" x14ac:dyDescent="0.25">
      <c r="A306" s="66"/>
      <c r="B306" s="2">
        <f t="shared" si="11"/>
        <v>1</v>
      </c>
      <c r="C306" s="65" t="s">
        <v>5336</v>
      </c>
      <c r="D306" s="20"/>
      <c r="E306" s="16">
        <v>3</v>
      </c>
      <c r="F306" s="63" t="s">
        <v>5335</v>
      </c>
      <c r="G306" s="14"/>
      <c r="J306" s="20"/>
      <c r="K306" s="20"/>
      <c r="L306" s="17"/>
      <c r="M306" s="64"/>
      <c r="N306" s="16"/>
      <c r="P306" s="23"/>
    </row>
    <row r="307" spans="1:16" x14ac:dyDescent="0.25">
      <c r="A307" s="66"/>
      <c r="B307" s="2">
        <f t="shared" si="11"/>
        <v>1</v>
      </c>
      <c r="C307" s="65" t="s">
        <v>5738</v>
      </c>
      <c r="D307" s="20"/>
      <c r="E307" s="16">
        <v>3</v>
      </c>
      <c r="F307" s="63" t="s">
        <v>5739</v>
      </c>
      <c r="G307" s="14"/>
      <c r="J307" s="20"/>
      <c r="K307" s="20"/>
      <c r="L307" s="17"/>
      <c r="M307" s="64"/>
      <c r="N307" s="16"/>
      <c r="P307" s="23"/>
    </row>
    <row r="308" spans="1:16" x14ac:dyDescent="0.25">
      <c r="A308" s="66"/>
      <c r="B308" s="2">
        <f t="shared" si="11"/>
        <v>1</v>
      </c>
      <c r="C308" s="65" t="s">
        <v>5740</v>
      </c>
      <c r="D308" s="20"/>
      <c r="E308" s="16">
        <v>3</v>
      </c>
      <c r="F308" s="63" t="s">
        <v>5741</v>
      </c>
      <c r="G308" s="14"/>
      <c r="J308" s="20"/>
      <c r="K308" s="20"/>
      <c r="L308" s="17"/>
      <c r="M308" s="64"/>
      <c r="N308" s="16"/>
      <c r="P308" s="23"/>
    </row>
    <row r="309" spans="1:16" x14ac:dyDescent="0.25">
      <c r="A309" s="66"/>
      <c r="B309" s="2">
        <f t="shared" si="11"/>
        <v>1</v>
      </c>
      <c r="C309" s="65" t="s">
        <v>5742</v>
      </c>
      <c r="D309" s="20"/>
      <c r="E309" s="16">
        <v>3</v>
      </c>
      <c r="F309" s="63" t="s">
        <v>5743</v>
      </c>
      <c r="G309" s="14"/>
      <c r="J309" s="20"/>
      <c r="K309" s="20"/>
      <c r="L309" s="17"/>
      <c r="M309" s="64"/>
      <c r="N309" s="16"/>
      <c r="P309" s="23"/>
    </row>
    <row r="310" spans="1:16" x14ac:dyDescent="0.25">
      <c r="A310" s="66"/>
      <c r="B310" s="2">
        <f t="shared" si="11"/>
        <v>1</v>
      </c>
      <c r="C310" s="65" t="s">
        <v>7341</v>
      </c>
      <c r="D310" s="20"/>
      <c r="E310" s="16">
        <v>3</v>
      </c>
      <c r="F310" s="63" t="s">
        <v>7342</v>
      </c>
      <c r="G310" s="14"/>
      <c r="I310" s="87" t="s">
        <v>5345</v>
      </c>
      <c r="J310" s="20" t="s">
        <v>7343</v>
      </c>
      <c r="K310" s="20"/>
      <c r="L310" s="17"/>
      <c r="M310" s="64"/>
      <c r="N310" s="16"/>
      <c r="P310" s="23"/>
    </row>
    <row r="311" spans="1:16" x14ac:dyDescent="0.25">
      <c r="A311" s="66"/>
      <c r="B311" s="2">
        <f t="shared" si="11"/>
        <v>1</v>
      </c>
      <c r="C311" s="65" t="s">
        <v>7347</v>
      </c>
      <c r="D311" s="20"/>
      <c r="E311" s="16"/>
      <c r="F311" s="63" t="s">
        <v>7348</v>
      </c>
      <c r="G311" s="14"/>
      <c r="J311" s="20"/>
      <c r="K311" s="20"/>
      <c r="L311" s="17"/>
      <c r="M311" s="64"/>
      <c r="N311" s="16"/>
      <c r="P311" s="23"/>
    </row>
    <row r="312" spans="1:16" x14ac:dyDescent="0.25">
      <c r="A312" s="66"/>
      <c r="B312" s="2"/>
      <c r="C312" s="65"/>
      <c r="D312" s="20"/>
      <c r="E312" s="16"/>
      <c r="F312" s="63"/>
      <c r="G312" s="14"/>
      <c r="J312" s="20"/>
      <c r="K312" s="20"/>
      <c r="L312" s="17"/>
      <c r="M312" s="64"/>
      <c r="N312" s="16"/>
      <c r="P312" s="23"/>
    </row>
    <row r="313" spans="1:16" x14ac:dyDescent="0.25">
      <c r="A313" s="66"/>
      <c r="B313" s="2"/>
      <c r="C313" s="65"/>
      <c r="D313" s="20"/>
      <c r="E313" s="16"/>
      <c r="F313" s="63"/>
      <c r="G313" s="14"/>
      <c r="J313" s="20"/>
      <c r="K313" s="20"/>
      <c r="L313" s="17"/>
      <c r="M313" s="64"/>
      <c r="N313" s="16"/>
      <c r="P313" s="23"/>
    </row>
    <row r="314" spans="1:16" x14ac:dyDescent="0.25">
      <c r="A314" s="66"/>
      <c r="B314" s="2"/>
      <c r="C314" s="65"/>
      <c r="D314" s="20"/>
      <c r="E314" s="16"/>
      <c r="F314" s="63"/>
      <c r="G314" s="14"/>
      <c r="J314" s="20"/>
      <c r="K314" s="20"/>
      <c r="L314" s="17"/>
      <c r="M314" s="64"/>
      <c r="N314" s="16"/>
      <c r="P314" s="23"/>
    </row>
    <row r="315" spans="1:16" x14ac:dyDescent="0.25">
      <c r="A315" s="66"/>
      <c r="B315" s="2"/>
      <c r="C315" s="65"/>
      <c r="D315" s="20"/>
      <c r="E315" s="16"/>
      <c r="F315" s="63"/>
      <c r="G315" s="14"/>
      <c r="J315" s="20"/>
      <c r="K315" s="20"/>
      <c r="L315" s="17"/>
      <c r="M315" s="64"/>
      <c r="N315" s="16"/>
      <c r="P315" s="23"/>
    </row>
    <row r="316" spans="1:16" x14ac:dyDescent="0.25">
      <c r="A316" s="66"/>
      <c r="B316" s="2"/>
      <c r="C316" s="65"/>
      <c r="D316" s="20"/>
      <c r="E316" s="16"/>
      <c r="F316" s="63"/>
      <c r="G316" s="14"/>
      <c r="J316" s="20"/>
      <c r="K316" s="20"/>
      <c r="L316" s="17"/>
      <c r="M316" s="64"/>
      <c r="N316" s="16"/>
      <c r="P316" s="23"/>
    </row>
    <row r="317" spans="1:16" x14ac:dyDescent="0.25">
      <c r="A317" s="66"/>
      <c r="B317" s="2"/>
      <c r="C317" s="65"/>
      <c r="D317" s="20"/>
      <c r="E317" s="16"/>
      <c r="F317" s="63"/>
      <c r="G317" s="14"/>
      <c r="J317" s="20"/>
      <c r="K317" s="20"/>
      <c r="L317" s="17"/>
      <c r="M317" s="64"/>
      <c r="N317" s="16"/>
      <c r="P317" s="23"/>
    </row>
    <row r="318" spans="1:16" x14ac:dyDescent="0.25">
      <c r="A318" s="66"/>
      <c r="B318" s="2"/>
      <c r="C318" s="65"/>
      <c r="D318" s="20"/>
      <c r="E318" s="16"/>
      <c r="F318" s="63"/>
      <c r="G318" s="14"/>
      <c r="J318" s="20"/>
      <c r="K318" s="20"/>
      <c r="L318" s="17"/>
      <c r="M318" s="64"/>
      <c r="N318" s="16"/>
      <c r="P318" s="23"/>
    </row>
    <row r="319" spans="1:16" s="27" customFormat="1" x14ac:dyDescent="0.25">
      <c r="I319" s="85"/>
    </row>
    <row r="320" spans="1:16" x14ac:dyDescent="0.25">
      <c r="C320" s="22" t="s">
        <v>284</v>
      </c>
    </row>
    <row r="321" spans="2:11" x14ac:dyDescent="0.25">
      <c r="B321" s="2">
        <f t="shared" ref="B321:B334" si="12">COUNTIFS($C:$C,C321)</f>
        <v>1</v>
      </c>
      <c r="C321" s="21" t="s">
        <v>311</v>
      </c>
      <c r="D321" s="20" t="s">
        <v>310</v>
      </c>
      <c r="E321" s="19">
        <v>5</v>
      </c>
      <c r="F321" s="18" t="s">
        <v>309</v>
      </c>
      <c r="G321" s="16" t="s">
        <v>236</v>
      </c>
      <c r="H321" s="17" t="s">
        <v>236</v>
      </c>
      <c r="I321" s="90" t="s">
        <v>284</v>
      </c>
      <c r="J321" s="24"/>
      <c r="K321" s="24"/>
    </row>
    <row r="322" spans="2:11" x14ac:dyDescent="0.25">
      <c r="B322" s="2">
        <f t="shared" si="12"/>
        <v>1</v>
      </c>
      <c r="C322" s="21" t="s">
        <v>308</v>
      </c>
      <c r="D322" s="20" t="s">
        <v>307</v>
      </c>
      <c r="E322" s="19">
        <v>4</v>
      </c>
      <c r="F322" s="18" t="s">
        <v>306</v>
      </c>
      <c r="G322" s="16" t="s">
        <v>284</v>
      </c>
      <c r="H322" s="17">
        <v>44805</v>
      </c>
      <c r="I322" s="90" t="s">
        <v>236</v>
      </c>
      <c r="J322" s="24"/>
      <c r="K322" s="24"/>
    </row>
    <row r="323" spans="2:11" x14ac:dyDescent="0.25">
      <c r="B323" s="2">
        <f t="shared" si="12"/>
        <v>1</v>
      </c>
      <c r="C323" s="21" t="s">
        <v>305</v>
      </c>
      <c r="D323" s="20" t="s">
        <v>304</v>
      </c>
      <c r="E323" s="19">
        <v>3</v>
      </c>
      <c r="F323" s="18" t="s">
        <v>297</v>
      </c>
      <c r="G323" s="16" t="s">
        <v>236</v>
      </c>
      <c r="H323" s="17" t="s">
        <v>236</v>
      </c>
      <c r="I323" s="90" t="s">
        <v>284</v>
      </c>
      <c r="J323" s="24"/>
      <c r="K323" s="24"/>
    </row>
    <row r="324" spans="2:11" x14ac:dyDescent="0.25">
      <c r="B324" s="2">
        <f t="shared" si="12"/>
        <v>1</v>
      </c>
      <c r="C324" s="21" t="s">
        <v>303</v>
      </c>
      <c r="D324" s="20" t="s">
        <v>302</v>
      </c>
      <c r="E324" s="19">
        <v>3</v>
      </c>
      <c r="F324" s="18" t="s">
        <v>297</v>
      </c>
      <c r="G324" s="16" t="s">
        <v>236</v>
      </c>
      <c r="H324" s="17" t="s">
        <v>236</v>
      </c>
      <c r="I324" s="90" t="s">
        <v>284</v>
      </c>
      <c r="J324" s="24"/>
      <c r="K324" s="24"/>
    </row>
    <row r="325" spans="2:11" x14ac:dyDescent="0.25">
      <c r="B325" s="2">
        <f t="shared" si="12"/>
        <v>1</v>
      </c>
      <c r="C325" s="21" t="s">
        <v>301</v>
      </c>
      <c r="D325" s="20" t="s">
        <v>300</v>
      </c>
      <c r="E325" s="19">
        <v>3</v>
      </c>
      <c r="F325" s="18" t="s">
        <v>280</v>
      </c>
      <c r="G325" s="16" t="s">
        <v>228</v>
      </c>
      <c r="H325" s="17">
        <v>43647</v>
      </c>
      <c r="I325" s="90" t="s">
        <v>284</v>
      </c>
      <c r="J325" s="24"/>
      <c r="K325" s="24"/>
    </row>
    <row r="326" spans="2:11" x14ac:dyDescent="0.25">
      <c r="B326" s="2">
        <f t="shared" si="12"/>
        <v>1</v>
      </c>
      <c r="C326" s="21" t="s">
        <v>299</v>
      </c>
      <c r="D326" s="20" t="s">
        <v>298</v>
      </c>
      <c r="E326" s="19">
        <v>3</v>
      </c>
      <c r="F326" s="18" t="s">
        <v>297</v>
      </c>
      <c r="G326" s="16" t="s">
        <v>236</v>
      </c>
      <c r="H326" s="17" t="s">
        <v>236</v>
      </c>
      <c r="I326" s="90" t="s">
        <v>284</v>
      </c>
      <c r="J326" s="24"/>
      <c r="K326" s="24"/>
    </row>
    <row r="327" spans="2:11" x14ac:dyDescent="0.25">
      <c r="B327" s="2">
        <f t="shared" si="12"/>
        <v>1</v>
      </c>
      <c r="C327" s="21" t="s">
        <v>296</v>
      </c>
      <c r="D327" s="20" t="s">
        <v>295</v>
      </c>
      <c r="E327" s="19">
        <v>3</v>
      </c>
      <c r="F327" s="18" t="s">
        <v>294</v>
      </c>
      <c r="G327" s="16" t="s">
        <v>236</v>
      </c>
      <c r="H327" s="17" t="s">
        <v>236</v>
      </c>
      <c r="I327" s="90" t="s">
        <v>284</v>
      </c>
      <c r="J327" s="24"/>
      <c r="K327" s="24"/>
    </row>
    <row r="328" spans="2:11" x14ac:dyDescent="0.25">
      <c r="B328" s="2">
        <f t="shared" si="12"/>
        <v>1</v>
      </c>
      <c r="C328" s="21" t="s">
        <v>293</v>
      </c>
      <c r="D328" s="20" t="s">
        <v>292</v>
      </c>
      <c r="E328" s="19">
        <v>3</v>
      </c>
      <c r="F328" s="18" t="s">
        <v>291</v>
      </c>
      <c r="G328" s="16" t="s">
        <v>236</v>
      </c>
      <c r="H328" s="17" t="s">
        <v>236</v>
      </c>
      <c r="I328" s="90" t="s">
        <v>284</v>
      </c>
      <c r="J328" s="24"/>
      <c r="K328" s="24"/>
    </row>
    <row r="329" spans="2:11" x14ac:dyDescent="0.25">
      <c r="B329" s="2">
        <f t="shared" si="12"/>
        <v>1</v>
      </c>
      <c r="C329" s="21" t="s">
        <v>290</v>
      </c>
      <c r="D329" s="20" t="s">
        <v>289</v>
      </c>
      <c r="E329" s="19">
        <v>3</v>
      </c>
      <c r="F329" s="18" t="s">
        <v>288</v>
      </c>
      <c r="G329" s="16" t="s">
        <v>224</v>
      </c>
      <c r="H329" s="17">
        <v>45261</v>
      </c>
      <c r="I329" s="90" t="s">
        <v>284</v>
      </c>
      <c r="J329" s="24"/>
      <c r="K329" s="24"/>
    </row>
    <row r="330" spans="2:11" x14ac:dyDescent="0.25">
      <c r="B330" s="2">
        <f t="shared" si="12"/>
        <v>1</v>
      </c>
      <c r="C330" s="21" t="s">
        <v>287</v>
      </c>
      <c r="D330" s="20" t="s">
        <v>286</v>
      </c>
      <c r="E330" s="19">
        <v>3</v>
      </c>
      <c r="F330" s="18" t="s">
        <v>285</v>
      </c>
      <c r="G330" s="16" t="s">
        <v>284</v>
      </c>
      <c r="H330" s="17">
        <v>45870</v>
      </c>
      <c r="I330" s="90" t="s">
        <v>236</v>
      </c>
      <c r="J330" s="24"/>
      <c r="K330" s="24"/>
    </row>
    <row r="331" spans="2:11" x14ac:dyDescent="0.25">
      <c r="B331" s="2">
        <f t="shared" si="12"/>
        <v>1</v>
      </c>
      <c r="C331" s="21" t="s">
        <v>283</v>
      </c>
      <c r="D331" s="20"/>
      <c r="E331" s="19">
        <v>3</v>
      </c>
      <c r="F331" s="18" t="s">
        <v>282</v>
      </c>
      <c r="H331" s="17"/>
      <c r="I331" s="90"/>
      <c r="J331" s="24"/>
      <c r="K331" s="24"/>
    </row>
    <row r="332" spans="2:11" x14ac:dyDescent="0.25">
      <c r="B332" s="2">
        <f t="shared" si="12"/>
        <v>1</v>
      </c>
      <c r="C332" s="21" t="s">
        <v>281</v>
      </c>
      <c r="D332" s="20"/>
      <c r="E332" s="19">
        <v>3</v>
      </c>
      <c r="F332" s="18" t="s">
        <v>280</v>
      </c>
      <c r="H332" s="17"/>
      <c r="I332" s="90"/>
      <c r="J332" s="24"/>
      <c r="K332" s="24"/>
    </row>
    <row r="333" spans="2:11" x14ac:dyDescent="0.25">
      <c r="B333" s="2">
        <f t="shared" si="12"/>
        <v>1</v>
      </c>
      <c r="C333" s="21" t="s">
        <v>279</v>
      </c>
      <c r="D333" s="20"/>
      <c r="E333" s="19">
        <v>3</v>
      </c>
      <c r="F333" s="18" t="s">
        <v>278</v>
      </c>
      <c r="H333" s="17"/>
      <c r="I333" s="90"/>
      <c r="J333" s="24"/>
      <c r="K333" s="24"/>
    </row>
    <row r="334" spans="2:11" x14ac:dyDescent="0.25">
      <c r="B334" s="2">
        <f t="shared" si="12"/>
        <v>1</v>
      </c>
      <c r="C334" s="21" t="s">
        <v>277</v>
      </c>
      <c r="D334" s="20"/>
      <c r="E334" s="19">
        <v>3</v>
      </c>
      <c r="F334" s="18" t="s">
        <v>276</v>
      </c>
      <c r="H334" s="17"/>
      <c r="I334" s="90"/>
      <c r="J334" s="24"/>
      <c r="K334" s="24"/>
    </row>
    <row r="335" spans="2:11" x14ac:dyDescent="0.25">
      <c r="B335" s="2"/>
      <c r="C335" s="21"/>
      <c r="D335" s="20"/>
      <c r="E335" s="19"/>
      <c r="F335" s="18"/>
      <c r="H335" s="17"/>
      <c r="I335" s="90"/>
      <c r="J335" s="24"/>
      <c r="K335" s="24"/>
    </row>
    <row r="336" spans="2:11" x14ac:dyDescent="0.25">
      <c r="B336" s="2"/>
      <c r="C336" s="21"/>
      <c r="D336" s="20"/>
      <c r="E336" s="19"/>
      <c r="F336" s="18"/>
      <c r="H336" s="17"/>
      <c r="I336" s="90"/>
      <c r="J336" s="24"/>
      <c r="K336" s="24"/>
    </row>
    <row r="337" spans="2:11" x14ac:dyDescent="0.25">
      <c r="B337" s="2"/>
      <c r="C337" s="21"/>
      <c r="D337" s="20"/>
      <c r="E337" s="19"/>
      <c r="F337" s="18"/>
      <c r="H337" s="17"/>
      <c r="I337" s="90"/>
      <c r="J337" s="24"/>
      <c r="K337" s="24"/>
    </row>
    <row r="338" spans="2:11" x14ac:dyDescent="0.25">
      <c r="C338" s="21"/>
      <c r="D338" s="20"/>
      <c r="E338" s="19"/>
      <c r="F338" s="18"/>
      <c r="H338" s="17"/>
      <c r="I338" s="90"/>
      <c r="J338" s="24"/>
      <c r="K338" s="24"/>
    </row>
    <row r="339" spans="2:11" x14ac:dyDescent="0.25">
      <c r="B339" s="2"/>
      <c r="C339" s="22" t="s">
        <v>253</v>
      </c>
      <c r="D339" s="20"/>
      <c r="E339" s="19"/>
      <c r="F339" s="18"/>
      <c r="H339" s="17"/>
      <c r="I339" s="90"/>
      <c r="J339" s="24"/>
      <c r="K339" s="24"/>
    </row>
    <row r="340" spans="2:11" x14ac:dyDescent="0.25">
      <c r="B340" s="2">
        <v>1</v>
      </c>
      <c r="C340" s="26" t="s">
        <v>275</v>
      </c>
      <c r="D340" s="20" t="s">
        <v>274</v>
      </c>
      <c r="E340" s="19">
        <v>5</v>
      </c>
      <c r="F340" s="18" t="s">
        <v>246</v>
      </c>
      <c r="G340" s="16" t="s">
        <v>236</v>
      </c>
      <c r="H340" s="17" t="s">
        <v>236</v>
      </c>
      <c r="I340" s="90" t="s">
        <v>253</v>
      </c>
    </row>
    <row r="341" spans="2:11" x14ac:dyDescent="0.25">
      <c r="B341" s="2">
        <v>1</v>
      </c>
      <c r="C341" s="26" t="s">
        <v>273</v>
      </c>
      <c r="D341" s="20" t="s">
        <v>272</v>
      </c>
      <c r="E341" s="19">
        <v>4</v>
      </c>
      <c r="F341" s="25" t="s">
        <v>271</v>
      </c>
      <c r="G341" s="16" t="s">
        <v>236</v>
      </c>
      <c r="H341" s="17" t="s">
        <v>236</v>
      </c>
      <c r="I341" s="90" t="s">
        <v>253</v>
      </c>
      <c r="J341" s="24"/>
      <c r="K341" s="24"/>
    </row>
    <row r="342" spans="2:11" x14ac:dyDescent="0.25">
      <c r="B342" s="2">
        <v>1</v>
      </c>
      <c r="C342" s="21" t="s">
        <v>270</v>
      </c>
      <c r="D342" s="20" t="s">
        <v>269</v>
      </c>
      <c r="E342" s="19">
        <v>3</v>
      </c>
      <c r="F342" s="18" t="s">
        <v>254</v>
      </c>
      <c r="G342" s="16" t="s">
        <v>236</v>
      </c>
      <c r="H342" s="17" t="s">
        <v>236</v>
      </c>
      <c r="I342" s="90" t="s">
        <v>253</v>
      </c>
    </row>
    <row r="343" spans="2:11" x14ac:dyDescent="0.25">
      <c r="B343" s="2">
        <f>COUNTIFS($C:$C,C343)</f>
        <v>1</v>
      </c>
      <c r="C343" s="21" t="s">
        <v>268</v>
      </c>
      <c r="D343" s="20" t="s">
        <v>267</v>
      </c>
      <c r="E343" s="19">
        <v>3</v>
      </c>
      <c r="F343" s="18" t="s">
        <v>261</v>
      </c>
      <c r="G343" s="16" t="s">
        <v>236</v>
      </c>
      <c r="H343" s="17" t="s">
        <v>236</v>
      </c>
      <c r="I343" s="90" t="s">
        <v>253</v>
      </c>
    </row>
    <row r="344" spans="2:11" x14ac:dyDescent="0.25">
      <c r="B344" s="2">
        <f>COUNTIFS($C:$C,C344)</f>
        <v>1</v>
      </c>
      <c r="C344" s="21" t="s">
        <v>266</v>
      </c>
      <c r="D344" s="20" t="s">
        <v>265</v>
      </c>
      <c r="E344" s="19">
        <v>3</v>
      </c>
      <c r="F344" s="18" t="s">
        <v>264</v>
      </c>
      <c r="G344" s="16" t="s">
        <v>236</v>
      </c>
      <c r="H344" s="17" t="s">
        <v>236</v>
      </c>
      <c r="I344" s="90" t="s">
        <v>253</v>
      </c>
    </row>
    <row r="345" spans="2:11" x14ac:dyDescent="0.25">
      <c r="B345" s="2">
        <f>COUNTIFS($C:$C,C345)</f>
        <v>1</v>
      </c>
      <c r="C345" s="21" t="s">
        <v>263</v>
      </c>
      <c r="D345" s="20" t="s">
        <v>262</v>
      </c>
      <c r="E345" s="19">
        <v>3</v>
      </c>
      <c r="F345" s="18" t="s">
        <v>261</v>
      </c>
      <c r="G345" s="16" t="s">
        <v>236</v>
      </c>
      <c r="H345" s="17" t="s">
        <v>236</v>
      </c>
      <c r="I345" s="90" t="s">
        <v>253</v>
      </c>
    </row>
    <row r="346" spans="2:11" x14ac:dyDescent="0.25">
      <c r="B346" s="2">
        <v>1</v>
      </c>
      <c r="C346" s="21" t="s">
        <v>260</v>
      </c>
      <c r="D346" s="20" t="s">
        <v>259</v>
      </c>
      <c r="E346" s="19">
        <v>2</v>
      </c>
      <c r="F346" s="18" t="s">
        <v>254</v>
      </c>
      <c r="G346" s="16" t="s">
        <v>236</v>
      </c>
      <c r="H346" s="17" t="s">
        <v>236</v>
      </c>
      <c r="I346" s="90" t="s">
        <v>253</v>
      </c>
    </row>
    <row r="347" spans="2:11" x14ac:dyDescent="0.25">
      <c r="B347" s="2">
        <v>1</v>
      </c>
      <c r="C347" s="21" t="s">
        <v>258</v>
      </c>
      <c r="D347" s="20" t="s">
        <v>257</v>
      </c>
      <c r="E347" s="19">
        <v>2</v>
      </c>
      <c r="F347" s="18" t="s">
        <v>254</v>
      </c>
      <c r="G347" s="16" t="s">
        <v>236</v>
      </c>
      <c r="H347" s="17" t="s">
        <v>236</v>
      </c>
      <c r="I347" s="90" t="s">
        <v>253</v>
      </c>
    </row>
    <row r="348" spans="2:11" x14ac:dyDescent="0.25">
      <c r="B348" s="2">
        <f>COUNTIFS($C:$C,C348)</f>
        <v>1</v>
      </c>
      <c r="C348" s="21" t="s">
        <v>256</v>
      </c>
      <c r="D348" s="20" t="s">
        <v>255</v>
      </c>
      <c r="E348" s="19">
        <v>2</v>
      </c>
      <c r="F348" s="18" t="s">
        <v>254</v>
      </c>
      <c r="G348" s="16" t="s">
        <v>236</v>
      </c>
      <c r="H348" s="17" t="s">
        <v>236</v>
      </c>
      <c r="I348" s="90" t="s">
        <v>253</v>
      </c>
    </row>
    <row r="349" spans="2:11" x14ac:dyDescent="0.25">
      <c r="C349" s="21"/>
      <c r="D349" s="20"/>
      <c r="E349" s="19"/>
      <c r="F349" s="18"/>
      <c r="H349" s="17"/>
      <c r="I349" s="90"/>
      <c r="J349" s="24"/>
      <c r="K349" s="24"/>
    </row>
    <row r="350" spans="2:11" x14ac:dyDescent="0.25">
      <c r="B350" s="2"/>
      <c r="C350" s="22" t="s">
        <v>252</v>
      </c>
      <c r="D350" s="20"/>
      <c r="E350" s="19"/>
      <c r="F350" s="18"/>
      <c r="H350" s="17"/>
      <c r="I350" s="90"/>
    </row>
    <row r="351" spans="2:11" x14ac:dyDescent="0.25">
      <c r="B351" s="2">
        <f>COUNTIFS($C:$C,C351)</f>
        <v>1</v>
      </c>
      <c r="C351" s="21" t="s">
        <v>248</v>
      </c>
      <c r="D351" s="20" t="s">
        <v>247</v>
      </c>
      <c r="E351" s="19">
        <v>5</v>
      </c>
      <c r="F351" s="18" t="s">
        <v>246</v>
      </c>
      <c r="G351" s="16" t="s">
        <v>236</v>
      </c>
      <c r="H351" s="17" t="s">
        <v>236</v>
      </c>
      <c r="I351" s="90" t="s">
        <v>235</v>
      </c>
    </row>
    <row r="352" spans="2:11" x14ac:dyDescent="0.25">
      <c r="B352" s="2">
        <f>COUNTIFS($C:$C,C352)</f>
        <v>1</v>
      </c>
      <c r="C352" s="21" t="s">
        <v>251</v>
      </c>
      <c r="D352" s="20" t="s">
        <v>250</v>
      </c>
      <c r="E352" s="19">
        <v>3</v>
      </c>
      <c r="F352" s="18" t="s">
        <v>249</v>
      </c>
      <c r="G352" s="16" t="s">
        <v>236</v>
      </c>
      <c r="H352" s="17" t="s">
        <v>236</v>
      </c>
      <c r="I352" s="90" t="s">
        <v>235</v>
      </c>
    </row>
    <row r="353" spans="2:11" x14ac:dyDescent="0.25">
      <c r="B353" s="2">
        <f>COUNTIFS($C:$C,C353)</f>
        <v>1</v>
      </c>
      <c r="C353" s="21" t="s">
        <v>245</v>
      </c>
      <c r="D353" s="20" t="s">
        <v>244</v>
      </c>
      <c r="E353" s="19">
        <v>3</v>
      </c>
      <c r="F353" s="18" t="s">
        <v>243</v>
      </c>
      <c r="G353" s="16" t="s">
        <v>236</v>
      </c>
      <c r="H353" s="17" t="s">
        <v>236</v>
      </c>
      <c r="I353" s="90" t="s">
        <v>235</v>
      </c>
    </row>
    <row r="354" spans="2:11" x14ac:dyDescent="0.25">
      <c r="B354" s="2">
        <f>COUNTIFS($C:$C,C354)</f>
        <v>1</v>
      </c>
      <c r="C354" s="21" t="s">
        <v>242</v>
      </c>
      <c r="D354" s="20" t="s">
        <v>241</v>
      </c>
      <c r="E354" s="19">
        <v>3</v>
      </c>
      <c r="F354" s="18" t="s">
        <v>240</v>
      </c>
      <c r="G354" s="16" t="s">
        <v>236</v>
      </c>
      <c r="H354" s="17" t="s">
        <v>236</v>
      </c>
      <c r="I354" s="90" t="s">
        <v>235</v>
      </c>
    </row>
    <row r="355" spans="2:11" x14ac:dyDescent="0.25">
      <c r="B355" s="2">
        <f>COUNTIFS($C:$C,C355)</f>
        <v>1</v>
      </c>
      <c r="C355" s="21" t="s">
        <v>239</v>
      </c>
      <c r="D355" s="20" t="s">
        <v>238</v>
      </c>
      <c r="E355" s="19">
        <v>2</v>
      </c>
      <c r="F355" s="18" t="s">
        <v>237</v>
      </c>
      <c r="G355" s="16" t="s">
        <v>236</v>
      </c>
      <c r="H355" s="17" t="s">
        <v>236</v>
      </c>
      <c r="I355" s="90" t="s">
        <v>235</v>
      </c>
    </row>
    <row r="356" spans="2:11" x14ac:dyDescent="0.25">
      <c r="C356" s="26"/>
      <c r="D356" s="20"/>
      <c r="E356" s="19"/>
      <c r="F356" s="25"/>
      <c r="H356" s="17"/>
      <c r="I356" s="90"/>
      <c r="J356" s="24"/>
      <c r="K356" s="24"/>
    </row>
    <row r="357" spans="2:11" x14ac:dyDescent="0.25">
      <c r="C357" s="22" t="s">
        <v>229</v>
      </c>
      <c r="H357" s="17"/>
    </row>
    <row r="358" spans="2:11" x14ac:dyDescent="0.25">
      <c r="B358" s="2">
        <f>COUNTIFS($C:$C,C358)</f>
        <v>1</v>
      </c>
      <c r="C358" s="21" t="s">
        <v>234</v>
      </c>
      <c r="D358" s="20"/>
      <c r="E358" s="19"/>
      <c r="F358" s="18"/>
      <c r="H358" s="17"/>
      <c r="I358" s="90" t="s">
        <v>229</v>
      </c>
    </row>
    <row r="359" spans="2:11" x14ac:dyDescent="0.25">
      <c r="B359" s="2">
        <f>COUNTIFS($C:$C,C359)</f>
        <v>1</v>
      </c>
      <c r="C359" s="21" t="s">
        <v>233</v>
      </c>
      <c r="D359" s="20"/>
      <c r="E359" s="19"/>
      <c r="F359" s="18"/>
      <c r="H359" s="17"/>
      <c r="I359" s="90" t="s">
        <v>229</v>
      </c>
    </row>
    <row r="360" spans="2:11" x14ac:dyDescent="0.25">
      <c r="B360" s="2">
        <f>COUNTIFS($C:$C,C360)</f>
        <v>1</v>
      </c>
      <c r="C360" s="21" t="s">
        <v>232</v>
      </c>
      <c r="D360" s="20"/>
      <c r="E360" s="19"/>
      <c r="F360" s="18"/>
      <c r="H360" s="17"/>
      <c r="I360" s="90" t="s">
        <v>229</v>
      </c>
    </row>
    <row r="361" spans="2:11" x14ac:dyDescent="0.25">
      <c r="B361" s="2">
        <f>COUNTIFS($C:$C,C361)</f>
        <v>1</v>
      </c>
      <c r="C361" s="21" t="s">
        <v>231</v>
      </c>
      <c r="D361" s="20"/>
      <c r="E361" s="19"/>
      <c r="F361" s="18"/>
      <c r="H361" s="17"/>
      <c r="I361" s="90" t="s">
        <v>229</v>
      </c>
    </row>
    <row r="362" spans="2:11" x14ac:dyDescent="0.25">
      <c r="B362" s="2">
        <f>COUNTIFS($C:$C,C362)</f>
        <v>1</v>
      </c>
      <c r="C362" s="21" t="s">
        <v>230</v>
      </c>
      <c r="D362" s="20"/>
      <c r="E362" s="19"/>
      <c r="F362" s="18"/>
      <c r="H362" s="17"/>
      <c r="I362" s="90" t="s">
        <v>229</v>
      </c>
    </row>
    <row r="363" spans="2:11" x14ac:dyDescent="0.25">
      <c r="H363" s="17"/>
    </row>
    <row r="364" spans="2:11" x14ac:dyDescent="0.25">
      <c r="C364" s="22" t="s">
        <v>320</v>
      </c>
      <c r="H364" s="17"/>
    </row>
    <row r="365" spans="2:11" x14ac:dyDescent="0.25">
      <c r="B365" s="2">
        <f t="shared" ref="B365:B386" si="13">COUNTIFS($C:$C,C365)</f>
        <v>1</v>
      </c>
      <c r="C365" s="3" t="s">
        <v>5262</v>
      </c>
      <c r="D365" s="63" t="s">
        <v>5263</v>
      </c>
      <c r="E365" s="19">
        <v>5</v>
      </c>
      <c r="F365" s="63" t="s">
        <v>246</v>
      </c>
      <c r="G365" s="2"/>
      <c r="H365" s="17"/>
      <c r="I365" s="86" t="s">
        <v>320</v>
      </c>
    </row>
    <row r="366" spans="2:11" x14ac:dyDescent="0.25">
      <c r="B366" s="2">
        <f t="shared" si="13"/>
        <v>1</v>
      </c>
      <c r="C366" s="3" t="s">
        <v>5264</v>
      </c>
      <c r="D366" s="63" t="s">
        <v>5265</v>
      </c>
      <c r="E366" s="19">
        <v>4</v>
      </c>
      <c r="F366" s="63" t="s">
        <v>5266</v>
      </c>
      <c r="G366" s="2"/>
      <c r="H366" s="17"/>
      <c r="I366" s="86" t="s">
        <v>320</v>
      </c>
    </row>
    <row r="367" spans="2:11" x14ac:dyDescent="0.25">
      <c r="B367" s="2">
        <f t="shared" si="13"/>
        <v>1</v>
      </c>
      <c r="C367" s="3" t="s">
        <v>5267</v>
      </c>
      <c r="D367" s="63" t="s">
        <v>5268</v>
      </c>
      <c r="E367" s="19">
        <v>4</v>
      </c>
      <c r="F367" s="63" t="s">
        <v>5266</v>
      </c>
      <c r="G367" s="2"/>
      <c r="H367" s="17"/>
      <c r="I367" s="86" t="s">
        <v>320</v>
      </c>
    </row>
    <row r="368" spans="2:11" x14ac:dyDescent="0.25">
      <c r="B368" s="2">
        <f t="shared" si="13"/>
        <v>1</v>
      </c>
      <c r="C368" s="3" t="s">
        <v>5329</v>
      </c>
      <c r="D368" s="63" t="s">
        <v>5331</v>
      </c>
      <c r="E368" s="19">
        <v>4</v>
      </c>
      <c r="F368" s="63" t="s">
        <v>5330</v>
      </c>
      <c r="G368" s="2"/>
      <c r="H368" s="17"/>
      <c r="I368" s="86" t="s">
        <v>320</v>
      </c>
    </row>
    <row r="369" spans="2:14" x14ac:dyDescent="0.25">
      <c r="B369" s="2">
        <f t="shared" si="13"/>
        <v>1</v>
      </c>
      <c r="C369" s="3" t="s">
        <v>5319</v>
      </c>
      <c r="D369" s="63" t="s">
        <v>5332</v>
      </c>
      <c r="E369" s="19">
        <v>3</v>
      </c>
      <c r="F369" s="63" t="s">
        <v>5320</v>
      </c>
      <c r="G369" s="2" t="s">
        <v>320</v>
      </c>
      <c r="H369" s="17"/>
      <c r="I369" s="86" t="s">
        <v>5310</v>
      </c>
    </row>
    <row r="370" spans="2:14" x14ac:dyDescent="0.25">
      <c r="B370" s="2">
        <f t="shared" si="13"/>
        <v>1</v>
      </c>
      <c r="C370" s="3" t="s">
        <v>5269</v>
      </c>
      <c r="D370" s="63" t="s">
        <v>5270</v>
      </c>
      <c r="E370" s="19">
        <v>3</v>
      </c>
      <c r="F370" s="63" t="s">
        <v>5271</v>
      </c>
      <c r="G370" s="2"/>
      <c r="H370" s="17"/>
      <c r="I370" s="86" t="s">
        <v>320</v>
      </c>
      <c r="L370" s="14">
        <v>45597</v>
      </c>
      <c r="M370" s="14" t="s">
        <v>236</v>
      </c>
      <c r="N370" s="14" t="s">
        <v>5272</v>
      </c>
    </row>
    <row r="371" spans="2:14" x14ac:dyDescent="0.25">
      <c r="B371" s="2">
        <f t="shared" si="13"/>
        <v>1</v>
      </c>
      <c r="C371" s="3" t="s">
        <v>5273</v>
      </c>
      <c r="D371" s="63" t="s">
        <v>5274</v>
      </c>
      <c r="E371" s="19">
        <v>3</v>
      </c>
      <c r="F371" s="63" t="s">
        <v>5275</v>
      </c>
      <c r="G371" s="2"/>
      <c r="H371" s="17"/>
      <c r="I371" s="86" t="s">
        <v>320</v>
      </c>
    </row>
    <row r="372" spans="2:14" x14ac:dyDescent="0.25">
      <c r="B372" s="2">
        <f t="shared" si="13"/>
        <v>1</v>
      </c>
      <c r="C372" s="3" t="s">
        <v>5276</v>
      </c>
      <c r="D372" s="63" t="s">
        <v>5277</v>
      </c>
      <c r="E372" s="19">
        <v>3</v>
      </c>
      <c r="F372" s="63" t="s">
        <v>5278</v>
      </c>
      <c r="G372" s="2"/>
      <c r="H372" s="17"/>
      <c r="I372" s="86" t="s">
        <v>320</v>
      </c>
    </row>
    <row r="373" spans="2:14" x14ac:dyDescent="0.25">
      <c r="B373" s="2">
        <f t="shared" si="13"/>
        <v>1</v>
      </c>
      <c r="C373" s="3" t="s">
        <v>5279</v>
      </c>
      <c r="D373" s="63" t="s">
        <v>5280</v>
      </c>
      <c r="E373" s="19">
        <v>3</v>
      </c>
      <c r="F373" s="63" t="s">
        <v>5281</v>
      </c>
      <c r="G373" s="2" t="s">
        <v>320</v>
      </c>
      <c r="H373" s="33">
        <v>45505</v>
      </c>
      <c r="I373" s="86" t="s">
        <v>5282</v>
      </c>
    </row>
    <row r="374" spans="2:14" x14ac:dyDescent="0.25">
      <c r="B374" s="2">
        <f t="shared" si="13"/>
        <v>1</v>
      </c>
      <c r="C374" s="3" t="s">
        <v>5283</v>
      </c>
      <c r="D374" s="63" t="s">
        <v>5284</v>
      </c>
      <c r="E374" s="19">
        <v>3</v>
      </c>
      <c r="F374" s="63" t="s">
        <v>5278</v>
      </c>
      <c r="G374" s="2"/>
      <c r="H374" s="17"/>
      <c r="I374" s="86" t="s">
        <v>320</v>
      </c>
    </row>
    <row r="375" spans="2:14" x14ac:dyDescent="0.25">
      <c r="B375" s="2">
        <f t="shared" si="13"/>
        <v>1</v>
      </c>
      <c r="C375" s="3" t="s">
        <v>5285</v>
      </c>
      <c r="D375" s="63" t="s">
        <v>5286</v>
      </c>
      <c r="E375" s="19">
        <v>3</v>
      </c>
      <c r="F375" s="63" t="s">
        <v>5278</v>
      </c>
      <c r="G375" s="2"/>
      <c r="H375" s="17"/>
      <c r="I375" s="86" t="s">
        <v>320</v>
      </c>
    </row>
    <row r="376" spans="2:14" x14ac:dyDescent="0.25">
      <c r="B376" s="2">
        <f t="shared" si="13"/>
        <v>1</v>
      </c>
      <c r="C376" s="3" t="s">
        <v>5287</v>
      </c>
      <c r="D376" s="63" t="s">
        <v>5288</v>
      </c>
      <c r="E376" s="19">
        <v>3</v>
      </c>
      <c r="F376" s="63" t="s">
        <v>5289</v>
      </c>
      <c r="G376" s="2"/>
      <c r="H376" s="17"/>
      <c r="I376" s="86" t="s">
        <v>320</v>
      </c>
    </row>
    <row r="377" spans="2:14" x14ac:dyDescent="0.25">
      <c r="B377" s="2">
        <f t="shared" si="13"/>
        <v>1</v>
      </c>
      <c r="C377" s="3" t="s">
        <v>5290</v>
      </c>
      <c r="D377" s="63" t="s">
        <v>5291</v>
      </c>
      <c r="E377" s="19">
        <v>3</v>
      </c>
      <c r="F377" s="63" t="s">
        <v>5278</v>
      </c>
      <c r="G377" s="2"/>
      <c r="H377" s="17"/>
      <c r="I377" s="86" t="s">
        <v>320</v>
      </c>
    </row>
    <row r="378" spans="2:14" x14ac:dyDescent="0.25">
      <c r="B378" s="2">
        <f t="shared" si="13"/>
        <v>1</v>
      </c>
      <c r="C378" s="3" t="s">
        <v>5292</v>
      </c>
      <c r="D378" s="63" t="s">
        <v>5293</v>
      </c>
      <c r="E378" s="19">
        <v>3</v>
      </c>
      <c r="F378" s="63" t="s">
        <v>5278</v>
      </c>
      <c r="G378" s="2"/>
      <c r="H378" s="17"/>
      <c r="I378" s="86" t="s">
        <v>320</v>
      </c>
    </row>
    <row r="379" spans="2:14" x14ac:dyDescent="0.25">
      <c r="B379" s="2">
        <f t="shared" si="13"/>
        <v>1</v>
      </c>
      <c r="C379" s="3" t="s">
        <v>5294</v>
      </c>
      <c r="D379" s="63" t="s">
        <v>5295</v>
      </c>
      <c r="E379" s="19">
        <v>3</v>
      </c>
      <c r="F379" s="63" t="s">
        <v>5278</v>
      </c>
      <c r="G379" s="2"/>
      <c r="H379" s="17"/>
      <c r="I379" s="86" t="s">
        <v>320</v>
      </c>
    </row>
    <row r="380" spans="2:14" x14ac:dyDescent="0.25">
      <c r="B380" s="2">
        <f t="shared" si="13"/>
        <v>1</v>
      </c>
      <c r="C380" s="3" t="s">
        <v>5296</v>
      </c>
      <c r="D380" s="63" t="s">
        <v>5297</v>
      </c>
      <c r="E380" s="19">
        <v>3</v>
      </c>
      <c r="F380" s="63" t="s">
        <v>5275</v>
      </c>
      <c r="G380" s="2"/>
      <c r="H380" s="17"/>
      <c r="I380" s="86" t="s">
        <v>320</v>
      </c>
    </row>
    <row r="381" spans="2:14" x14ac:dyDescent="0.25">
      <c r="B381" s="2">
        <f t="shared" si="13"/>
        <v>1</v>
      </c>
      <c r="C381" s="3" t="s">
        <v>5298</v>
      </c>
      <c r="D381" s="63" t="s">
        <v>5299</v>
      </c>
      <c r="E381" s="19">
        <v>2</v>
      </c>
      <c r="F381" s="63" t="s">
        <v>5300</v>
      </c>
      <c r="G381" s="2"/>
      <c r="H381" s="17"/>
      <c r="I381" s="86" t="s">
        <v>320</v>
      </c>
      <c r="J381" s="15" t="s">
        <v>5301</v>
      </c>
    </row>
    <row r="382" spans="2:14" x14ac:dyDescent="0.25">
      <c r="B382" s="2">
        <f t="shared" si="13"/>
        <v>1</v>
      </c>
      <c r="C382" s="3" t="s">
        <v>5302</v>
      </c>
      <c r="D382" s="63" t="s">
        <v>5303</v>
      </c>
      <c r="E382" s="19">
        <v>2</v>
      </c>
      <c r="F382" s="63" t="s">
        <v>5300</v>
      </c>
      <c r="G382" s="2"/>
      <c r="H382" s="17"/>
      <c r="I382" s="86" t="s">
        <v>320</v>
      </c>
      <c r="J382" s="15" t="s">
        <v>5301</v>
      </c>
    </row>
    <row r="383" spans="2:14" x14ac:dyDescent="0.25">
      <c r="B383" s="2">
        <f t="shared" si="13"/>
        <v>1</v>
      </c>
      <c r="C383" s="3" t="s">
        <v>5304</v>
      </c>
      <c r="D383" s="63" t="s">
        <v>5305</v>
      </c>
      <c r="E383" s="19">
        <v>2</v>
      </c>
      <c r="F383" s="63" t="s">
        <v>5306</v>
      </c>
      <c r="G383" s="2"/>
      <c r="H383" s="17"/>
      <c r="I383" s="86" t="s">
        <v>320</v>
      </c>
      <c r="J383" s="15" t="s">
        <v>5301</v>
      </c>
    </row>
    <row r="384" spans="2:14" x14ac:dyDescent="0.25">
      <c r="B384" s="2">
        <f t="shared" si="13"/>
        <v>1</v>
      </c>
      <c r="C384" s="3" t="s">
        <v>5307</v>
      </c>
      <c r="D384" s="63" t="s">
        <v>5308</v>
      </c>
      <c r="E384" s="19">
        <v>2</v>
      </c>
      <c r="F384" s="63" t="s">
        <v>5309</v>
      </c>
      <c r="G384" s="2"/>
      <c r="H384" s="17"/>
      <c r="I384" s="86" t="s">
        <v>5310</v>
      </c>
    </row>
    <row r="385" spans="2:9" x14ac:dyDescent="0.25">
      <c r="B385" s="2">
        <f t="shared" si="13"/>
        <v>1</v>
      </c>
      <c r="C385" s="3" t="s">
        <v>5311</v>
      </c>
      <c r="D385" s="63" t="s">
        <v>5312</v>
      </c>
      <c r="E385" s="19">
        <v>2</v>
      </c>
      <c r="F385" s="63" t="s">
        <v>5313</v>
      </c>
      <c r="G385" s="2"/>
      <c r="H385" s="17"/>
      <c r="I385" s="86" t="s">
        <v>5310</v>
      </c>
    </row>
    <row r="386" spans="2:9" x14ac:dyDescent="0.25">
      <c r="B386" s="2">
        <f t="shared" si="13"/>
        <v>1</v>
      </c>
      <c r="C386" s="3" t="s">
        <v>5314</v>
      </c>
      <c r="D386" s="63" t="s">
        <v>5315</v>
      </c>
      <c r="E386" s="19">
        <v>2</v>
      </c>
      <c r="F386" s="63" t="s">
        <v>280</v>
      </c>
      <c r="G386" s="2"/>
      <c r="H386" s="17"/>
      <c r="I386" s="86" t="s">
        <v>320</v>
      </c>
    </row>
    <row r="388" spans="2:9" x14ac:dyDescent="0.25">
      <c r="C388" s="22" t="s">
        <v>5322</v>
      </c>
    </row>
    <row r="389" spans="2:9" x14ac:dyDescent="0.25">
      <c r="B389" s="2">
        <f>COUNTIFS($C:$C,C389)</f>
        <v>1</v>
      </c>
      <c r="C389" s="3" t="s">
        <v>5321</v>
      </c>
      <c r="D389" s="63" t="s">
        <v>5323</v>
      </c>
      <c r="E389" s="19">
        <v>4</v>
      </c>
      <c r="F389" s="63" t="s">
        <v>5324</v>
      </c>
      <c r="G389" s="2" t="s">
        <v>236</v>
      </c>
      <c r="H389" s="17" t="s">
        <v>236</v>
      </c>
      <c r="I389" s="86" t="s">
        <v>5325</v>
      </c>
    </row>
    <row r="390" spans="2:9" x14ac:dyDescent="0.25">
      <c r="B390" s="2">
        <f>COUNTIFS($C:$C,C390)</f>
        <v>2</v>
      </c>
      <c r="C390" s="3" t="s">
        <v>5326</v>
      </c>
      <c r="D390" s="63" t="s">
        <v>5327</v>
      </c>
      <c r="E390" s="19">
        <v>4</v>
      </c>
      <c r="F390" s="63" t="s">
        <v>5328</v>
      </c>
      <c r="G390" s="2" t="s">
        <v>236</v>
      </c>
      <c r="H390" s="17" t="s">
        <v>236</v>
      </c>
      <c r="I390" s="86" t="s">
        <v>5325</v>
      </c>
    </row>
    <row r="391" spans="2:9" x14ac:dyDescent="0.25">
      <c r="B391" s="2"/>
      <c r="C391" s="3"/>
      <c r="D391" s="63"/>
      <c r="E391" s="19"/>
      <c r="F391" s="63"/>
      <c r="G391" s="2"/>
      <c r="H391" s="17"/>
      <c r="I391" s="86"/>
    </row>
    <row r="392" spans="2:9" x14ac:dyDescent="0.25">
      <c r="B392" s="2"/>
      <c r="C392" s="3"/>
      <c r="D392" s="63"/>
      <c r="E392" s="19"/>
      <c r="F392" s="63"/>
      <c r="G392" s="2"/>
      <c r="H392" s="17"/>
      <c r="I392" s="86"/>
    </row>
    <row r="393" spans="2:9" x14ac:dyDescent="0.25">
      <c r="B393" s="2"/>
      <c r="C393" s="3"/>
      <c r="D393" s="63"/>
      <c r="E393" s="19"/>
      <c r="F393" s="63"/>
      <c r="G393" s="2"/>
      <c r="H393" s="17"/>
      <c r="I393" s="86"/>
    </row>
    <row r="394" spans="2:9" x14ac:dyDescent="0.25">
      <c r="B394" s="2"/>
      <c r="C394" s="22" t="s">
        <v>321</v>
      </c>
      <c r="D394" s="63"/>
      <c r="E394" s="19"/>
      <c r="F394" s="63"/>
      <c r="G394" s="2"/>
      <c r="H394" s="17"/>
      <c r="I394" s="86"/>
    </row>
    <row r="395" spans="2:9" x14ac:dyDescent="0.25">
      <c r="B395" s="2">
        <f t="shared" ref="B395:B429" si="14">COUNTIFS($C:$C,C395)</f>
        <v>1</v>
      </c>
      <c r="C395" s="3" t="s">
        <v>5472</v>
      </c>
      <c r="D395" s="63" t="s">
        <v>5473</v>
      </c>
      <c r="E395" s="19">
        <v>5</v>
      </c>
      <c r="F395" s="63" t="s">
        <v>5474</v>
      </c>
      <c r="G395" s="2" t="s">
        <v>236</v>
      </c>
      <c r="H395" s="17" t="s">
        <v>236</v>
      </c>
      <c r="I395" s="86" t="s">
        <v>321</v>
      </c>
    </row>
    <row r="396" spans="2:9" x14ac:dyDescent="0.25">
      <c r="B396" s="2">
        <f t="shared" si="14"/>
        <v>1</v>
      </c>
      <c r="C396" s="3" t="s">
        <v>5494</v>
      </c>
      <c r="D396" s="63" t="s">
        <v>5495</v>
      </c>
      <c r="E396" s="19">
        <v>5</v>
      </c>
      <c r="F396" s="63" t="s">
        <v>5399</v>
      </c>
      <c r="G396" s="2" t="s">
        <v>5496</v>
      </c>
      <c r="H396" s="17">
        <v>44348</v>
      </c>
      <c r="I396" s="86" t="s">
        <v>321</v>
      </c>
    </row>
    <row r="397" spans="2:9" x14ac:dyDescent="0.25">
      <c r="B397" s="2">
        <f t="shared" si="14"/>
        <v>1</v>
      </c>
      <c r="C397" s="3" t="s">
        <v>5497</v>
      </c>
      <c r="D397" s="63" t="s">
        <v>5499</v>
      </c>
      <c r="E397" s="19">
        <v>5</v>
      </c>
      <c r="F397" s="63" t="s">
        <v>5498</v>
      </c>
      <c r="G397" s="2" t="s">
        <v>224</v>
      </c>
      <c r="H397" s="17">
        <v>41579</v>
      </c>
      <c r="I397" s="86" t="s">
        <v>321</v>
      </c>
    </row>
    <row r="398" spans="2:9" x14ac:dyDescent="0.25">
      <c r="B398" s="2">
        <f t="shared" si="14"/>
        <v>1</v>
      </c>
      <c r="C398" s="3" t="s">
        <v>5507</v>
      </c>
      <c r="D398" s="63" t="s">
        <v>5509</v>
      </c>
      <c r="E398" s="19">
        <v>5</v>
      </c>
      <c r="F398" s="63" t="s">
        <v>5508</v>
      </c>
      <c r="G398" s="2" t="s">
        <v>236</v>
      </c>
      <c r="H398" s="17" t="s">
        <v>236</v>
      </c>
      <c r="I398" s="86" t="s">
        <v>321</v>
      </c>
    </row>
    <row r="399" spans="2:9" x14ac:dyDescent="0.25">
      <c r="B399" s="2">
        <f t="shared" si="14"/>
        <v>1</v>
      </c>
      <c r="C399" s="3" t="s">
        <v>5460</v>
      </c>
      <c r="D399" s="63" t="s">
        <v>5461</v>
      </c>
      <c r="E399" s="19">
        <v>5</v>
      </c>
      <c r="F399" s="63" t="s">
        <v>5462</v>
      </c>
      <c r="G399" s="2" t="s">
        <v>236</v>
      </c>
      <c r="H399" s="17" t="s">
        <v>236</v>
      </c>
      <c r="I399" s="86" t="s">
        <v>321</v>
      </c>
    </row>
    <row r="400" spans="2:9" x14ac:dyDescent="0.25">
      <c r="B400" s="2">
        <f t="shared" si="14"/>
        <v>1</v>
      </c>
      <c r="C400" s="3" t="s">
        <v>5467</v>
      </c>
      <c r="D400" s="63" t="s">
        <v>5468</v>
      </c>
      <c r="E400" s="19">
        <v>5</v>
      </c>
      <c r="F400" s="63" t="s">
        <v>5466</v>
      </c>
      <c r="G400" s="2" t="s">
        <v>236</v>
      </c>
      <c r="H400" s="17" t="s">
        <v>236</v>
      </c>
      <c r="I400" s="86" t="s">
        <v>321</v>
      </c>
    </row>
    <row r="401" spans="2:9" x14ac:dyDescent="0.25">
      <c r="B401" s="2">
        <f t="shared" si="14"/>
        <v>1</v>
      </c>
      <c r="C401" s="3" t="s">
        <v>5463</v>
      </c>
      <c r="D401" s="63" t="s">
        <v>5465</v>
      </c>
      <c r="E401" s="19">
        <v>4</v>
      </c>
      <c r="F401" s="63" t="s">
        <v>5464</v>
      </c>
      <c r="G401" s="2" t="s">
        <v>236</v>
      </c>
      <c r="H401" s="17" t="s">
        <v>236</v>
      </c>
      <c r="I401" s="86" t="s">
        <v>321</v>
      </c>
    </row>
    <row r="402" spans="2:9" x14ac:dyDescent="0.25">
      <c r="B402" s="2">
        <f t="shared" si="14"/>
        <v>1</v>
      </c>
      <c r="C402" s="3" t="s">
        <v>5510</v>
      </c>
      <c r="D402" s="63" t="s">
        <v>5511</v>
      </c>
      <c r="E402" s="19">
        <v>4</v>
      </c>
      <c r="F402" s="63" t="s">
        <v>5501</v>
      </c>
      <c r="G402" s="2" t="s">
        <v>236</v>
      </c>
      <c r="H402" s="17" t="s">
        <v>236</v>
      </c>
      <c r="I402" s="86" t="s">
        <v>321</v>
      </c>
    </row>
    <row r="403" spans="2:9" x14ac:dyDescent="0.25">
      <c r="B403" s="2">
        <f t="shared" si="14"/>
        <v>1</v>
      </c>
      <c r="C403" s="3" t="s">
        <v>5512</v>
      </c>
      <c r="D403" s="63" t="s">
        <v>5513</v>
      </c>
      <c r="E403" s="19">
        <v>4</v>
      </c>
      <c r="F403" s="63" t="s">
        <v>5514</v>
      </c>
      <c r="G403" s="2" t="s">
        <v>236</v>
      </c>
      <c r="H403" s="17" t="s">
        <v>236</v>
      </c>
      <c r="I403" s="86" t="s">
        <v>321</v>
      </c>
    </row>
    <row r="404" spans="2:9" x14ac:dyDescent="0.25">
      <c r="B404" s="2">
        <f t="shared" si="14"/>
        <v>1</v>
      </c>
      <c r="C404" s="3" t="s">
        <v>5515</v>
      </c>
      <c r="D404" s="63" t="s">
        <v>5517</v>
      </c>
      <c r="E404" s="19">
        <v>4</v>
      </c>
      <c r="F404" s="63" t="s">
        <v>5516</v>
      </c>
      <c r="G404" s="2" t="s">
        <v>5431</v>
      </c>
      <c r="H404" s="17">
        <v>43739</v>
      </c>
      <c r="I404" s="86" t="s">
        <v>321</v>
      </c>
    </row>
    <row r="405" spans="2:9" x14ac:dyDescent="0.25">
      <c r="B405" s="2">
        <f t="shared" si="14"/>
        <v>1</v>
      </c>
      <c r="C405" s="3" t="s">
        <v>5500</v>
      </c>
      <c r="D405" s="63" t="s">
        <v>5502</v>
      </c>
      <c r="E405" s="19">
        <v>4</v>
      </c>
      <c r="F405" s="63" t="s">
        <v>5501</v>
      </c>
      <c r="G405" s="2" t="s">
        <v>236</v>
      </c>
      <c r="H405" s="17" t="s">
        <v>236</v>
      </c>
      <c r="I405" s="86" t="s">
        <v>321</v>
      </c>
    </row>
    <row r="406" spans="2:9" x14ac:dyDescent="0.25">
      <c r="B406" s="2">
        <f t="shared" si="14"/>
        <v>1</v>
      </c>
      <c r="C406" s="3" t="s">
        <v>5503</v>
      </c>
      <c r="D406" s="63" t="s">
        <v>5504</v>
      </c>
      <c r="E406" s="19">
        <v>4</v>
      </c>
      <c r="F406" s="63" t="s">
        <v>5505</v>
      </c>
      <c r="G406" s="2" t="s">
        <v>5506</v>
      </c>
      <c r="H406" s="17">
        <v>44075</v>
      </c>
      <c r="I406" s="86" t="s">
        <v>321</v>
      </c>
    </row>
    <row r="407" spans="2:9" x14ac:dyDescent="0.25">
      <c r="B407" s="2">
        <f t="shared" si="14"/>
        <v>1</v>
      </c>
      <c r="C407" s="3" t="s">
        <v>5439</v>
      </c>
      <c r="D407" s="63" t="s">
        <v>5440</v>
      </c>
      <c r="E407" s="19">
        <v>4</v>
      </c>
      <c r="F407" s="63" t="s">
        <v>5441</v>
      </c>
      <c r="G407" s="2" t="s">
        <v>236</v>
      </c>
      <c r="H407" s="17" t="s">
        <v>236</v>
      </c>
      <c r="I407" s="86" t="s">
        <v>321</v>
      </c>
    </row>
    <row r="408" spans="2:9" x14ac:dyDescent="0.25">
      <c r="B408" s="2">
        <f t="shared" si="14"/>
        <v>1</v>
      </c>
      <c r="C408" s="3" t="s">
        <v>5451</v>
      </c>
      <c r="D408" s="63" t="s">
        <v>5452</v>
      </c>
      <c r="E408" s="19">
        <v>4</v>
      </c>
      <c r="F408" s="63" t="s">
        <v>5453</v>
      </c>
      <c r="G408" s="2" t="s">
        <v>236</v>
      </c>
      <c r="H408" s="17" t="s">
        <v>236</v>
      </c>
      <c r="I408" s="86" t="s">
        <v>321</v>
      </c>
    </row>
    <row r="409" spans="2:9" x14ac:dyDescent="0.25">
      <c r="B409" s="2">
        <f t="shared" si="14"/>
        <v>1</v>
      </c>
      <c r="C409" s="3" t="s">
        <v>5456</v>
      </c>
      <c r="D409" s="63" t="s">
        <v>5455</v>
      </c>
      <c r="E409" s="19">
        <v>4</v>
      </c>
      <c r="F409" s="63" t="s">
        <v>5454</v>
      </c>
      <c r="G409" s="2" t="s">
        <v>236</v>
      </c>
      <c r="H409" s="17" t="s">
        <v>236</v>
      </c>
      <c r="I409" s="86" t="s">
        <v>321</v>
      </c>
    </row>
    <row r="410" spans="2:9" x14ac:dyDescent="0.25">
      <c r="B410" s="2">
        <f t="shared" si="14"/>
        <v>1</v>
      </c>
      <c r="C410" s="3" t="s">
        <v>5458</v>
      </c>
      <c r="D410" s="63" t="s">
        <v>5459</v>
      </c>
      <c r="E410" s="19">
        <v>4</v>
      </c>
      <c r="F410" s="63" t="s">
        <v>5457</v>
      </c>
      <c r="G410" s="2" t="s">
        <v>236</v>
      </c>
      <c r="H410" s="17" t="s">
        <v>236</v>
      </c>
      <c r="I410" s="86" t="s">
        <v>321</v>
      </c>
    </row>
    <row r="411" spans="2:9" x14ac:dyDescent="0.25">
      <c r="B411" s="2">
        <f t="shared" si="14"/>
        <v>1</v>
      </c>
      <c r="C411" s="3" t="s">
        <v>5484</v>
      </c>
      <c r="D411" s="63" t="s">
        <v>5487</v>
      </c>
      <c r="E411" s="19">
        <v>4</v>
      </c>
      <c r="F411" s="63" t="s">
        <v>5485</v>
      </c>
      <c r="G411" s="2" t="s">
        <v>5486</v>
      </c>
      <c r="H411" s="17">
        <v>42461</v>
      </c>
      <c r="I411" s="86" t="s">
        <v>321</v>
      </c>
    </row>
    <row r="412" spans="2:9" x14ac:dyDescent="0.25">
      <c r="B412" s="2">
        <f t="shared" si="14"/>
        <v>1</v>
      </c>
      <c r="C412" s="3" t="s">
        <v>5488</v>
      </c>
      <c r="D412" s="63" t="s">
        <v>5490</v>
      </c>
      <c r="E412" s="19">
        <v>3</v>
      </c>
      <c r="F412" s="63" t="s">
        <v>5489</v>
      </c>
      <c r="G412" s="2" t="s">
        <v>236</v>
      </c>
      <c r="H412" s="17" t="s">
        <v>236</v>
      </c>
      <c r="I412" s="86" t="s">
        <v>321</v>
      </c>
    </row>
    <row r="413" spans="2:9" x14ac:dyDescent="0.25">
      <c r="B413" s="2">
        <f t="shared" si="14"/>
        <v>1</v>
      </c>
      <c r="C413" s="3" t="s">
        <v>5445</v>
      </c>
      <c r="D413" s="63" t="s">
        <v>5447</v>
      </c>
      <c r="E413" s="19">
        <v>3</v>
      </c>
      <c r="F413" s="63" t="s">
        <v>5446</v>
      </c>
      <c r="G413" s="2" t="s">
        <v>236</v>
      </c>
      <c r="H413" s="17" t="s">
        <v>236</v>
      </c>
      <c r="I413" s="86" t="s">
        <v>321</v>
      </c>
    </row>
    <row r="414" spans="2:9" x14ac:dyDescent="0.25">
      <c r="B414" s="2">
        <f t="shared" si="14"/>
        <v>1</v>
      </c>
      <c r="C414" s="3" t="s">
        <v>5450</v>
      </c>
      <c r="D414" s="63" t="s">
        <v>5449</v>
      </c>
      <c r="E414" s="19">
        <v>3</v>
      </c>
      <c r="F414" s="63" t="s">
        <v>5448</v>
      </c>
      <c r="G414" s="2" t="s">
        <v>236</v>
      </c>
      <c r="H414" s="17" t="s">
        <v>236</v>
      </c>
      <c r="I414" s="86" t="s">
        <v>321</v>
      </c>
    </row>
    <row r="415" spans="2:9" x14ac:dyDescent="0.25">
      <c r="B415" s="2">
        <f t="shared" si="14"/>
        <v>1</v>
      </c>
      <c r="C415" s="3" t="s">
        <v>5469</v>
      </c>
      <c r="D415" s="63" t="s">
        <v>5470</v>
      </c>
      <c r="E415" s="19">
        <v>3</v>
      </c>
      <c r="F415" s="63" t="s">
        <v>5471</v>
      </c>
      <c r="G415" s="2" t="s">
        <v>236</v>
      </c>
      <c r="H415" s="17" t="s">
        <v>236</v>
      </c>
      <c r="I415" s="86" t="s">
        <v>321</v>
      </c>
    </row>
    <row r="416" spans="2:9" x14ac:dyDescent="0.25">
      <c r="B416" s="2">
        <f t="shared" si="14"/>
        <v>1</v>
      </c>
      <c r="C416" s="3" t="s">
        <v>5477</v>
      </c>
      <c r="D416" s="63" t="s">
        <v>5476</v>
      </c>
      <c r="E416" s="19">
        <v>2</v>
      </c>
      <c r="F416" s="63" t="s">
        <v>5475</v>
      </c>
      <c r="G416" s="2" t="s">
        <v>236</v>
      </c>
      <c r="H416" s="17" t="s">
        <v>236</v>
      </c>
      <c r="I416" s="86" t="s">
        <v>321</v>
      </c>
    </row>
    <row r="417" spans="2:9" x14ac:dyDescent="0.25">
      <c r="B417" s="2">
        <f t="shared" si="14"/>
        <v>1</v>
      </c>
      <c r="C417" s="3" t="s">
        <v>5480</v>
      </c>
      <c r="D417" s="63" t="s">
        <v>5479</v>
      </c>
      <c r="E417" s="19">
        <v>2</v>
      </c>
      <c r="F417" s="63" t="s">
        <v>5478</v>
      </c>
      <c r="G417" s="2" t="s">
        <v>236</v>
      </c>
      <c r="H417" s="17" t="s">
        <v>236</v>
      </c>
      <c r="I417" s="86" t="s">
        <v>321</v>
      </c>
    </row>
    <row r="418" spans="2:9" x14ac:dyDescent="0.25">
      <c r="B418" s="2">
        <f t="shared" si="14"/>
        <v>1</v>
      </c>
      <c r="C418" s="3" t="s">
        <v>5481</v>
      </c>
      <c r="D418" s="63" t="s">
        <v>5483</v>
      </c>
      <c r="E418" s="19">
        <v>2</v>
      </c>
      <c r="F418" s="63" t="s">
        <v>5482</v>
      </c>
      <c r="G418" s="2" t="s">
        <v>236</v>
      </c>
      <c r="H418" s="17" t="s">
        <v>236</v>
      </c>
      <c r="I418" s="86" t="s">
        <v>321</v>
      </c>
    </row>
    <row r="419" spans="2:9" x14ac:dyDescent="0.25">
      <c r="B419" s="2">
        <f t="shared" si="14"/>
        <v>1</v>
      </c>
      <c r="C419" s="3" t="s">
        <v>5491</v>
      </c>
      <c r="D419" s="63" t="s">
        <v>5493</v>
      </c>
      <c r="E419" s="19">
        <v>2</v>
      </c>
      <c r="F419" s="63" t="s">
        <v>5492</v>
      </c>
      <c r="G419" s="2" t="s">
        <v>236</v>
      </c>
      <c r="H419" s="17" t="s">
        <v>236</v>
      </c>
      <c r="I419" s="86" t="s">
        <v>321</v>
      </c>
    </row>
    <row r="420" spans="2:9" x14ac:dyDescent="0.25">
      <c r="B420" s="2">
        <f t="shared" si="14"/>
        <v>1</v>
      </c>
      <c r="C420" s="3" t="s">
        <v>5442</v>
      </c>
      <c r="D420" s="63" t="s">
        <v>5444</v>
      </c>
      <c r="E420" s="19">
        <v>2</v>
      </c>
      <c r="F420" s="63" t="s">
        <v>5443</v>
      </c>
      <c r="G420" s="2" t="s">
        <v>236</v>
      </c>
      <c r="H420" s="17" t="s">
        <v>236</v>
      </c>
      <c r="I420" s="86" t="s">
        <v>321</v>
      </c>
    </row>
    <row r="421" spans="2:9" x14ac:dyDescent="0.25">
      <c r="B421" s="2">
        <f t="shared" si="14"/>
        <v>1</v>
      </c>
      <c r="C421" s="3" t="s">
        <v>5770</v>
      </c>
      <c r="D421" s="63" t="s">
        <v>5771</v>
      </c>
      <c r="E421" s="19">
        <v>4</v>
      </c>
      <c r="F421" s="63" t="s">
        <v>5772</v>
      </c>
      <c r="G421" s="2" t="s">
        <v>321</v>
      </c>
      <c r="H421" s="17">
        <v>45839</v>
      </c>
      <c r="I421" s="86" t="s">
        <v>236</v>
      </c>
    </row>
    <row r="422" spans="2:9" x14ac:dyDescent="0.25">
      <c r="B422" s="2">
        <f t="shared" si="14"/>
        <v>0</v>
      </c>
      <c r="C422" s="3"/>
      <c r="D422" s="63"/>
      <c r="E422" s="19"/>
      <c r="F422" s="63"/>
      <c r="G422" s="2"/>
      <c r="H422" s="17"/>
      <c r="I422" s="86"/>
    </row>
    <row r="423" spans="2:9" x14ac:dyDescent="0.25">
      <c r="B423" s="2">
        <f t="shared" si="14"/>
        <v>0</v>
      </c>
      <c r="C423" s="3"/>
      <c r="D423" s="63"/>
      <c r="E423" s="19"/>
      <c r="F423" s="63"/>
      <c r="G423" s="2"/>
      <c r="H423" s="17"/>
      <c r="I423" s="86"/>
    </row>
    <row r="424" spans="2:9" x14ac:dyDescent="0.25">
      <c r="B424" s="2">
        <f t="shared" si="14"/>
        <v>0</v>
      </c>
      <c r="C424" s="3"/>
      <c r="D424" s="63"/>
      <c r="E424" s="19"/>
      <c r="F424" s="63"/>
      <c r="G424" s="2"/>
      <c r="H424" s="17"/>
      <c r="I424" s="86"/>
    </row>
    <row r="425" spans="2:9" x14ac:dyDescent="0.25">
      <c r="B425" s="2">
        <f t="shared" si="14"/>
        <v>0</v>
      </c>
      <c r="C425" s="3"/>
      <c r="D425" s="63"/>
      <c r="E425" s="19"/>
      <c r="F425" s="63"/>
      <c r="G425" s="2"/>
      <c r="H425" s="17"/>
      <c r="I425" s="86"/>
    </row>
    <row r="426" spans="2:9" x14ac:dyDescent="0.25">
      <c r="B426" s="2">
        <f t="shared" si="14"/>
        <v>0</v>
      </c>
      <c r="C426" s="3"/>
      <c r="D426" s="63"/>
      <c r="E426" s="19"/>
      <c r="F426" s="63"/>
      <c r="G426" s="2"/>
      <c r="H426" s="17"/>
      <c r="I426" s="86"/>
    </row>
    <row r="427" spans="2:9" x14ac:dyDescent="0.25">
      <c r="B427" s="2">
        <f t="shared" si="14"/>
        <v>0</v>
      </c>
      <c r="C427" s="3"/>
      <c r="D427" s="63"/>
      <c r="E427" s="19"/>
      <c r="F427" s="63"/>
      <c r="G427" s="2"/>
      <c r="H427" s="17"/>
      <c r="I427" s="86"/>
    </row>
    <row r="428" spans="2:9" x14ac:dyDescent="0.25">
      <c r="B428" s="2">
        <f t="shared" si="14"/>
        <v>0</v>
      </c>
      <c r="C428" s="3"/>
      <c r="D428" s="63"/>
      <c r="E428" s="19"/>
      <c r="F428" s="63"/>
      <c r="G428" s="2"/>
      <c r="H428" s="17"/>
      <c r="I428" s="86"/>
    </row>
    <row r="429" spans="2:9" x14ac:dyDescent="0.25">
      <c r="B429" s="2">
        <f t="shared" si="14"/>
        <v>0</v>
      </c>
      <c r="C429" s="3"/>
      <c r="D429" s="63"/>
      <c r="E429" s="19"/>
      <c r="F429" s="63"/>
      <c r="G429" s="2"/>
      <c r="H429" s="17"/>
      <c r="I429" s="86"/>
    </row>
    <row r="432" spans="2:9" x14ac:dyDescent="0.25">
      <c r="C432" s="22" t="s">
        <v>5533</v>
      </c>
    </row>
    <row r="433" spans="2:9" x14ac:dyDescent="0.25">
      <c r="B433" s="2">
        <f t="shared" ref="B433:B442" si="15">COUNTIFS($C:$C,C433)</f>
        <v>1</v>
      </c>
      <c r="C433" s="3" t="s">
        <v>5531</v>
      </c>
      <c r="D433" s="63" t="s">
        <v>5532</v>
      </c>
      <c r="E433" s="19">
        <v>4</v>
      </c>
      <c r="F433" s="63"/>
      <c r="G433" s="2"/>
      <c r="H433" s="17"/>
      <c r="I433" s="86"/>
    </row>
    <row r="434" spans="2:9" x14ac:dyDescent="0.25">
      <c r="B434" s="2">
        <f t="shared" si="15"/>
        <v>1</v>
      </c>
      <c r="C434" s="3" t="s">
        <v>5536</v>
      </c>
      <c r="D434" s="63" t="s">
        <v>5537</v>
      </c>
      <c r="E434" s="19">
        <v>4</v>
      </c>
      <c r="F434" s="63"/>
      <c r="G434" s="2"/>
      <c r="H434" s="17"/>
      <c r="I434" s="86"/>
    </row>
    <row r="435" spans="2:9" x14ac:dyDescent="0.25">
      <c r="B435" s="2">
        <f t="shared" si="15"/>
        <v>1</v>
      </c>
      <c r="C435" s="3" t="s">
        <v>5538</v>
      </c>
      <c r="D435" s="63" t="s">
        <v>5539</v>
      </c>
      <c r="E435" s="19">
        <v>4</v>
      </c>
      <c r="F435" s="63"/>
      <c r="G435" s="2"/>
      <c r="H435" s="17"/>
      <c r="I435" s="86"/>
    </row>
    <row r="436" spans="2:9" x14ac:dyDescent="0.25">
      <c r="B436" s="2">
        <f t="shared" si="15"/>
        <v>0</v>
      </c>
      <c r="C436" s="3"/>
      <c r="D436" s="63"/>
      <c r="E436" s="19"/>
      <c r="F436" s="63"/>
      <c r="G436" s="2"/>
      <c r="H436" s="17"/>
      <c r="I436" s="86"/>
    </row>
    <row r="437" spans="2:9" x14ac:dyDescent="0.25">
      <c r="B437" s="2">
        <f t="shared" si="15"/>
        <v>0</v>
      </c>
      <c r="C437" s="3"/>
      <c r="D437" s="63"/>
      <c r="E437" s="19"/>
      <c r="F437" s="63"/>
      <c r="G437" s="2"/>
      <c r="H437" s="17"/>
      <c r="I437" s="86"/>
    </row>
    <row r="438" spans="2:9" x14ac:dyDescent="0.25">
      <c r="B438" s="2">
        <f t="shared" si="15"/>
        <v>0</v>
      </c>
      <c r="C438" s="3"/>
      <c r="D438" s="63"/>
      <c r="E438" s="19"/>
      <c r="F438" s="63"/>
      <c r="G438" s="2"/>
      <c r="H438" s="17"/>
      <c r="I438" s="86"/>
    </row>
    <row r="439" spans="2:9" x14ac:dyDescent="0.25">
      <c r="B439" s="2">
        <f t="shared" si="15"/>
        <v>0</v>
      </c>
      <c r="C439" s="3"/>
      <c r="D439" s="63"/>
      <c r="E439" s="19"/>
      <c r="F439" s="63"/>
      <c r="G439" s="2"/>
      <c r="H439" s="17"/>
      <c r="I439" s="86"/>
    </row>
    <row r="440" spans="2:9" x14ac:dyDescent="0.25">
      <c r="B440" s="2">
        <f t="shared" si="15"/>
        <v>0</v>
      </c>
      <c r="C440" s="3"/>
      <c r="D440" s="63"/>
      <c r="E440" s="19"/>
      <c r="F440" s="63"/>
      <c r="G440" s="2"/>
      <c r="H440" s="17"/>
      <c r="I440" s="86"/>
    </row>
    <row r="441" spans="2:9" x14ac:dyDescent="0.25">
      <c r="B441" s="2">
        <f t="shared" si="15"/>
        <v>0</v>
      </c>
      <c r="C441" s="3"/>
      <c r="D441" s="63"/>
      <c r="E441" s="19"/>
      <c r="F441" s="63"/>
      <c r="G441" s="2"/>
      <c r="H441" s="17"/>
      <c r="I441" s="86"/>
    </row>
    <row r="442" spans="2:9" x14ac:dyDescent="0.25">
      <c r="B442" s="2">
        <f t="shared" si="15"/>
        <v>0</v>
      </c>
      <c r="C442" s="3"/>
      <c r="D442" s="63"/>
      <c r="E442" s="19"/>
      <c r="F442" s="63"/>
      <c r="G442" s="2"/>
      <c r="H442" s="17"/>
      <c r="I442" s="86"/>
    </row>
    <row r="443" spans="2:9" x14ac:dyDescent="0.25">
      <c r="B443" s="2"/>
      <c r="C443" s="3"/>
      <c r="D443" s="63"/>
      <c r="E443" s="19"/>
      <c r="F443" s="63"/>
      <c r="G443" s="2"/>
      <c r="H443" s="17"/>
      <c r="I443" s="86"/>
    </row>
    <row r="444" spans="2:9" x14ac:dyDescent="0.25">
      <c r="B444" s="2"/>
      <c r="C444" s="22" t="s">
        <v>5707</v>
      </c>
      <c r="D444" s="63"/>
      <c r="E444" s="19"/>
      <c r="F444" s="63"/>
      <c r="G444" s="2"/>
      <c r="H444" s="17"/>
      <c r="I444" s="86"/>
    </row>
    <row r="445" spans="2:9" x14ac:dyDescent="0.25">
      <c r="B445" s="2">
        <f>COUNTIFS($C:$C,C445)</f>
        <v>1</v>
      </c>
      <c r="C445" s="3" t="s">
        <v>5708</v>
      </c>
      <c r="D445" s="63" t="s">
        <v>5709</v>
      </c>
      <c r="E445" s="19"/>
      <c r="F445" s="63" t="s">
        <v>5710</v>
      </c>
      <c r="G445" s="2"/>
      <c r="H445" s="17"/>
      <c r="I445" s="86"/>
    </row>
    <row r="446" spans="2:9" x14ac:dyDescent="0.25">
      <c r="B446" s="2">
        <f>COUNTIFS($C:$C,C446)</f>
        <v>0</v>
      </c>
      <c r="C446" s="3"/>
      <c r="D446" s="63"/>
      <c r="E446" s="19"/>
      <c r="F446" s="63"/>
      <c r="G446" s="2"/>
      <c r="H446" s="17"/>
      <c r="I446" s="86"/>
    </row>
    <row r="447" spans="2:9" x14ac:dyDescent="0.25">
      <c r="B447" s="2">
        <f>COUNTIFS($C:$C,C447)</f>
        <v>0</v>
      </c>
      <c r="C447" s="3"/>
      <c r="D447" s="63"/>
      <c r="E447" s="19"/>
      <c r="F447" s="63"/>
      <c r="G447" s="2"/>
      <c r="H447" s="17"/>
      <c r="I447" s="86"/>
    </row>
    <row r="448" spans="2:9" x14ac:dyDescent="0.25">
      <c r="B448" s="2">
        <f>COUNTIFS($C:$C,C448)</f>
        <v>0</v>
      </c>
      <c r="C448" s="3"/>
      <c r="D448" s="63"/>
      <c r="E448" s="19"/>
      <c r="F448" s="63"/>
      <c r="G448" s="2"/>
      <c r="H448" s="17"/>
      <c r="I448" s="86"/>
    </row>
    <row r="449" spans="2:9" x14ac:dyDescent="0.25">
      <c r="B449" s="2">
        <f>COUNTIFS($C:$C,C449)</f>
        <v>0</v>
      </c>
      <c r="C449" s="3"/>
      <c r="D449" s="63"/>
      <c r="E449" s="19"/>
      <c r="F449" s="63"/>
      <c r="G449" s="2"/>
      <c r="H449" s="17"/>
      <c r="I449" s="86"/>
    </row>
    <row r="450" spans="2:9" x14ac:dyDescent="0.25">
      <c r="B450" s="2"/>
      <c r="C450" s="3"/>
      <c r="D450" s="63"/>
      <c r="E450" s="19"/>
      <c r="F450" s="63"/>
      <c r="G450" s="2"/>
      <c r="H450" s="17"/>
      <c r="I450" s="86"/>
    </row>
    <row r="451" spans="2:9" x14ac:dyDescent="0.25">
      <c r="B451" s="2"/>
      <c r="C451" s="22" t="s">
        <v>5728</v>
      </c>
      <c r="D451" s="63"/>
      <c r="E451" s="19"/>
      <c r="F451" s="63"/>
      <c r="G451" s="2"/>
      <c r="H451" s="17"/>
      <c r="I451" s="86"/>
    </row>
    <row r="452" spans="2:9" x14ac:dyDescent="0.25">
      <c r="B452" s="2">
        <f>COUNTIFS($C:$C,C452)</f>
        <v>1</v>
      </c>
      <c r="C452" s="3" t="s">
        <v>5727</v>
      </c>
      <c r="D452" s="63" t="s">
        <v>5729</v>
      </c>
      <c r="E452" s="19"/>
      <c r="F452" s="63" t="s">
        <v>5730</v>
      </c>
      <c r="G452" s="2"/>
      <c r="H452" s="17"/>
      <c r="I452" s="86"/>
    </row>
    <row r="453" spans="2:9" x14ac:dyDescent="0.25">
      <c r="B453" s="2"/>
      <c r="C453" s="3"/>
      <c r="D453" s="63"/>
      <c r="E453" s="19"/>
      <c r="F453" s="63"/>
      <c r="G453" s="2"/>
      <c r="H453" s="17"/>
      <c r="I453" s="86"/>
    </row>
    <row r="454" spans="2:9" x14ac:dyDescent="0.25">
      <c r="B454" s="2"/>
      <c r="C454" s="3"/>
      <c r="D454" s="63"/>
      <c r="E454" s="19"/>
      <c r="F454" s="63"/>
      <c r="G454" s="2"/>
      <c r="H454" s="17"/>
      <c r="I454" s="86"/>
    </row>
    <row r="455" spans="2:9" x14ac:dyDescent="0.25">
      <c r="B455" s="2"/>
      <c r="C455" s="3"/>
      <c r="D455" s="63"/>
      <c r="E455" s="19"/>
      <c r="F455" s="63"/>
      <c r="G455" s="2"/>
      <c r="H455" s="17"/>
      <c r="I455" s="86"/>
    </row>
    <row r="456" spans="2:9" x14ac:dyDescent="0.25">
      <c r="B456" s="2"/>
      <c r="C456" s="22" t="s">
        <v>5624</v>
      </c>
      <c r="D456" s="63"/>
      <c r="E456" s="19"/>
      <c r="F456" s="63"/>
      <c r="G456" s="2"/>
      <c r="H456" s="17"/>
      <c r="I456" s="86"/>
    </row>
    <row r="457" spans="2:9" x14ac:dyDescent="0.25">
      <c r="B457" s="2">
        <f t="shared" ref="B457:B465" si="16">COUNTIFS($C:$C,C457)</f>
        <v>1</v>
      </c>
      <c r="C457" s="3" t="s">
        <v>5625</v>
      </c>
      <c r="D457" s="63" t="s">
        <v>5626</v>
      </c>
      <c r="E457" s="19"/>
      <c r="F457" s="63" t="s">
        <v>5627</v>
      </c>
      <c r="G457" s="2"/>
      <c r="H457" s="17"/>
      <c r="I457" s="86"/>
    </row>
    <row r="458" spans="2:9" x14ac:dyDescent="0.25">
      <c r="B458" s="2">
        <f t="shared" si="16"/>
        <v>1</v>
      </c>
      <c r="C458" s="3" t="s">
        <v>5724</v>
      </c>
      <c r="D458" s="63" t="s">
        <v>5725</v>
      </c>
      <c r="E458" s="19"/>
      <c r="F458" s="63" t="s">
        <v>5726</v>
      </c>
      <c r="G458" s="2"/>
      <c r="H458" s="17"/>
      <c r="I458" s="86"/>
    </row>
    <row r="459" spans="2:9" x14ac:dyDescent="0.25">
      <c r="B459" s="2">
        <f t="shared" si="16"/>
        <v>1</v>
      </c>
      <c r="C459" s="3" t="s">
        <v>5731</v>
      </c>
      <c r="D459" s="63" t="s">
        <v>5732</v>
      </c>
      <c r="E459" s="19"/>
      <c r="F459" s="63" t="s">
        <v>5726</v>
      </c>
      <c r="G459" s="2"/>
      <c r="H459" s="17"/>
      <c r="I459" s="86"/>
    </row>
    <row r="460" spans="2:9" x14ac:dyDescent="0.25">
      <c r="B460" s="2">
        <f t="shared" si="16"/>
        <v>1</v>
      </c>
      <c r="C460" s="3" t="s">
        <v>5733</v>
      </c>
      <c r="D460" s="63" t="s">
        <v>5734</v>
      </c>
      <c r="E460" s="19"/>
      <c r="F460" s="63" t="s">
        <v>5726</v>
      </c>
      <c r="G460" s="2"/>
      <c r="H460" s="17"/>
      <c r="I460" s="86"/>
    </row>
    <row r="461" spans="2:9" x14ac:dyDescent="0.25">
      <c r="B461" s="2">
        <f t="shared" si="16"/>
        <v>1</v>
      </c>
      <c r="C461" s="3" t="s">
        <v>6179</v>
      </c>
      <c r="D461" s="63" t="s">
        <v>6180</v>
      </c>
      <c r="E461" s="19"/>
      <c r="F461" s="63" t="s">
        <v>6181</v>
      </c>
      <c r="G461" s="2"/>
      <c r="H461" s="17"/>
      <c r="I461" s="86"/>
    </row>
    <row r="462" spans="2:9" x14ac:dyDescent="0.25">
      <c r="B462" s="2">
        <f t="shared" si="16"/>
        <v>0</v>
      </c>
      <c r="C462" s="3"/>
      <c r="D462" s="63"/>
      <c r="E462" s="19"/>
      <c r="F462" s="63"/>
      <c r="G462" s="2"/>
      <c r="H462" s="17"/>
      <c r="I462" s="86"/>
    </row>
    <row r="463" spans="2:9" x14ac:dyDescent="0.25">
      <c r="B463" s="2">
        <f t="shared" si="16"/>
        <v>0</v>
      </c>
      <c r="C463" s="3"/>
      <c r="D463" s="63"/>
      <c r="E463" s="19"/>
      <c r="F463" s="63"/>
      <c r="G463" s="2"/>
      <c r="H463" s="17"/>
      <c r="I463" s="86"/>
    </row>
    <row r="464" spans="2:9" x14ac:dyDescent="0.25">
      <c r="B464" s="2">
        <f t="shared" si="16"/>
        <v>0</v>
      </c>
      <c r="C464" s="3"/>
      <c r="D464" s="63"/>
      <c r="E464" s="19"/>
      <c r="F464" s="63"/>
      <c r="G464" s="2"/>
      <c r="H464" s="17"/>
      <c r="I464" s="86"/>
    </row>
    <row r="465" spans="2:10" x14ac:dyDescent="0.25">
      <c r="B465" s="2">
        <f t="shared" si="16"/>
        <v>0</v>
      </c>
      <c r="C465" s="3"/>
      <c r="D465" s="63"/>
      <c r="E465" s="19"/>
      <c r="F465" s="63"/>
      <c r="G465" s="2"/>
      <c r="H465" s="17"/>
      <c r="I465" s="86"/>
    </row>
    <row r="466" spans="2:10" x14ac:dyDescent="0.25">
      <c r="B466" s="2"/>
      <c r="C466" s="3"/>
      <c r="D466" s="63"/>
      <c r="E466" s="19"/>
      <c r="F466" s="63"/>
      <c r="G466" s="2"/>
      <c r="H466" s="17"/>
      <c r="I466" s="86"/>
    </row>
    <row r="467" spans="2:10" x14ac:dyDescent="0.25">
      <c r="B467" s="2"/>
      <c r="C467" s="22" t="s">
        <v>5553</v>
      </c>
      <c r="D467" s="63"/>
      <c r="E467" s="19"/>
      <c r="F467" s="63"/>
      <c r="G467" s="2"/>
      <c r="H467" s="17"/>
      <c r="I467" s="86"/>
    </row>
    <row r="468" spans="2:10" x14ac:dyDescent="0.25">
      <c r="B468" s="2">
        <f t="shared" ref="B468:B478" si="17">COUNTIFS($C:$C,C468)</f>
        <v>1</v>
      </c>
      <c r="C468" s="3" t="s">
        <v>5551</v>
      </c>
      <c r="D468" s="63" t="s">
        <v>5552</v>
      </c>
      <c r="E468" s="19"/>
      <c r="F468" s="63"/>
      <c r="G468" s="2"/>
      <c r="H468" s="17"/>
      <c r="I468" s="86"/>
    </row>
    <row r="469" spans="2:10" x14ac:dyDescent="0.25">
      <c r="B469" s="2">
        <f t="shared" si="17"/>
        <v>1</v>
      </c>
      <c r="C469" s="3" t="s">
        <v>5711</v>
      </c>
      <c r="D469" s="63" t="s">
        <v>5713</v>
      </c>
      <c r="E469" s="19"/>
      <c r="F469" s="63"/>
      <c r="G469" s="2"/>
      <c r="H469" s="17"/>
      <c r="I469" s="86"/>
      <c r="J469" s="15" t="s">
        <v>5712</v>
      </c>
    </row>
    <row r="470" spans="2:10" x14ac:dyDescent="0.25">
      <c r="B470" s="2">
        <f t="shared" si="17"/>
        <v>1</v>
      </c>
      <c r="C470" s="3" t="s">
        <v>5715</v>
      </c>
      <c r="D470" s="63" t="s">
        <v>5716</v>
      </c>
      <c r="E470" s="19"/>
      <c r="F470" s="63"/>
      <c r="G470" s="2"/>
      <c r="H470" s="17"/>
      <c r="I470" s="86"/>
      <c r="J470" s="15" t="s">
        <v>5717</v>
      </c>
    </row>
    <row r="471" spans="2:10" x14ac:dyDescent="0.25">
      <c r="B471" s="2">
        <f t="shared" si="17"/>
        <v>1</v>
      </c>
      <c r="C471" s="3" t="s">
        <v>5718</v>
      </c>
      <c r="D471" s="63" t="s">
        <v>5720</v>
      </c>
      <c r="E471" s="19"/>
      <c r="F471" s="63"/>
      <c r="G471" s="2"/>
      <c r="H471" s="17"/>
      <c r="I471" s="86"/>
      <c r="J471" s="15" t="s">
        <v>5719</v>
      </c>
    </row>
    <row r="472" spans="2:10" x14ac:dyDescent="0.25">
      <c r="B472" s="2">
        <f t="shared" si="17"/>
        <v>1</v>
      </c>
      <c r="C472" s="3" t="s">
        <v>5721</v>
      </c>
      <c r="D472" s="63" t="s">
        <v>5722</v>
      </c>
      <c r="E472" s="19"/>
      <c r="F472" s="63"/>
      <c r="G472" s="2"/>
      <c r="H472" s="17"/>
      <c r="I472" s="86"/>
      <c r="J472" s="15" t="s">
        <v>5723</v>
      </c>
    </row>
    <row r="473" spans="2:10" x14ac:dyDescent="0.25">
      <c r="B473" s="2">
        <f t="shared" si="17"/>
        <v>0</v>
      </c>
      <c r="C473" s="3"/>
      <c r="D473" s="63"/>
      <c r="E473" s="19"/>
      <c r="F473" s="63"/>
      <c r="G473" s="2"/>
      <c r="H473" s="17"/>
      <c r="I473" s="86"/>
    </row>
    <row r="474" spans="2:10" x14ac:dyDescent="0.25">
      <c r="B474" s="2">
        <f t="shared" si="17"/>
        <v>0</v>
      </c>
      <c r="C474" s="3"/>
      <c r="D474" s="63"/>
      <c r="E474" s="19"/>
      <c r="F474" s="63"/>
      <c r="G474" s="2"/>
      <c r="H474" s="17"/>
      <c r="I474" s="86"/>
    </row>
    <row r="475" spans="2:10" x14ac:dyDescent="0.25">
      <c r="B475" s="2">
        <f t="shared" si="17"/>
        <v>0</v>
      </c>
      <c r="C475" s="3"/>
      <c r="D475" s="63"/>
      <c r="E475" s="19"/>
      <c r="F475" s="63"/>
      <c r="G475" s="2"/>
      <c r="H475" s="17"/>
      <c r="I475" s="86"/>
    </row>
    <row r="476" spans="2:10" x14ac:dyDescent="0.25">
      <c r="B476" s="2">
        <f t="shared" si="17"/>
        <v>0</v>
      </c>
      <c r="C476" s="3"/>
      <c r="D476" s="63"/>
      <c r="E476" s="19"/>
      <c r="F476" s="63"/>
      <c r="G476" s="2"/>
      <c r="H476" s="17"/>
      <c r="I476" s="86"/>
    </row>
    <row r="477" spans="2:10" x14ac:dyDescent="0.25">
      <c r="B477" s="2">
        <f t="shared" si="17"/>
        <v>0</v>
      </c>
      <c r="C477" s="3"/>
      <c r="D477" s="63"/>
      <c r="E477" s="19"/>
      <c r="F477" s="63"/>
      <c r="G477" s="2"/>
      <c r="H477" s="17"/>
      <c r="I477" s="86"/>
    </row>
    <row r="478" spans="2:10" x14ac:dyDescent="0.25">
      <c r="B478" s="2">
        <f t="shared" si="17"/>
        <v>0</v>
      </c>
      <c r="C478" s="3"/>
      <c r="D478" s="63"/>
      <c r="E478" s="19"/>
      <c r="F478" s="63"/>
      <c r="G478" s="2"/>
      <c r="H478" s="17"/>
      <c r="I478" s="86"/>
    </row>
    <row r="480" spans="2:10" x14ac:dyDescent="0.25">
      <c r="B480" s="2"/>
      <c r="C480" s="22" t="s">
        <v>5620</v>
      </c>
      <c r="D480" s="63"/>
      <c r="E480" s="19"/>
      <c r="F480" s="63"/>
      <c r="G480" s="2"/>
      <c r="H480" s="17"/>
      <c r="I480" s="86"/>
    </row>
    <row r="481" spans="2:11" x14ac:dyDescent="0.25">
      <c r="B481" s="2">
        <f t="shared" ref="B481:B493" si="18">COUNTIFS($C:$C,C481)</f>
        <v>1</v>
      </c>
      <c r="C481" s="3" t="s">
        <v>5621</v>
      </c>
      <c r="D481" s="63" t="s">
        <v>5622</v>
      </c>
      <c r="E481" s="19"/>
      <c r="F481" s="63"/>
      <c r="G481" s="2"/>
      <c r="H481" s="17"/>
      <c r="I481" s="86"/>
      <c r="J481" s="15" t="s">
        <v>5623</v>
      </c>
    </row>
    <row r="482" spans="2:11" x14ac:dyDescent="0.25">
      <c r="B482" s="2">
        <f t="shared" si="18"/>
        <v>1</v>
      </c>
      <c r="C482" s="3" t="s">
        <v>5632</v>
      </c>
      <c r="D482" s="63" t="s">
        <v>5635</v>
      </c>
      <c r="E482" s="19"/>
      <c r="F482" s="63" t="s">
        <v>5633</v>
      </c>
      <c r="G482" s="2"/>
      <c r="H482" s="17"/>
      <c r="I482" s="86"/>
      <c r="J482" s="15" t="s">
        <v>5634</v>
      </c>
    </row>
    <row r="483" spans="2:11" x14ac:dyDescent="0.25">
      <c r="B483" s="2">
        <f t="shared" si="18"/>
        <v>1</v>
      </c>
      <c r="C483" s="3" t="s">
        <v>5793</v>
      </c>
      <c r="D483" s="63"/>
      <c r="E483" s="19"/>
      <c r="F483" s="63" t="s">
        <v>5794</v>
      </c>
      <c r="G483" s="2"/>
      <c r="H483" s="17"/>
      <c r="I483" s="86"/>
    </row>
    <row r="484" spans="2:11" x14ac:dyDescent="0.25">
      <c r="B484" s="2">
        <f t="shared" si="18"/>
        <v>1</v>
      </c>
      <c r="C484" s="3" t="s">
        <v>5795</v>
      </c>
      <c r="D484" s="63"/>
      <c r="E484" s="19"/>
      <c r="F484" s="63" t="s">
        <v>5794</v>
      </c>
      <c r="G484" s="2"/>
      <c r="H484" s="17"/>
      <c r="I484" s="86"/>
    </row>
    <row r="485" spans="2:11" x14ac:dyDescent="0.25">
      <c r="B485" s="2">
        <f t="shared" si="18"/>
        <v>1</v>
      </c>
      <c r="C485" s="3" t="s">
        <v>5796</v>
      </c>
      <c r="D485" s="63"/>
      <c r="E485" s="19"/>
      <c r="F485" s="63" t="s">
        <v>5794</v>
      </c>
      <c r="G485" s="2"/>
      <c r="H485" s="17"/>
      <c r="I485" s="86"/>
    </row>
    <row r="486" spans="2:11" x14ac:dyDescent="0.25">
      <c r="B486" s="2">
        <f t="shared" si="18"/>
        <v>1</v>
      </c>
      <c r="C486" s="3" t="s">
        <v>5797</v>
      </c>
      <c r="D486" s="63"/>
      <c r="E486" s="19"/>
      <c r="F486" s="63" t="s">
        <v>5794</v>
      </c>
      <c r="G486" s="2"/>
      <c r="H486" s="17"/>
      <c r="I486" s="86"/>
    </row>
    <row r="487" spans="2:11" x14ac:dyDescent="0.25">
      <c r="B487" s="2">
        <f t="shared" si="18"/>
        <v>1</v>
      </c>
      <c r="C487" s="3" t="s">
        <v>5798</v>
      </c>
      <c r="D487" s="63"/>
      <c r="E487" s="19"/>
      <c r="F487" s="63" t="s">
        <v>5794</v>
      </c>
      <c r="G487" s="2"/>
      <c r="H487" s="17"/>
      <c r="I487" s="86"/>
    </row>
    <row r="488" spans="2:11" x14ac:dyDescent="0.25">
      <c r="B488" s="2">
        <f t="shared" si="18"/>
        <v>1</v>
      </c>
      <c r="C488" s="3" t="s">
        <v>5799</v>
      </c>
      <c r="D488" s="63"/>
      <c r="E488" s="19"/>
      <c r="F488" s="63" t="s">
        <v>5802</v>
      </c>
      <c r="G488" s="2"/>
      <c r="H488" s="17"/>
      <c r="I488" s="86"/>
    </row>
    <row r="489" spans="2:11" x14ac:dyDescent="0.25">
      <c r="B489" s="2">
        <f t="shared" si="18"/>
        <v>1</v>
      </c>
      <c r="C489" s="3" t="s">
        <v>5800</v>
      </c>
      <c r="D489" s="63"/>
      <c r="E489" s="19"/>
      <c r="F489" s="63" t="s">
        <v>5794</v>
      </c>
      <c r="G489" s="2"/>
      <c r="H489" s="17"/>
      <c r="I489" s="86"/>
    </row>
    <row r="490" spans="2:11" x14ac:dyDescent="0.25">
      <c r="B490" s="2">
        <f t="shared" si="18"/>
        <v>1</v>
      </c>
      <c r="C490" s="3" t="s">
        <v>5801</v>
      </c>
      <c r="D490" s="63"/>
      <c r="E490" s="19"/>
      <c r="F490" s="63" t="s">
        <v>5794</v>
      </c>
      <c r="G490" s="2"/>
      <c r="H490" s="17"/>
      <c r="I490" s="86" t="s">
        <v>5391</v>
      </c>
    </row>
    <row r="491" spans="2:11" x14ac:dyDescent="0.25">
      <c r="B491" s="2">
        <f t="shared" si="18"/>
        <v>0</v>
      </c>
      <c r="C491" s="3"/>
      <c r="D491" s="63"/>
      <c r="E491" s="19"/>
      <c r="F491" s="63"/>
      <c r="G491" s="2"/>
      <c r="H491" s="17"/>
      <c r="I491" s="86"/>
    </row>
    <row r="492" spans="2:11" x14ac:dyDescent="0.25">
      <c r="B492" s="2">
        <f t="shared" si="18"/>
        <v>0</v>
      </c>
      <c r="C492" s="3"/>
      <c r="D492" s="63"/>
      <c r="E492" s="19"/>
      <c r="F492" s="63"/>
      <c r="G492" s="2"/>
      <c r="H492" s="17"/>
      <c r="I492" s="86"/>
    </row>
    <row r="493" spans="2:11" x14ac:dyDescent="0.25">
      <c r="B493" s="2">
        <f t="shared" si="18"/>
        <v>0</v>
      </c>
      <c r="C493" s="3"/>
      <c r="D493" s="63"/>
      <c r="E493" s="19"/>
      <c r="F493" s="63"/>
      <c r="G493" s="2"/>
      <c r="H493" s="17"/>
      <c r="I493" s="86"/>
    </row>
    <row r="495" spans="2:11" x14ac:dyDescent="0.25">
      <c r="B495" s="2"/>
      <c r="C495" s="22" t="s">
        <v>5603</v>
      </c>
      <c r="D495" s="63"/>
      <c r="E495" s="19"/>
      <c r="F495" s="63"/>
      <c r="G495" s="2"/>
      <c r="H495" s="17"/>
      <c r="I495" s="86"/>
    </row>
    <row r="496" spans="2:11" x14ac:dyDescent="0.25">
      <c r="B496" s="2">
        <f>COUNTIFS($C:$C,C496)</f>
        <v>1</v>
      </c>
      <c r="C496" s="3" t="s">
        <v>5604</v>
      </c>
      <c r="D496" s="63" t="s">
        <v>5605</v>
      </c>
      <c r="E496" s="19">
        <v>4</v>
      </c>
      <c r="F496" s="15" t="s">
        <v>5714</v>
      </c>
      <c r="G496" s="2"/>
      <c r="H496" s="17"/>
      <c r="I496" s="86"/>
      <c r="J496" s="14"/>
      <c r="K496" s="14"/>
    </row>
    <row r="497" spans="2:11" x14ac:dyDescent="0.25">
      <c r="B497" s="2">
        <f>COUNTIFS($C:$C,C497)</f>
        <v>1</v>
      </c>
      <c r="C497" s="3" t="s">
        <v>5791</v>
      </c>
      <c r="D497" s="63"/>
      <c r="E497" s="19"/>
      <c r="F497" s="15" t="s">
        <v>5792</v>
      </c>
      <c r="G497" s="2"/>
      <c r="H497" s="17"/>
      <c r="I497" s="86"/>
      <c r="J497" s="14"/>
      <c r="K497" s="14"/>
    </row>
    <row r="498" spans="2:11" x14ac:dyDescent="0.25">
      <c r="B498" s="2">
        <f>COUNTIFS($C:$C,C498)</f>
        <v>1</v>
      </c>
      <c r="C498" s="3" t="s">
        <v>6078</v>
      </c>
      <c r="D498" s="63" t="s">
        <v>6079</v>
      </c>
      <c r="E498" s="19"/>
      <c r="F498" s="15" t="s">
        <v>6080</v>
      </c>
      <c r="G498" s="2"/>
      <c r="H498" s="17"/>
      <c r="I498" s="86"/>
      <c r="J498" s="14"/>
      <c r="K498" s="14"/>
    </row>
    <row r="499" spans="2:11" x14ac:dyDescent="0.25">
      <c r="B499" s="2"/>
      <c r="C499" s="3"/>
      <c r="D499" s="63"/>
      <c r="E499" s="19"/>
      <c r="F499" s="15"/>
      <c r="G499" s="2"/>
      <c r="H499" s="17"/>
      <c r="I499" s="86"/>
      <c r="J499" s="14"/>
      <c r="K499" s="14"/>
    </row>
    <row r="500" spans="2:11" x14ac:dyDescent="0.25">
      <c r="B500" s="2"/>
      <c r="C500" s="22" t="s">
        <v>6097</v>
      </c>
      <c r="D500" s="63"/>
      <c r="E500" s="19"/>
      <c r="F500" s="15"/>
      <c r="G500" s="2"/>
      <c r="H500" s="17"/>
      <c r="I500" s="86"/>
      <c r="J500" s="14"/>
      <c r="K500" s="14"/>
    </row>
    <row r="501" spans="2:11" x14ac:dyDescent="0.25">
      <c r="B501" s="2">
        <f>COUNTIFS($C:$C,C501)</f>
        <v>1</v>
      </c>
      <c r="C501" s="70" t="s">
        <v>6096</v>
      </c>
      <c r="D501" s="63"/>
      <c r="E501" s="19"/>
      <c r="F501" s="15"/>
      <c r="G501" s="2"/>
      <c r="H501" s="17"/>
      <c r="I501" s="86"/>
      <c r="J501" s="14"/>
      <c r="K501" s="14"/>
    </row>
    <row r="503" spans="2:11" x14ac:dyDescent="0.25">
      <c r="B503" s="2"/>
      <c r="C503" s="22" t="s">
        <v>5568</v>
      </c>
      <c r="D503" s="63"/>
      <c r="E503" s="19"/>
      <c r="F503" s="63"/>
      <c r="G503" s="2"/>
      <c r="H503" s="17"/>
      <c r="I503" s="86"/>
    </row>
    <row r="504" spans="2:11" x14ac:dyDescent="0.25">
      <c r="B504" s="2">
        <f>COUNTIFS($C:$C,C504)</f>
        <v>1</v>
      </c>
      <c r="C504" s="3" t="s">
        <v>5570</v>
      </c>
      <c r="D504" s="63" t="s">
        <v>5571</v>
      </c>
      <c r="E504" s="19">
        <v>4</v>
      </c>
      <c r="F504" s="63" t="s">
        <v>246</v>
      </c>
      <c r="G504" s="2" t="s">
        <v>5572</v>
      </c>
      <c r="H504" s="17">
        <v>44531</v>
      </c>
      <c r="I504" s="86" t="s">
        <v>5571</v>
      </c>
    </row>
    <row r="505" spans="2:11" x14ac:dyDescent="0.25">
      <c r="B505" s="2">
        <f>COUNTIFS($C:$C,C505)</f>
        <v>0</v>
      </c>
      <c r="C505" s="3"/>
      <c r="D505" s="63"/>
      <c r="E505" s="19"/>
      <c r="F505" s="63"/>
      <c r="G505" s="2"/>
      <c r="H505" s="17"/>
      <c r="I505" s="86"/>
    </row>
    <row r="506" spans="2:11" x14ac:dyDescent="0.25">
      <c r="B506" s="2">
        <f>COUNTIFS($C:$C,C506)</f>
        <v>0</v>
      </c>
      <c r="C506" s="3"/>
      <c r="D506" s="63"/>
      <c r="E506" s="19"/>
      <c r="F506" s="63"/>
      <c r="G506" s="2"/>
      <c r="H506" s="17"/>
      <c r="I506" s="86"/>
    </row>
    <row r="508" spans="2:11" x14ac:dyDescent="0.25">
      <c r="B508" s="2"/>
      <c r="C508" s="22" t="s">
        <v>5569</v>
      </c>
      <c r="D508" s="63"/>
      <c r="E508" s="19"/>
      <c r="F508" s="63"/>
      <c r="G508" s="2"/>
      <c r="H508" s="17"/>
      <c r="I508" s="86"/>
    </row>
    <row r="509" spans="2:11" x14ac:dyDescent="0.25">
      <c r="B509" s="2">
        <f t="shared" ref="B509:B521" si="19">COUNTIFS($C:$C,C509)</f>
        <v>1</v>
      </c>
      <c r="C509" s="3" t="s">
        <v>5665</v>
      </c>
      <c r="D509" s="63" t="s">
        <v>5667</v>
      </c>
      <c r="E509" s="19">
        <v>4</v>
      </c>
      <c r="F509" s="63" t="s">
        <v>306</v>
      </c>
      <c r="G509" s="2" t="s">
        <v>236</v>
      </c>
      <c r="H509" s="17" t="s">
        <v>236</v>
      </c>
      <c r="I509" s="86" t="s">
        <v>5669</v>
      </c>
      <c r="J509" s="15" t="s">
        <v>5666</v>
      </c>
    </row>
    <row r="510" spans="2:11" x14ac:dyDescent="0.25">
      <c r="B510" s="2">
        <f t="shared" si="19"/>
        <v>1</v>
      </c>
      <c r="C510" s="3" t="s">
        <v>5609</v>
      </c>
      <c r="D510" s="63" t="s">
        <v>5611</v>
      </c>
      <c r="E510" s="19"/>
      <c r="F510" s="63" t="s">
        <v>5612</v>
      </c>
      <c r="G510" s="2" t="s">
        <v>236</v>
      </c>
      <c r="H510" s="17" t="s">
        <v>236</v>
      </c>
      <c r="I510" s="86" t="s">
        <v>5613</v>
      </c>
      <c r="J510" s="15" t="s">
        <v>5610</v>
      </c>
    </row>
    <row r="511" spans="2:11" x14ac:dyDescent="0.25">
      <c r="B511" s="2">
        <f t="shared" si="19"/>
        <v>1</v>
      </c>
      <c r="C511" s="3" t="s">
        <v>6296</v>
      </c>
      <c r="D511" s="63" t="s">
        <v>6303</v>
      </c>
      <c r="E511" s="19"/>
      <c r="F511" s="63" t="s">
        <v>5612</v>
      </c>
      <c r="G511" s="2" t="s">
        <v>236</v>
      </c>
      <c r="H511" s="17" t="s">
        <v>236</v>
      </c>
      <c r="I511" s="86" t="s">
        <v>5613</v>
      </c>
      <c r="J511" s="15" t="s">
        <v>5610</v>
      </c>
    </row>
    <row r="512" spans="2:11" x14ac:dyDescent="0.25">
      <c r="B512" s="2">
        <f t="shared" si="19"/>
        <v>1</v>
      </c>
      <c r="C512" s="3" t="s">
        <v>6301</v>
      </c>
      <c r="D512" s="63" t="s">
        <v>6302</v>
      </c>
      <c r="E512" s="19"/>
      <c r="F512" s="63"/>
      <c r="G512" s="2"/>
      <c r="H512" s="17"/>
      <c r="I512" s="86" t="s">
        <v>5613</v>
      </c>
      <c r="J512" s="15" t="s">
        <v>5610</v>
      </c>
    </row>
    <row r="513" spans="2:9" x14ac:dyDescent="0.25">
      <c r="B513" s="2">
        <f t="shared" si="19"/>
        <v>1</v>
      </c>
      <c r="C513" s="3" t="s">
        <v>5638</v>
      </c>
      <c r="D513" s="63" t="s">
        <v>5643</v>
      </c>
      <c r="E513" s="19">
        <v>3</v>
      </c>
      <c r="F513" s="63" t="s">
        <v>5639</v>
      </c>
      <c r="G513" s="2" t="s">
        <v>236</v>
      </c>
      <c r="H513" s="17" t="s">
        <v>236</v>
      </c>
      <c r="I513" s="86" t="s">
        <v>228</v>
      </c>
    </row>
    <row r="514" spans="2:9" x14ac:dyDescent="0.25">
      <c r="B514" s="2">
        <f t="shared" si="19"/>
        <v>1</v>
      </c>
      <c r="C514" s="3" t="s">
        <v>5642</v>
      </c>
      <c r="D514" s="63" t="s">
        <v>5641</v>
      </c>
      <c r="E514" s="19">
        <v>4</v>
      </c>
      <c r="F514" s="63" t="s">
        <v>5640</v>
      </c>
      <c r="G514" s="2" t="s">
        <v>236</v>
      </c>
      <c r="H514" s="17" t="s">
        <v>236</v>
      </c>
      <c r="I514" s="86" t="s">
        <v>228</v>
      </c>
    </row>
    <row r="515" spans="2:9" x14ac:dyDescent="0.25">
      <c r="B515" s="2">
        <f t="shared" si="19"/>
        <v>1</v>
      </c>
      <c r="C515" s="3" t="s">
        <v>5672</v>
      </c>
      <c r="D515" s="63" t="s">
        <v>5674</v>
      </c>
      <c r="E515" s="19">
        <v>4</v>
      </c>
      <c r="F515" s="63" t="s">
        <v>5673</v>
      </c>
      <c r="G515" s="2" t="s">
        <v>236</v>
      </c>
      <c r="H515" s="17" t="s">
        <v>236</v>
      </c>
      <c r="I515" s="86" t="s">
        <v>5669</v>
      </c>
    </row>
    <row r="516" spans="2:9" x14ac:dyDescent="0.25">
      <c r="B516" s="2">
        <f t="shared" si="19"/>
        <v>1</v>
      </c>
      <c r="C516" s="3" t="s">
        <v>5678</v>
      </c>
      <c r="D516" s="63" t="s">
        <v>5679</v>
      </c>
      <c r="E516" s="19">
        <v>4</v>
      </c>
      <c r="F516" s="63" t="s">
        <v>306</v>
      </c>
      <c r="G516" s="2" t="s">
        <v>236</v>
      </c>
      <c r="H516" s="17" t="s">
        <v>236</v>
      </c>
      <c r="I516" s="86" t="s">
        <v>5669</v>
      </c>
    </row>
    <row r="517" spans="2:9" x14ac:dyDescent="0.25">
      <c r="B517" s="2">
        <f t="shared" si="19"/>
        <v>1</v>
      </c>
      <c r="C517" s="3" t="s">
        <v>5680</v>
      </c>
      <c r="D517" s="63" t="s">
        <v>5682</v>
      </c>
      <c r="E517" s="19">
        <v>4</v>
      </c>
      <c r="F517" s="63" t="s">
        <v>243</v>
      </c>
      <c r="G517" s="2" t="s">
        <v>228</v>
      </c>
      <c r="H517" s="17">
        <v>45597</v>
      </c>
      <c r="I517" s="86" t="s">
        <v>5681</v>
      </c>
    </row>
    <row r="518" spans="2:9" x14ac:dyDescent="0.25">
      <c r="B518" s="2">
        <f t="shared" si="19"/>
        <v>1</v>
      </c>
      <c r="C518" s="3" t="s">
        <v>6297</v>
      </c>
      <c r="D518" s="63" t="s">
        <v>6300</v>
      </c>
      <c r="E518" s="19">
        <v>4</v>
      </c>
      <c r="F518" s="63" t="s">
        <v>6298</v>
      </c>
      <c r="G518" s="2" t="s">
        <v>6299</v>
      </c>
      <c r="H518" s="17">
        <v>45566</v>
      </c>
      <c r="I518" s="86" t="s">
        <v>5310</v>
      </c>
    </row>
    <row r="519" spans="2:9" x14ac:dyDescent="0.25">
      <c r="B519" s="2">
        <f t="shared" si="19"/>
        <v>0</v>
      </c>
      <c r="C519" s="3"/>
      <c r="D519" s="63"/>
      <c r="E519" s="19"/>
      <c r="F519" s="63"/>
      <c r="G519" s="2"/>
      <c r="H519" s="17"/>
      <c r="I519" s="86"/>
    </row>
    <row r="520" spans="2:9" x14ac:dyDescent="0.25">
      <c r="B520" s="2">
        <f t="shared" si="19"/>
        <v>1</v>
      </c>
      <c r="C520" s="3" t="s">
        <v>6306</v>
      </c>
      <c r="D520" s="63"/>
      <c r="E520" s="19"/>
      <c r="F520" s="63" t="s">
        <v>6307</v>
      </c>
      <c r="G520" s="2"/>
      <c r="H520" s="17"/>
      <c r="I520" s="86"/>
    </row>
    <row r="521" spans="2:9" x14ac:dyDescent="0.25">
      <c r="B521" s="2">
        <f t="shared" si="19"/>
        <v>1</v>
      </c>
      <c r="C521" s="3" t="s">
        <v>6308</v>
      </c>
      <c r="D521" s="63"/>
      <c r="E521" s="19"/>
      <c r="F521" s="63" t="s">
        <v>6307</v>
      </c>
      <c r="G521" s="2"/>
      <c r="H521" s="17"/>
      <c r="I521" s="86"/>
    </row>
    <row r="523" spans="2:9" x14ac:dyDescent="0.25">
      <c r="B523" s="2">
        <f>COUNTIFS($C:$C,C523)</f>
        <v>1</v>
      </c>
      <c r="C523" s="14" t="s">
        <v>6322</v>
      </c>
      <c r="F523" s="14" t="s">
        <v>6323</v>
      </c>
    </row>
    <row r="524" spans="2:9" x14ac:dyDescent="0.25">
      <c r="B524" s="2">
        <f>COUNTIFS($C:$C,C524)</f>
        <v>1</v>
      </c>
      <c r="C524" s="14" t="s">
        <v>6324</v>
      </c>
      <c r="F524" s="14" t="s">
        <v>6325</v>
      </c>
    </row>
    <row r="527" spans="2:9" x14ac:dyDescent="0.25">
      <c r="C527" s="22" t="s">
        <v>5637</v>
      </c>
    </row>
    <row r="528" spans="2:9" x14ac:dyDescent="0.25">
      <c r="B528" s="2">
        <f t="shared" ref="B528:B536" si="20">COUNTIFS($C:$C,C528)</f>
        <v>1</v>
      </c>
      <c r="C528" s="3" t="s">
        <v>5646</v>
      </c>
      <c r="D528" s="63" t="s">
        <v>5645</v>
      </c>
      <c r="E528" s="19">
        <v>3</v>
      </c>
      <c r="F528" s="63" t="s">
        <v>5644</v>
      </c>
      <c r="G528" s="2" t="s">
        <v>236</v>
      </c>
      <c r="H528" s="17" t="s">
        <v>236</v>
      </c>
      <c r="I528" s="86" t="s">
        <v>228</v>
      </c>
    </row>
    <row r="529" spans="2:9" x14ac:dyDescent="0.25">
      <c r="B529" s="2">
        <f t="shared" si="20"/>
        <v>1</v>
      </c>
      <c r="C529" s="3" t="s">
        <v>5647</v>
      </c>
      <c r="D529" s="63" t="s">
        <v>5650</v>
      </c>
      <c r="E529" s="19">
        <v>5</v>
      </c>
      <c r="F529" s="63" t="s">
        <v>5399</v>
      </c>
      <c r="G529" s="2" t="s">
        <v>236</v>
      </c>
      <c r="H529" s="17" t="s">
        <v>236</v>
      </c>
      <c r="I529" s="86" t="s">
        <v>5648</v>
      </c>
    </row>
    <row r="530" spans="2:9" x14ac:dyDescent="0.25">
      <c r="B530" s="2">
        <f t="shared" si="20"/>
        <v>1</v>
      </c>
      <c r="C530" s="3" t="s">
        <v>5636</v>
      </c>
      <c r="D530" s="63" t="s">
        <v>5649</v>
      </c>
      <c r="E530" s="19">
        <v>3</v>
      </c>
      <c r="F530" s="63" t="s">
        <v>5651</v>
      </c>
      <c r="G530" s="2" t="s">
        <v>236</v>
      </c>
      <c r="H530" s="17" t="s">
        <v>236</v>
      </c>
      <c r="I530" s="86" t="s">
        <v>5648</v>
      </c>
    </row>
    <row r="531" spans="2:9" x14ac:dyDescent="0.25">
      <c r="B531" s="2">
        <f t="shared" si="20"/>
        <v>1</v>
      </c>
      <c r="C531" s="3" t="s">
        <v>5652</v>
      </c>
      <c r="D531" s="63" t="s">
        <v>5653</v>
      </c>
      <c r="E531" s="19">
        <v>3</v>
      </c>
      <c r="F531" s="63" t="s">
        <v>5654</v>
      </c>
      <c r="G531" s="2" t="s">
        <v>236</v>
      </c>
      <c r="H531" s="17" t="s">
        <v>236</v>
      </c>
      <c r="I531" s="86" t="s">
        <v>5648</v>
      </c>
    </row>
    <row r="532" spans="2:9" x14ac:dyDescent="0.25">
      <c r="B532" s="2">
        <f t="shared" si="20"/>
        <v>1</v>
      </c>
      <c r="C532" s="3" t="s">
        <v>5655</v>
      </c>
      <c r="D532" s="63" t="s">
        <v>5657</v>
      </c>
      <c r="E532" s="19">
        <v>3</v>
      </c>
      <c r="F532" s="63" t="s">
        <v>5656</v>
      </c>
      <c r="G532" s="2" t="s">
        <v>236</v>
      </c>
      <c r="H532" s="17" t="s">
        <v>236</v>
      </c>
      <c r="I532" s="86" t="s">
        <v>5648</v>
      </c>
    </row>
    <row r="533" spans="2:9" x14ac:dyDescent="0.25">
      <c r="B533" s="2">
        <f t="shared" si="20"/>
        <v>1</v>
      </c>
      <c r="C533" s="3" t="s">
        <v>5658</v>
      </c>
      <c r="D533" s="63" t="s">
        <v>5659</v>
      </c>
      <c r="E533" s="19">
        <v>3</v>
      </c>
      <c r="F533" s="63" t="s">
        <v>5300</v>
      </c>
      <c r="G533" s="2" t="s">
        <v>5660</v>
      </c>
      <c r="H533" s="17">
        <v>45901</v>
      </c>
      <c r="I533" s="86" t="s">
        <v>5661</v>
      </c>
    </row>
    <row r="534" spans="2:9" x14ac:dyDescent="0.25">
      <c r="B534" s="2">
        <f t="shared" si="20"/>
        <v>1</v>
      </c>
      <c r="C534" s="3" t="s">
        <v>5662</v>
      </c>
      <c r="D534" s="63" t="s">
        <v>5664</v>
      </c>
      <c r="E534" s="19">
        <v>4</v>
      </c>
      <c r="F534" s="63" t="s">
        <v>5663</v>
      </c>
      <c r="G534" s="2" t="s">
        <v>236</v>
      </c>
      <c r="H534" s="17" t="s">
        <v>236</v>
      </c>
      <c r="I534" s="86" t="s">
        <v>228</v>
      </c>
    </row>
    <row r="535" spans="2:9" x14ac:dyDescent="0.25">
      <c r="B535" s="2">
        <f t="shared" si="20"/>
        <v>1</v>
      </c>
      <c r="C535" s="3" t="s">
        <v>5668</v>
      </c>
      <c r="D535" s="63" t="s">
        <v>5670</v>
      </c>
      <c r="E535" s="19">
        <v>4</v>
      </c>
      <c r="F535" s="63" t="s">
        <v>5671</v>
      </c>
      <c r="G535" s="2" t="s">
        <v>5669</v>
      </c>
      <c r="H535" s="17">
        <v>45931</v>
      </c>
      <c r="I535" s="86" t="s">
        <v>5661</v>
      </c>
    </row>
    <row r="536" spans="2:9" x14ac:dyDescent="0.25">
      <c r="B536" s="2">
        <f t="shared" si="20"/>
        <v>1</v>
      </c>
      <c r="C536" s="3" t="s">
        <v>5675</v>
      </c>
      <c r="D536" s="63" t="s">
        <v>5677</v>
      </c>
      <c r="E536" s="19">
        <v>4</v>
      </c>
      <c r="F536" s="63" t="s">
        <v>5676</v>
      </c>
      <c r="G536" s="2" t="s">
        <v>236</v>
      </c>
      <c r="H536" s="17" t="s">
        <v>236</v>
      </c>
      <c r="I536" s="86" t="s">
        <v>228</v>
      </c>
    </row>
    <row r="537" spans="2:9" x14ac:dyDescent="0.25">
      <c r="B537" s="2"/>
      <c r="C537" s="3" t="s">
        <v>7344</v>
      </c>
      <c r="D537" s="63" t="s">
        <v>7346</v>
      </c>
      <c r="E537" s="19">
        <v>5</v>
      </c>
      <c r="F537" s="63" t="s">
        <v>7345</v>
      </c>
      <c r="G537" s="2" t="s">
        <v>236</v>
      </c>
      <c r="H537" s="17" t="s">
        <v>236</v>
      </c>
      <c r="I537" s="86" t="s">
        <v>5648</v>
      </c>
    </row>
    <row r="538" spans="2:9" x14ac:dyDescent="0.25">
      <c r="B538" s="2"/>
      <c r="C538" s="3"/>
      <c r="D538" s="63"/>
      <c r="E538" s="19"/>
      <c r="F538" s="63"/>
      <c r="G538" s="2"/>
      <c r="H538" s="17"/>
      <c r="I538" s="86"/>
    </row>
    <row r="540" spans="2:9" x14ac:dyDescent="0.25">
      <c r="C540" s="22" t="s">
        <v>5566</v>
      </c>
    </row>
    <row r="541" spans="2:9" x14ac:dyDescent="0.25">
      <c r="B541" s="2">
        <f>COUNTIFS($C:$C,C541)</f>
        <v>1</v>
      </c>
      <c r="C541" s="3" t="s">
        <v>5565</v>
      </c>
      <c r="D541" s="63" t="s">
        <v>5567</v>
      </c>
      <c r="E541" s="19">
        <v>4</v>
      </c>
      <c r="F541" s="63"/>
      <c r="G541" s="2"/>
      <c r="H541" s="17"/>
      <c r="I541" s="86"/>
    </row>
    <row r="542" spans="2:9" x14ac:dyDescent="0.25">
      <c r="B542" s="2">
        <f>COUNTIFS($C:$C,C542)</f>
        <v>1</v>
      </c>
      <c r="C542" s="3" t="s">
        <v>5582</v>
      </c>
      <c r="D542" s="63" t="s">
        <v>5583</v>
      </c>
      <c r="E542" s="19">
        <v>3</v>
      </c>
      <c r="F542" s="63" t="s">
        <v>5585</v>
      </c>
      <c r="G542" s="2" t="s">
        <v>236</v>
      </c>
      <c r="H542" s="17" t="s">
        <v>236</v>
      </c>
      <c r="I542" s="63" t="s">
        <v>5584</v>
      </c>
    </row>
    <row r="543" spans="2:9" x14ac:dyDescent="0.25">
      <c r="B543" s="2">
        <f>COUNTIFS($C:$C,C543)</f>
        <v>1</v>
      </c>
      <c r="C543" s="3" t="s">
        <v>5685</v>
      </c>
      <c r="D543" s="63" t="s">
        <v>5683</v>
      </c>
      <c r="E543" s="19">
        <v>3</v>
      </c>
      <c r="F543" s="63" t="s">
        <v>5684</v>
      </c>
      <c r="G543" s="2" t="s">
        <v>228</v>
      </c>
      <c r="H543" s="17">
        <v>45536</v>
      </c>
      <c r="I543" s="86"/>
    </row>
    <row r="544" spans="2:9" x14ac:dyDescent="0.25">
      <c r="B544" s="2"/>
      <c r="C544" s="3"/>
      <c r="D544" s="63"/>
      <c r="E544" s="19"/>
      <c r="F544" s="63"/>
      <c r="G544" s="2"/>
      <c r="H544" s="17"/>
      <c r="I544" s="86"/>
    </row>
    <row r="545" spans="2:10" x14ac:dyDescent="0.25">
      <c r="B545" s="2"/>
      <c r="C545" s="3"/>
      <c r="D545" s="63"/>
      <c r="E545" s="19"/>
      <c r="F545" s="63"/>
      <c r="G545" s="2"/>
      <c r="H545" s="17"/>
      <c r="I545" s="86"/>
    </row>
    <row r="547" spans="2:10" x14ac:dyDescent="0.25">
      <c r="C547" s="22" t="s">
        <v>5573</v>
      </c>
    </row>
    <row r="548" spans="2:10" x14ac:dyDescent="0.25">
      <c r="B548" s="2">
        <f>COUNTIFS($C:$C,C548)</f>
        <v>1</v>
      </c>
      <c r="C548" s="3" t="s">
        <v>5574</v>
      </c>
      <c r="D548" s="63"/>
      <c r="E548" s="19">
        <v>4</v>
      </c>
      <c r="F548" s="63" t="s">
        <v>5577</v>
      </c>
      <c r="G548" s="2" t="s">
        <v>236</v>
      </c>
      <c r="H548" s="17" t="s">
        <v>236</v>
      </c>
      <c r="I548" s="86" t="s">
        <v>5575</v>
      </c>
      <c r="J548" s="15" t="s">
        <v>5576</v>
      </c>
    </row>
    <row r="549" spans="2:10" x14ac:dyDescent="0.25">
      <c r="B549" s="2">
        <f>COUNTIFS($C:$C,C549)</f>
        <v>2</v>
      </c>
      <c r="C549" s="3" t="s">
        <v>5578</v>
      </c>
      <c r="D549" s="63"/>
      <c r="E549" s="19">
        <v>5</v>
      </c>
      <c r="F549" s="63" t="s">
        <v>246</v>
      </c>
      <c r="G549" s="2" t="s">
        <v>236</v>
      </c>
      <c r="H549" s="17" t="s">
        <v>236</v>
      </c>
      <c r="I549" s="86" t="s">
        <v>5579</v>
      </c>
      <c r="J549" s="15" t="s">
        <v>5580</v>
      </c>
    </row>
    <row r="550" spans="2:10" x14ac:dyDescent="0.25">
      <c r="B550" s="2">
        <f>COUNTIFS($C:$C,C550)</f>
        <v>2</v>
      </c>
      <c r="C550" s="3" t="s">
        <v>5578</v>
      </c>
      <c r="D550" s="63"/>
      <c r="E550" s="19">
        <v>2</v>
      </c>
      <c r="F550" s="63" t="s">
        <v>5577</v>
      </c>
      <c r="G550" s="2" t="s">
        <v>236</v>
      </c>
      <c r="H550" s="17" t="s">
        <v>236</v>
      </c>
      <c r="I550" s="86" t="s">
        <v>5581</v>
      </c>
    </row>
    <row r="551" spans="2:10" x14ac:dyDescent="0.25">
      <c r="B551" s="2"/>
      <c r="C551" s="3"/>
      <c r="D551" s="63"/>
      <c r="E551" s="19"/>
      <c r="F551" s="63"/>
      <c r="G551" s="2"/>
      <c r="H551" s="17"/>
      <c r="I551" s="86"/>
    </row>
    <row r="553" spans="2:10" x14ac:dyDescent="0.25">
      <c r="B553" s="2"/>
      <c r="C553" s="22" t="s">
        <v>5554</v>
      </c>
      <c r="D553" s="63"/>
      <c r="E553" s="19"/>
      <c r="F553" s="63"/>
      <c r="G553" s="2"/>
      <c r="H553" s="17"/>
      <c r="I553" s="86"/>
    </row>
    <row r="554" spans="2:10" x14ac:dyDescent="0.25">
      <c r="B554" s="2">
        <f>COUNTIFS($C:$C,C554)</f>
        <v>1</v>
      </c>
      <c r="C554" s="3" t="s">
        <v>5555</v>
      </c>
      <c r="D554" s="63" t="s">
        <v>5556</v>
      </c>
      <c r="E554" s="19">
        <v>4</v>
      </c>
      <c r="F554" s="63" t="s">
        <v>5557</v>
      </c>
      <c r="G554" s="2" t="s">
        <v>236</v>
      </c>
      <c r="H554" s="17" t="s">
        <v>236</v>
      </c>
      <c r="I554" s="86" t="s">
        <v>5558</v>
      </c>
    </row>
    <row r="555" spans="2:10" x14ac:dyDescent="0.25">
      <c r="B555" s="2">
        <f>COUNTIFS($C:$C,C555)</f>
        <v>1</v>
      </c>
      <c r="C555" s="3" t="s">
        <v>5559</v>
      </c>
      <c r="D555" s="63" t="s">
        <v>5560</v>
      </c>
      <c r="E555" s="19">
        <v>4</v>
      </c>
      <c r="F555" s="63" t="s">
        <v>5561</v>
      </c>
      <c r="G555" s="2" t="s">
        <v>236</v>
      </c>
      <c r="H555" s="17" t="s">
        <v>236</v>
      </c>
      <c r="I555" s="86" t="s">
        <v>5562</v>
      </c>
    </row>
    <row r="556" spans="2:10" x14ac:dyDescent="0.25">
      <c r="B556" s="2">
        <f>COUNTIFS($C:$C,C556)</f>
        <v>1</v>
      </c>
      <c r="C556" s="3" t="s">
        <v>5563</v>
      </c>
      <c r="D556" s="63" t="s">
        <v>5564</v>
      </c>
      <c r="E556" s="19">
        <v>4</v>
      </c>
      <c r="F556" s="63" t="s">
        <v>5281</v>
      </c>
      <c r="G556" s="2" t="s">
        <v>105</v>
      </c>
      <c r="H556" s="17">
        <v>43862</v>
      </c>
      <c r="I556" s="86" t="s">
        <v>5558</v>
      </c>
    </row>
    <row r="558" spans="2:10" x14ac:dyDescent="0.25">
      <c r="B558" s="2"/>
      <c r="C558" s="22" t="s">
        <v>5587</v>
      </c>
      <c r="D558" s="63"/>
      <c r="E558" s="19"/>
      <c r="F558" s="63"/>
      <c r="G558" s="2"/>
      <c r="H558" s="17"/>
      <c r="I558" s="86"/>
    </row>
    <row r="559" spans="2:10" x14ac:dyDescent="0.25">
      <c r="B559" s="2">
        <f>COUNTIFS($C:$C,C559)</f>
        <v>1</v>
      </c>
      <c r="C559" s="3" t="s">
        <v>5586</v>
      </c>
      <c r="D559" s="63" t="s">
        <v>5589</v>
      </c>
      <c r="E559" s="19">
        <v>4</v>
      </c>
      <c r="F559" s="63" t="s">
        <v>246</v>
      </c>
      <c r="G559" s="2" t="s">
        <v>5588</v>
      </c>
      <c r="H559" s="17">
        <v>45778</v>
      </c>
      <c r="I559" s="86" t="s">
        <v>236</v>
      </c>
    </row>
    <row r="560" spans="2:10" x14ac:dyDescent="0.25">
      <c r="B560" s="2">
        <f>COUNTIFS($C:$C,C560)</f>
        <v>1</v>
      </c>
      <c r="C560" s="3" t="s">
        <v>5590</v>
      </c>
      <c r="D560" s="63" t="s">
        <v>5591</v>
      </c>
      <c r="E560" s="19">
        <v>4</v>
      </c>
      <c r="F560" s="63" t="s">
        <v>246</v>
      </c>
      <c r="G560" s="2" t="s">
        <v>236</v>
      </c>
      <c r="H560" s="17" t="s">
        <v>236</v>
      </c>
      <c r="I560" s="91" t="s">
        <v>5592</v>
      </c>
    </row>
    <row r="561" spans="2:10" x14ac:dyDescent="0.25">
      <c r="B561" s="2"/>
      <c r="C561" s="3"/>
      <c r="D561" s="63"/>
      <c r="E561" s="19"/>
      <c r="F561" s="63"/>
      <c r="G561" s="2"/>
      <c r="H561" s="17"/>
      <c r="I561" s="86"/>
    </row>
    <row r="563" spans="2:10" x14ac:dyDescent="0.25">
      <c r="C563" s="22" t="s">
        <v>5595</v>
      </c>
    </row>
    <row r="564" spans="2:10" x14ac:dyDescent="0.25">
      <c r="B564" s="2">
        <f t="shared" ref="B564:B575" si="21">COUNTIFS($C:$C,C564)</f>
        <v>1</v>
      </c>
      <c r="C564" s="3" t="s">
        <v>5594</v>
      </c>
      <c r="D564" s="63" t="s">
        <v>5596</v>
      </c>
      <c r="E564" s="19"/>
      <c r="F564" s="63" t="s">
        <v>5597</v>
      </c>
      <c r="G564" s="2"/>
      <c r="H564" s="17"/>
      <c r="I564" s="91"/>
    </row>
    <row r="565" spans="2:10" x14ac:dyDescent="0.25">
      <c r="B565" s="2">
        <f t="shared" si="21"/>
        <v>1</v>
      </c>
      <c r="C565" s="3" t="s">
        <v>5598</v>
      </c>
      <c r="D565" s="63" t="s">
        <v>5599</v>
      </c>
      <c r="E565" s="19"/>
      <c r="F565" s="63" t="s">
        <v>5600</v>
      </c>
      <c r="G565" s="2"/>
      <c r="H565" s="17"/>
      <c r="I565" s="91"/>
    </row>
    <row r="566" spans="2:10" x14ac:dyDescent="0.25">
      <c r="B566" s="2">
        <f t="shared" si="21"/>
        <v>1</v>
      </c>
      <c r="C566" s="3" t="s">
        <v>5606</v>
      </c>
      <c r="D566" s="63" t="s">
        <v>5608</v>
      </c>
      <c r="E566" s="19"/>
      <c r="F566" s="63" t="s">
        <v>5607</v>
      </c>
      <c r="G566" s="2"/>
      <c r="H566" s="17"/>
      <c r="I566" s="91"/>
    </row>
    <row r="567" spans="2:10" x14ac:dyDescent="0.25">
      <c r="B567" s="2">
        <f t="shared" si="21"/>
        <v>1</v>
      </c>
      <c r="C567" s="3" t="s">
        <v>5617</v>
      </c>
      <c r="D567" s="63" t="s">
        <v>5618</v>
      </c>
      <c r="E567" s="19"/>
      <c r="F567" s="63" t="s">
        <v>5619</v>
      </c>
      <c r="G567" s="2"/>
      <c r="H567" s="17"/>
      <c r="I567" s="91"/>
    </row>
    <row r="568" spans="2:10" x14ac:dyDescent="0.25">
      <c r="B568" s="2">
        <f t="shared" si="21"/>
        <v>1</v>
      </c>
      <c r="C568" s="3" t="s">
        <v>5854</v>
      </c>
      <c r="D568" s="63" t="s">
        <v>5856</v>
      </c>
      <c r="E568" s="19"/>
      <c r="F568" s="63" t="s">
        <v>5857</v>
      </c>
      <c r="G568" s="2"/>
      <c r="H568" s="17"/>
      <c r="I568" s="91" t="s">
        <v>5855</v>
      </c>
    </row>
    <row r="569" spans="2:10" x14ac:dyDescent="0.25">
      <c r="B569" s="2">
        <f t="shared" si="21"/>
        <v>1</v>
      </c>
      <c r="C569" s="3" t="s">
        <v>5978</v>
      </c>
      <c r="D569" s="63" t="s">
        <v>5980</v>
      </c>
      <c r="E569" s="19"/>
      <c r="F569" s="63" t="s">
        <v>5941</v>
      </c>
      <c r="G569" s="2"/>
      <c r="H569" s="17"/>
      <c r="I569" s="91" t="s">
        <v>5955</v>
      </c>
    </row>
    <row r="570" spans="2:10" x14ac:dyDescent="0.25">
      <c r="B570" s="2">
        <f t="shared" si="21"/>
        <v>1</v>
      </c>
      <c r="C570" s="3" t="s">
        <v>5981</v>
      </c>
      <c r="D570" s="63" t="s">
        <v>5982</v>
      </c>
      <c r="E570" s="19"/>
      <c r="F570" s="63" t="s">
        <v>5941</v>
      </c>
      <c r="G570" s="2"/>
      <c r="H570" s="17"/>
      <c r="I570" s="91" t="s">
        <v>5983</v>
      </c>
      <c r="J570" s="15" t="s">
        <v>5984</v>
      </c>
    </row>
    <row r="571" spans="2:10" x14ac:dyDescent="0.25">
      <c r="B571" s="2">
        <f t="shared" si="21"/>
        <v>1</v>
      </c>
      <c r="C571" s="3" t="s">
        <v>5985</v>
      </c>
      <c r="D571" s="63" t="s">
        <v>5988</v>
      </c>
      <c r="E571" s="19"/>
      <c r="F571" s="63" t="s">
        <v>5987</v>
      </c>
      <c r="G571" s="2"/>
      <c r="H571" s="17"/>
      <c r="I571" s="91" t="s">
        <v>5989</v>
      </c>
      <c r="J571" s="15" t="s">
        <v>5986</v>
      </c>
    </row>
    <row r="572" spans="2:10" x14ac:dyDescent="0.25">
      <c r="B572" s="2">
        <f t="shared" si="21"/>
        <v>1</v>
      </c>
      <c r="C572" s="3" t="s">
        <v>5979</v>
      </c>
      <c r="D572" s="63" t="s">
        <v>5958</v>
      </c>
      <c r="E572" s="19"/>
      <c r="F572" s="63" t="s">
        <v>5957</v>
      </c>
      <c r="G572" s="2"/>
      <c r="H572" s="17"/>
      <c r="I572" s="91" t="s">
        <v>5956</v>
      </c>
    </row>
    <row r="573" spans="2:10" x14ac:dyDescent="0.25">
      <c r="B573" s="2">
        <f t="shared" si="21"/>
        <v>0</v>
      </c>
      <c r="C573" s="3"/>
      <c r="D573" s="63"/>
      <c r="E573" s="19"/>
      <c r="F573" s="63"/>
      <c r="G573" s="2"/>
      <c r="H573" s="17"/>
      <c r="I573" s="91"/>
    </row>
    <row r="574" spans="2:10" x14ac:dyDescent="0.25">
      <c r="B574" s="2">
        <f t="shared" si="21"/>
        <v>0</v>
      </c>
      <c r="C574" s="3"/>
      <c r="D574" s="63"/>
      <c r="E574" s="19"/>
      <c r="F574" s="63"/>
      <c r="G574" s="2"/>
      <c r="H574" s="17"/>
      <c r="I574" s="91"/>
    </row>
    <row r="575" spans="2:10" x14ac:dyDescent="0.25">
      <c r="B575" s="2">
        <f t="shared" si="21"/>
        <v>0</v>
      </c>
      <c r="C575" s="3"/>
      <c r="D575" s="63"/>
      <c r="E575" s="19"/>
      <c r="F575" s="63"/>
      <c r="G575" s="2"/>
      <c r="H575" s="17"/>
      <c r="I575" s="91"/>
    </row>
    <row r="577" spans="2:10" x14ac:dyDescent="0.25">
      <c r="C577" s="22" t="s">
        <v>5686</v>
      </c>
    </row>
    <row r="578" spans="2:10" x14ac:dyDescent="0.25">
      <c r="B578" s="2">
        <f>COUNTIFS($C:$C,C578)</f>
        <v>1</v>
      </c>
      <c r="C578" s="3" t="s">
        <v>5601</v>
      </c>
      <c r="D578" s="63" t="s">
        <v>5602</v>
      </c>
      <c r="E578" s="19"/>
      <c r="F578" s="63" t="s">
        <v>5687</v>
      </c>
      <c r="G578" s="2"/>
      <c r="H578" s="17"/>
      <c r="I578" s="91"/>
    </row>
    <row r="579" spans="2:10" x14ac:dyDescent="0.25">
      <c r="B579" s="2">
        <f>COUNTIFS($C:$C,C579)</f>
        <v>1</v>
      </c>
      <c r="C579" s="3" t="s">
        <v>5688</v>
      </c>
      <c r="D579" s="63" t="s">
        <v>5690</v>
      </c>
      <c r="E579" s="19"/>
      <c r="F579" s="63" t="s">
        <v>5689</v>
      </c>
      <c r="G579" s="2"/>
      <c r="H579" s="17"/>
      <c r="I579" s="91"/>
    </row>
    <row r="580" spans="2:10" x14ac:dyDescent="0.25">
      <c r="B580" s="2">
        <f>COUNTIFS($C:$C,C580)</f>
        <v>1</v>
      </c>
      <c r="C580" s="3" t="s">
        <v>5691</v>
      </c>
      <c r="D580" s="63" t="s">
        <v>5693</v>
      </c>
      <c r="E580" s="19"/>
      <c r="F580" s="63" t="s">
        <v>5692</v>
      </c>
      <c r="G580" s="2"/>
      <c r="H580" s="17"/>
      <c r="I580" s="91"/>
    </row>
    <row r="581" spans="2:10" x14ac:dyDescent="0.25">
      <c r="B581" s="2">
        <f>COUNTIFS($C:$C,C581)</f>
        <v>1</v>
      </c>
      <c r="C581" s="3" t="s">
        <v>6167</v>
      </c>
      <c r="D581" s="63"/>
      <c r="E581" s="19"/>
      <c r="F581" s="63" t="s">
        <v>6331</v>
      </c>
      <c r="G581" s="2"/>
      <c r="H581" s="17"/>
      <c r="I581" s="91"/>
    </row>
    <row r="582" spans="2:10" x14ac:dyDescent="0.25">
      <c r="B582" s="2">
        <f>COUNTIFS($C:$C,C582)</f>
        <v>0</v>
      </c>
      <c r="C582" s="3"/>
      <c r="D582" s="63"/>
      <c r="E582" s="19"/>
      <c r="F582" s="63"/>
      <c r="G582" s="2"/>
      <c r="H582" s="17"/>
      <c r="I582" s="91"/>
    </row>
    <row r="583" spans="2:10" x14ac:dyDescent="0.25">
      <c r="B583" s="2"/>
      <c r="C583" s="3"/>
      <c r="D583" s="63"/>
      <c r="E583" s="19"/>
      <c r="F583" s="63"/>
      <c r="G583" s="2"/>
      <c r="H583" s="17"/>
      <c r="I583" s="91"/>
    </row>
    <row r="584" spans="2:10" x14ac:dyDescent="0.25">
      <c r="C584" s="22" t="s">
        <v>5803</v>
      </c>
    </row>
    <row r="585" spans="2:10" x14ac:dyDescent="0.25">
      <c r="B585" s="2">
        <f t="shared" ref="B585:B604" si="22">COUNTIFS($C:$C,C585)</f>
        <v>1</v>
      </c>
      <c r="C585" s="3" t="s">
        <v>5805</v>
      </c>
      <c r="D585" s="63" t="s">
        <v>5868</v>
      </c>
      <c r="E585" s="19"/>
      <c r="F585" s="63" t="s">
        <v>246</v>
      </c>
      <c r="G585" s="2"/>
      <c r="H585" s="17"/>
      <c r="I585" s="91" t="s">
        <v>5869</v>
      </c>
    </row>
    <row r="586" spans="2:10" x14ac:dyDescent="0.25">
      <c r="B586" s="2">
        <f t="shared" si="22"/>
        <v>1</v>
      </c>
      <c r="C586" s="3" t="s">
        <v>5806</v>
      </c>
      <c r="D586" s="63" t="s">
        <v>5866</v>
      </c>
      <c r="E586" s="19"/>
      <c r="F586" s="63" t="s">
        <v>5807</v>
      </c>
      <c r="G586" s="2"/>
      <c r="H586" s="17"/>
      <c r="I586" s="91" t="s">
        <v>5867</v>
      </c>
    </row>
    <row r="587" spans="2:10" x14ac:dyDescent="0.25">
      <c r="B587" s="2">
        <f t="shared" si="22"/>
        <v>1</v>
      </c>
      <c r="C587" s="72" t="s">
        <v>5858</v>
      </c>
      <c r="D587" s="63" t="s">
        <v>5859</v>
      </c>
      <c r="F587" s="63" t="s">
        <v>5860</v>
      </c>
      <c r="G587" s="14"/>
      <c r="H587"/>
      <c r="I587" s="91" t="s">
        <v>5861</v>
      </c>
    </row>
    <row r="588" spans="2:10" x14ac:dyDescent="0.25">
      <c r="B588" s="2">
        <f t="shared" si="22"/>
        <v>1</v>
      </c>
      <c r="C588" s="3" t="s">
        <v>5817</v>
      </c>
      <c r="D588" s="63" t="s">
        <v>5870</v>
      </c>
      <c r="E588" s="19"/>
      <c r="F588" s="63" t="s">
        <v>5871</v>
      </c>
      <c r="G588" s="2"/>
      <c r="H588" s="17"/>
      <c r="I588" s="91" t="s">
        <v>5861</v>
      </c>
    </row>
    <row r="589" spans="2:10" x14ac:dyDescent="0.25">
      <c r="B589" s="2">
        <f t="shared" si="22"/>
        <v>1</v>
      </c>
      <c r="C589" s="3" t="s">
        <v>5818</v>
      </c>
      <c r="D589" s="63" t="s">
        <v>5864</v>
      </c>
      <c r="E589" s="19"/>
      <c r="F589" s="63" t="s">
        <v>5862</v>
      </c>
      <c r="G589" s="2"/>
      <c r="H589" s="17"/>
      <c r="I589" s="91" t="s">
        <v>5863</v>
      </c>
    </row>
    <row r="590" spans="2:10" x14ac:dyDescent="0.25">
      <c r="B590" s="2">
        <f t="shared" si="22"/>
        <v>1</v>
      </c>
      <c r="C590" s="3" t="s">
        <v>5953</v>
      </c>
      <c r="D590" s="63" t="s">
        <v>5952</v>
      </c>
      <c r="E590" s="19"/>
      <c r="F590" s="63" t="s">
        <v>5873</v>
      </c>
      <c r="G590" s="2"/>
      <c r="H590" s="17"/>
      <c r="I590" s="91" t="s">
        <v>5824</v>
      </c>
      <c r="J590" s="15" t="s">
        <v>5954</v>
      </c>
    </row>
    <row r="591" spans="2:10" x14ac:dyDescent="0.25">
      <c r="B591" s="2">
        <f t="shared" si="22"/>
        <v>1</v>
      </c>
      <c r="C591" s="3" t="s">
        <v>5819</v>
      </c>
      <c r="D591" s="63" t="s">
        <v>5865</v>
      </c>
      <c r="E591" s="19"/>
      <c r="F591" s="63" t="s">
        <v>5820</v>
      </c>
      <c r="G591" s="2"/>
      <c r="H591" s="17"/>
      <c r="I591" s="91" t="s">
        <v>5824</v>
      </c>
    </row>
    <row r="592" spans="2:10" x14ac:dyDescent="0.25">
      <c r="B592" s="2">
        <f t="shared" si="22"/>
        <v>1</v>
      </c>
      <c r="C592" s="72" t="s">
        <v>5821</v>
      </c>
      <c r="D592" s="63" t="s">
        <v>5822</v>
      </c>
      <c r="F592" s="63" t="s">
        <v>5823</v>
      </c>
      <c r="G592" s="14"/>
      <c r="H592"/>
      <c r="I592" s="91" t="s">
        <v>5824</v>
      </c>
    </row>
    <row r="593" spans="2:9" x14ac:dyDescent="0.25">
      <c r="B593" s="2">
        <f t="shared" si="22"/>
        <v>1</v>
      </c>
      <c r="C593" s="72" t="s">
        <v>5825</v>
      </c>
      <c r="D593" s="63" t="s">
        <v>5826</v>
      </c>
      <c r="F593" s="63" t="s">
        <v>5827</v>
      </c>
      <c r="G593" s="14"/>
      <c r="H593"/>
      <c r="I593" s="91" t="s">
        <v>5824</v>
      </c>
    </row>
    <row r="594" spans="2:9" x14ac:dyDescent="0.25">
      <c r="B594" s="2">
        <f t="shared" si="22"/>
        <v>1</v>
      </c>
      <c r="C594" s="72" t="s">
        <v>5828</v>
      </c>
      <c r="D594" s="63" t="s">
        <v>5829</v>
      </c>
      <c r="F594" s="63" t="s">
        <v>5827</v>
      </c>
      <c r="G594" s="14"/>
      <c r="H594"/>
      <c r="I594" s="91" t="s">
        <v>5824</v>
      </c>
    </row>
    <row r="595" spans="2:9" x14ac:dyDescent="0.25">
      <c r="B595" s="2">
        <f t="shared" si="22"/>
        <v>1</v>
      </c>
      <c r="C595" s="72" t="s">
        <v>5844</v>
      </c>
      <c r="D595" s="63" t="s">
        <v>5845</v>
      </c>
      <c r="F595" s="63" t="s">
        <v>5823</v>
      </c>
      <c r="G595" s="14"/>
      <c r="H595"/>
      <c r="I595" s="91" t="s">
        <v>5824</v>
      </c>
    </row>
    <row r="596" spans="2:9" x14ac:dyDescent="0.25">
      <c r="B596" s="2">
        <f t="shared" si="22"/>
        <v>1</v>
      </c>
      <c r="C596" s="72" t="s">
        <v>5846</v>
      </c>
      <c r="D596" s="63" t="s">
        <v>5847</v>
      </c>
      <c r="F596" s="63" t="s">
        <v>5804</v>
      </c>
      <c r="G596" s="14"/>
      <c r="H596"/>
      <c r="I596" s="91" t="s">
        <v>5824</v>
      </c>
    </row>
    <row r="597" spans="2:9" x14ac:dyDescent="0.25">
      <c r="B597" s="2">
        <f t="shared" si="22"/>
        <v>1</v>
      </c>
      <c r="C597" s="72" t="s">
        <v>5830</v>
      </c>
      <c r="D597" s="63" t="s">
        <v>5831</v>
      </c>
      <c r="F597" s="63" t="s">
        <v>5832</v>
      </c>
      <c r="G597" s="14"/>
      <c r="H597"/>
      <c r="I597" s="91" t="s">
        <v>5833</v>
      </c>
    </row>
    <row r="598" spans="2:9" x14ac:dyDescent="0.25">
      <c r="B598" s="2">
        <f t="shared" si="22"/>
        <v>1</v>
      </c>
      <c r="C598" s="72" t="s">
        <v>5834</v>
      </c>
      <c r="D598" s="63" t="s">
        <v>5835</v>
      </c>
      <c r="F598" s="63" t="s">
        <v>5827</v>
      </c>
      <c r="G598" s="14"/>
      <c r="H598"/>
      <c r="I598" s="91" t="s">
        <v>5836</v>
      </c>
    </row>
    <row r="599" spans="2:9" x14ac:dyDescent="0.25">
      <c r="B599" s="2">
        <f t="shared" si="22"/>
        <v>1</v>
      </c>
      <c r="C599" s="72" t="s">
        <v>5837</v>
      </c>
      <c r="D599" s="63" t="s">
        <v>5838</v>
      </c>
      <c r="F599" s="63" t="s">
        <v>5839</v>
      </c>
      <c r="G599" s="14"/>
      <c r="H599"/>
      <c r="I599" s="91" t="s">
        <v>5310</v>
      </c>
    </row>
    <row r="600" spans="2:9" x14ac:dyDescent="0.25">
      <c r="B600" s="2">
        <f t="shared" si="22"/>
        <v>1</v>
      </c>
      <c r="C600" s="72" t="s">
        <v>5840</v>
      </c>
      <c r="D600" s="63" t="s">
        <v>5841</v>
      </c>
      <c r="F600" s="63" t="s">
        <v>5842</v>
      </c>
      <c r="G600" s="14"/>
      <c r="H600"/>
      <c r="I600" s="91" t="s">
        <v>5843</v>
      </c>
    </row>
    <row r="601" spans="2:9" x14ac:dyDescent="0.25">
      <c r="B601" s="2">
        <f t="shared" si="22"/>
        <v>1</v>
      </c>
      <c r="C601" s="72" t="s">
        <v>5872</v>
      </c>
      <c r="D601" s="63" t="s">
        <v>5875</v>
      </c>
      <c r="F601" s="63" t="s">
        <v>5873</v>
      </c>
      <c r="G601" s="14"/>
      <c r="H601"/>
      <c r="I601" s="91" t="s">
        <v>5874</v>
      </c>
    </row>
    <row r="602" spans="2:9" x14ac:dyDescent="0.25">
      <c r="B602" s="2">
        <f t="shared" si="22"/>
        <v>1</v>
      </c>
      <c r="C602" s="72" t="s">
        <v>5962</v>
      </c>
      <c r="D602" s="63" t="s">
        <v>5963</v>
      </c>
      <c r="F602" s="63" t="s">
        <v>5860</v>
      </c>
      <c r="G602" s="14"/>
      <c r="H602"/>
      <c r="I602" s="91" t="s">
        <v>5964</v>
      </c>
    </row>
    <row r="603" spans="2:9" x14ac:dyDescent="0.25">
      <c r="B603" s="2">
        <f t="shared" si="22"/>
        <v>1</v>
      </c>
      <c r="C603" s="72" t="s">
        <v>5965</v>
      </c>
      <c r="D603" s="63" t="s">
        <v>5966</v>
      </c>
      <c r="F603" s="63" t="s">
        <v>5967</v>
      </c>
      <c r="G603" s="14"/>
      <c r="H603"/>
      <c r="I603" s="91" t="s">
        <v>5968</v>
      </c>
    </row>
    <row r="604" spans="2:9" x14ac:dyDescent="0.25">
      <c r="B604" s="2">
        <f t="shared" si="22"/>
        <v>0</v>
      </c>
      <c r="C604" s="72"/>
      <c r="D604" s="63"/>
      <c r="F604" s="63"/>
      <c r="G604" s="14"/>
      <c r="H604"/>
      <c r="I604" s="91"/>
    </row>
    <row r="605" spans="2:9" x14ac:dyDescent="0.25">
      <c r="C605" s="63" t="s">
        <v>317</v>
      </c>
    </row>
    <row r="606" spans="2:9" x14ac:dyDescent="0.25">
      <c r="C606" s="63" t="s">
        <v>5848</v>
      </c>
    </row>
    <row r="607" spans="2:9" x14ac:dyDescent="0.25">
      <c r="C607" s="63" t="s">
        <v>5849</v>
      </c>
    </row>
    <row r="608" spans="2:9" x14ac:dyDescent="0.25">
      <c r="C608" s="63" t="s">
        <v>5850</v>
      </c>
    </row>
    <row r="609" spans="2:3" x14ac:dyDescent="0.25">
      <c r="C609" s="63" t="s">
        <v>5851</v>
      </c>
    </row>
    <row r="610" spans="2:3" x14ac:dyDescent="0.25">
      <c r="C610" s="63" t="s">
        <v>5852</v>
      </c>
    </row>
    <row r="611" spans="2:3" x14ac:dyDescent="0.25">
      <c r="C611" s="63" t="s">
        <v>5853</v>
      </c>
    </row>
    <row r="613" spans="2:3" x14ac:dyDescent="0.25">
      <c r="C613" s="81" t="s">
        <v>6290</v>
      </c>
    </row>
    <row r="614" spans="2:3" x14ac:dyDescent="0.25">
      <c r="B614" s="2">
        <f t="shared" ref="B614:B620" si="23">COUNTIFS($C:$C,C614)</f>
        <v>1</v>
      </c>
      <c r="C614" s="14" t="s">
        <v>6289</v>
      </c>
    </row>
    <row r="615" spans="2:3" x14ac:dyDescent="0.25">
      <c r="B615" s="2">
        <f t="shared" si="23"/>
        <v>1</v>
      </c>
      <c r="C615" s="14" t="s">
        <v>6291</v>
      </c>
    </row>
    <row r="616" spans="2:3" x14ac:dyDescent="0.25">
      <c r="B616" s="2">
        <f t="shared" si="23"/>
        <v>0</v>
      </c>
    </row>
    <row r="617" spans="2:3" x14ac:dyDescent="0.25">
      <c r="B617" s="2">
        <f t="shared" si="23"/>
        <v>0</v>
      </c>
    </row>
    <row r="618" spans="2:3" x14ac:dyDescent="0.25">
      <c r="B618" s="2">
        <f t="shared" si="23"/>
        <v>0</v>
      </c>
    </row>
    <row r="619" spans="2:3" x14ac:dyDescent="0.25">
      <c r="B619" s="2">
        <f t="shared" si="23"/>
        <v>0</v>
      </c>
    </row>
    <row r="620" spans="2:3" x14ac:dyDescent="0.25">
      <c r="B620" s="2">
        <f t="shared" si="23"/>
        <v>0</v>
      </c>
    </row>
  </sheetData>
  <hyperlinks>
    <hyperlink ref="C323" r:id="rId1" xr:uid="{27B65220-7C3A-4577-A2F3-B87BEC1C3603}"/>
    <hyperlink ref="C328" r:id="rId2" xr:uid="{4558F7C5-6D61-4AF0-894E-E9CDB7E0CCEE}"/>
    <hyperlink ref="C340" r:id="rId3" xr:uid="{3F2C6060-95FB-4261-9784-EE58344A2E48}"/>
    <hyperlink ref="C341" r:id="rId4" xr:uid="{3D4A845C-5EC7-436D-8ED4-4AEF523F7DC7}"/>
    <hyperlink ref="C344" r:id="rId5" xr:uid="{1E824BD9-2C99-4168-BB7C-98B40BBBCCA2}"/>
    <hyperlink ref="C348" r:id="rId6" xr:uid="{DF2B8D9E-61EB-479E-A37F-0514E26DCFA5}"/>
    <hyperlink ref="C355" r:id="rId7" xr:uid="{BEAA35AE-D6A0-4CF7-8BEE-DC6F61A61D41}"/>
    <hyperlink ref="C354" r:id="rId8" xr:uid="{FF3A9CA8-8722-4EFB-AEB9-7D35EB65B73D}"/>
    <hyperlink ref="C353" r:id="rId9" xr:uid="{9FDAB781-65F0-4650-B30D-0D9D5E20AA12}"/>
    <hyperlink ref="C321" r:id="rId10" xr:uid="{C92D9F03-FE4A-4DE6-9D47-55E6EF981509}"/>
    <hyperlink ref="C322" r:id="rId11" xr:uid="{BB2FD73F-387F-4303-80B4-26F5E641F225}"/>
    <hyperlink ref="C375" r:id="rId12" xr:uid="{EF73FE58-8C37-465F-B67F-B83956900E14}"/>
    <hyperlink ref="C381" r:id="rId13" xr:uid="{A7650F22-2504-4A81-81B9-C9EC4BEFFC71}"/>
    <hyperlink ref="C373" r:id="rId14" xr:uid="{EFD48554-2DD7-4632-8DB0-1044EC1A9D4E}"/>
    <hyperlink ref="C386" r:id="rId15" xr:uid="{96C508EF-E4BC-4F3F-9AAF-67FFA5FC1FEF}"/>
    <hyperlink ref="C366" r:id="rId16" xr:uid="{6FBDF600-1992-49F9-820B-4EE3D90E1694}"/>
    <hyperlink ref="C367" r:id="rId17" xr:uid="{A786CC48-DEDC-45CB-8247-8282FFF7B2B5}"/>
    <hyperlink ref="C380" r:id="rId18" xr:uid="{BFC3CBAB-5D0F-4309-919A-EBAEA70E37AF}"/>
    <hyperlink ref="C385" r:id="rId19" xr:uid="{3B8E7D60-3106-4C8C-9C38-500E4C6078F0}"/>
    <hyperlink ref="C370" r:id="rId20" xr:uid="{F4B19DA0-1F1F-4017-9AFA-172C9CE5EEEF}"/>
    <hyperlink ref="C368" r:id="rId21" xr:uid="{059DFB72-2050-47DD-8BE5-8FBB139B278F}"/>
    <hyperlink ref="C279" r:id="rId22" xr:uid="{40615C92-0548-4113-8332-D281D031AD5C}"/>
    <hyperlink ref="C283" r:id="rId23" xr:uid="{02F943E7-24CC-4BDA-B123-37DDF1D63662}"/>
    <hyperlink ref="C280" r:id="rId24" xr:uid="{B7A175B5-E489-4355-A8EE-0C4289A3C17D}"/>
    <hyperlink ref="C292" r:id="rId25" xr:uid="{C01FB9E9-BBE7-4CE7-8E74-CAABCD259636}"/>
    <hyperlink ref="C284" r:id="rId26" xr:uid="{51DDDFCE-6F27-452E-B332-59B29DC77BE9}"/>
    <hyperlink ref="C285" r:id="rId27" xr:uid="{7D31B53D-040A-47AD-86DF-4ED66432C664}"/>
    <hyperlink ref="C293" r:id="rId28" xr:uid="{01883EE3-C7A1-4A4E-A42D-8B013CB0537E}"/>
    <hyperlink ref="C294" r:id="rId29" xr:uid="{F42A1784-A206-44AD-A044-C8CCBE062845}"/>
    <hyperlink ref="C281" r:id="rId30" xr:uid="{4FC1F948-7716-4E86-AC28-51AE2E4CD099}"/>
    <hyperlink ref="C282" r:id="rId31" xr:uid="{F29F338B-0823-492B-81D7-A3A0CE6B2C8C}"/>
    <hyperlink ref="C288" r:id="rId32" xr:uid="{70427CF2-BAB4-4706-A6EA-90D05E8490E8}"/>
    <hyperlink ref="C286" r:id="rId33" xr:uid="{C6781638-1FE6-4E96-BE6D-4A94327B203C}"/>
    <hyperlink ref="C287" r:id="rId34" xr:uid="{80E91D6A-4210-4FD4-BE81-A94F645C0FF3}"/>
    <hyperlink ref="C273" r:id="rId35" xr:uid="{6A70D7DB-0454-4C08-859F-9FBA5F2EB592}"/>
    <hyperlink ref="C274" r:id="rId36" xr:uid="{4D7418AB-E913-4F6A-A14E-01F2D7F232D6}"/>
    <hyperlink ref="C275" r:id="rId37" xr:uid="{734005F4-EACD-4661-82F3-B4209200428A}"/>
    <hyperlink ref="C289" r:id="rId38" xr:uid="{D94386DA-5A5D-4C42-8116-DFBF464F60EB}"/>
    <hyperlink ref="C276" r:id="rId39" xr:uid="{58505F8B-0B0D-4B66-8D3D-8FBE979378A0}"/>
    <hyperlink ref="C278" r:id="rId40" xr:uid="{ACFAD432-D601-4C4F-AA56-9E323DC60462}"/>
    <hyperlink ref="C178" r:id="rId41" xr:uid="{A23504B2-6DA0-4B52-AB59-A7DB4F61F290}"/>
    <hyperlink ref="C176" r:id="rId42" xr:uid="{BC548AAF-97E7-4612-B725-A4ADF20A0744}"/>
    <hyperlink ref="C181" r:id="rId43" xr:uid="{613927F0-87E3-4308-A180-34A2ACBD8BFB}"/>
    <hyperlink ref="C112" r:id="rId44" xr:uid="{9C823335-285D-4ACB-AC9C-BDAC5388D9D4}"/>
    <hyperlink ref="C489" r:id="rId45" xr:uid="{4BAEB92A-05EB-4AFF-A368-7E74C50B92E1}"/>
    <hyperlink ref="C490" r:id="rId46" xr:uid="{4CB946E3-94C1-4B3E-A614-333918F116AE}"/>
    <hyperlink ref="C488" r:id="rId47" xr:uid="{FCF7873F-1021-496A-B079-5BFA14A34784}"/>
    <hyperlink ref="C588" r:id="rId48" display="https://www.linkedin.com/in/colin-hunt-4741a420/" xr:uid="{7AE5706C-0B67-4549-A36D-4CAA536AF3F8}"/>
    <hyperlink ref="C586" r:id="rId49" display="https://www.linkedin.com/in/john-strydom-14068050/" xr:uid="{3E833DCF-CF01-4747-8408-2BA9D3714A89}"/>
    <hyperlink ref="C585" r:id="rId50" xr:uid="{9FCA5A8A-F772-4B84-B7B4-BCAB4F2FD007}"/>
    <hyperlink ref="C591" r:id="rId51" xr:uid="{5D0D363C-8C67-4558-9BDB-BEA3CB9F4A1E}"/>
    <hyperlink ref="C589" r:id="rId52" xr:uid="{D445D179-F46F-43B1-ADE4-C439987D0DD4}"/>
    <hyperlink ref="C569" r:id="rId53" xr:uid="{CB9AB33D-E36C-4C37-984B-E34C946E8C56}"/>
    <hyperlink ref="C160" r:id="rId54" xr:uid="{DE4A918F-A61B-43F1-8CC9-8DB6F6ED424A}"/>
    <hyperlink ref="C161" r:id="rId55" xr:uid="{9AFBAB79-4715-481E-9447-29ED63CA72A4}"/>
    <hyperlink ref="C221" r:id="rId56" xr:uid="{AA14BE95-E56E-45D0-8E69-4860A0CEDCB3}"/>
    <hyperlink ref="C222" r:id="rId57" xr:uid="{204D06CF-45C5-425D-BB2B-697BF79219CB}"/>
    <hyperlink ref="C223" r:id="rId58" xr:uid="{40E2262E-BEBD-4A6D-A732-257C11287432}"/>
    <hyperlink ref="C104" r:id="rId59" xr:uid="{69DF2073-A061-4460-89DD-0DC42D9609C3}"/>
  </hyperlinks>
  <pageMargins left="0.7" right="0.7" top="0.75" bottom="0.75" header="0.3" footer="0.3"/>
  <pageSetup paperSize="9" orientation="portrait" r:id="rId6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B0813-0DE7-4F55-8A75-B0DA609ACBE9}">
  <sheetPr>
    <tabColor theme="2" tint="-9.9978637043366805E-2"/>
  </sheetPr>
  <dimension ref="B2:C640"/>
  <sheetViews>
    <sheetView workbookViewId="0">
      <selection activeCell="C16" sqref="C16"/>
    </sheetView>
  </sheetViews>
  <sheetFormatPr defaultRowHeight="15" x14ac:dyDescent="0.25"/>
  <cols>
    <col min="2" max="2" width="2.7109375" customWidth="1"/>
    <col min="3" max="3" width="60.7109375" customWidth="1"/>
  </cols>
  <sheetData>
    <row r="2" spans="2:3" x14ac:dyDescent="0.25">
      <c r="B2" s="12"/>
      <c r="C2" s="12" t="s">
        <v>228</v>
      </c>
    </row>
    <row r="3" spans="2:3" x14ac:dyDescent="0.25">
      <c r="B3" s="12"/>
      <c r="C3" s="12"/>
    </row>
    <row r="6" spans="2:3" x14ac:dyDescent="0.25">
      <c r="B6" s="2">
        <f t="shared" ref="B6:B23" si="0">COUNTIFS(C:C,C6)</f>
        <v>1</v>
      </c>
      <c r="C6" s="73" t="s">
        <v>223</v>
      </c>
    </row>
    <row r="7" spans="2:3" x14ac:dyDescent="0.25">
      <c r="B7" s="2">
        <f t="shared" si="0"/>
        <v>1</v>
      </c>
      <c r="C7" s="73" t="s">
        <v>221</v>
      </c>
    </row>
    <row r="8" spans="2:3" x14ac:dyDescent="0.25">
      <c r="B8" s="2">
        <f t="shared" si="0"/>
        <v>1</v>
      </c>
      <c r="C8" s="73" t="s">
        <v>219</v>
      </c>
    </row>
    <row r="9" spans="2:3" x14ac:dyDescent="0.25">
      <c r="B9" s="2">
        <f t="shared" si="0"/>
        <v>1</v>
      </c>
      <c r="C9" s="73" t="s">
        <v>217</v>
      </c>
    </row>
    <row r="10" spans="2:3" x14ac:dyDescent="0.25">
      <c r="B10" s="2">
        <f t="shared" si="0"/>
        <v>1</v>
      </c>
      <c r="C10" s="73" t="s">
        <v>208</v>
      </c>
    </row>
    <row r="11" spans="2:3" x14ac:dyDescent="0.25">
      <c r="B11" s="2">
        <f t="shared" si="0"/>
        <v>1</v>
      </c>
      <c r="C11" t="s">
        <v>6063</v>
      </c>
    </row>
    <row r="12" spans="2:3" x14ac:dyDescent="0.25">
      <c r="B12" s="2">
        <f t="shared" si="0"/>
        <v>1</v>
      </c>
      <c r="C12" t="s">
        <v>6042</v>
      </c>
    </row>
    <row r="13" spans="2:3" x14ac:dyDescent="0.25">
      <c r="B13" s="2">
        <f t="shared" si="0"/>
        <v>1</v>
      </c>
      <c r="C13" s="73" t="s">
        <v>6068</v>
      </c>
    </row>
    <row r="14" spans="2:3" x14ac:dyDescent="0.25">
      <c r="B14" s="2">
        <f t="shared" si="0"/>
        <v>1</v>
      </c>
      <c r="C14" t="s">
        <v>6098</v>
      </c>
    </row>
    <row r="15" spans="2:3" x14ac:dyDescent="0.25">
      <c r="B15" s="2">
        <f t="shared" si="0"/>
        <v>1</v>
      </c>
      <c r="C15" s="73" t="s">
        <v>6258</v>
      </c>
    </row>
    <row r="16" spans="2:3" x14ac:dyDescent="0.25">
      <c r="B16" s="2">
        <f t="shared" si="0"/>
        <v>2</v>
      </c>
      <c r="C16" t="s">
        <v>6175</v>
      </c>
    </row>
    <row r="17" spans="2:3" x14ac:dyDescent="0.25">
      <c r="B17" s="2">
        <f t="shared" si="0"/>
        <v>0</v>
      </c>
    </row>
    <row r="18" spans="2:3" x14ac:dyDescent="0.25">
      <c r="B18" s="2">
        <f t="shared" si="0"/>
        <v>0</v>
      </c>
    </row>
    <row r="19" spans="2:3" x14ac:dyDescent="0.25">
      <c r="B19" s="2">
        <f t="shared" si="0"/>
        <v>0</v>
      </c>
    </row>
    <row r="20" spans="2:3" x14ac:dyDescent="0.25">
      <c r="B20" s="2">
        <f t="shared" si="0"/>
        <v>0</v>
      </c>
    </row>
    <row r="21" spans="2:3" x14ac:dyDescent="0.25">
      <c r="B21" s="2">
        <f t="shared" si="0"/>
        <v>0</v>
      </c>
    </row>
    <row r="22" spans="2:3" x14ac:dyDescent="0.25">
      <c r="B22" s="2">
        <f t="shared" si="0"/>
        <v>0</v>
      </c>
    </row>
    <row r="23" spans="2:3" x14ac:dyDescent="0.25">
      <c r="B23" s="2">
        <f t="shared" si="0"/>
        <v>0</v>
      </c>
    </row>
    <row r="24" spans="2:3" x14ac:dyDescent="0.25">
      <c r="B24" s="2"/>
    </row>
    <row r="25" spans="2:3" x14ac:dyDescent="0.25">
      <c r="B25" s="2"/>
    </row>
    <row r="26" spans="2:3" x14ac:dyDescent="0.25">
      <c r="B26" s="2">
        <f t="shared" ref="B26:B72" si="1">COUNTIFS(C:C,C26)</f>
        <v>1</v>
      </c>
      <c r="C26" s="73" t="s">
        <v>198</v>
      </c>
    </row>
    <row r="27" spans="2:3" x14ac:dyDescent="0.25">
      <c r="B27" s="2">
        <f t="shared" si="1"/>
        <v>1</v>
      </c>
      <c r="C27" s="73" t="s">
        <v>195</v>
      </c>
    </row>
    <row r="28" spans="2:3" x14ac:dyDescent="0.25">
      <c r="B28" s="2">
        <f t="shared" si="1"/>
        <v>1</v>
      </c>
      <c r="C28" s="73" t="s">
        <v>193</v>
      </c>
    </row>
    <row r="29" spans="2:3" x14ac:dyDescent="0.25">
      <c r="B29" s="2">
        <f t="shared" si="1"/>
        <v>1</v>
      </c>
      <c r="C29" s="73" t="s">
        <v>190</v>
      </c>
    </row>
    <row r="30" spans="2:3" x14ac:dyDescent="0.25">
      <c r="B30" s="2">
        <f t="shared" si="1"/>
        <v>1</v>
      </c>
      <c r="C30" s="73" t="s">
        <v>188</v>
      </c>
    </row>
    <row r="31" spans="2:3" x14ac:dyDescent="0.25">
      <c r="B31" s="2">
        <f t="shared" si="1"/>
        <v>0</v>
      </c>
      <c r="C31" s="73"/>
    </row>
    <row r="32" spans="2:3" x14ac:dyDescent="0.25">
      <c r="B32" s="2">
        <f t="shared" si="1"/>
        <v>1</v>
      </c>
      <c r="C32" s="73" t="s">
        <v>183</v>
      </c>
    </row>
    <row r="33" spans="2:3" x14ac:dyDescent="0.25">
      <c r="B33" s="2">
        <f t="shared" si="1"/>
        <v>1</v>
      </c>
      <c r="C33" s="73" t="s">
        <v>179</v>
      </c>
    </row>
    <row r="34" spans="2:3" x14ac:dyDescent="0.25">
      <c r="B34" s="2">
        <f t="shared" si="1"/>
        <v>1</v>
      </c>
      <c r="C34" s="73" t="s">
        <v>177</v>
      </c>
    </row>
    <row r="35" spans="2:3" x14ac:dyDescent="0.25">
      <c r="B35" s="2">
        <f t="shared" si="1"/>
        <v>1</v>
      </c>
      <c r="C35" s="73" t="s">
        <v>175</v>
      </c>
    </row>
    <row r="36" spans="2:3" x14ac:dyDescent="0.25">
      <c r="B36" s="2">
        <f t="shared" si="1"/>
        <v>1</v>
      </c>
      <c r="C36" s="73" t="s">
        <v>173</v>
      </c>
    </row>
    <row r="37" spans="2:3" x14ac:dyDescent="0.25">
      <c r="B37" s="2">
        <f t="shared" si="1"/>
        <v>1</v>
      </c>
      <c r="C37" s="73" t="s">
        <v>169</v>
      </c>
    </row>
    <row r="38" spans="2:3" x14ac:dyDescent="0.25">
      <c r="B38" s="2">
        <f t="shared" si="1"/>
        <v>1</v>
      </c>
      <c r="C38" s="73" t="s">
        <v>167</v>
      </c>
    </row>
    <row r="39" spans="2:3" x14ac:dyDescent="0.25">
      <c r="B39" s="2">
        <f t="shared" si="1"/>
        <v>1</v>
      </c>
      <c r="C39" s="73" t="s">
        <v>163</v>
      </c>
    </row>
    <row r="40" spans="2:3" x14ac:dyDescent="0.25">
      <c r="B40" s="2">
        <f t="shared" si="1"/>
        <v>1</v>
      </c>
      <c r="C40" s="73" t="s">
        <v>160</v>
      </c>
    </row>
    <row r="41" spans="2:3" x14ac:dyDescent="0.25">
      <c r="B41" s="2">
        <f t="shared" si="1"/>
        <v>1</v>
      </c>
      <c r="C41" s="73" t="s">
        <v>159</v>
      </c>
    </row>
    <row r="42" spans="2:3" x14ac:dyDescent="0.25">
      <c r="B42" s="2">
        <f t="shared" si="1"/>
        <v>1</v>
      </c>
      <c r="C42" s="73" t="s">
        <v>157</v>
      </c>
    </row>
    <row r="43" spans="2:3" x14ac:dyDescent="0.25">
      <c r="B43" s="2">
        <f t="shared" si="1"/>
        <v>1</v>
      </c>
      <c r="C43" s="73" t="s">
        <v>155</v>
      </c>
    </row>
    <row r="44" spans="2:3" x14ac:dyDescent="0.25">
      <c r="B44" s="2">
        <f t="shared" si="1"/>
        <v>1</v>
      </c>
      <c r="C44" s="73" t="s">
        <v>152</v>
      </c>
    </row>
    <row r="45" spans="2:3" x14ac:dyDescent="0.25">
      <c r="B45" s="2">
        <f t="shared" si="1"/>
        <v>1</v>
      </c>
      <c r="C45" s="73" t="s">
        <v>150</v>
      </c>
    </row>
    <row r="46" spans="2:3" x14ac:dyDescent="0.25">
      <c r="B46" s="2">
        <f t="shared" si="1"/>
        <v>1</v>
      </c>
      <c r="C46" s="73" t="s">
        <v>147</v>
      </c>
    </row>
    <row r="47" spans="2:3" x14ac:dyDescent="0.25">
      <c r="B47" s="2">
        <f t="shared" si="1"/>
        <v>1</v>
      </c>
      <c r="C47" s="73" t="s">
        <v>145</v>
      </c>
    </row>
    <row r="48" spans="2:3" x14ac:dyDescent="0.25">
      <c r="B48" s="2">
        <f t="shared" si="1"/>
        <v>1</v>
      </c>
      <c r="C48" s="73" t="s">
        <v>6064</v>
      </c>
    </row>
    <row r="49" spans="2:3" x14ac:dyDescent="0.25">
      <c r="B49" s="2">
        <f t="shared" si="1"/>
        <v>1</v>
      </c>
      <c r="C49" s="73" t="s">
        <v>140</v>
      </c>
    </row>
    <row r="50" spans="2:3" x14ac:dyDescent="0.25">
      <c r="B50" s="2">
        <f t="shared" si="1"/>
        <v>1</v>
      </c>
      <c r="C50" s="73" t="s">
        <v>137</v>
      </c>
    </row>
    <row r="51" spans="2:3" x14ac:dyDescent="0.25">
      <c r="B51" s="2">
        <f t="shared" si="1"/>
        <v>1</v>
      </c>
      <c r="C51" s="73" t="s">
        <v>5318</v>
      </c>
    </row>
    <row r="52" spans="2:3" x14ac:dyDescent="0.25">
      <c r="B52" s="2">
        <f t="shared" si="1"/>
        <v>1</v>
      </c>
      <c r="C52" s="73" t="s">
        <v>5735</v>
      </c>
    </row>
    <row r="53" spans="2:3" x14ac:dyDescent="0.25">
      <c r="B53" s="2">
        <f t="shared" si="1"/>
        <v>1</v>
      </c>
      <c r="C53" s="73" t="s">
        <v>6041</v>
      </c>
    </row>
    <row r="54" spans="2:3" x14ac:dyDescent="0.25">
      <c r="B54" s="2">
        <f t="shared" si="1"/>
        <v>1</v>
      </c>
      <c r="C54" s="73" t="s">
        <v>6057</v>
      </c>
    </row>
    <row r="55" spans="2:3" x14ac:dyDescent="0.25">
      <c r="B55" s="2">
        <f t="shared" si="1"/>
        <v>1</v>
      </c>
      <c r="C55" s="73" t="s">
        <v>143</v>
      </c>
    </row>
    <row r="56" spans="2:3" x14ac:dyDescent="0.25">
      <c r="B56" s="2">
        <f t="shared" si="1"/>
        <v>1</v>
      </c>
      <c r="C56" s="73" t="s">
        <v>6058</v>
      </c>
    </row>
    <row r="57" spans="2:3" x14ac:dyDescent="0.25">
      <c r="B57" s="2">
        <f t="shared" si="1"/>
        <v>1</v>
      </c>
      <c r="C57" s="73" t="s">
        <v>6071</v>
      </c>
    </row>
    <row r="58" spans="2:3" x14ac:dyDescent="0.25">
      <c r="B58" s="2">
        <f t="shared" si="1"/>
        <v>1</v>
      </c>
      <c r="C58" t="s">
        <v>6065</v>
      </c>
    </row>
    <row r="59" spans="2:3" x14ac:dyDescent="0.25">
      <c r="B59" s="2">
        <f t="shared" si="1"/>
        <v>1</v>
      </c>
      <c r="C59" t="s">
        <v>6066</v>
      </c>
    </row>
    <row r="60" spans="2:3" x14ac:dyDescent="0.25">
      <c r="B60" s="2">
        <f t="shared" si="1"/>
        <v>1</v>
      </c>
      <c r="C60" t="s">
        <v>6067</v>
      </c>
    </row>
    <row r="61" spans="2:3" x14ac:dyDescent="0.25">
      <c r="B61" s="2">
        <f t="shared" si="1"/>
        <v>1</v>
      </c>
      <c r="C61" t="s">
        <v>6070</v>
      </c>
    </row>
    <row r="62" spans="2:3" x14ac:dyDescent="0.25">
      <c r="B62" s="2">
        <f t="shared" si="1"/>
        <v>1</v>
      </c>
      <c r="C62" t="s">
        <v>6075</v>
      </c>
    </row>
    <row r="63" spans="2:3" x14ac:dyDescent="0.25">
      <c r="B63" s="2">
        <f t="shared" si="1"/>
        <v>1</v>
      </c>
      <c r="C63" t="s">
        <v>6076</v>
      </c>
    </row>
    <row r="64" spans="2:3" x14ac:dyDescent="0.25">
      <c r="B64" s="2">
        <f t="shared" si="1"/>
        <v>1</v>
      </c>
      <c r="C64" t="s">
        <v>6177</v>
      </c>
    </row>
    <row r="65" spans="2:3" x14ac:dyDescent="0.25">
      <c r="B65" s="2">
        <f t="shared" si="1"/>
        <v>0</v>
      </c>
    </row>
    <row r="66" spans="2:3" x14ac:dyDescent="0.25">
      <c r="B66" s="2">
        <f t="shared" si="1"/>
        <v>1</v>
      </c>
      <c r="C66" t="s">
        <v>6344</v>
      </c>
    </row>
    <row r="67" spans="2:3" x14ac:dyDescent="0.25">
      <c r="B67" s="2">
        <f t="shared" si="1"/>
        <v>0</v>
      </c>
    </row>
    <row r="68" spans="2:3" x14ac:dyDescent="0.25">
      <c r="B68" s="2">
        <f t="shared" si="1"/>
        <v>0</v>
      </c>
    </row>
    <row r="69" spans="2:3" x14ac:dyDescent="0.25">
      <c r="B69" s="2">
        <f t="shared" si="1"/>
        <v>0</v>
      </c>
    </row>
    <row r="70" spans="2:3" x14ac:dyDescent="0.25">
      <c r="B70" s="2">
        <f t="shared" si="1"/>
        <v>0</v>
      </c>
    </row>
    <row r="71" spans="2:3" x14ac:dyDescent="0.25">
      <c r="B71" s="2">
        <f t="shared" si="1"/>
        <v>0</v>
      </c>
    </row>
    <row r="72" spans="2:3" x14ac:dyDescent="0.25">
      <c r="B72" s="2">
        <f t="shared" si="1"/>
        <v>0</v>
      </c>
    </row>
    <row r="77" spans="2:3" x14ac:dyDescent="0.25">
      <c r="B77" s="2"/>
    </row>
    <row r="78" spans="2:3" x14ac:dyDescent="0.25">
      <c r="B78" s="2"/>
    </row>
    <row r="79" spans="2:3" x14ac:dyDescent="0.25">
      <c r="B79" s="2"/>
    </row>
    <row r="80" spans="2:3" x14ac:dyDescent="0.25">
      <c r="B80" s="2"/>
    </row>
    <row r="81" spans="2:2" x14ac:dyDescent="0.25">
      <c r="B81" s="2"/>
    </row>
    <row r="82" spans="2:2" x14ac:dyDescent="0.25">
      <c r="B82" s="2"/>
    </row>
    <row r="83" spans="2:2" x14ac:dyDescent="0.25">
      <c r="B83" s="2"/>
    </row>
    <row r="84" spans="2:2" x14ac:dyDescent="0.25">
      <c r="B84" s="2"/>
    </row>
    <row r="85" spans="2:2" x14ac:dyDescent="0.25">
      <c r="B85" s="2"/>
    </row>
    <row r="86" spans="2:2" x14ac:dyDescent="0.25">
      <c r="B86" s="2"/>
    </row>
    <row r="87" spans="2:2" x14ac:dyDescent="0.25">
      <c r="B87" s="2"/>
    </row>
    <row r="88" spans="2:2" x14ac:dyDescent="0.25">
      <c r="B88" s="2"/>
    </row>
    <row r="89" spans="2:2" x14ac:dyDescent="0.25">
      <c r="B89" s="2"/>
    </row>
    <row r="90" spans="2:2" x14ac:dyDescent="0.25">
      <c r="B90" s="2"/>
    </row>
    <row r="91" spans="2:2" x14ac:dyDescent="0.25">
      <c r="B91" s="2"/>
    </row>
    <row r="186" spans="2:3" x14ac:dyDescent="0.25">
      <c r="B186" s="2">
        <f t="shared" ref="B186:B202" si="2">COUNTIFS(C:C,C186)</f>
        <v>1</v>
      </c>
      <c r="C186" s="72" t="s">
        <v>119</v>
      </c>
    </row>
    <row r="187" spans="2:3" x14ac:dyDescent="0.25">
      <c r="B187" s="2">
        <f t="shared" si="2"/>
        <v>1</v>
      </c>
      <c r="C187" t="s">
        <v>6062</v>
      </c>
    </row>
    <row r="188" spans="2:3" x14ac:dyDescent="0.25">
      <c r="B188" s="2">
        <f t="shared" si="2"/>
        <v>0</v>
      </c>
    </row>
    <row r="189" spans="2:3" x14ac:dyDescent="0.25">
      <c r="B189" s="2">
        <f t="shared" si="2"/>
        <v>0</v>
      </c>
    </row>
    <row r="190" spans="2:3" x14ac:dyDescent="0.25">
      <c r="B190" s="2">
        <f t="shared" si="2"/>
        <v>0</v>
      </c>
    </row>
    <row r="191" spans="2:3" x14ac:dyDescent="0.25">
      <c r="B191" s="2">
        <f t="shared" si="2"/>
        <v>0</v>
      </c>
    </row>
    <row r="192" spans="2:3" x14ac:dyDescent="0.25">
      <c r="B192" s="2">
        <f t="shared" si="2"/>
        <v>0</v>
      </c>
    </row>
    <row r="193" spans="2:3" x14ac:dyDescent="0.25">
      <c r="B193" s="2">
        <f t="shared" si="2"/>
        <v>0</v>
      </c>
    </row>
    <row r="194" spans="2:3" x14ac:dyDescent="0.25">
      <c r="B194" s="2">
        <f t="shared" si="2"/>
        <v>0</v>
      </c>
    </row>
    <row r="195" spans="2:3" x14ac:dyDescent="0.25">
      <c r="B195" s="2">
        <f t="shared" si="2"/>
        <v>0</v>
      </c>
    </row>
    <row r="196" spans="2:3" x14ac:dyDescent="0.25">
      <c r="B196" s="2">
        <f t="shared" si="2"/>
        <v>0</v>
      </c>
    </row>
    <row r="197" spans="2:3" x14ac:dyDescent="0.25">
      <c r="B197" s="2">
        <f t="shared" si="2"/>
        <v>0</v>
      </c>
    </row>
    <row r="198" spans="2:3" x14ac:dyDescent="0.25">
      <c r="B198" s="2">
        <f t="shared" si="2"/>
        <v>0</v>
      </c>
    </row>
    <row r="199" spans="2:3" x14ac:dyDescent="0.25">
      <c r="B199" s="2">
        <f t="shared" si="2"/>
        <v>0</v>
      </c>
    </row>
    <row r="200" spans="2:3" x14ac:dyDescent="0.25">
      <c r="B200" s="2">
        <f t="shared" si="2"/>
        <v>0</v>
      </c>
    </row>
    <row r="201" spans="2:3" x14ac:dyDescent="0.25">
      <c r="B201" s="2">
        <f t="shared" si="2"/>
        <v>0</v>
      </c>
    </row>
    <row r="202" spans="2:3" x14ac:dyDescent="0.25">
      <c r="B202" s="2">
        <f t="shared" si="2"/>
        <v>0</v>
      </c>
    </row>
    <row r="204" spans="2:3" x14ac:dyDescent="0.25">
      <c r="B204" s="2">
        <f t="shared" ref="B204:B229" si="3">COUNTIFS(C:C,C204)</f>
        <v>1</v>
      </c>
      <c r="C204" t="s">
        <v>112</v>
      </c>
    </row>
    <row r="205" spans="2:3" x14ac:dyDescent="0.25">
      <c r="B205" s="2">
        <f t="shared" si="3"/>
        <v>1</v>
      </c>
      <c r="C205" t="s">
        <v>110</v>
      </c>
    </row>
    <row r="206" spans="2:3" x14ac:dyDescent="0.25">
      <c r="B206" s="2">
        <f t="shared" si="3"/>
        <v>1</v>
      </c>
      <c r="C206" t="s">
        <v>108</v>
      </c>
    </row>
    <row r="207" spans="2:3" x14ac:dyDescent="0.25">
      <c r="B207" s="2">
        <f t="shared" si="3"/>
        <v>1</v>
      </c>
      <c r="C207" t="s">
        <v>106</v>
      </c>
    </row>
    <row r="208" spans="2:3" x14ac:dyDescent="0.25">
      <c r="B208" s="2">
        <f t="shared" si="3"/>
        <v>1</v>
      </c>
      <c r="C208" t="s">
        <v>103</v>
      </c>
    </row>
    <row r="209" spans="2:3" x14ac:dyDescent="0.25">
      <c r="B209" s="2">
        <f t="shared" si="3"/>
        <v>1</v>
      </c>
      <c r="C209" t="s">
        <v>99</v>
      </c>
    </row>
    <row r="210" spans="2:3" x14ac:dyDescent="0.25">
      <c r="B210" s="2">
        <f t="shared" si="3"/>
        <v>1</v>
      </c>
      <c r="C210" t="s">
        <v>94</v>
      </c>
    </row>
    <row r="211" spans="2:3" x14ac:dyDescent="0.25">
      <c r="B211" s="2">
        <f t="shared" si="3"/>
        <v>1</v>
      </c>
      <c r="C211" t="s">
        <v>90</v>
      </c>
    </row>
    <row r="212" spans="2:3" x14ac:dyDescent="0.25">
      <c r="B212" s="2">
        <f t="shared" si="3"/>
        <v>1</v>
      </c>
      <c r="C212" t="s">
        <v>6069</v>
      </c>
    </row>
    <row r="213" spans="2:3" x14ac:dyDescent="0.25">
      <c r="B213" s="2">
        <f t="shared" si="3"/>
        <v>0</v>
      </c>
    </row>
    <row r="214" spans="2:3" x14ac:dyDescent="0.25">
      <c r="B214" s="2">
        <f t="shared" si="3"/>
        <v>0</v>
      </c>
    </row>
    <row r="215" spans="2:3" x14ac:dyDescent="0.25">
      <c r="B215" s="2">
        <f t="shared" si="3"/>
        <v>0</v>
      </c>
    </row>
    <row r="216" spans="2:3" x14ac:dyDescent="0.25">
      <c r="B216" s="2">
        <f t="shared" si="3"/>
        <v>0</v>
      </c>
    </row>
    <row r="217" spans="2:3" x14ac:dyDescent="0.25">
      <c r="B217" s="2">
        <f t="shared" si="3"/>
        <v>0</v>
      </c>
    </row>
    <row r="218" spans="2:3" x14ac:dyDescent="0.25">
      <c r="B218" s="2">
        <f t="shared" si="3"/>
        <v>0</v>
      </c>
    </row>
    <row r="219" spans="2:3" x14ac:dyDescent="0.25">
      <c r="B219" s="2">
        <f t="shared" si="3"/>
        <v>0</v>
      </c>
    </row>
    <row r="220" spans="2:3" x14ac:dyDescent="0.25">
      <c r="B220" s="2">
        <f t="shared" si="3"/>
        <v>0</v>
      </c>
    </row>
    <row r="221" spans="2:3" x14ac:dyDescent="0.25">
      <c r="B221" s="2">
        <f t="shared" si="3"/>
        <v>0</v>
      </c>
    </row>
    <row r="222" spans="2:3" x14ac:dyDescent="0.25">
      <c r="B222" s="2">
        <f t="shared" si="3"/>
        <v>0</v>
      </c>
    </row>
    <row r="223" spans="2:3" x14ac:dyDescent="0.25">
      <c r="B223" s="2">
        <f t="shared" si="3"/>
        <v>0</v>
      </c>
    </row>
    <row r="224" spans="2:3" x14ac:dyDescent="0.25">
      <c r="B224" s="2">
        <f t="shared" si="3"/>
        <v>0</v>
      </c>
    </row>
    <row r="225" spans="2:2" x14ac:dyDescent="0.25">
      <c r="B225" s="2">
        <f t="shared" si="3"/>
        <v>0</v>
      </c>
    </row>
    <row r="226" spans="2:2" x14ac:dyDescent="0.25">
      <c r="B226" s="2">
        <f t="shared" si="3"/>
        <v>0</v>
      </c>
    </row>
    <row r="227" spans="2:2" x14ac:dyDescent="0.25">
      <c r="B227" s="2">
        <f t="shared" si="3"/>
        <v>0</v>
      </c>
    </row>
    <row r="228" spans="2:2" x14ac:dyDescent="0.25">
      <c r="B228" s="2">
        <f t="shared" si="3"/>
        <v>0</v>
      </c>
    </row>
    <row r="229" spans="2:2" x14ac:dyDescent="0.25">
      <c r="B229" s="2">
        <f t="shared" si="3"/>
        <v>0</v>
      </c>
    </row>
    <row r="252" spans="2:3" x14ac:dyDescent="0.25">
      <c r="B252" s="2">
        <f t="shared" ref="B252:B257" si="4">COUNTIFS(C:C,C252)</f>
        <v>1</v>
      </c>
      <c r="C252" t="s">
        <v>83</v>
      </c>
    </row>
    <row r="253" spans="2:3" x14ac:dyDescent="0.25">
      <c r="B253" s="2">
        <f t="shared" si="4"/>
        <v>1</v>
      </c>
      <c r="C253" t="s">
        <v>82</v>
      </c>
    </row>
    <row r="254" spans="2:3" x14ac:dyDescent="0.25">
      <c r="B254" s="2">
        <f t="shared" si="4"/>
        <v>1</v>
      </c>
      <c r="C254" t="s">
        <v>81</v>
      </c>
    </row>
    <row r="255" spans="2:3" x14ac:dyDescent="0.25">
      <c r="B255" s="2">
        <f t="shared" si="4"/>
        <v>0</v>
      </c>
    </row>
    <row r="256" spans="2:3" x14ac:dyDescent="0.25">
      <c r="B256" s="2">
        <f t="shared" si="4"/>
        <v>0</v>
      </c>
    </row>
    <row r="257" spans="2:3" x14ac:dyDescent="0.25">
      <c r="B257" s="2">
        <f t="shared" si="4"/>
        <v>0</v>
      </c>
    </row>
    <row r="259" spans="2:3" x14ac:dyDescent="0.25">
      <c r="B259" s="2">
        <f t="shared" ref="B259:B272" si="5">COUNTIFS(C:C,C259)</f>
        <v>2</v>
      </c>
      <c r="C259" t="s">
        <v>80</v>
      </c>
    </row>
    <row r="260" spans="2:3" x14ac:dyDescent="0.25">
      <c r="B260" s="2">
        <f t="shared" si="5"/>
        <v>2</v>
      </c>
      <c r="C260" t="s">
        <v>78</v>
      </c>
    </row>
    <row r="261" spans="2:3" x14ac:dyDescent="0.25">
      <c r="B261" s="2">
        <f t="shared" si="5"/>
        <v>2</v>
      </c>
      <c r="C261" t="s">
        <v>77</v>
      </c>
    </row>
    <row r="262" spans="2:3" x14ac:dyDescent="0.25">
      <c r="B262" s="2">
        <f t="shared" si="5"/>
        <v>2</v>
      </c>
      <c r="C262" t="s">
        <v>76</v>
      </c>
    </row>
    <row r="263" spans="2:3" x14ac:dyDescent="0.25">
      <c r="B263" s="2">
        <f t="shared" si="5"/>
        <v>2</v>
      </c>
      <c r="C263" t="s">
        <v>75</v>
      </c>
    </row>
    <row r="264" spans="2:3" x14ac:dyDescent="0.25">
      <c r="B264" s="2">
        <f t="shared" si="5"/>
        <v>2</v>
      </c>
      <c r="C264" t="s">
        <v>74</v>
      </c>
    </row>
    <row r="265" spans="2:3" x14ac:dyDescent="0.25">
      <c r="B265" s="2">
        <f t="shared" si="5"/>
        <v>0</v>
      </c>
    </row>
    <row r="266" spans="2:3" x14ac:dyDescent="0.25">
      <c r="B266" s="2">
        <f t="shared" si="5"/>
        <v>0</v>
      </c>
    </row>
    <row r="267" spans="2:3" x14ac:dyDescent="0.25">
      <c r="B267" s="2">
        <f t="shared" si="5"/>
        <v>0</v>
      </c>
    </row>
    <row r="268" spans="2:3" x14ac:dyDescent="0.25">
      <c r="B268" s="2">
        <f t="shared" si="5"/>
        <v>0</v>
      </c>
    </row>
    <row r="269" spans="2:3" x14ac:dyDescent="0.25">
      <c r="B269" s="2">
        <f t="shared" si="5"/>
        <v>0</v>
      </c>
    </row>
    <row r="270" spans="2:3" x14ac:dyDescent="0.25">
      <c r="B270" s="2">
        <f t="shared" si="5"/>
        <v>0</v>
      </c>
    </row>
    <row r="271" spans="2:3" x14ac:dyDescent="0.25">
      <c r="B271" s="2">
        <f t="shared" si="5"/>
        <v>0</v>
      </c>
    </row>
    <row r="272" spans="2:3" x14ac:dyDescent="0.25">
      <c r="B272" s="2">
        <f t="shared" si="5"/>
        <v>0</v>
      </c>
    </row>
    <row r="274" spans="2:3" x14ac:dyDescent="0.25">
      <c r="B274" s="2">
        <f t="shared" ref="B274:B280" si="6">COUNTIFS(C:C,C274)</f>
        <v>2</v>
      </c>
      <c r="C274" t="s">
        <v>80</v>
      </c>
    </row>
    <row r="275" spans="2:3" x14ac:dyDescent="0.25">
      <c r="B275" s="2">
        <f t="shared" si="6"/>
        <v>2</v>
      </c>
      <c r="C275" t="s">
        <v>78</v>
      </c>
    </row>
    <row r="276" spans="2:3" x14ac:dyDescent="0.25">
      <c r="B276" s="2">
        <f t="shared" si="6"/>
        <v>2</v>
      </c>
      <c r="C276" t="s">
        <v>77</v>
      </c>
    </row>
    <row r="277" spans="2:3" x14ac:dyDescent="0.25">
      <c r="B277" s="2">
        <f t="shared" si="6"/>
        <v>2</v>
      </c>
      <c r="C277" t="s">
        <v>76</v>
      </c>
    </row>
    <row r="278" spans="2:3" x14ac:dyDescent="0.25">
      <c r="B278" s="2">
        <f t="shared" si="6"/>
        <v>2</v>
      </c>
      <c r="C278" t="s">
        <v>75</v>
      </c>
    </row>
    <row r="279" spans="2:3" x14ac:dyDescent="0.25">
      <c r="B279" s="2">
        <f t="shared" si="6"/>
        <v>2</v>
      </c>
      <c r="C279" t="s">
        <v>74</v>
      </c>
    </row>
    <row r="280" spans="2:3" x14ac:dyDescent="0.25">
      <c r="B280" s="2">
        <f t="shared" si="6"/>
        <v>0</v>
      </c>
    </row>
    <row r="283" spans="2:3" x14ac:dyDescent="0.25">
      <c r="B283" s="2">
        <f t="shared" ref="B283:B298" si="7">COUNTIFS(C:C,C283)</f>
        <v>0</v>
      </c>
      <c r="C283" s="73"/>
    </row>
    <row r="284" spans="2:3" x14ac:dyDescent="0.25">
      <c r="B284" s="2">
        <f t="shared" si="7"/>
        <v>0</v>
      </c>
    </row>
    <row r="285" spans="2:3" x14ac:dyDescent="0.25">
      <c r="B285" s="2">
        <f t="shared" si="7"/>
        <v>0</v>
      </c>
    </row>
    <row r="286" spans="2:3" x14ac:dyDescent="0.25">
      <c r="B286" s="2">
        <f t="shared" si="7"/>
        <v>0</v>
      </c>
    </row>
    <row r="287" spans="2:3" x14ac:dyDescent="0.25">
      <c r="B287" s="2">
        <f t="shared" si="7"/>
        <v>0</v>
      </c>
    </row>
    <row r="288" spans="2:3" x14ac:dyDescent="0.25">
      <c r="B288" s="2">
        <f t="shared" si="7"/>
        <v>0</v>
      </c>
    </row>
    <row r="289" spans="2:3" x14ac:dyDescent="0.25">
      <c r="B289" s="2">
        <f t="shared" si="7"/>
        <v>0</v>
      </c>
    </row>
    <row r="290" spans="2:3" x14ac:dyDescent="0.25">
      <c r="B290" s="2">
        <f t="shared" si="7"/>
        <v>0</v>
      </c>
    </row>
    <row r="291" spans="2:3" x14ac:dyDescent="0.25">
      <c r="B291" s="2">
        <f t="shared" si="7"/>
        <v>0</v>
      </c>
    </row>
    <row r="292" spans="2:3" x14ac:dyDescent="0.25">
      <c r="B292" s="2">
        <f t="shared" si="7"/>
        <v>0</v>
      </c>
    </row>
    <row r="293" spans="2:3" x14ac:dyDescent="0.25">
      <c r="B293" s="2">
        <f t="shared" si="7"/>
        <v>0</v>
      </c>
    </row>
    <row r="294" spans="2:3" x14ac:dyDescent="0.25">
      <c r="B294" s="2">
        <f t="shared" si="7"/>
        <v>0</v>
      </c>
    </row>
    <row r="295" spans="2:3" x14ac:dyDescent="0.25">
      <c r="B295" s="2">
        <f t="shared" si="7"/>
        <v>0</v>
      </c>
    </row>
    <row r="296" spans="2:3" x14ac:dyDescent="0.25">
      <c r="B296" s="2">
        <f t="shared" si="7"/>
        <v>0</v>
      </c>
    </row>
    <row r="297" spans="2:3" x14ac:dyDescent="0.25">
      <c r="B297" s="2">
        <f t="shared" si="7"/>
        <v>0</v>
      </c>
    </row>
    <row r="298" spans="2:3" x14ac:dyDescent="0.25">
      <c r="B298" s="2">
        <f t="shared" si="7"/>
        <v>0</v>
      </c>
    </row>
    <row r="300" spans="2:3" x14ac:dyDescent="0.25">
      <c r="B300" s="2">
        <f t="shared" ref="B300:B331" si="8">COUNTIFS(C:C,C300)</f>
        <v>2</v>
      </c>
      <c r="C300" s="73" t="s">
        <v>6175</v>
      </c>
    </row>
    <row r="301" spans="2:3" x14ac:dyDescent="0.25">
      <c r="B301" s="2">
        <f t="shared" si="8"/>
        <v>1</v>
      </c>
      <c r="C301" s="73" t="s">
        <v>6176</v>
      </c>
    </row>
    <row r="302" spans="2:3" x14ac:dyDescent="0.25">
      <c r="B302" s="2">
        <f t="shared" si="8"/>
        <v>1</v>
      </c>
      <c r="C302" s="73" t="s">
        <v>6248</v>
      </c>
    </row>
    <row r="303" spans="2:3" x14ac:dyDescent="0.25">
      <c r="B303" s="2">
        <f t="shared" si="8"/>
        <v>1</v>
      </c>
      <c r="C303" t="s">
        <v>6250</v>
      </c>
    </row>
    <row r="304" spans="2:3" x14ac:dyDescent="0.25">
      <c r="B304" s="2">
        <f t="shared" si="8"/>
        <v>1</v>
      </c>
      <c r="C304" t="s">
        <v>6251</v>
      </c>
    </row>
    <row r="305" spans="2:2" x14ac:dyDescent="0.25">
      <c r="B305" s="2">
        <f t="shared" si="8"/>
        <v>0</v>
      </c>
    </row>
    <row r="306" spans="2:2" x14ac:dyDescent="0.25">
      <c r="B306" s="2">
        <f t="shared" si="8"/>
        <v>0</v>
      </c>
    </row>
    <row r="307" spans="2:2" x14ac:dyDescent="0.25">
      <c r="B307" s="2">
        <f t="shared" si="8"/>
        <v>0</v>
      </c>
    </row>
    <row r="308" spans="2:2" x14ac:dyDescent="0.25">
      <c r="B308" s="2">
        <f t="shared" si="8"/>
        <v>0</v>
      </c>
    </row>
    <row r="309" spans="2:2" x14ac:dyDescent="0.25">
      <c r="B309" s="2">
        <f t="shared" si="8"/>
        <v>0</v>
      </c>
    </row>
    <row r="310" spans="2:2" x14ac:dyDescent="0.25">
      <c r="B310" s="2">
        <f t="shared" si="8"/>
        <v>0</v>
      </c>
    </row>
    <row r="311" spans="2:2" x14ac:dyDescent="0.25">
      <c r="B311" s="2">
        <f t="shared" si="8"/>
        <v>0</v>
      </c>
    </row>
    <row r="312" spans="2:2" x14ac:dyDescent="0.25">
      <c r="B312" s="2">
        <f t="shared" si="8"/>
        <v>0</v>
      </c>
    </row>
    <row r="313" spans="2:2" x14ac:dyDescent="0.25">
      <c r="B313" s="2">
        <f t="shared" si="8"/>
        <v>0</v>
      </c>
    </row>
    <row r="314" spans="2:2" x14ac:dyDescent="0.25">
      <c r="B314" s="2">
        <f t="shared" si="8"/>
        <v>0</v>
      </c>
    </row>
    <row r="315" spans="2:2" x14ac:dyDescent="0.25">
      <c r="B315" s="2">
        <f t="shared" si="8"/>
        <v>0</v>
      </c>
    </row>
    <row r="316" spans="2:2" x14ac:dyDescent="0.25">
      <c r="B316" s="2">
        <f t="shared" si="8"/>
        <v>0</v>
      </c>
    </row>
    <row r="317" spans="2:2" x14ac:dyDescent="0.25">
      <c r="B317" s="2">
        <f t="shared" si="8"/>
        <v>0</v>
      </c>
    </row>
    <row r="318" spans="2:2" x14ac:dyDescent="0.25">
      <c r="B318" s="2">
        <f t="shared" si="8"/>
        <v>0</v>
      </c>
    </row>
    <row r="319" spans="2:2" x14ac:dyDescent="0.25">
      <c r="B319" s="2">
        <f t="shared" si="8"/>
        <v>0</v>
      </c>
    </row>
    <row r="320" spans="2:2" x14ac:dyDescent="0.25">
      <c r="B320" s="2">
        <f t="shared" si="8"/>
        <v>0</v>
      </c>
    </row>
    <row r="321" spans="2:2" x14ac:dyDescent="0.25">
      <c r="B321" s="2">
        <f t="shared" si="8"/>
        <v>0</v>
      </c>
    </row>
    <row r="322" spans="2:2" x14ac:dyDescent="0.25">
      <c r="B322" s="2">
        <f t="shared" si="8"/>
        <v>0</v>
      </c>
    </row>
    <row r="323" spans="2:2" x14ac:dyDescent="0.25">
      <c r="B323" s="2">
        <f t="shared" si="8"/>
        <v>0</v>
      </c>
    </row>
    <row r="324" spans="2:2" x14ac:dyDescent="0.25">
      <c r="B324" s="2">
        <f t="shared" si="8"/>
        <v>0</v>
      </c>
    </row>
    <row r="325" spans="2:2" x14ac:dyDescent="0.25">
      <c r="B325" s="2">
        <f t="shared" si="8"/>
        <v>0</v>
      </c>
    </row>
    <row r="326" spans="2:2" x14ac:dyDescent="0.25">
      <c r="B326" s="2">
        <f t="shared" si="8"/>
        <v>0</v>
      </c>
    </row>
    <row r="327" spans="2:2" x14ac:dyDescent="0.25">
      <c r="B327" s="2">
        <f t="shared" si="8"/>
        <v>0</v>
      </c>
    </row>
    <row r="328" spans="2:2" x14ac:dyDescent="0.25">
      <c r="B328" s="2">
        <f t="shared" si="8"/>
        <v>0</v>
      </c>
    </row>
    <row r="329" spans="2:2" x14ac:dyDescent="0.25">
      <c r="B329" s="2">
        <f t="shared" si="8"/>
        <v>0</v>
      </c>
    </row>
    <row r="330" spans="2:2" x14ac:dyDescent="0.25">
      <c r="B330" s="2">
        <f t="shared" si="8"/>
        <v>0</v>
      </c>
    </row>
    <row r="331" spans="2:2" x14ac:dyDescent="0.25">
      <c r="B331" s="2">
        <f t="shared" si="8"/>
        <v>0</v>
      </c>
    </row>
    <row r="332" spans="2:2" x14ac:dyDescent="0.25">
      <c r="B332" s="2">
        <f t="shared" ref="B332:B361" si="9">COUNTIFS(C:C,C332)</f>
        <v>0</v>
      </c>
    </row>
    <row r="333" spans="2:2" x14ac:dyDescent="0.25">
      <c r="B333" s="2">
        <f t="shared" si="9"/>
        <v>0</v>
      </c>
    </row>
    <row r="334" spans="2:2" x14ac:dyDescent="0.25">
      <c r="B334" s="2">
        <f t="shared" si="9"/>
        <v>0</v>
      </c>
    </row>
    <row r="335" spans="2:2" x14ac:dyDescent="0.25">
      <c r="B335" s="2">
        <f t="shared" si="9"/>
        <v>0</v>
      </c>
    </row>
    <row r="336" spans="2:2" x14ac:dyDescent="0.25">
      <c r="B336" s="2">
        <f t="shared" si="9"/>
        <v>0</v>
      </c>
    </row>
    <row r="337" spans="2:3" x14ac:dyDescent="0.25">
      <c r="B337" s="2">
        <f t="shared" si="9"/>
        <v>0</v>
      </c>
    </row>
    <row r="338" spans="2:3" x14ac:dyDescent="0.25">
      <c r="B338" s="2">
        <f t="shared" si="9"/>
        <v>0</v>
      </c>
    </row>
    <row r="339" spans="2:3" x14ac:dyDescent="0.25">
      <c r="B339" s="2">
        <f t="shared" si="9"/>
        <v>0</v>
      </c>
    </row>
    <row r="340" spans="2:3" x14ac:dyDescent="0.25">
      <c r="B340" s="2">
        <f t="shared" si="9"/>
        <v>1</v>
      </c>
      <c r="C340" t="s">
        <v>6056</v>
      </c>
    </row>
    <row r="341" spans="2:3" x14ac:dyDescent="0.25">
      <c r="B341" s="2">
        <f t="shared" si="9"/>
        <v>0</v>
      </c>
    </row>
    <row r="342" spans="2:3" x14ac:dyDescent="0.25">
      <c r="B342" s="2">
        <f t="shared" si="9"/>
        <v>0</v>
      </c>
    </row>
    <row r="343" spans="2:3" x14ac:dyDescent="0.25">
      <c r="B343" s="2">
        <f t="shared" si="9"/>
        <v>0</v>
      </c>
    </row>
    <row r="344" spans="2:3" x14ac:dyDescent="0.25">
      <c r="B344" s="2">
        <f t="shared" si="9"/>
        <v>0</v>
      </c>
    </row>
    <row r="345" spans="2:3" x14ac:dyDescent="0.25">
      <c r="B345" s="2">
        <f t="shared" si="9"/>
        <v>0</v>
      </c>
    </row>
    <row r="346" spans="2:3" x14ac:dyDescent="0.25">
      <c r="B346" s="2">
        <f t="shared" si="9"/>
        <v>0</v>
      </c>
    </row>
    <row r="347" spans="2:3" x14ac:dyDescent="0.25">
      <c r="B347" s="2">
        <f t="shared" si="9"/>
        <v>0</v>
      </c>
    </row>
    <row r="348" spans="2:3" x14ac:dyDescent="0.25">
      <c r="B348" s="2">
        <f t="shared" si="9"/>
        <v>0</v>
      </c>
    </row>
    <row r="349" spans="2:3" x14ac:dyDescent="0.25">
      <c r="B349" s="2">
        <f t="shared" si="9"/>
        <v>0</v>
      </c>
    </row>
    <row r="350" spans="2:3" x14ac:dyDescent="0.25">
      <c r="B350" s="2">
        <f t="shared" si="9"/>
        <v>0</v>
      </c>
    </row>
    <row r="351" spans="2:3" x14ac:dyDescent="0.25">
      <c r="B351" s="2">
        <f t="shared" si="9"/>
        <v>0</v>
      </c>
    </row>
    <row r="352" spans="2:3" x14ac:dyDescent="0.25">
      <c r="B352" s="2">
        <f t="shared" si="9"/>
        <v>0</v>
      </c>
    </row>
    <row r="353" spans="2:2" x14ac:dyDescent="0.25">
      <c r="B353" s="2">
        <f t="shared" si="9"/>
        <v>0</v>
      </c>
    </row>
    <row r="354" spans="2:2" x14ac:dyDescent="0.25">
      <c r="B354" s="2">
        <f t="shared" si="9"/>
        <v>0</v>
      </c>
    </row>
    <row r="355" spans="2:2" x14ac:dyDescent="0.25">
      <c r="B355" s="2">
        <f t="shared" si="9"/>
        <v>0</v>
      </c>
    </row>
    <row r="356" spans="2:2" x14ac:dyDescent="0.25">
      <c r="B356" s="2">
        <f t="shared" si="9"/>
        <v>0</v>
      </c>
    </row>
    <row r="357" spans="2:2" x14ac:dyDescent="0.25">
      <c r="B357" s="2">
        <f t="shared" si="9"/>
        <v>0</v>
      </c>
    </row>
    <row r="358" spans="2:2" x14ac:dyDescent="0.25">
      <c r="B358" s="2">
        <f t="shared" si="9"/>
        <v>0</v>
      </c>
    </row>
    <row r="359" spans="2:2" x14ac:dyDescent="0.25">
      <c r="B359" s="2">
        <f t="shared" si="9"/>
        <v>0</v>
      </c>
    </row>
    <row r="360" spans="2:2" x14ac:dyDescent="0.25">
      <c r="B360" s="2">
        <f t="shared" si="9"/>
        <v>0</v>
      </c>
    </row>
    <row r="361" spans="2:2" x14ac:dyDescent="0.25">
      <c r="B361" s="2">
        <f t="shared" si="9"/>
        <v>0</v>
      </c>
    </row>
    <row r="362" spans="2:2" x14ac:dyDescent="0.25">
      <c r="B362" s="2"/>
    </row>
    <row r="363" spans="2:2" x14ac:dyDescent="0.25">
      <c r="B363" s="2"/>
    </row>
    <row r="364" spans="2:2" x14ac:dyDescent="0.25">
      <c r="B364" s="2">
        <f>COUNTIFS(C:C,C364)</f>
        <v>0</v>
      </c>
    </row>
    <row r="365" spans="2:2" x14ac:dyDescent="0.25">
      <c r="B365" s="2"/>
    </row>
    <row r="366" spans="2:2" x14ac:dyDescent="0.25">
      <c r="B366" s="2"/>
    </row>
    <row r="367" spans="2:2" x14ac:dyDescent="0.25">
      <c r="B367" s="2"/>
    </row>
    <row r="368" spans="2:2" x14ac:dyDescent="0.25">
      <c r="B368" s="2"/>
    </row>
    <row r="369" spans="2:2" x14ac:dyDescent="0.25">
      <c r="B369" s="2"/>
    </row>
    <row r="370" spans="2:2" x14ac:dyDescent="0.25">
      <c r="B370" s="2">
        <f t="shared" ref="B370:B392" si="10">COUNTIFS(C:C,C370)</f>
        <v>0</v>
      </c>
    </row>
    <row r="371" spans="2:2" x14ac:dyDescent="0.25">
      <c r="B371" s="2">
        <f t="shared" si="10"/>
        <v>0</v>
      </c>
    </row>
    <row r="372" spans="2:2" x14ac:dyDescent="0.25">
      <c r="B372" s="2">
        <f t="shared" si="10"/>
        <v>0</v>
      </c>
    </row>
    <row r="373" spans="2:2" x14ac:dyDescent="0.25">
      <c r="B373" s="2">
        <f t="shared" si="10"/>
        <v>0</v>
      </c>
    </row>
    <row r="374" spans="2:2" x14ac:dyDescent="0.25">
      <c r="B374" s="2">
        <f t="shared" si="10"/>
        <v>0</v>
      </c>
    </row>
    <row r="375" spans="2:2" x14ac:dyDescent="0.25">
      <c r="B375" s="2">
        <f t="shared" si="10"/>
        <v>0</v>
      </c>
    </row>
    <row r="376" spans="2:2" x14ac:dyDescent="0.25">
      <c r="B376" s="2">
        <f t="shared" si="10"/>
        <v>0</v>
      </c>
    </row>
    <row r="377" spans="2:2" x14ac:dyDescent="0.25">
      <c r="B377" s="2">
        <f t="shared" si="10"/>
        <v>0</v>
      </c>
    </row>
    <row r="378" spans="2:2" x14ac:dyDescent="0.25">
      <c r="B378" s="2">
        <f t="shared" si="10"/>
        <v>0</v>
      </c>
    </row>
    <row r="379" spans="2:2" x14ac:dyDescent="0.25">
      <c r="B379" s="2">
        <f t="shared" si="10"/>
        <v>0</v>
      </c>
    </row>
    <row r="380" spans="2:2" x14ac:dyDescent="0.25">
      <c r="B380" s="2">
        <f t="shared" si="10"/>
        <v>0</v>
      </c>
    </row>
    <row r="381" spans="2:2" x14ac:dyDescent="0.25">
      <c r="B381" s="2">
        <f t="shared" si="10"/>
        <v>0</v>
      </c>
    </row>
    <row r="382" spans="2:2" x14ac:dyDescent="0.25">
      <c r="B382" s="2">
        <f t="shared" si="10"/>
        <v>0</v>
      </c>
    </row>
    <row r="383" spans="2:2" x14ac:dyDescent="0.25">
      <c r="B383" s="2">
        <f t="shared" si="10"/>
        <v>0</v>
      </c>
    </row>
    <row r="384" spans="2:2" x14ac:dyDescent="0.25">
      <c r="B384" s="2">
        <f t="shared" si="10"/>
        <v>0</v>
      </c>
    </row>
    <row r="385" spans="2:2" x14ac:dyDescent="0.25">
      <c r="B385" s="2">
        <f t="shared" si="10"/>
        <v>0</v>
      </c>
    </row>
    <row r="386" spans="2:2" x14ac:dyDescent="0.25">
      <c r="B386" s="2">
        <f t="shared" si="10"/>
        <v>0</v>
      </c>
    </row>
    <row r="387" spans="2:2" x14ac:dyDescent="0.25">
      <c r="B387" s="2">
        <f t="shared" si="10"/>
        <v>0</v>
      </c>
    </row>
    <row r="388" spans="2:2" x14ac:dyDescent="0.25">
      <c r="B388" s="2">
        <f t="shared" si="10"/>
        <v>0</v>
      </c>
    </row>
    <row r="389" spans="2:2" x14ac:dyDescent="0.25">
      <c r="B389" s="2">
        <f t="shared" si="10"/>
        <v>0</v>
      </c>
    </row>
    <row r="390" spans="2:2" x14ac:dyDescent="0.25">
      <c r="B390" s="2">
        <f t="shared" si="10"/>
        <v>0</v>
      </c>
    </row>
    <row r="391" spans="2:2" x14ac:dyDescent="0.25">
      <c r="B391" s="2">
        <f t="shared" si="10"/>
        <v>0</v>
      </c>
    </row>
    <row r="392" spans="2:2" x14ac:dyDescent="0.25">
      <c r="B392" s="2">
        <f t="shared" si="10"/>
        <v>0</v>
      </c>
    </row>
    <row r="394" spans="2:2" x14ac:dyDescent="0.25">
      <c r="B394" s="2"/>
    </row>
    <row r="395" spans="2:2" x14ac:dyDescent="0.25">
      <c r="B395" s="2">
        <f t="shared" ref="B395:B407" si="11">COUNTIFS(C:C,C395)</f>
        <v>0</v>
      </c>
    </row>
    <row r="396" spans="2:2" x14ac:dyDescent="0.25">
      <c r="B396" s="2">
        <f t="shared" si="11"/>
        <v>0</v>
      </c>
    </row>
    <row r="397" spans="2:2" x14ac:dyDescent="0.25">
      <c r="B397" s="2">
        <f t="shared" si="11"/>
        <v>0</v>
      </c>
    </row>
    <row r="398" spans="2:2" x14ac:dyDescent="0.25">
      <c r="B398" s="2">
        <f t="shared" si="11"/>
        <v>0</v>
      </c>
    </row>
    <row r="399" spans="2:2" x14ac:dyDescent="0.25">
      <c r="B399" s="2">
        <f t="shared" si="11"/>
        <v>0</v>
      </c>
    </row>
    <row r="400" spans="2:2" x14ac:dyDescent="0.25">
      <c r="B400" s="2">
        <f t="shared" si="11"/>
        <v>0</v>
      </c>
    </row>
    <row r="401" spans="2:2" x14ac:dyDescent="0.25">
      <c r="B401" s="2">
        <f t="shared" si="11"/>
        <v>0</v>
      </c>
    </row>
    <row r="402" spans="2:2" x14ac:dyDescent="0.25">
      <c r="B402" s="2">
        <f t="shared" si="11"/>
        <v>0</v>
      </c>
    </row>
    <row r="403" spans="2:2" x14ac:dyDescent="0.25">
      <c r="B403" s="2">
        <f t="shared" si="11"/>
        <v>0</v>
      </c>
    </row>
    <row r="404" spans="2:2" x14ac:dyDescent="0.25">
      <c r="B404" s="2">
        <f t="shared" si="11"/>
        <v>0</v>
      </c>
    </row>
    <row r="405" spans="2:2" x14ac:dyDescent="0.25">
      <c r="B405" s="2">
        <f t="shared" si="11"/>
        <v>0</v>
      </c>
    </row>
    <row r="406" spans="2:2" x14ac:dyDescent="0.25">
      <c r="B406" s="2">
        <f t="shared" si="11"/>
        <v>0</v>
      </c>
    </row>
    <row r="407" spans="2:2" x14ac:dyDescent="0.25">
      <c r="B407" s="2">
        <f t="shared" si="11"/>
        <v>0</v>
      </c>
    </row>
    <row r="408" spans="2:2" x14ac:dyDescent="0.25">
      <c r="B408" s="2"/>
    </row>
    <row r="409" spans="2:2" x14ac:dyDescent="0.25">
      <c r="B409" s="2"/>
    </row>
    <row r="410" spans="2:2" x14ac:dyDescent="0.25">
      <c r="B410" s="2">
        <f>COUNTIFS(C:C,C410)</f>
        <v>0</v>
      </c>
    </row>
    <row r="411" spans="2:2" x14ac:dyDescent="0.25">
      <c r="B411" s="2">
        <f>COUNTIFS(C:C,C411)</f>
        <v>0</v>
      </c>
    </row>
    <row r="412" spans="2:2" x14ac:dyDescent="0.25">
      <c r="B412" s="2">
        <f>COUNTIFS(C:C,C412)</f>
        <v>0</v>
      </c>
    </row>
    <row r="413" spans="2:2" x14ac:dyDescent="0.25">
      <c r="B413" s="2">
        <f>COUNTIFS(C:C,C413)</f>
        <v>0</v>
      </c>
    </row>
    <row r="414" spans="2:2" x14ac:dyDescent="0.25">
      <c r="B414" s="2">
        <f>COUNTIFS(C:C,C414)</f>
        <v>0</v>
      </c>
    </row>
    <row r="415" spans="2:2" x14ac:dyDescent="0.25">
      <c r="B415" s="2"/>
    </row>
    <row r="416" spans="2:2" x14ac:dyDescent="0.25">
      <c r="B416" s="2"/>
    </row>
    <row r="417" spans="2:2" x14ac:dyDescent="0.25">
      <c r="B417" s="2"/>
    </row>
    <row r="418" spans="2:2" x14ac:dyDescent="0.25">
      <c r="B418" s="2"/>
    </row>
    <row r="419" spans="2:2" x14ac:dyDescent="0.25">
      <c r="B419" s="2"/>
    </row>
    <row r="420" spans="2:2" x14ac:dyDescent="0.25">
      <c r="B420" s="2"/>
    </row>
    <row r="421" spans="2:2" x14ac:dyDescent="0.25">
      <c r="B421" s="2"/>
    </row>
    <row r="422" spans="2:2" x14ac:dyDescent="0.25">
      <c r="B422" s="2"/>
    </row>
    <row r="423" spans="2:2" x14ac:dyDescent="0.25">
      <c r="B423" s="2"/>
    </row>
    <row r="424" spans="2:2" x14ac:dyDescent="0.25">
      <c r="B424" s="2"/>
    </row>
    <row r="425" spans="2:2" x14ac:dyDescent="0.25">
      <c r="B425" s="2"/>
    </row>
    <row r="426" spans="2:2" x14ac:dyDescent="0.25">
      <c r="B426" s="2"/>
    </row>
    <row r="522" spans="2:2" x14ac:dyDescent="0.25">
      <c r="B522" s="2">
        <f t="shared" ref="B522:B537" si="12">COUNTIFS(C:C,C522)</f>
        <v>0</v>
      </c>
    </row>
    <row r="523" spans="2:2" x14ac:dyDescent="0.25">
      <c r="B523" s="2">
        <f t="shared" si="12"/>
        <v>0</v>
      </c>
    </row>
    <row r="524" spans="2:2" x14ac:dyDescent="0.25">
      <c r="B524" s="2">
        <f t="shared" si="12"/>
        <v>0</v>
      </c>
    </row>
    <row r="525" spans="2:2" x14ac:dyDescent="0.25">
      <c r="B525" s="2">
        <f t="shared" si="12"/>
        <v>0</v>
      </c>
    </row>
    <row r="526" spans="2:2" x14ac:dyDescent="0.25">
      <c r="B526" s="2">
        <f t="shared" si="12"/>
        <v>0</v>
      </c>
    </row>
    <row r="527" spans="2:2" x14ac:dyDescent="0.25">
      <c r="B527" s="2">
        <f t="shared" si="12"/>
        <v>0</v>
      </c>
    </row>
    <row r="528" spans="2:2" x14ac:dyDescent="0.25">
      <c r="B528" s="2">
        <f t="shared" si="12"/>
        <v>0</v>
      </c>
    </row>
    <row r="529" spans="2:2" x14ac:dyDescent="0.25">
      <c r="B529" s="2">
        <f t="shared" si="12"/>
        <v>0</v>
      </c>
    </row>
    <row r="530" spans="2:2" x14ac:dyDescent="0.25">
      <c r="B530" s="2">
        <f t="shared" si="12"/>
        <v>0</v>
      </c>
    </row>
    <row r="531" spans="2:2" x14ac:dyDescent="0.25">
      <c r="B531" s="2">
        <f t="shared" si="12"/>
        <v>0</v>
      </c>
    </row>
    <row r="532" spans="2:2" x14ac:dyDescent="0.25">
      <c r="B532" s="2">
        <f t="shared" si="12"/>
        <v>0</v>
      </c>
    </row>
    <row r="533" spans="2:2" x14ac:dyDescent="0.25">
      <c r="B533" s="2">
        <f t="shared" si="12"/>
        <v>0</v>
      </c>
    </row>
    <row r="534" spans="2:2" x14ac:dyDescent="0.25">
      <c r="B534" s="2">
        <f t="shared" si="12"/>
        <v>0</v>
      </c>
    </row>
    <row r="535" spans="2:2" x14ac:dyDescent="0.25">
      <c r="B535" s="2">
        <f t="shared" si="12"/>
        <v>0</v>
      </c>
    </row>
    <row r="536" spans="2:2" x14ac:dyDescent="0.25">
      <c r="B536" s="2">
        <f t="shared" si="12"/>
        <v>0</v>
      </c>
    </row>
    <row r="537" spans="2:2" x14ac:dyDescent="0.25">
      <c r="B537" s="2">
        <f t="shared" si="12"/>
        <v>0</v>
      </c>
    </row>
    <row r="539" spans="2:2" x14ac:dyDescent="0.25">
      <c r="B539" s="2">
        <f t="shared" ref="B539:B553" si="13">COUNTIFS(C:C,C539)</f>
        <v>0</v>
      </c>
    </row>
    <row r="540" spans="2:2" x14ac:dyDescent="0.25">
      <c r="B540" s="2">
        <f t="shared" si="13"/>
        <v>0</v>
      </c>
    </row>
    <row r="541" spans="2:2" x14ac:dyDescent="0.25">
      <c r="B541" s="2">
        <f t="shared" si="13"/>
        <v>0</v>
      </c>
    </row>
    <row r="542" spans="2:2" x14ac:dyDescent="0.25">
      <c r="B542" s="2">
        <f t="shared" si="13"/>
        <v>0</v>
      </c>
    </row>
    <row r="543" spans="2:2" x14ac:dyDescent="0.25">
      <c r="B543" s="2">
        <f t="shared" si="13"/>
        <v>0</v>
      </c>
    </row>
    <row r="544" spans="2:2" x14ac:dyDescent="0.25">
      <c r="B544" s="2">
        <f t="shared" si="13"/>
        <v>0</v>
      </c>
    </row>
    <row r="545" spans="2:2" x14ac:dyDescent="0.25">
      <c r="B545" s="2">
        <f t="shared" si="13"/>
        <v>0</v>
      </c>
    </row>
    <row r="546" spans="2:2" x14ac:dyDescent="0.25">
      <c r="B546" s="2">
        <f t="shared" si="13"/>
        <v>0</v>
      </c>
    </row>
    <row r="547" spans="2:2" x14ac:dyDescent="0.25">
      <c r="B547" s="2">
        <f t="shared" si="13"/>
        <v>0</v>
      </c>
    </row>
    <row r="548" spans="2:2" x14ac:dyDescent="0.25">
      <c r="B548" s="2">
        <f t="shared" si="13"/>
        <v>0</v>
      </c>
    </row>
    <row r="549" spans="2:2" x14ac:dyDescent="0.25">
      <c r="B549" s="2">
        <f t="shared" si="13"/>
        <v>0</v>
      </c>
    </row>
    <row r="550" spans="2:2" x14ac:dyDescent="0.25">
      <c r="B550" s="2">
        <f t="shared" si="13"/>
        <v>0</v>
      </c>
    </row>
    <row r="551" spans="2:2" x14ac:dyDescent="0.25">
      <c r="B551" s="2">
        <f t="shared" si="13"/>
        <v>0</v>
      </c>
    </row>
    <row r="552" spans="2:2" x14ac:dyDescent="0.25">
      <c r="B552" s="2">
        <f t="shared" si="13"/>
        <v>0</v>
      </c>
    </row>
    <row r="553" spans="2:2" x14ac:dyDescent="0.25">
      <c r="B553" s="2">
        <f t="shared" si="13"/>
        <v>0</v>
      </c>
    </row>
    <row r="555" spans="2:2" x14ac:dyDescent="0.25">
      <c r="B555" s="2">
        <f t="shared" ref="B555:B572" si="14">COUNTIFS(C:C,C555)</f>
        <v>0</v>
      </c>
    </row>
    <row r="556" spans="2:2" x14ac:dyDescent="0.25">
      <c r="B556" s="2">
        <f t="shared" si="14"/>
        <v>0</v>
      </c>
    </row>
    <row r="557" spans="2:2" x14ac:dyDescent="0.25">
      <c r="B557" s="2">
        <f t="shared" si="14"/>
        <v>0</v>
      </c>
    </row>
    <row r="558" spans="2:2" x14ac:dyDescent="0.25">
      <c r="B558" s="2">
        <f t="shared" si="14"/>
        <v>0</v>
      </c>
    </row>
    <row r="559" spans="2:2" x14ac:dyDescent="0.25">
      <c r="B559" s="2">
        <f t="shared" si="14"/>
        <v>0</v>
      </c>
    </row>
    <row r="560" spans="2:2" x14ac:dyDescent="0.25">
      <c r="B560" s="2">
        <f t="shared" si="14"/>
        <v>0</v>
      </c>
    </row>
    <row r="561" spans="2:2" x14ac:dyDescent="0.25">
      <c r="B561" s="2">
        <f t="shared" si="14"/>
        <v>0</v>
      </c>
    </row>
    <row r="562" spans="2:2" x14ac:dyDescent="0.25">
      <c r="B562" s="2">
        <f t="shared" si="14"/>
        <v>0</v>
      </c>
    </row>
    <row r="563" spans="2:2" x14ac:dyDescent="0.25">
      <c r="B563" s="2">
        <f t="shared" si="14"/>
        <v>0</v>
      </c>
    </row>
    <row r="564" spans="2:2" x14ac:dyDescent="0.25">
      <c r="B564" s="2">
        <f t="shared" si="14"/>
        <v>0</v>
      </c>
    </row>
    <row r="565" spans="2:2" x14ac:dyDescent="0.25">
      <c r="B565" s="2">
        <f t="shared" si="14"/>
        <v>0</v>
      </c>
    </row>
    <row r="566" spans="2:2" x14ac:dyDescent="0.25">
      <c r="B566" s="2">
        <f t="shared" si="14"/>
        <v>0</v>
      </c>
    </row>
    <row r="567" spans="2:2" x14ac:dyDescent="0.25">
      <c r="B567" s="2">
        <f t="shared" si="14"/>
        <v>0</v>
      </c>
    </row>
    <row r="568" spans="2:2" x14ac:dyDescent="0.25">
      <c r="B568" s="2">
        <f t="shared" si="14"/>
        <v>0</v>
      </c>
    </row>
    <row r="569" spans="2:2" x14ac:dyDescent="0.25">
      <c r="B569" s="2">
        <f t="shared" si="14"/>
        <v>0</v>
      </c>
    </row>
    <row r="570" spans="2:2" x14ac:dyDescent="0.25">
      <c r="B570" s="2">
        <f t="shared" si="14"/>
        <v>0</v>
      </c>
    </row>
    <row r="571" spans="2:2" x14ac:dyDescent="0.25">
      <c r="B571" s="2">
        <f t="shared" si="14"/>
        <v>0</v>
      </c>
    </row>
    <row r="572" spans="2:2" x14ac:dyDescent="0.25">
      <c r="B572" s="2">
        <f t="shared" si="14"/>
        <v>0</v>
      </c>
    </row>
    <row r="574" spans="2:2" x14ac:dyDescent="0.25">
      <c r="B574" s="2">
        <f t="shared" ref="B574:B591" si="15">COUNTIFS(C:C,C574)</f>
        <v>0</v>
      </c>
    </row>
    <row r="575" spans="2:2" x14ac:dyDescent="0.25">
      <c r="B575" s="2">
        <f t="shared" si="15"/>
        <v>0</v>
      </c>
    </row>
    <row r="576" spans="2:2" x14ac:dyDescent="0.25">
      <c r="B576" s="2">
        <f t="shared" si="15"/>
        <v>0</v>
      </c>
    </row>
    <row r="577" spans="2:2" x14ac:dyDescent="0.25">
      <c r="B577" s="2">
        <f t="shared" si="15"/>
        <v>0</v>
      </c>
    </row>
    <row r="578" spans="2:2" x14ac:dyDescent="0.25">
      <c r="B578" s="2">
        <f t="shared" si="15"/>
        <v>0</v>
      </c>
    </row>
    <row r="579" spans="2:2" x14ac:dyDescent="0.25">
      <c r="B579" s="2">
        <f t="shared" si="15"/>
        <v>0</v>
      </c>
    </row>
    <row r="580" spans="2:2" x14ac:dyDescent="0.25">
      <c r="B580" s="2">
        <f t="shared" si="15"/>
        <v>0</v>
      </c>
    </row>
    <row r="581" spans="2:2" x14ac:dyDescent="0.25">
      <c r="B581" s="2">
        <f t="shared" si="15"/>
        <v>0</v>
      </c>
    </row>
    <row r="582" spans="2:2" x14ac:dyDescent="0.25">
      <c r="B582" s="2">
        <f t="shared" si="15"/>
        <v>0</v>
      </c>
    </row>
    <row r="583" spans="2:2" x14ac:dyDescent="0.25">
      <c r="B583" s="2">
        <f t="shared" si="15"/>
        <v>0</v>
      </c>
    </row>
    <row r="584" spans="2:2" x14ac:dyDescent="0.25">
      <c r="B584" s="2">
        <f t="shared" si="15"/>
        <v>0</v>
      </c>
    </row>
    <row r="585" spans="2:2" x14ac:dyDescent="0.25">
      <c r="B585" s="2">
        <f t="shared" si="15"/>
        <v>0</v>
      </c>
    </row>
    <row r="586" spans="2:2" x14ac:dyDescent="0.25">
      <c r="B586" s="2">
        <f t="shared" si="15"/>
        <v>0</v>
      </c>
    </row>
    <row r="587" spans="2:2" x14ac:dyDescent="0.25">
      <c r="B587" s="2">
        <f t="shared" si="15"/>
        <v>0</v>
      </c>
    </row>
    <row r="588" spans="2:2" x14ac:dyDescent="0.25">
      <c r="B588" s="2">
        <f t="shared" si="15"/>
        <v>0</v>
      </c>
    </row>
    <row r="589" spans="2:2" x14ac:dyDescent="0.25">
      <c r="B589" s="2">
        <f t="shared" si="15"/>
        <v>0</v>
      </c>
    </row>
    <row r="590" spans="2:2" x14ac:dyDescent="0.25">
      <c r="B590" s="2">
        <f t="shared" si="15"/>
        <v>0</v>
      </c>
    </row>
    <row r="591" spans="2:2" x14ac:dyDescent="0.25">
      <c r="B591" s="2">
        <f t="shared" si="15"/>
        <v>0</v>
      </c>
    </row>
    <row r="599" spans="2:2" x14ac:dyDescent="0.25">
      <c r="B599" s="2">
        <f t="shared" ref="B599:B614" si="16">COUNTIFS(C:C,C599)</f>
        <v>0</v>
      </c>
    </row>
    <row r="600" spans="2:2" x14ac:dyDescent="0.25">
      <c r="B600" s="2">
        <f t="shared" si="16"/>
        <v>0</v>
      </c>
    </row>
    <row r="601" spans="2:2" x14ac:dyDescent="0.25">
      <c r="B601" s="2">
        <f t="shared" si="16"/>
        <v>0</v>
      </c>
    </row>
    <row r="602" spans="2:2" x14ac:dyDescent="0.25">
      <c r="B602" s="2">
        <f t="shared" si="16"/>
        <v>0</v>
      </c>
    </row>
    <row r="603" spans="2:2" x14ac:dyDescent="0.25">
      <c r="B603" s="2">
        <f t="shared" si="16"/>
        <v>0</v>
      </c>
    </row>
    <row r="604" spans="2:2" x14ac:dyDescent="0.25">
      <c r="B604" s="2">
        <f t="shared" si="16"/>
        <v>0</v>
      </c>
    </row>
    <row r="605" spans="2:2" x14ac:dyDescent="0.25">
      <c r="B605" s="2">
        <f t="shared" si="16"/>
        <v>0</v>
      </c>
    </row>
    <row r="606" spans="2:2" x14ac:dyDescent="0.25">
      <c r="B606" s="2">
        <f t="shared" si="16"/>
        <v>0</v>
      </c>
    </row>
    <row r="607" spans="2:2" x14ac:dyDescent="0.25">
      <c r="B607" s="2">
        <f t="shared" si="16"/>
        <v>0</v>
      </c>
    </row>
    <row r="608" spans="2:2" x14ac:dyDescent="0.25">
      <c r="B608" s="2">
        <f t="shared" si="16"/>
        <v>0</v>
      </c>
    </row>
    <row r="609" spans="2:2" x14ac:dyDescent="0.25">
      <c r="B609" s="2">
        <f t="shared" si="16"/>
        <v>0</v>
      </c>
    </row>
    <row r="610" spans="2:2" x14ac:dyDescent="0.25">
      <c r="B610" s="2">
        <f t="shared" si="16"/>
        <v>0</v>
      </c>
    </row>
    <row r="611" spans="2:2" x14ac:dyDescent="0.25">
      <c r="B611" s="2">
        <f t="shared" si="16"/>
        <v>0</v>
      </c>
    </row>
    <row r="612" spans="2:2" x14ac:dyDescent="0.25">
      <c r="B612" s="2">
        <f t="shared" si="16"/>
        <v>0</v>
      </c>
    </row>
    <row r="613" spans="2:2" x14ac:dyDescent="0.25">
      <c r="B613" s="2">
        <f t="shared" si="16"/>
        <v>0</v>
      </c>
    </row>
    <row r="614" spans="2:2" x14ac:dyDescent="0.25">
      <c r="B614" s="2">
        <f t="shared" si="16"/>
        <v>0</v>
      </c>
    </row>
    <row r="616" spans="2:2" x14ac:dyDescent="0.25">
      <c r="B616" s="2">
        <f t="shared" ref="B616:B627" si="17">COUNTIFS(C:C,C616)</f>
        <v>0</v>
      </c>
    </row>
    <row r="617" spans="2:2" x14ac:dyDescent="0.25">
      <c r="B617" s="2">
        <f t="shared" si="17"/>
        <v>0</v>
      </c>
    </row>
    <row r="618" spans="2:2" x14ac:dyDescent="0.25">
      <c r="B618" s="2">
        <f t="shared" si="17"/>
        <v>0</v>
      </c>
    </row>
    <row r="619" spans="2:2" x14ac:dyDescent="0.25">
      <c r="B619" s="2">
        <f t="shared" si="17"/>
        <v>0</v>
      </c>
    </row>
    <row r="620" spans="2:2" x14ac:dyDescent="0.25">
      <c r="B620" s="2">
        <f t="shared" si="17"/>
        <v>0</v>
      </c>
    </row>
    <row r="621" spans="2:2" x14ac:dyDescent="0.25">
      <c r="B621" s="2">
        <f t="shared" si="17"/>
        <v>0</v>
      </c>
    </row>
    <row r="622" spans="2:2" x14ac:dyDescent="0.25">
      <c r="B622" s="2">
        <f t="shared" si="17"/>
        <v>0</v>
      </c>
    </row>
    <row r="623" spans="2:2" x14ac:dyDescent="0.25">
      <c r="B623" s="2">
        <f t="shared" si="17"/>
        <v>0</v>
      </c>
    </row>
    <row r="624" spans="2:2" x14ac:dyDescent="0.25">
      <c r="B624" s="2">
        <f t="shared" si="17"/>
        <v>0</v>
      </c>
    </row>
    <row r="625" spans="2:2" x14ac:dyDescent="0.25">
      <c r="B625" s="2">
        <f t="shared" si="17"/>
        <v>0</v>
      </c>
    </row>
    <row r="626" spans="2:2" x14ac:dyDescent="0.25">
      <c r="B626" s="2">
        <f t="shared" si="17"/>
        <v>0</v>
      </c>
    </row>
    <row r="627" spans="2:2" x14ac:dyDescent="0.25">
      <c r="B627" s="2">
        <f t="shared" si="17"/>
        <v>0</v>
      </c>
    </row>
    <row r="629" spans="2:2" x14ac:dyDescent="0.25">
      <c r="B629" s="2">
        <f t="shared" ref="B629:B640" si="18">COUNTIFS(C:C,C629)</f>
        <v>0</v>
      </c>
    </row>
    <row r="630" spans="2:2" x14ac:dyDescent="0.25">
      <c r="B630" s="2">
        <f t="shared" si="18"/>
        <v>0</v>
      </c>
    </row>
    <row r="631" spans="2:2" x14ac:dyDescent="0.25">
      <c r="B631" s="2">
        <f t="shared" si="18"/>
        <v>0</v>
      </c>
    </row>
    <row r="632" spans="2:2" x14ac:dyDescent="0.25">
      <c r="B632" s="2">
        <f t="shared" si="18"/>
        <v>0</v>
      </c>
    </row>
    <row r="633" spans="2:2" x14ac:dyDescent="0.25">
      <c r="B633" s="2">
        <f t="shared" si="18"/>
        <v>0</v>
      </c>
    </row>
    <row r="634" spans="2:2" x14ac:dyDescent="0.25">
      <c r="B634" s="2">
        <f t="shared" si="18"/>
        <v>0</v>
      </c>
    </row>
    <row r="635" spans="2:2" x14ac:dyDescent="0.25">
      <c r="B635" s="2">
        <f t="shared" si="18"/>
        <v>0</v>
      </c>
    </row>
    <row r="636" spans="2:2" x14ac:dyDescent="0.25">
      <c r="B636" s="2">
        <f t="shared" si="18"/>
        <v>0</v>
      </c>
    </row>
    <row r="637" spans="2:2" x14ac:dyDescent="0.25">
      <c r="B637" s="2">
        <f t="shared" si="18"/>
        <v>0</v>
      </c>
    </row>
    <row r="638" spans="2:2" x14ac:dyDescent="0.25">
      <c r="B638" s="2">
        <f t="shared" si="18"/>
        <v>0</v>
      </c>
    </row>
    <row r="639" spans="2:2" x14ac:dyDescent="0.25">
      <c r="B639" s="2">
        <f t="shared" si="18"/>
        <v>0</v>
      </c>
    </row>
    <row r="640" spans="2:2" x14ac:dyDescent="0.25">
      <c r="B640" s="2">
        <f t="shared" si="18"/>
        <v>0</v>
      </c>
    </row>
  </sheetData>
  <hyperlinks>
    <hyperlink ref="C186" r:id="rId1" xr:uid="{78EB7FDF-D055-4B53-A599-3C94CFBBF21D}"/>
    <hyperlink ref="C26" r:id="rId2" xr:uid="{F8643AFD-47B8-4153-8215-CB03EB2CA2A6}"/>
    <hyperlink ref="C7" r:id="rId3" xr:uid="{B63B7FCC-7B79-4156-8BD2-720E93DCF90A}"/>
    <hyperlink ref="C6" r:id="rId4" xr:uid="{2780288D-11BB-44B1-B107-5EEF6742EFB7}"/>
    <hyperlink ref="C27" r:id="rId5" xr:uid="{8F7F565F-CEC4-4467-8580-F516C5841B17}"/>
    <hyperlink ref="C46" r:id="rId6" xr:uid="{9323CF62-6A63-452A-8683-7E446DB905E2}"/>
    <hyperlink ref="C8" r:id="rId7" xr:uid="{66C87120-32D5-4F54-B8F2-5C47DA186E60}"/>
    <hyperlink ref="C9" r:id="rId8" xr:uid="{DEB474FF-AA82-4B1C-BB69-A7D098EED61D}"/>
    <hyperlink ref="C10" r:id="rId9" xr:uid="{89EB7F33-49B6-4AC9-AAF1-D9BAFB030DCB}"/>
    <hyperlink ref="C53" r:id="rId10" xr:uid="{3685E1EF-FA05-44F0-9221-625FBD1D40BF}"/>
    <hyperlink ref="C28" r:id="rId11" xr:uid="{976286F2-0729-4A14-B03D-BE17E99BD81E}"/>
    <hyperlink ref="C29" r:id="rId12" xr:uid="{E5DA9CBC-F7E6-4D73-92F4-9A8FEF4DCBE4}"/>
    <hyperlink ref="C30" r:id="rId13" xr:uid="{0D641B0E-E5BB-4BF1-BAF1-D27B54DBEEA1}"/>
    <hyperlink ref="C32" r:id="rId14" xr:uid="{9292164F-AED0-48BA-B93B-C5024442C156}"/>
    <hyperlink ref="C33" r:id="rId15" xr:uid="{0A57044A-2F84-48E3-82C9-0ACFA3CA5315}"/>
    <hyperlink ref="C34" r:id="rId16" xr:uid="{A1A8C8E7-4F5B-4E66-B9B8-E2DA75D71A75}"/>
    <hyperlink ref="C35" r:id="rId17" xr:uid="{D46A101A-5578-4BAE-8438-0221CD29C357}"/>
    <hyperlink ref="C36" r:id="rId18" xr:uid="{593555C9-029B-42C8-8046-A1FD08B590F3}"/>
    <hyperlink ref="C37" r:id="rId19" xr:uid="{7E892FF5-E025-431C-B399-06504F22634A}"/>
    <hyperlink ref="C38" r:id="rId20" xr:uid="{0E2014BD-CFDC-4C0F-B7F7-58F8348CD06B}"/>
    <hyperlink ref="C39" r:id="rId21" xr:uid="{31574B0F-B8E9-4D9B-B446-1A943DD49F97}"/>
    <hyperlink ref="C40" r:id="rId22" xr:uid="{117C2883-7BBC-4E62-9CFA-F936113C3246}"/>
    <hyperlink ref="C41" r:id="rId23" xr:uid="{79F6E286-7C61-4A20-9160-E79275F2C104}"/>
    <hyperlink ref="C42" r:id="rId24" xr:uid="{B42DDF98-7D60-41A5-BF13-8170C26E5422}"/>
    <hyperlink ref="C43" r:id="rId25" xr:uid="{3BB6F258-FB8E-474E-9D0D-F3AD903CF1E2}"/>
    <hyperlink ref="C44" r:id="rId26" xr:uid="{0F4F5A0B-AC1E-4264-A101-9DCFF2DE3193}"/>
    <hyperlink ref="C45" r:id="rId27" xr:uid="{7412C916-A15C-4266-9704-1260B5458C3B}"/>
    <hyperlink ref="C47" r:id="rId28" xr:uid="{4F2B87F1-07E0-428C-954A-24BFE312CC18}"/>
    <hyperlink ref="C48" r:id="rId29" xr:uid="{66182725-8D6D-4816-8B5B-3D76579F8015}"/>
    <hyperlink ref="C49" r:id="rId30" xr:uid="{B1E40F2B-886C-4681-AE9E-1D545D40CE5B}"/>
    <hyperlink ref="C50" r:id="rId31" xr:uid="{6D636982-0F5A-473B-AD96-0A79920EDE01}"/>
    <hyperlink ref="C51" r:id="rId32" xr:uid="{B586B165-D0BE-4284-A532-0254261341FF}"/>
    <hyperlink ref="C52" r:id="rId33" xr:uid="{305ACFE3-1947-407B-A3D0-5E904F4BE8F1}"/>
    <hyperlink ref="C54" r:id="rId34" xr:uid="{DA6E187A-93C6-4156-8753-28DAA683A2A3}"/>
    <hyperlink ref="C55" r:id="rId35" xr:uid="{283B51CB-9FC4-4FC2-89BF-0B200367937F}"/>
    <hyperlink ref="C56" r:id="rId36" xr:uid="{6DEC2A5B-74F1-4F42-B25D-47E3E090939E}"/>
    <hyperlink ref="C13" r:id="rId37" xr:uid="{D7B1B15E-837E-4FDA-AD89-FA33D41AEFA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C15B-389C-4C89-8462-9E9ED90154CE}">
  <sheetPr>
    <tabColor theme="5" tint="-0.249977111117893"/>
  </sheetPr>
  <dimension ref="A1"/>
  <sheetViews>
    <sheetView workbookViewId="0">
      <selection activeCell="I36" sqref="I36"/>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13748-67D7-4406-9E77-CBD56DB3A50E}">
  <sheetPr>
    <tabColor theme="5" tint="0.59999389629810485"/>
  </sheetPr>
  <dimension ref="A2:AH75"/>
  <sheetViews>
    <sheetView zoomScale="90" zoomScaleNormal="90" workbookViewId="0">
      <pane xSplit="2" ySplit="3" topLeftCell="C34" activePane="bottomRight" state="frozen"/>
      <selection pane="topRight" activeCell="C1" sqref="C1"/>
      <selection pane="bottomLeft" activeCell="A4" sqref="A4"/>
      <selection pane="bottomRight" activeCell="D71" sqref="D71"/>
    </sheetView>
  </sheetViews>
  <sheetFormatPr defaultColWidth="0" defaultRowHeight="15" x14ac:dyDescent="0.25"/>
  <cols>
    <col min="1" max="1" width="2.7109375" customWidth="1"/>
    <col min="2" max="2" width="17.7109375" bestFit="1" customWidth="1"/>
    <col min="3" max="3" width="2.7109375" customWidth="1"/>
    <col min="4" max="4" width="61" style="2" bestFit="1" customWidth="1"/>
    <col min="5" max="5" width="47.28515625" style="2" bestFit="1" customWidth="1"/>
    <col min="6" max="6" width="10" style="2" customWidth="1"/>
    <col min="7" max="8" width="2.7109375" customWidth="1"/>
    <col min="9" max="9" width="53.85546875" bestFit="1" customWidth="1"/>
    <col min="10" max="10" width="45.7109375" customWidth="1"/>
    <col min="11" max="11" width="8.85546875" bestFit="1" customWidth="1"/>
    <col min="12" max="13" width="2.7109375" customWidth="1"/>
    <col min="14" max="14" width="45.7109375" customWidth="1"/>
    <col min="15" max="15" width="2.7109375" customWidth="1"/>
    <col min="16" max="16" width="2.7109375" hidden="1" customWidth="1"/>
    <col min="17" max="17" width="9.140625" hidden="1" customWidth="1"/>
    <col min="18" max="18" width="68.5703125" hidden="1" customWidth="1"/>
    <col min="19" max="20" width="9.140625" hidden="1" customWidth="1"/>
    <col min="21" max="21" width="38.85546875" hidden="1" customWidth="1"/>
    <col min="22" max="22" width="2.7109375" hidden="1" customWidth="1"/>
    <col min="23" max="23" width="48.140625" hidden="1" customWidth="1"/>
    <col min="24" max="24" width="2.7109375" hidden="1" customWidth="1"/>
    <col min="25" max="25" width="54.5703125" hidden="1" customWidth="1"/>
    <col min="26" max="26" width="2.7109375" hidden="1" customWidth="1"/>
    <col min="27" max="27" width="9.140625" hidden="1" customWidth="1"/>
    <col min="28" max="28" width="2.7109375" style="1" hidden="1" customWidth="1"/>
    <col min="29" max="29" width="9.140625" hidden="1" customWidth="1"/>
    <col min="30" max="30" width="2.7109375" hidden="1" customWidth="1"/>
    <col min="31" max="31" width="0" hidden="1" customWidth="1"/>
    <col min="32" max="32" width="2.7109375" hidden="1" customWidth="1"/>
    <col min="33" max="34" width="0" hidden="1" customWidth="1"/>
    <col min="35" max="16384" width="9.140625" hidden="1"/>
  </cols>
  <sheetData>
    <row r="2" spans="1:31" s="9" customFormat="1" x14ac:dyDescent="0.25">
      <c r="C2" s="12"/>
      <c r="D2" s="12" t="s">
        <v>5434</v>
      </c>
      <c r="E2" s="12"/>
      <c r="F2" s="12"/>
      <c r="G2" s="13"/>
      <c r="H2" s="12"/>
      <c r="I2" s="12" t="s">
        <v>5415</v>
      </c>
      <c r="J2" s="12"/>
      <c r="K2" s="12"/>
      <c r="L2" s="13"/>
      <c r="M2" s="12"/>
      <c r="N2" s="12" t="s">
        <v>322</v>
      </c>
      <c r="O2" s="13"/>
      <c r="U2" s="5" t="s">
        <v>227</v>
      </c>
      <c r="V2" s="10"/>
      <c r="W2" s="5" t="s">
        <v>226</v>
      </c>
      <c r="X2" s="10"/>
      <c r="Y2" s="5" t="s">
        <v>225</v>
      </c>
      <c r="Z2" s="10"/>
      <c r="AA2" s="5"/>
      <c r="AB2" s="11"/>
      <c r="AC2" s="5"/>
      <c r="AD2" s="10"/>
      <c r="AE2" s="5"/>
    </row>
    <row r="3" spans="1:31" s="9" customFormat="1" x14ac:dyDescent="0.25">
      <c r="A3" s="100"/>
      <c r="B3" s="100"/>
      <c r="C3" s="12"/>
      <c r="D3" s="12" t="s">
        <v>319</v>
      </c>
      <c r="E3" s="12" t="s">
        <v>6113</v>
      </c>
      <c r="F3" s="12" t="s">
        <v>6637</v>
      </c>
      <c r="G3" s="13"/>
      <c r="H3" s="12"/>
      <c r="I3" s="12" t="s">
        <v>319</v>
      </c>
      <c r="J3" s="12" t="s">
        <v>6113</v>
      </c>
      <c r="K3" s="12" t="s">
        <v>6637</v>
      </c>
      <c r="L3" s="13"/>
      <c r="M3" s="12"/>
      <c r="N3" s="12"/>
      <c r="O3" s="13"/>
      <c r="U3" s="5"/>
      <c r="V3" s="10"/>
      <c r="W3" s="5"/>
      <c r="X3" s="10"/>
      <c r="Y3" s="5"/>
      <c r="Z3" s="10"/>
      <c r="AA3" s="5"/>
      <c r="AB3" s="11"/>
      <c r="AC3" s="5"/>
      <c r="AD3" s="10"/>
      <c r="AE3" s="5"/>
    </row>
    <row r="4" spans="1:31" x14ac:dyDescent="0.25">
      <c r="E4"/>
      <c r="F4"/>
      <c r="U4" s="7"/>
      <c r="V4" s="8"/>
      <c r="W4" s="7"/>
      <c r="X4" s="8"/>
      <c r="Y4" s="7"/>
      <c r="Z4" s="8"/>
      <c r="AA4" s="7"/>
      <c r="AB4" s="8"/>
      <c r="AC4" s="7"/>
      <c r="AD4" s="8"/>
      <c r="AE4" s="7"/>
    </row>
    <row r="5" spans="1:31" x14ac:dyDescent="0.25">
      <c r="B5" s="5"/>
      <c r="E5"/>
      <c r="F5"/>
      <c r="R5" s="4"/>
      <c r="U5" s="6"/>
      <c r="W5" s="6" t="s">
        <v>224</v>
      </c>
      <c r="Y5" s="6" t="s">
        <v>224</v>
      </c>
      <c r="AA5" s="6"/>
      <c r="AC5" s="6"/>
      <c r="AE5" s="6"/>
    </row>
    <row r="6" spans="1:31" x14ac:dyDescent="0.25">
      <c r="B6" s="1">
        <v>5</v>
      </c>
      <c r="C6" s="2">
        <f t="shared" ref="C6:C23" si="0">COUNTIFS(D:D,D6)</f>
        <v>1</v>
      </c>
      <c r="D6" s="79" t="s">
        <v>5990</v>
      </c>
      <c r="E6" s="77" t="s">
        <v>6952</v>
      </c>
      <c r="F6" s="77"/>
      <c r="H6" s="2">
        <f t="shared" ref="H6:H23" si="1">COUNTIFS(I:I,I6)</f>
        <v>1</v>
      </c>
      <c r="I6" s="77" t="s">
        <v>6214</v>
      </c>
      <c r="J6" s="77" t="s">
        <v>6933</v>
      </c>
      <c r="K6" s="77" t="s">
        <v>6545</v>
      </c>
      <c r="M6" s="2">
        <f t="shared" ref="M6:M23" si="2">COUNTIFS(N:N,N6)</f>
        <v>0</v>
      </c>
      <c r="N6" s="4"/>
      <c r="Q6" s="4"/>
      <c r="R6" s="4"/>
      <c r="W6" s="4" t="s">
        <v>222</v>
      </c>
      <c r="Y6" s="4" t="s">
        <v>222</v>
      </c>
    </row>
    <row r="7" spans="1:31" x14ac:dyDescent="0.25">
      <c r="C7" s="2">
        <f t="shared" si="0"/>
        <v>1</v>
      </c>
      <c r="D7" s="79" t="s">
        <v>5994</v>
      </c>
      <c r="E7" s="77" t="s">
        <v>6953</v>
      </c>
      <c r="F7" s="77"/>
      <c r="H7" s="2">
        <f t="shared" si="1"/>
        <v>1</v>
      </c>
      <c r="I7" s="79" t="s">
        <v>6404</v>
      </c>
      <c r="J7" s="77" t="s">
        <v>6934</v>
      </c>
      <c r="K7" s="77" t="s">
        <v>6498</v>
      </c>
      <c r="M7" s="2">
        <f t="shared" si="2"/>
        <v>1</v>
      </c>
      <c r="N7" t="s">
        <v>6243</v>
      </c>
      <c r="Q7" s="2"/>
      <c r="R7" s="4"/>
      <c r="W7" s="4" t="s">
        <v>206</v>
      </c>
      <c r="Y7" s="4" t="s">
        <v>205</v>
      </c>
    </row>
    <row r="8" spans="1:31" x14ac:dyDescent="0.25">
      <c r="C8" s="2">
        <f t="shared" si="0"/>
        <v>1</v>
      </c>
      <c r="D8" s="79" t="s">
        <v>5995</v>
      </c>
      <c r="E8" s="77" t="s">
        <v>6958</v>
      </c>
      <c r="F8" s="77"/>
      <c r="H8" s="2">
        <f t="shared" si="1"/>
        <v>1</v>
      </c>
      <c r="I8" s="79" t="s">
        <v>6405</v>
      </c>
      <c r="J8" s="77" t="s">
        <v>6935</v>
      </c>
      <c r="K8" s="77" t="s">
        <v>6498</v>
      </c>
      <c r="M8" s="2">
        <f t="shared" si="2"/>
        <v>1</v>
      </c>
      <c r="N8" s="4" t="s">
        <v>6246</v>
      </c>
      <c r="Q8" s="2"/>
      <c r="R8" s="4"/>
      <c r="W8" s="4" t="s">
        <v>204</v>
      </c>
      <c r="Y8" s="4" t="s">
        <v>197</v>
      </c>
    </row>
    <row r="9" spans="1:31" x14ac:dyDescent="0.25">
      <c r="C9" s="2">
        <f t="shared" si="0"/>
        <v>1</v>
      </c>
      <c r="D9" s="79" t="s">
        <v>5996</v>
      </c>
      <c r="E9" s="77" t="s">
        <v>6959</v>
      </c>
      <c r="F9" s="77"/>
      <c r="H9" s="2">
        <f t="shared" si="1"/>
        <v>1</v>
      </c>
      <c r="I9" s="79" t="s">
        <v>6530</v>
      </c>
      <c r="J9" s="77" t="s">
        <v>6531</v>
      </c>
      <c r="K9" s="77" t="s">
        <v>6537</v>
      </c>
      <c r="M9" s="2">
        <f t="shared" si="2"/>
        <v>0</v>
      </c>
      <c r="Q9" s="2"/>
      <c r="R9" s="4"/>
      <c r="W9" s="4" t="s">
        <v>203</v>
      </c>
      <c r="Y9" s="4" t="s">
        <v>202</v>
      </c>
    </row>
    <row r="10" spans="1:31" x14ac:dyDescent="0.25">
      <c r="C10" s="2">
        <f t="shared" si="0"/>
        <v>1</v>
      </c>
      <c r="D10" s="79" t="s">
        <v>7339</v>
      </c>
      <c r="E10" s="77" t="s">
        <v>7340</v>
      </c>
      <c r="F10" s="77"/>
      <c r="H10" s="2">
        <f t="shared" si="1"/>
        <v>1</v>
      </c>
      <c r="I10" s="79" t="s">
        <v>6533</v>
      </c>
      <c r="J10" s="77" t="s">
        <v>6534</v>
      </c>
      <c r="K10" s="77" t="s">
        <v>6537</v>
      </c>
      <c r="M10" s="2">
        <f t="shared" si="2"/>
        <v>0</v>
      </c>
      <c r="Q10" s="2"/>
      <c r="R10" s="4"/>
      <c r="W10" s="4" t="s">
        <v>203</v>
      </c>
      <c r="Y10" s="4" t="s">
        <v>202</v>
      </c>
    </row>
    <row r="11" spans="1:31" x14ac:dyDescent="0.25">
      <c r="C11" s="2">
        <f t="shared" si="0"/>
        <v>0</v>
      </c>
      <c r="D11" s="79"/>
      <c r="E11" s="77"/>
      <c r="F11" s="77"/>
      <c r="H11" s="2">
        <f t="shared" si="1"/>
        <v>1</v>
      </c>
      <c r="I11" s="79" t="s">
        <v>6548</v>
      </c>
      <c r="J11" s="77" t="s">
        <v>6549</v>
      </c>
      <c r="K11" s="77" t="s">
        <v>6537</v>
      </c>
      <c r="M11" s="2">
        <f t="shared" si="2"/>
        <v>0</v>
      </c>
      <c r="Q11" s="2"/>
      <c r="R11" s="4"/>
      <c r="W11" s="4" t="s">
        <v>203</v>
      </c>
      <c r="Y11" s="4" t="s">
        <v>202</v>
      </c>
    </row>
    <row r="12" spans="1:31" x14ac:dyDescent="0.25">
      <c r="C12" s="2">
        <f t="shared" si="0"/>
        <v>1</v>
      </c>
      <c r="D12" s="79" t="s">
        <v>6162</v>
      </c>
      <c r="E12" s="77" t="s">
        <v>6774</v>
      </c>
      <c r="F12" s="77"/>
      <c r="H12" s="2">
        <f t="shared" si="1"/>
        <v>1</v>
      </c>
      <c r="I12" s="79" t="s">
        <v>6550</v>
      </c>
      <c r="J12" s="77" t="s">
        <v>6551</v>
      </c>
      <c r="K12" s="77" t="s">
        <v>6537</v>
      </c>
      <c r="M12" s="2">
        <f t="shared" si="2"/>
        <v>0</v>
      </c>
      <c r="Q12" s="2"/>
      <c r="R12" s="4"/>
      <c r="W12" s="4" t="s">
        <v>203</v>
      </c>
      <c r="Y12" s="4" t="s">
        <v>202</v>
      </c>
    </row>
    <row r="13" spans="1:31" x14ac:dyDescent="0.25">
      <c r="C13" s="2">
        <f t="shared" si="0"/>
        <v>1</v>
      </c>
      <c r="D13" s="79" t="s">
        <v>6439</v>
      </c>
      <c r="E13" s="77"/>
      <c r="F13" s="77"/>
      <c r="H13" s="2">
        <f t="shared" si="1"/>
        <v>0</v>
      </c>
      <c r="I13" s="77"/>
      <c r="J13" s="77"/>
      <c r="K13" s="77"/>
      <c r="M13" s="2">
        <f t="shared" si="2"/>
        <v>0</v>
      </c>
      <c r="Q13" s="2"/>
      <c r="R13" s="4"/>
      <c r="W13" s="4" t="s">
        <v>203</v>
      </c>
      <c r="Y13" s="4" t="s">
        <v>202</v>
      </c>
    </row>
    <row r="14" spans="1:31" x14ac:dyDescent="0.25">
      <c r="C14" s="2">
        <f t="shared" si="0"/>
        <v>1</v>
      </c>
      <c r="D14" s="79" t="s">
        <v>6440</v>
      </c>
      <c r="E14" s="77" t="s">
        <v>6957</v>
      </c>
      <c r="F14" s="77"/>
      <c r="H14" s="2">
        <f t="shared" si="1"/>
        <v>0</v>
      </c>
      <c r="I14" s="77"/>
      <c r="J14" s="77"/>
      <c r="K14" s="77"/>
      <c r="M14" s="2">
        <f t="shared" si="2"/>
        <v>0</v>
      </c>
      <c r="Q14" s="2"/>
      <c r="R14" s="4"/>
      <c r="W14" s="4" t="s">
        <v>203</v>
      </c>
      <c r="Y14" s="4" t="s">
        <v>202</v>
      </c>
    </row>
    <row r="15" spans="1:31" x14ac:dyDescent="0.25">
      <c r="C15" s="2">
        <f t="shared" si="0"/>
        <v>1</v>
      </c>
      <c r="D15" s="79" t="s">
        <v>6441</v>
      </c>
      <c r="E15" s="77" t="s">
        <v>6956</v>
      </c>
      <c r="F15" s="77"/>
      <c r="H15" s="2">
        <f t="shared" si="1"/>
        <v>0</v>
      </c>
      <c r="I15" s="77"/>
      <c r="J15" s="77"/>
      <c r="K15" s="77"/>
      <c r="M15" s="2">
        <f t="shared" si="2"/>
        <v>0</v>
      </c>
      <c r="Q15" s="2"/>
      <c r="R15" s="4"/>
      <c r="W15" s="4" t="s">
        <v>203</v>
      </c>
      <c r="Y15" s="4" t="s">
        <v>202</v>
      </c>
    </row>
    <row r="16" spans="1:31" x14ac:dyDescent="0.25">
      <c r="C16" s="2">
        <f t="shared" si="0"/>
        <v>1</v>
      </c>
      <c r="D16" s="77" t="s">
        <v>6528</v>
      </c>
      <c r="E16" s="77" t="s">
        <v>6529</v>
      </c>
      <c r="F16" s="77"/>
      <c r="H16" s="2">
        <f t="shared" si="1"/>
        <v>0</v>
      </c>
      <c r="I16" s="77"/>
      <c r="J16" s="77"/>
      <c r="K16" s="77"/>
      <c r="M16" s="2">
        <f t="shared" si="2"/>
        <v>0</v>
      </c>
      <c r="Q16" s="2"/>
      <c r="R16" s="4"/>
      <c r="W16" s="4" t="s">
        <v>203</v>
      </c>
      <c r="Y16" s="4" t="s">
        <v>202</v>
      </c>
    </row>
    <row r="17" spans="2:25" x14ac:dyDescent="0.25">
      <c r="C17" s="2">
        <f t="shared" si="0"/>
        <v>1</v>
      </c>
      <c r="D17" s="77" t="s">
        <v>6751</v>
      </c>
      <c r="E17" s="77" t="s">
        <v>6752</v>
      </c>
      <c r="F17" s="77"/>
      <c r="H17" s="2">
        <f t="shared" si="1"/>
        <v>0</v>
      </c>
      <c r="I17" s="77"/>
      <c r="J17" s="77"/>
      <c r="K17" s="77"/>
      <c r="M17" s="2">
        <f t="shared" si="2"/>
        <v>0</v>
      </c>
      <c r="Q17" s="2"/>
      <c r="R17" s="4"/>
      <c r="W17" s="4" t="s">
        <v>203</v>
      </c>
      <c r="Y17" s="4" t="s">
        <v>202</v>
      </c>
    </row>
    <row r="18" spans="2:25" x14ac:dyDescent="0.25">
      <c r="C18" s="2">
        <f t="shared" si="0"/>
        <v>1</v>
      </c>
      <c r="D18" s="77" t="s">
        <v>7357</v>
      </c>
      <c r="E18" s="77" t="s">
        <v>7358</v>
      </c>
      <c r="F18" s="77"/>
      <c r="H18" s="2">
        <f t="shared" si="1"/>
        <v>0</v>
      </c>
      <c r="M18" s="2">
        <f t="shared" si="2"/>
        <v>0</v>
      </c>
      <c r="Q18" s="2"/>
      <c r="R18" s="4"/>
      <c r="W18" s="4" t="s">
        <v>203</v>
      </c>
      <c r="Y18" s="4" t="s">
        <v>202</v>
      </c>
    </row>
    <row r="19" spans="2:25" x14ac:dyDescent="0.25">
      <c r="C19" s="2">
        <f t="shared" si="0"/>
        <v>0</v>
      </c>
      <c r="D19"/>
      <c r="E19"/>
      <c r="F19"/>
      <c r="H19" s="2">
        <f t="shared" si="1"/>
        <v>0</v>
      </c>
      <c r="M19" s="2">
        <f t="shared" si="2"/>
        <v>0</v>
      </c>
      <c r="Q19" s="2"/>
      <c r="R19" s="4"/>
      <c r="W19" s="4" t="s">
        <v>203</v>
      </c>
      <c r="Y19" s="4" t="s">
        <v>202</v>
      </c>
    </row>
    <row r="20" spans="2:25" x14ac:dyDescent="0.25">
      <c r="C20" s="2">
        <f t="shared" si="0"/>
        <v>0</v>
      </c>
      <c r="D20"/>
      <c r="E20"/>
      <c r="F20"/>
      <c r="H20" s="2">
        <f t="shared" si="1"/>
        <v>0</v>
      </c>
      <c r="M20" s="2">
        <f t="shared" si="2"/>
        <v>0</v>
      </c>
      <c r="Q20" s="2"/>
      <c r="R20" s="4"/>
      <c r="W20" s="4" t="s">
        <v>203</v>
      </c>
      <c r="Y20" s="4" t="s">
        <v>202</v>
      </c>
    </row>
    <row r="21" spans="2:25" x14ac:dyDescent="0.25">
      <c r="C21" s="2">
        <f t="shared" si="0"/>
        <v>0</v>
      </c>
      <c r="D21"/>
      <c r="E21"/>
      <c r="F21"/>
      <c r="H21" s="2">
        <f t="shared" si="1"/>
        <v>0</v>
      </c>
      <c r="M21" s="2">
        <f t="shared" si="2"/>
        <v>0</v>
      </c>
      <c r="Q21" s="2"/>
      <c r="R21" s="4"/>
      <c r="W21" s="4" t="s">
        <v>203</v>
      </c>
      <c r="Y21" s="4" t="s">
        <v>202</v>
      </c>
    </row>
    <row r="22" spans="2:25" x14ac:dyDescent="0.25">
      <c r="C22" s="2">
        <f t="shared" si="0"/>
        <v>0</v>
      </c>
      <c r="D22"/>
      <c r="E22"/>
      <c r="F22"/>
      <c r="H22" s="2">
        <f t="shared" si="1"/>
        <v>0</v>
      </c>
      <c r="M22" s="2">
        <f t="shared" si="2"/>
        <v>0</v>
      </c>
      <c r="Q22" s="2"/>
      <c r="R22" s="4"/>
      <c r="W22" s="4" t="s">
        <v>203</v>
      </c>
      <c r="Y22" s="4" t="s">
        <v>202</v>
      </c>
    </row>
    <row r="23" spans="2:25" x14ac:dyDescent="0.25">
      <c r="C23" s="2">
        <f t="shared" si="0"/>
        <v>0</v>
      </c>
      <c r="D23"/>
      <c r="E23"/>
      <c r="F23"/>
      <c r="H23" s="2">
        <f t="shared" si="1"/>
        <v>0</v>
      </c>
      <c r="M23" s="2">
        <f t="shared" si="2"/>
        <v>0</v>
      </c>
      <c r="Q23" s="2"/>
      <c r="R23" s="4"/>
      <c r="W23" s="4" t="s">
        <v>203</v>
      </c>
      <c r="Y23" s="4" t="s">
        <v>202</v>
      </c>
    </row>
    <row r="24" spans="2:25" x14ac:dyDescent="0.25">
      <c r="C24" s="2"/>
      <c r="D24"/>
      <c r="E24"/>
      <c r="F24"/>
      <c r="H24" s="2"/>
      <c r="M24" s="2"/>
      <c r="Q24" s="2"/>
      <c r="R24" s="4"/>
      <c r="W24" s="4" t="s">
        <v>185</v>
      </c>
      <c r="Y24" s="4" t="s">
        <v>201</v>
      </c>
    </row>
    <row r="25" spans="2:25" x14ac:dyDescent="0.25">
      <c r="B25" s="1">
        <v>4</v>
      </c>
      <c r="C25" s="2">
        <f t="shared" ref="C25:C51" si="3">COUNTIFS(D:D,D25)</f>
        <v>1</v>
      </c>
      <c r="D25" s="77" t="s">
        <v>5991</v>
      </c>
      <c r="E25" s="77" t="s">
        <v>6954</v>
      </c>
      <c r="F25" s="77"/>
      <c r="H25" s="2">
        <f t="shared" ref="H25:H51" si="4">COUNTIFS(I:I,I25)</f>
        <v>1</v>
      </c>
      <c r="I25" s="79" t="s">
        <v>6208</v>
      </c>
      <c r="J25" s="77" t="s">
        <v>6544</v>
      </c>
      <c r="K25" s="77" t="s">
        <v>6545</v>
      </c>
      <c r="M25" s="2">
        <f t="shared" ref="M25:M51" si="5">COUNTIFS(N:N,N25)</f>
        <v>1</v>
      </c>
      <c r="N25" s="4" t="s">
        <v>6237</v>
      </c>
      <c r="Q25" s="2"/>
      <c r="U25" s="4"/>
      <c r="W25" s="4"/>
    </row>
    <row r="26" spans="2:25" x14ac:dyDescent="0.25">
      <c r="C26" s="2">
        <f t="shared" si="3"/>
        <v>1</v>
      </c>
      <c r="D26" s="79" t="s">
        <v>5992</v>
      </c>
      <c r="E26" s="77" t="s">
        <v>6955</v>
      </c>
      <c r="F26" s="77"/>
      <c r="H26" s="2">
        <f t="shared" si="4"/>
        <v>1</v>
      </c>
      <c r="I26" s="79" t="s">
        <v>6936</v>
      </c>
      <c r="J26" s="77" t="s">
        <v>6937</v>
      </c>
      <c r="K26" s="77" t="s">
        <v>6498</v>
      </c>
      <c r="M26" s="2">
        <f t="shared" si="5"/>
        <v>1</v>
      </c>
      <c r="N26" s="4" t="s">
        <v>6238</v>
      </c>
      <c r="Q26" s="2"/>
      <c r="U26" s="4"/>
      <c r="W26" s="4"/>
    </row>
    <row r="27" spans="2:25" x14ac:dyDescent="0.25">
      <c r="C27" s="2">
        <f t="shared" si="3"/>
        <v>1</v>
      </c>
      <c r="D27" s="79" t="s">
        <v>5993</v>
      </c>
      <c r="E27" s="77" t="s">
        <v>6755</v>
      </c>
      <c r="F27" s="77"/>
      <c r="H27" s="2">
        <f t="shared" si="4"/>
        <v>1</v>
      </c>
      <c r="I27" s="79" t="s">
        <v>6210</v>
      </c>
      <c r="J27" s="77" t="s">
        <v>6938</v>
      </c>
      <c r="K27" s="77" t="s">
        <v>6545</v>
      </c>
      <c r="M27" s="2">
        <f t="shared" si="5"/>
        <v>1</v>
      </c>
      <c r="N27" t="s">
        <v>6242</v>
      </c>
      <c r="Q27" s="2"/>
      <c r="U27" s="4"/>
      <c r="W27" s="4"/>
    </row>
    <row r="28" spans="2:25" x14ac:dyDescent="0.25">
      <c r="C28" s="2">
        <f t="shared" si="3"/>
        <v>1</v>
      </c>
      <c r="D28" s="79" t="s">
        <v>5997</v>
      </c>
      <c r="E28" s="77" t="s">
        <v>6960</v>
      </c>
      <c r="F28" s="77"/>
      <c r="H28" s="2">
        <f t="shared" si="4"/>
        <v>1</v>
      </c>
      <c r="I28" s="77" t="s">
        <v>6213</v>
      </c>
      <c r="J28" s="77" t="s">
        <v>6941</v>
      </c>
      <c r="K28" s="77" t="s">
        <v>6498</v>
      </c>
      <c r="M28" s="2">
        <f t="shared" si="5"/>
        <v>1</v>
      </c>
      <c r="N28" s="4" t="s">
        <v>6244</v>
      </c>
      <c r="Q28" s="2"/>
      <c r="U28" s="4"/>
      <c r="W28" s="4"/>
    </row>
    <row r="29" spans="2:25" x14ac:dyDescent="0.25">
      <c r="C29" s="2">
        <f t="shared" si="3"/>
        <v>1</v>
      </c>
      <c r="D29" s="79" t="s">
        <v>5998</v>
      </c>
      <c r="E29" s="77" t="s">
        <v>6965</v>
      </c>
      <c r="F29" s="77"/>
      <c r="H29" s="2">
        <f t="shared" si="4"/>
        <v>0</v>
      </c>
      <c r="I29" s="77"/>
      <c r="J29" s="77"/>
      <c r="K29" s="77"/>
      <c r="M29" s="2">
        <f t="shared" si="5"/>
        <v>1</v>
      </c>
      <c r="N29" s="4" t="s">
        <v>6245</v>
      </c>
      <c r="Q29" s="2"/>
      <c r="U29" s="4"/>
      <c r="W29" s="4"/>
    </row>
    <row r="30" spans="2:25" x14ac:dyDescent="0.25">
      <c r="C30" s="2">
        <f t="shared" si="3"/>
        <v>1</v>
      </c>
      <c r="D30" s="79" t="s">
        <v>5999</v>
      </c>
      <c r="E30" s="77" t="s">
        <v>6961</v>
      </c>
      <c r="F30" s="77"/>
      <c r="H30" s="2">
        <f t="shared" si="4"/>
        <v>0</v>
      </c>
      <c r="I30" s="77"/>
      <c r="J30" s="77"/>
      <c r="K30" s="77"/>
      <c r="M30" s="2">
        <f t="shared" si="5"/>
        <v>0</v>
      </c>
      <c r="Q30" s="2"/>
      <c r="U30" s="4"/>
      <c r="W30" s="4"/>
    </row>
    <row r="31" spans="2:25" x14ac:dyDescent="0.25">
      <c r="C31" s="2">
        <f t="shared" si="3"/>
        <v>1</v>
      </c>
      <c r="D31" s="79" t="s">
        <v>6000</v>
      </c>
      <c r="E31" s="77" t="s">
        <v>6964</v>
      </c>
      <c r="F31" s="77"/>
      <c r="H31" s="2">
        <f t="shared" si="4"/>
        <v>0</v>
      </c>
      <c r="I31" s="77"/>
      <c r="J31" s="77"/>
      <c r="K31" s="77"/>
      <c r="M31" s="2">
        <f t="shared" si="5"/>
        <v>0</v>
      </c>
      <c r="Q31" s="2"/>
      <c r="U31" s="4"/>
      <c r="W31" s="4"/>
    </row>
    <row r="32" spans="2:25" x14ac:dyDescent="0.25">
      <c r="C32" s="2">
        <f t="shared" si="3"/>
        <v>1</v>
      </c>
      <c r="D32" s="77" t="s">
        <v>6963</v>
      </c>
      <c r="E32" s="77" t="s">
        <v>6962</v>
      </c>
      <c r="F32" s="77"/>
      <c r="H32" s="2">
        <f t="shared" si="4"/>
        <v>1</v>
      </c>
      <c r="I32" s="79" t="s">
        <v>6216</v>
      </c>
      <c r="J32" s="77" t="s">
        <v>6942</v>
      </c>
      <c r="K32" s="77" t="s">
        <v>6545</v>
      </c>
      <c r="M32" s="2">
        <f t="shared" si="5"/>
        <v>0</v>
      </c>
      <c r="Q32" s="2"/>
      <c r="U32" s="4"/>
      <c r="W32" s="4"/>
    </row>
    <row r="33" spans="3:23" x14ac:dyDescent="0.25">
      <c r="C33" s="2">
        <f t="shared" si="3"/>
        <v>1</v>
      </c>
      <c r="D33" s="79" t="s">
        <v>6003</v>
      </c>
      <c r="E33" s="77" t="s">
        <v>6966</v>
      </c>
      <c r="F33" s="77"/>
      <c r="H33" s="2">
        <f t="shared" si="4"/>
        <v>1</v>
      </c>
      <c r="I33" s="77" t="s">
        <v>6239</v>
      </c>
      <c r="J33" s="77" t="s">
        <v>6943</v>
      </c>
      <c r="K33" s="77" t="s">
        <v>6498</v>
      </c>
      <c r="M33" s="2">
        <f t="shared" si="5"/>
        <v>0</v>
      </c>
      <c r="Q33" s="2"/>
      <c r="U33" s="4"/>
      <c r="W33" s="4"/>
    </row>
    <row r="34" spans="3:23" x14ac:dyDescent="0.25">
      <c r="C34" s="2">
        <f t="shared" si="3"/>
        <v>1</v>
      </c>
      <c r="D34" s="79" t="s">
        <v>6004</v>
      </c>
      <c r="E34" s="77" t="s">
        <v>6967</v>
      </c>
      <c r="F34" s="77"/>
      <c r="H34" s="2">
        <f t="shared" si="4"/>
        <v>1</v>
      </c>
      <c r="I34" s="77" t="s">
        <v>6240</v>
      </c>
      <c r="J34" s="77" t="s">
        <v>6944</v>
      </c>
      <c r="K34" s="77" t="s">
        <v>6498</v>
      </c>
      <c r="M34" s="2">
        <f t="shared" si="5"/>
        <v>0</v>
      </c>
      <c r="Q34" s="2"/>
      <c r="U34" s="4"/>
      <c r="W34" s="4"/>
    </row>
    <row r="35" spans="3:23" x14ac:dyDescent="0.25">
      <c r="C35" s="2">
        <f t="shared" si="3"/>
        <v>1</v>
      </c>
      <c r="D35" s="77" t="s">
        <v>6754</v>
      </c>
      <c r="E35" s="77" t="s">
        <v>6753</v>
      </c>
      <c r="F35" s="77"/>
      <c r="H35" s="2">
        <f t="shared" si="4"/>
        <v>1</v>
      </c>
      <c r="I35" s="79" t="s">
        <v>6260</v>
      </c>
      <c r="J35" s="77" t="s">
        <v>6945</v>
      </c>
      <c r="K35" s="77" t="s">
        <v>6545</v>
      </c>
      <c r="M35" s="2">
        <f t="shared" si="5"/>
        <v>0</v>
      </c>
      <c r="Q35" s="2"/>
      <c r="U35" s="4"/>
      <c r="W35" s="4"/>
    </row>
    <row r="36" spans="3:23" x14ac:dyDescent="0.25">
      <c r="C36" s="2">
        <f t="shared" si="3"/>
        <v>1</v>
      </c>
      <c r="D36" s="79" t="s">
        <v>6011</v>
      </c>
      <c r="E36" s="77" t="s">
        <v>6968</v>
      </c>
      <c r="F36" s="77"/>
      <c r="H36" s="2">
        <f t="shared" si="4"/>
        <v>0</v>
      </c>
      <c r="I36" s="77"/>
      <c r="J36" s="77"/>
      <c r="K36" s="77"/>
      <c r="M36" s="2">
        <f t="shared" si="5"/>
        <v>0</v>
      </c>
      <c r="Q36" s="2"/>
      <c r="U36" s="4"/>
      <c r="W36" s="4"/>
    </row>
    <row r="37" spans="3:23" x14ac:dyDescent="0.25">
      <c r="C37" s="2">
        <f t="shared" si="3"/>
        <v>1</v>
      </c>
      <c r="D37" s="79" t="s">
        <v>6014</v>
      </c>
      <c r="E37" s="77" t="s">
        <v>6969</v>
      </c>
      <c r="F37" s="77"/>
      <c r="H37" s="2">
        <f t="shared" si="4"/>
        <v>0</v>
      </c>
      <c r="I37" s="79"/>
      <c r="J37" s="77"/>
      <c r="K37" s="77"/>
      <c r="M37" s="2">
        <f t="shared" si="5"/>
        <v>0</v>
      </c>
      <c r="Q37" s="2"/>
      <c r="U37" s="4"/>
      <c r="W37" s="4"/>
    </row>
    <row r="38" spans="3:23" x14ac:dyDescent="0.25">
      <c r="C38" s="2">
        <f t="shared" si="3"/>
        <v>1</v>
      </c>
      <c r="D38" s="79" t="s">
        <v>7296</v>
      </c>
      <c r="E38" s="77" t="s">
        <v>7297</v>
      </c>
      <c r="F38" s="77"/>
      <c r="H38" s="2">
        <f t="shared" si="4"/>
        <v>0</v>
      </c>
      <c r="M38" s="2">
        <f t="shared" si="5"/>
        <v>0</v>
      </c>
      <c r="Q38" s="2"/>
      <c r="U38" s="4"/>
      <c r="W38" s="4"/>
    </row>
    <row r="39" spans="3:23" x14ac:dyDescent="0.25">
      <c r="C39" s="2">
        <f t="shared" si="3"/>
        <v>1</v>
      </c>
      <c r="D39" s="79" t="s">
        <v>6017</v>
      </c>
      <c r="E39" s="77" t="s">
        <v>6962</v>
      </c>
      <c r="F39" s="77"/>
      <c r="H39" s="2">
        <f t="shared" si="4"/>
        <v>0</v>
      </c>
      <c r="M39" s="2">
        <f t="shared" si="5"/>
        <v>0</v>
      </c>
      <c r="Q39" s="2"/>
      <c r="U39" s="4"/>
      <c r="W39" s="4"/>
    </row>
    <row r="40" spans="3:23" x14ac:dyDescent="0.25">
      <c r="C40" s="2">
        <f t="shared" si="3"/>
        <v>1</v>
      </c>
      <c r="D40" s="79" t="s">
        <v>6155</v>
      </c>
      <c r="E40" s="77" t="s">
        <v>6971</v>
      </c>
      <c r="F40" s="77"/>
      <c r="H40" s="2">
        <f t="shared" si="4"/>
        <v>0</v>
      </c>
      <c r="M40" s="2">
        <f t="shared" si="5"/>
        <v>0</v>
      </c>
      <c r="Q40" s="2"/>
      <c r="U40" s="4"/>
      <c r="W40" s="4"/>
    </row>
    <row r="41" spans="3:23" x14ac:dyDescent="0.25">
      <c r="C41" s="2">
        <f t="shared" si="3"/>
        <v>1</v>
      </c>
      <c r="D41" s="79" t="s">
        <v>6207</v>
      </c>
      <c r="E41" s="77" t="s">
        <v>6972</v>
      </c>
      <c r="F41" s="77"/>
      <c r="H41" s="2">
        <f t="shared" si="4"/>
        <v>0</v>
      </c>
      <c r="M41" s="2">
        <f t="shared" si="5"/>
        <v>0</v>
      </c>
      <c r="Q41" s="2"/>
      <c r="U41" s="4"/>
      <c r="W41" s="4"/>
    </row>
    <row r="42" spans="3:23" x14ac:dyDescent="0.25">
      <c r="C42" s="2">
        <f t="shared" si="3"/>
        <v>1</v>
      </c>
      <c r="D42" s="4" t="s">
        <v>7299</v>
      </c>
      <c r="E42" t="s">
        <v>7298</v>
      </c>
      <c r="F42"/>
      <c r="H42" s="2">
        <f t="shared" si="4"/>
        <v>0</v>
      </c>
      <c r="M42" s="2">
        <f t="shared" si="5"/>
        <v>0</v>
      </c>
      <c r="Q42" s="2"/>
      <c r="U42" s="4"/>
      <c r="W42" s="4"/>
    </row>
    <row r="43" spans="3:23" x14ac:dyDescent="0.25">
      <c r="C43" s="2">
        <f t="shared" si="3"/>
        <v>1</v>
      </c>
      <c r="D43" s="4" t="s">
        <v>7300</v>
      </c>
      <c r="E43" t="s">
        <v>7360</v>
      </c>
      <c r="F43"/>
      <c r="H43" s="2">
        <f t="shared" si="4"/>
        <v>0</v>
      </c>
      <c r="M43" s="2">
        <f t="shared" si="5"/>
        <v>0</v>
      </c>
      <c r="Q43" s="2"/>
      <c r="U43" s="4"/>
      <c r="W43" s="4"/>
    </row>
    <row r="44" spans="3:23" x14ac:dyDescent="0.25">
      <c r="C44" s="2">
        <f t="shared" si="3"/>
        <v>1</v>
      </c>
      <c r="D44" t="s">
        <v>7359</v>
      </c>
      <c r="E44" t="s">
        <v>7237</v>
      </c>
      <c r="F44"/>
      <c r="H44" s="2">
        <f t="shared" si="4"/>
        <v>0</v>
      </c>
      <c r="M44" s="2">
        <f t="shared" si="5"/>
        <v>0</v>
      </c>
      <c r="Q44" s="2"/>
      <c r="U44" s="4"/>
      <c r="W44" s="4"/>
    </row>
    <row r="45" spans="3:23" x14ac:dyDescent="0.25">
      <c r="C45" s="2">
        <f t="shared" si="3"/>
        <v>0</v>
      </c>
      <c r="D45"/>
      <c r="E45"/>
      <c r="F45"/>
      <c r="H45" s="2">
        <f t="shared" si="4"/>
        <v>0</v>
      </c>
      <c r="M45" s="2">
        <f t="shared" si="5"/>
        <v>0</v>
      </c>
      <c r="Q45" s="2"/>
      <c r="U45" s="4"/>
      <c r="W45" s="4"/>
    </row>
    <row r="46" spans="3:23" x14ac:dyDescent="0.25">
      <c r="C46" s="2">
        <f t="shared" si="3"/>
        <v>0</v>
      </c>
      <c r="D46"/>
      <c r="E46"/>
      <c r="F46"/>
      <c r="H46" s="2">
        <f t="shared" si="4"/>
        <v>0</v>
      </c>
      <c r="M46" s="2">
        <f t="shared" si="5"/>
        <v>0</v>
      </c>
      <c r="Q46" s="2"/>
      <c r="U46" s="4"/>
      <c r="W46" s="4"/>
    </row>
    <row r="47" spans="3:23" x14ac:dyDescent="0.25">
      <c r="C47" s="2">
        <f t="shared" si="3"/>
        <v>0</v>
      </c>
      <c r="D47"/>
      <c r="E47"/>
      <c r="F47"/>
      <c r="H47" s="2">
        <f t="shared" si="4"/>
        <v>0</v>
      </c>
      <c r="M47" s="2">
        <f t="shared" si="5"/>
        <v>0</v>
      </c>
      <c r="Q47" s="2"/>
      <c r="U47" s="4"/>
      <c r="W47" s="4"/>
    </row>
    <row r="48" spans="3:23" x14ac:dyDescent="0.25">
      <c r="C48" s="2">
        <f t="shared" si="3"/>
        <v>0</v>
      </c>
      <c r="D48"/>
      <c r="E48"/>
      <c r="F48"/>
      <c r="H48" s="2">
        <f t="shared" si="4"/>
        <v>0</v>
      </c>
      <c r="M48" s="2">
        <f t="shared" si="5"/>
        <v>0</v>
      </c>
      <c r="Q48" s="2"/>
      <c r="U48" s="4"/>
      <c r="W48" s="4"/>
    </row>
    <row r="49" spans="2:23" x14ac:dyDescent="0.25">
      <c r="C49" s="2">
        <f t="shared" si="3"/>
        <v>0</v>
      </c>
      <c r="D49"/>
      <c r="E49"/>
      <c r="F49"/>
      <c r="H49" s="2">
        <f t="shared" si="4"/>
        <v>0</v>
      </c>
      <c r="M49" s="2">
        <f t="shared" si="5"/>
        <v>0</v>
      </c>
      <c r="Q49" s="2"/>
      <c r="U49" s="4"/>
      <c r="W49" s="4"/>
    </row>
    <row r="50" spans="2:23" x14ac:dyDescent="0.25">
      <c r="C50" s="2">
        <f t="shared" si="3"/>
        <v>0</v>
      </c>
      <c r="D50"/>
      <c r="E50"/>
      <c r="F50"/>
      <c r="H50" s="2">
        <f t="shared" si="4"/>
        <v>0</v>
      </c>
      <c r="M50" s="2">
        <f t="shared" si="5"/>
        <v>0</v>
      </c>
      <c r="Q50" s="2"/>
      <c r="U50" s="4"/>
      <c r="W50" s="4"/>
    </row>
    <row r="51" spans="2:23" x14ac:dyDescent="0.25">
      <c r="C51" s="2">
        <f t="shared" si="3"/>
        <v>0</v>
      </c>
      <c r="D51"/>
      <c r="E51"/>
      <c r="F51"/>
      <c r="H51" s="2">
        <f t="shared" si="4"/>
        <v>0</v>
      </c>
      <c r="M51" s="2">
        <f t="shared" si="5"/>
        <v>0</v>
      </c>
      <c r="Q51" s="2"/>
      <c r="U51" s="4"/>
      <c r="W51" s="4"/>
    </row>
    <row r="52" spans="2:23" x14ac:dyDescent="0.25">
      <c r="C52" s="2"/>
      <c r="D52"/>
      <c r="E52"/>
      <c r="F52"/>
      <c r="H52" s="2"/>
      <c r="M52" s="2"/>
      <c r="Q52" s="2"/>
      <c r="U52" s="4"/>
      <c r="W52" s="4"/>
    </row>
    <row r="53" spans="2:23" x14ac:dyDescent="0.25">
      <c r="B53" s="1">
        <v>3</v>
      </c>
      <c r="C53" s="2">
        <f t="shared" ref="C53:C75" si="6">COUNTIFS(D:D,D53)</f>
        <v>1</v>
      </c>
      <c r="D53" t="s">
        <v>6001</v>
      </c>
      <c r="E53"/>
      <c r="F53"/>
      <c r="H53" s="2">
        <f t="shared" ref="H53:H75" si="7">COUNTIFS(I:I,I53)</f>
        <v>0</v>
      </c>
      <c r="I53" s="77"/>
      <c r="J53" s="77"/>
      <c r="K53" s="77"/>
      <c r="M53" s="2">
        <f t="shared" ref="M53:M75" si="8">COUNTIFS(N:N,N53)</f>
        <v>1</v>
      </c>
      <c r="N53" t="s">
        <v>6236</v>
      </c>
      <c r="Q53" s="2"/>
      <c r="U53" s="4"/>
      <c r="W53" s="4"/>
    </row>
    <row r="54" spans="2:23" x14ac:dyDescent="0.25">
      <c r="C54" s="2">
        <f t="shared" si="6"/>
        <v>1</v>
      </c>
      <c r="D54" t="s">
        <v>6002</v>
      </c>
      <c r="E54"/>
      <c r="F54"/>
      <c r="H54" s="2">
        <f t="shared" si="7"/>
        <v>1</v>
      </c>
      <c r="I54" s="79" t="s">
        <v>6950</v>
      </c>
      <c r="J54" s="77" t="s">
        <v>6951</v>
      </c>
      <c r="K54" s="77" t="s">
        <v>6532</v>
      </c>
      <c r="M54" s="2">
        <f t="shared" si="8"/>
        <v>1</v>
      </c>
      <c r="N54" t="s">
        <v>6241</v>
      </c>
      <c r="Q54" s="2"/>
      <c r="U54" s="4"/>
      <c r="W54" s="4"/>
    </row>
    <row r="55" spans="2:23" x14ac:dyDescent="0.25">
      <c r="C55" s="2">
        <f t="shared" si="6"/>
        <v>1</v>
      </c>
      <c r="D55" t="s">
        <v>6005</v>
      </c>
      <c r="E55"/>
      <c r="F55"/>
      <c r="H55" s="2">
        <f t="shared" si="7"/>
        <v>1</v>
      </c>
      <c r="I55" s="79" t="s">
        <v>6262</v>
      </c>
      <c r="J55" s="77" t="s">
        <v>6946</v>
      </c>
      <c r="K55" s="77" t="s">
        <v>6545</v>
      </c>
      <c r="M55" s="2">
        <f t="shared" si="8"/>
        <v>1</v>
      </c>
      <c r="N55" t="s">
        <v>6356</v>
      </c>
      <c r="Q55" s="2"/>
      <c r="U55" s="4"/>
      <c r="W55" s="4"/>
    </row>
    <row r="56" spans="2:23" x14ac:dyDescent="0.25">
      <c r="C56" s="2">
        <f t="shared" si="6"/>
        <v>1</v>
      </c>
      <c r="D56" t="s">
        <v>6006</v>
      </c>
      <c r="E56"/>
      <c r="F56"/>
      <c r="H56" s="2">
        <f t="shared" si="7"/>
        <v>1</v>
      </c>
      <c r="I56" s="79" t="s">
        <v>6263</v>
      </c>
      <c r="J56" s="77" t="s">
        <v>6949</v>
      </c>
      <c r="K56" s="77" t="s">
        <v>6545</v>
      </c>
      <c r="M56" s="2">
        <f t="shared" si="8"/>
        <v>0</v>
      </c>
      <c r="Q56" s="2"/>
      <c r="U56" s="4"/>
      <c r="W56" s="4"/>
    </row>
    <row r="57" spans="2:23" x14ac:dyDescent="0.25">
      <c r="C57" s="2">
        <f t="shared" si="6"/>
        <v>1</v>
      </c>
      <c r="D57" t="s">
        <v>6007</v>
      </c>
      <c r="E57"/>
      <c r="F57"/>
      <c r="H57" s="2">
        <f t="shared" si="7"/>
        <v>1</v>
      </c>
      <c r="I57" s="77" t="s">
        <v>6940</v>
      </c>
      <c r="J57" s="77" t="s">
        <v>6939</v>
      </c>
      <c r="K57" s="77" t="s">
        <v>6545</v>
      </c>
      <c r="M57" s="2">
        <f t="shared" si="8"/>
        <v>0</v>
      </c>
      <c r="Q57" s="2"/>
      <c r="U57" s="4"/>
      <c r="W57" s="4"/>
    </row>
    <row r="58" spans="2:23" x14ac:dyDescent="0.25">
      <c r="C58" s="2">
        <f t="shared" si="6"/>
        <v>1</v>
      </c>
      <c r="D58" t="s">
        <v>6008</v>
      </c>
      <c r="E58"/>
      <c r="F58"/>
      <c r="H58" s="2">
        <f t="shared" si="7"/>
        <v>1</v>
      </c>
      <c r="I58" s="77" t="s">
        <v>6948</v>
      </c>
      <c r="J58" s="77" t="s">
        <v>6947</v>
      </c>
      <c r="K58" s="77" t="s">
        <v>6537</v>
      </c>
      <c r="M58" s="2">
        <f t="shared" si="8"/>
        <v>0</v>
      </c>
      <c r="Q58" s="2"/>
      <c r="U58" s="4"/>
      <c r="W58" s="4"/>
    </row>
    <row r="59" spans="2:23" x14ac:dyDescent="0.25">
      <c r="C59" s="2">
        <f t="shared" si="6"/>
        <v>1</v>
      </c>
      <c r="D59" t="s">
        <v>6009</v>
      </c>
      <c r="E59"/>
      <c r="F59"/>
      <c r="H59" s="2">
        <f t="shared" si="7"/>
        <v>0</v>
      </c>
      <c r="I59" s="77"/>
      <c r="J59" s="77"/>
      <c r="K59" s="77"/>
      <c r="M59" s="2">
        <f t="shared" si="8"/>
        <v>0</v>
      </c>
      <c r="Q59" s="2"/>
      <c r="U59" s="4"/>
      <c r="W59" s="4"/>
    </row>
    <row r="60" spans="2:23" x14ac:dyDescent="0.25">
      <c r="C60" s="2">
        <f t="shared" si="6"/>
        <v>1</v>
      </c>
      <c r="D60" t="s">
        <v>6012</v>
      </c>
      <c r="E60"/>
      <c r="F60"/>
      <c r="H60" s="2">
        <f t="shared" si="7"/>
        <v>0</v>
      </c>
      <c r="M60" s="2">
        <f t="shared" si="8"/>
        <v>0</v>
      </c>
      <c r="Q60" s="2"/>
      <c r="U60" s="4"/>
      <c r="W60" s="4"/>
    </row>
    <row r="61" spans="2:23" x14ac:dyDescent="0.25">
      <c r="C61" s="2">
        <f t="shared" si="6"/>
        <v>1</v>
      </c>
      <c r="D61" t="s">
        <v>6013</v>
      </c>
      <c r="E61"/>
      <c r="F61"/>
      <c r="H61" s="2">
        <f t="shared" si="7"/>
        <v>0</v>
      </c>
      <c r="M61" s="2">
        <f t="shared" si="8"/>
        <v>0</v>
      </c>
      <c r="Q61" s="2"/>
      <c r="U61" s="4"/>
      <c r="W61" s="4"/>
    </row>
    <row r="62" spans="2:23" x14ac:dyDescent="0.25">
      <c r="C62" s="2">
        <f t="shared" si="6"/>
        <v>1</v>
      </c>
      <c r="D62" t="s">
        <v>6019</v>
      </c>
      <c r="E62"/>
      <c r="F62"/>
      <c r="H62" s="2">
        <f t="shared" si="7"/>
        <v>0</v>
      </c>
      <c r="M62" s="2">
        <f t="shared" si="8"/>
        <v>0</v>
      </c>
      <c r="Q62" s="2"/>
      <c r="U62" s="4"/>
      <c r="W62" s="4"/>
    </row>
    <row r="63" spans="2:23" x14ac:dyDescent="0.25">
      <c r="C63" s="2">
        <f t="shared" si="6"/>
        <v>1</v>
      </c>
      <c r="D63" t="s">
        <v>6016</v>
      </c>
      <c r="E63"/>
      <c r="F63"/>
      <c r="H63" s="2">
        <f t="shared" si="7"/>
        <v>0</v>
      </c>
      <c r="M63" s="2">
        <f t="shared" si="8"/>
        <v>0</v>
      </c>
      <c r="Q63" s="2"/>
      <c r="U63" s="4"/>
      <c r="W63" s="4"/>
    </row>
    <row r="64" spans="2:23" x14ac:dyDescent="0.25">
      <c r="C64" s="2">
        <f t="shared" si="6"/>
        <v>1</v>
      </c>
      <c r="D64" t="s">
        <v>6018</v>
      </c>
      <c r="E64"/>
      <c r="F64"/>
      <c r="H64" s="2">
        <f t="shared" si="7"/>
        <v>0</v>
      </c>
      <c r="M64" s="2">
        <f t="shared" si="8"/>
        <v>0</v>
      </c>
      <c r="Q64" s="2"/>
      <c r="U64" s="4"/>
      <c r="W64" s="4"/>
    </row>
    <row r="65" spans="3:23" x14ac:dyDescent="0.25">
      <c r="C65" s="2">
        <f t="shared" si="6"/>
        <v>1</v>
      </c>
      <c r="D65" s="4" t="s">
        <v>6559</v>
      </c>
      <c r="E65"/>
      <c r="F65"/>
      <c r="H65" s="2">
        <f t="shared" si="7"/>
        <v>0</v>
      </c>
      <c r="M65" s="2">
        <f t="shared" si="8"/>
        <v>0</v>
      </c>
      <c r="Q65" s="2"/>
      <c r="U65" s="4"/>
      <c r="W65" s="4"/>
    </row>
    <row r="66" spans="3:23" x14ac:dyDescent="0.25">
      <c r="C66" s="2">
        <f t="shared" si="6"/>
        <v>1</v>
      </c>
      <c r="D66" s="4" t="s">
        <v>6560</v>
      </c>
      <c r="E66"/>
      <c r="F66"/>
      <c r="H66" s="2">
        <f t="shared" si="7"/>
        <v>0</v>
      </c>
      <c r="M66" s="2">
        <f t="shared" si="8"/>
        <v>0</v>
      </c>
      <c r="Q66" s="2"/>
      <c r="U66" s="4"/>
      <c r="W66" s="4"/>
    </row>
    <row r="67" spans="3:23" x14ac:dyDescent="0.25">
      <c r="C67" s="2">
        <f t="shared" si="6"/>
        <v>1</v>
      </c>
      <c r="D67" s="77" t="s">
        <v>6557</v>
      </c>
      <c r="E67" s="77" t="s">
        <v>6558</v>
      </c>
      <c r="F67" s="77"/>
      <c r="H67" s="2">
        <f t="shared" si="7"/>
        <v>0</v>
      </c>
      <c r="M67" s="2">
        <f t="shared" si="8"/>
        <v>0</v>
      </c>
      <c r="Q67" s="2"/>
      <c r="U67" s="4"/>
      <c r="W67" s="4"/>
    </row>
    <row r="68" spans="3:23" x14ac:dyDescent="0.25">
      <c r="C68" s="2">
        <f t="shared" si="6"/>
        <v>1</v>
      </c>
      <c r="D68" s="77" t="s">
        <v>6562</v>
      </c>
      <c r="E68" s="77" t="s">
        <v>6561</v>
      </c>
      <c r="F68" s="77"/>
      <c r="H68" s="2">
        <f t="shared" si="7"/>
        <v>0</v>
      </c>
      <c r="M68" s="2">
        <f t="shared" si="8"/>
        <v>0</v>
      </c>
      <c r="Q68" s="2"/>
      <c r="U68" s="4"/>
      <c r="W68" s="4"/>
    </row>
    <row r="69" spans="3:23" x14ac:dyDescent="0.25">
      <c r="C69" s="2">
        <f t="shared" si="6"/>
        <v>1</v>
      </c>
      <c r="D69" s="4" t="s">
        <v>6015</v>
      </c>
      <c r="E69" t="s">
        <v>6970</v>
      </c>
      <c r="F69"/>
      <c r="H69" s="2">
        <f t="shared" si="7"/>
        <v>0</v>
      </c>
      <c r="M69" s="2">
        <f t="shared" si="8"/>
        <v>0</v>
      </c>
      <c r="Q69" s="2"/>
      <c r="U69" s="4"/>
      <c r="W69" s="4"/>
    </row>
    <row r="70" spans="3:23" x14ac:dyDescent="0.25">
      <c r="C70" s="2">
        <f t="shared" si="6"/>
        <v>0</v>
      </c>
      <c r="D70"/>
      <c r="E70"/>
      <c r="F70"/>
      <c r="H70" s="2">
        <f t="shared" si="7"/>
        <v>0</v>
      </c>
      <c r="M70" s="2">
        <f t="shared" si="8"/>
        <v>0</v>
      </c>
      <c r="Q70" s="2"/>
      <c r="U70" s="4"/>
      <c r="W70" s="4"/>
    </row>
    <row r="71" spans="3:23" x14ac:dyDescent="0.25">
      <c r="C71" s="2">
        <f t="shared" si="6"/>
        <v>0</v>
      </c>
      <c r="D71"/>
      <c r="E71"/>
      <c r="F71"/>
      <c r="H71" s="2">
        <f t="shared" si="7"/>
        <v>0</v>
      </c>
      <c r="M71" s="2">
        <f t="shared" si="8"/>
        <v>0</v>
      </c>
      <c r="Q71" s="2"/>
      <c r="U71" s="4"/>
      <c r="W71" s="4"/>
    </row>
    <row r="72" spans="3:23" x14ac:dyDescent="0.25">
      <c r="C72" s="2">
        <f t="shared" si="6"/>
        <v>0</v>
      </c>
      <c r="D72"/>
      <c r="E72"/>
      <c r="F72"/>
      <c r="H72" s="2">
        <f t="shared" si="7"/>
        <v>0</v>
      </c>
      <c r="M72" s="2">
        <f t="shared" si="8"/>
        <v>0</v>
      </c>
      <c r="Q72" s="2"/>
      <c r="U72" s="4"/>
      <c r="W72" s="4"/>
    </row>
    <row r="73" spans="3:23" x14ac:dyDescent="0.25">
      <c r="C73" s="2">
        <f t="shared" si="6"/>
        <v>0</v>
      </c>
      <c r="D73"/>
      <c r="E73"/>
      <c r="F73"/>
      <c r="H73" s="2">
        <f t="shared" si="7"/>
        <v>0</v>
      </c>
      <c r="M73" s="2">
        <f t="shared" si="8"/>
        <v>0</v>
      </c>
      <c r="Q73" s="2"/>
      <c r="U73" s="4"/>
      <c r="W73" s="4"/>
    </row>
    <row r="74" spans="3:23" x14ac:dyDescent="0.25">
      <c r="C74" s="2">
        <f t="shared" si="6"/>
        <v>0</v>
      </c>
      <c r="D74"/>
      <c r="E74"/>
      <c r="F74"/>
      <c r="H74" s="2">
        <f t="shared" si="7"/>
        <v>0</v>
      </c>
      <c r="M74" s="2">
        <f t="shared" si="8"/>
        <v>0</v>
      </c>
      <c r="Q74" s="2"/>
      <c r="U74" s="4"/>
      <c r="W74" s="4"/>
    </row>
    <row r="75" spans="3:23" x14ac:dyDescent="0.25">
      <c r="C75" s="2">
        <f t="shared" si="6"/>
        <v>0</v>
      </c>
      <c r="D75"/>
      <c r="E75"/>
      <c r="F75"/>
      <c r="H75" s="2">
        <f t="shared" si="7"/>
        <v>0</v>
      </c>
      <c r="M75" s="2">
        <f t="shared" si="8"/>
        <v>0</v>
      </c>
      <c r="Q75" s="2"/>
      <c r="U75" s="4"/>
      <c r="W75" s="4"/>
    </row>
  </sheetData>
  <hyperlinks>
    <hyperlink ref="Y6" r:id="rId1" xr:uid="{E36A2BD5-9AC2-4F40-A111-049F177F0F0B}"/>
    <hyperlink ref="W6" r:id="rId2" xr:uid="{B4296239-862A-4693-8F3F-31A2233C206A}"/>
    <hyperlink ref="W7" r:id="rId3" xr:uid="{15707D81-C0A4-4E13-8310-A0506D1E8DFD}"/>
    <hyperlink ref="W8" r:id="rId4" xr:uid="{ADBA4E6D-76FF-4222-9B2A-CE58160869E8}"/>
    <hyperlink ref="W9" r:id="rId5" xr:uid="{06DD16D0-A446-4310-A67D-977CFCAFE550}"/>
    <hyperlink ref="W24" r:id="rId6" xr:uid="{4B102ED6-6DA3-40E3-9333-E3F851568BAF}"/>
    <hyperlink ref="Y7" r:id="rId7" xr:uid="{1A3670D4-1830-4504-A1F4-7555536D8F56}"/>
    <hyperlink ref="Y8" r:id="rId8" xr:uid="{AEEDF800-20A5-4134-9F39-8647766D35FB}"/>
    <hyperlink ref="Y9" r:id="rId9" xr:uid="{8D5DC737-347D-43B6-919E-BE081162DE10}"/>
    <hyperlink ref="Y24" r:id="rId10" xr:uid="{335FBBB2-9C29-46A5-8128-E0D810AE9771}"/>
    <hyperlink ref="W10" r:id="rId11" xr:uid="{8DC45B0A-8C44-4785-9F3C-7CA81758AF64}"/>
    <hyperlink ref="W11" r:id="rId12" xr:uid="{A80D31EA-BCBF-4EC1-A302-2E5F67D54AC2}"/>
    <hyperlink ref="W12" r:id="rId13" xr:uid="{4FEDC311-5C75-4634-815C-5FC31601BC39}"/>
    <hyperlink ref="W13" r:id="rId14" xr:uid="{1B36C020-FF11-4966-9CED-62B8BAB71196}"/>
    <hyperlink ref="W14" r:id="rId15" xr:uid="{1DA071B4-60D0-4AD1-B0A1-4321F67DA7F1}"/>
    <hyperlink ref="W15" r:id="rId16" xr:uid="{22FA9538-0587-400C-A708-85E255E78149}"/>
    <hyperlink ref="Y10" r:id="rId17" xr:uid="{2ACAD689-47DF-4B5D-AB45-11EFC1F13D91}"/>
    <hyperlink ref="Y11" r:id="rId18" xr:uid="{E36E1A7F-589D-4E9B-91EF-B12376969A69}"/>
    <hyperlink ref="Y12" r:id="rId19" xr:uid="{8445145C-669B-445C-B0B3-A1BD7DACCD0A}"/>
    <hyperlink ref="Y13" r:id="rId20" xr:uid="{789E408F-9D16-4AA3-AFDB-6AC0F2006EC5}"/>
    <hyperlink ref="Y14" r:id="rId21" xr:uid="{3DC3AAFE-FD7E-486D-B0B8-EBD245F2B670}"/>
    <hyperlink ref="Y15" r:id="rId22" xr:uid="{25B8F5E7-29FB-4630-B12E-72B133256CBE}"/>
    <hyperlink ref="I33" r:id="rId23" xr:uid="{88E2F4FC-C178-4E33-BDB3-660EE2F5FF2B}"/>
    <hyperlink ref="W16" r:id="rId24" xr:uid="{D9CF9D7B-54E0-4098-A46C-8A4CC49ECB0F}"/>
    <hyperlink ref="W17" r:id="rId25" xr:uid="{51BF5246-C320-43CC-9A7D-43864C8771E7}"/>
    <hyperlink ref="W18" r:id="rId26" xr:uid="{D19D0F6C-65F7-4C4F-B07F-E74869AB0A70}"/>
    <hyperlink ref="W19" r:id="rId27" xr:uid="{E1DC6E66-C55C-40AA-8199-82E97B5E4393}"/>
    <hyperlink ref="W20" r:id="rId28" xr:uid="{75EAF29E-5F09-418C-A1C5-C02415C62ECC}"/>
    <hyperlink ref="W21" r:id="rId29" xr:uid="{9FACE680-7607-4102-A409-7E691542BF10}"/>
    <hyperlink ref="W22" r:id="rId30" xr:uid="{0C457411-4BF0-4F00-A224-03B5F88F2E24}"/>
    <hyperlink ref="W23" r:id="rId31" xr:uid="{4110B839-0CAB-47D5-A576-EDDCBF3B521B}"/>
    <hyperlink ref="Y16" r:id="rId32" xr:uid="{45D1DC53-9267-4F91-B209-7D63866B4E11}"/>
    <hyperlink ref="Y17" r:id="rId33" xr:uid="{AF735781-47E3-44FE-A56B-EBC29A1FB481}"/>
    <hyperlink ref="Y18" r:id="rId34" xr:uid="{7394D5F0-2C7B-4B53-B291-046767D7BFCC}"/>
    <hyperlink ref="Y19" r:id="rId35" xr:uid="{ED4D1F59-F282-4BA9-8212-653B35B4A2FC}"/>
    <hyperlink ref="Y20" r:id="rId36" xr:uid="{7C9E1B16-484D-4BEC-A9C9-468CA7A33EB9}"/>
    <hyperlink ref="Y21" r:id="rId37" xr:uid="{47FBA248-01BA-44AA-AC09-544CA3941E6F}"/>
    <hyperlink ref="Y22" r:id="rId38" xr:uid="{71871EC7-BFEB-4E8D-B9FC-13A0A98AF273}"/>
    <hyperlink ref="Y23" r:id="rId39" xr:uid="{138B865F-E58B-45B3-9B91-736ACD0DC81D}"/>
    <hyperlink ref="I6" r:id="rId40" xr:uid="{02908EC0-6B84-4365-AE7D-9619D1E44762}"/>
    <hyperlink ref="I7" r:id="rId41" xr:uid="{614A3250-4290-4B9A-9E43-6A5C00177812}"/>
    <hyperlink ref="I8" r:id="rId42" xr:uid="{495C55AF-D36D-469C-9504-4190459E0E88}"/>
    <hyperlink ref="N8" r:id="rId43" xr:uid="{C1603E87-63F9-4D1B-BA58-68185EE00051}"/>
    <hyperlink ref="D6" r:id="rId44" xr:uid="{81340A90-EF7F-440A-AB0A-6FF8D01FAFAE}"/>
    <hyperlink ref="D7" r:id="rId45" xr:uid="{645492FC-933C-4E59-B6CD-F072E0F45F5A}"/>
    <hyperlink ref="D8" r:id="rId46" xr:uid="{3603F521-EE8B-4610-B9F8-76CFEF2F59B0}"/>
    <hyperlink ref="D9" r:id="rId47" xr:uid="{B61B73AE-A309-4E45-BC79-23177CC9A71D}"/>
    <hyperlink ref="D13" r:id="rId48" xr:uid="{26281CE2-9EEB-492D-9927-D1F8DECC6A60}"/>
    <hyperlink ref="D14" r:id="rId49" xr:uid="{0EA485A3-A7E1-4413-98DB-22E6D41ACD4E}"/>
    <hyperlink ref="D15" r:id="rId50" xr:uid="{738E6699-36CA-441D-8EDC-B1BE27BF723E}"/>
    <hyperlink ref="I25" r:id="rId51" xr:uid="{4CA89AEE-F4B4-4DC8-A6A2-49F7F2069D4E}"/>
    <hyperlink ref="I27" r:id="rId52" xr:uid="{24AC47BF-42A2-4BD1-8AD6-5F6D769E87E7}"/>
    <hyperlink ref="I28" r:id="rId53" xr:uid="{122A9CEA-6762-487F-8E93-8E53C15C43A0}"/>
    <hyperlink ref="I32" r:id="rId54" xr:uid="{5C3A7DFF-B431-488B-B323-5D925A9EA4A3}"/>
    <hyperlink ref="I34" r:id="rId55" xr:uid="{0B625E3D-814A-4B44-9A46-5E9F3757FD26}"/>
    <hyperlink ref="N25" r:id="rId56" xr:uid="{AC674318-E898-497A-9A0E-74761EDC0EE9}"/>
    <hyperlink ref="N26" r:id="rId57" xr:uid="{E0C19B07-5DD6-4A24-9268-E07661BD7220}"/>
    <hyperlink ref="N28" r:id="rId58" xr:uid="{52AF01EE-D270-41E7-BCAD-9ABCA7E3BBA4}"/>
    <hyperlink ref="N29" r:id="rId59" xr:uid="{921D70FB-05BF-4593-B5DB-0EA0E993738E}"/>
    <hyperlink ref="D26" r:id="rId60" xr:uid="{A9145ED5-ABF8-4D29-9302-37386FBFB7E5}"/>
    <hyperlink ref="D27" r:id="rId61" xr:uid="{D912AD36-2C5E-4B70-80DB-B8B90CED67CD}"/>
    <hyperlink ref="D28" r:id="rId62" xr:uid="{E668C2A0-AA10-4106-AA6C-961F4FB31511}"/>
    <hyperlink ref="D29" r:id="rId63" xr:uid="{C457D46C-79B9-4180-8480-B984EA2C0D49}"/>
    <hyperlink ref="D30" r:id="rId64" xr:uid="{FC7E688C-2D0C-4A35-BFF7-27F534ED4998}"/>
    <hyperlink ref="D65" r:id="rId65" xr:uid="{4BA882D5-02A0-40DC-AC1A-FC96CE240E00}"/>
    <hyperlink ref="D66" r:id="rId66" xr:uid="{4D0C2AC7-2F32-4D5C-B77F-DCC97E4CA38C}"/>
    <hyperlink ref="I26" r:id="rId67" xr:uid="{B71A8DED-A836-473D-B7A9-0E291C7D9F30}"/>
    <hyperlink ref="I35" r:id="rId68" xr:uid="{4CD3BEBA-D3D5-4030-96E4-1DA9876D2B83}"/>
    <hyperlink ref="I55" r:id="rId69" xr:uid="{C1CC9AE9-FD46-4103-9223-0CF87274085D}"/>
    <hyperlink ref="I10" r:id="rId70" xr:uid="{622535FC-7F54-4C74-B483-F3E0B15255C2}"/>
    <hyperlink ref="I9" r:id="rId71" xr:uid="{67B12F3F-D828-47EE-94F4-6577BC65E065}"/>
    <hyperlink ref="I12" r:id="rId72" xr:uid="{F92B5AD5-036F-4B4D-869B-555FD1321F02}"/>
    <hyperlink ref="I56" r:id="rId73" xr:uid="{6F618322-B343-45CA-B508-CB798CF9585C}"/>
    <hyperlink ref="I11" r:id="rId74" xr:uid="{088D787C-ABF8-4F36-9FF5-D04C3B32CFF5}"/>
    <hyperlink ref="D12" r:id="rId75" xr:uid="{C85CFBCB-FBF7-4619-9DAE-761E145C2E51}"/>
    <hyperlink ref="D31" r:id="rId76" xr:uid="{EB045CA9-1D1A-47ED-84A5-482113E1848E}"/>
    <hyperlink ref="D33" r:id="rId77" xr:uid="{7A8B3655-26A5-437B-BB86-C111E7BDEC7E}"/>
    <hyperlink ref="D34" r:id="rId78" xr:uid="{5C5BA225-62C5-498A-B5B7-D4CB01BE7160}"/>
    <hyperlink ref="D36" r:id="rId79" xr:uid="{CB630EB4-7F29-4810-9464-3BB4242D5FB5}"/>
    <hyperlink ref="D37" r:id="rId80" xr:uid="{202603E2-6DE3-4B63-9339-F7933C9EE461}"/>
    <hyperlink ref="D69" r:id="rId81" xr:uid="{2E48BBA1-0540-4BF9-A9BF-1D51E224EBBA}"/>
    <hyperlink ref="D39" r:id="rId82" xr:uid="{76B34D53-D9D3-4179-AE78-B70F686B93DE}"/>
    <hyperlink ref="D40" r:id="rId83" xr:uid="{ED843136-FC92-42AF-8AB9-C060BF9CBC76}"/>
    <hyperlink ref="D41" r:id="rId84" xr:uid="{D6512F74-FABC-4EBD-B5F2-1A3E8E741ABD}"/>
    <hyperlink ref="D43" r:id="rId85" xr:uid="{552D3B24-FE45-4370-B91D-2B47C9F8A132}"/>
  </hyperlinks>
  <pageMargins left="0.7" right="0.7" top="0.75" bottom="0.75" header="0.3" footer="0.3"/>
  <pageSetup paperSize="9" orientation="portrait" r:id="rId8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805A-CB1D-4C7B-B403-97BC97A58273}">
  <sheetPr>
    <tabColor theme="5" tint="0.59999389629810485"/>
  </sheetPr>
  <dimension ref="B4:B7"/>
  <sheetViews>
    <sheetView workbookViewId="0">
      <selection activeCell="B8" sqref="B8"/>
    </sheetView>
  </sheetViews>
  <sheetFormatPr defaultRowHeight="15" x14ac:dyDescent="0.25"/>
  <sheetData>
    <row r="4" spans="2:2" x14ac:dyDescent="0.25">
      <c r="B4" s="79" t="s">
        <v>6439</v>
      </c>
    </row>
    <row r="5" spans="2:2" x14ac:dyDescent="0.25">
      <c r="B5" s="79" t="s">
        <v>6440</v>
      </c>
    </row>
    <row r="6" spans="2:2" x14ac:dyDescent="0.25">
      <c r="B6" s="77" t="s">
        <v>7357</v>
      </c>
    </row>
    <row r="7" spans="2:2" x14ac:dyDescent="0.25">
      <c r="B7" t="s">
        <v>7359</v>
      </c>
    </row>
  </sheetData>
  <hyperlinks>
    <hyperlink ref="B4" r:id="rId1" xr:uid="{867E3BFD-ECDB-4A2B-AD59-458AE2325F5D}"/>
    <hyperlink ref="B5" r:id="rId2" xr:uid="{C807516A-3115-4635-A1A9-56D8F8AB32F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0D040-2807-4A3F-8ABF-7BE3D7B98E7D}">
  <sheetPr>
    <tabColor theme="5" tint="0.59999389629810485"/>
  </sheetPr>
  <dimension ref="B2:K22"/>
  <sheetViews>
    <sheetView workbookViewId="0">
      <pane xSplit="1" ySplit="2" topLeftCell="B3" activePane="bottomRight" state="frozen"/>
      <selection activeCell="B19" sqref="B19"/>
      <selection pane="topRight" activeCell="B19" sqref="B19"/>
      <selection pane="bottomLeft" activeCell="B19" sqref="B19"/>
      <selection pane="bottomRight" activeCell="E28" sqref="A1:XFD1048576"/>
    </sheetView>
  </sheetViews>
  <sheetFormatPr defaultColWidth="9.140625" defaultRowHeight="15" x14ac:dyDescent="0.25"/>
  <cols>
    <col min="1" max="1" width="2.7109375" style="14" customWidth="1"/>
    <col min="2" max="2" width="9.140625" style="14"/>
    <col min="3" max="3" width="22.28515625" style="14" customWidth="1"/>
    <col min="4" max="4" width="18.140625" style="14" bestFit="1" customWidth="1"/>
    <col min="5" max="5" width="6" style="14" bestFit="1" customWidth="1"/>
    <col min="6" max="6" width="36.140625" style="14" bestFit="1" customWidth="1"/>
    <col min="7" max="7" width="7.7109375" style="16" bestFit="1" customWidth="1"/>
    <col min="8" max="8" width="7.7109375" style="14" bestFit="1" customWidth="1"/>
    <col min="9" max="9" width="17.28515625" style="14" bestFit="1" customWidth="1"/>
    <col min="10" max="11" width="47.85546875" style="15" customWidth="1"/>
    <col min="12" max="16384" width="9.140625" style="14"/>
  </cols>
  <sheetData>
    <row r="2" spans="2:11" s="28" customFormat="1" x14ac:dyDescent="0.25">
      <c r="C2" s="31" t="s">
        <v>319</v>
      </c>
      <c r="D2" s="31" t="s">
        <v>318</v>
      </c>
      <c r="E2" s="31" t="s">
        <v>317</v>
      </c>
      <c r="F2" s="29" t="s">
        <v>316</v>
      </c>
      <c r="G2" s="29" t="s">
        <v>315</v>
      </c>
      <c r="H2" s="29" t="s">
        <v>314</v>
      </c>
      <c r="I2" s="29" t="s">
        <v>313</v>
      </c>
      <c r="J2" s="30" t="s">
        <v>312</v>
      </c>
      <c r="K2" s="30" t="s">
        <v>312</v>
      </c>
    </row>
    <row r="3" spans="2:11" s="27" customFormat="1" x14ac:dyDescent="0.25"/>
    <row r="4" spans="2:11" s="27" customFormat="1" x14ac:dyDescent="0.25">
      <c r="C4" s="69" t="s">
        <v>5808</v>
      </c>
    </row>
    <row r="5" spans="2:11" x14ac:dyDescent="0.25">
      <c r="B5" s="2">
        <f t="shared" ref="B5:B11" si="0">COUNTIFS($C:$C,C5)</f>
        <v>1</v>
      </c>
      <c r="C5" s="70" t="s">
        <v>6335</v>
      </c>
      <c r="D5" s="63"/>
      <c r="E5" s="19"/>
      <c r="F5" s="63" t="s">
        <v>6336</v>
      </c>
      <c r="G5" s="2"/>
      <c r="H5" s="33"/>
      <c r="I5" s="32"/>
      <c r="J5" s="14"/>
      <c r="K5" s="14"/>
    </row>
    <row r="6" spans="2:11" x14ac:dyDescent="0.25">
      <c r="B6" s="2">
        <f t="shared" si="0"/>
        <v>1</v>
      </c>
      <c r="C6" s="70" t="s">
        <v>6337</v>
      </c>
      <c r="D6" s="63"/>
      <c r="E6" s="19"/>
      <c r="F6" s="63" t="s">
        <v>6338</v>
      </c>
      <c r="G6" s="2"/>
      <c r="H6" s="33"/>
      <c r="I6" s="32"/>
      <c r="J6" s="14"/>
      <c r="K6" s="14"/>
    </row>
    <row r="7" spans="2:11" s="27" customFormat="1" x14ac:dyDescent="0.25">
      <c r="B7" s="2">
        <f t="shared" si="0"/>
        <v>0</v>
      </c>
    </row>
    <row r="8" spans="2:11" s="27" customFormat="1" x14ac:dyDescent="0.25">
      <c r="B8" s="2">
        <f t="shared" si="0"/>
        <v>0</v>
      </c>
    </row>
    <row r="9" spans="2:11" s="27" customFormat="1" x14ac:dyDescent="0.25">
      <c r="B9" s="2">
        <f t="shared" si="0"/>
        <v>0</v>
      </c>
    </row>
    <row r="10" spans="2:11" s="27" customFormat="1" x14ac:dyDescent="0.25">
      <c r="B10" s="2">
        <f t="shared" si="0"/>
        <v>0</v>
      </c>
    </row>
    <row r="11" spans="2:11" s="27" customFormat="1" x14ac:dyDescent="0.25">
      <c r="B11" s="2">
        <f t="shared" si="0"/>
        <v>0</v>
      </c>
    </row>
    <row r="12" spans="2:11" s="27" customFormat="1" x14ac:dyDescent="0.25"/>
    <row r="13" spans="2:11" s="27" customFormat="1" x14ac:dyDescent="0.25">
      <c r="C13" s="69" t="s">
        <v>5816</v>
      </c>
    </row>
    <row r="14" spans="2:11" x14ac:dyDescent="0.25">
      <c r="B14" s="2">
        <f t="shared" ref="B14:B22" si="1">COUNTIFS($C:$C,C14)</f>
        <v>1</v>
      </c>
      <c r="C14" s="70" t="s">
        <v>6022</v>
      </c>
      <c r="D14" s="63" t="s">
        <v>6021</v>
      </c>
      <c r="E14" s="19"/>
      <c r="F14" s="63" t="s">
        <v>6020</v>
      </c>
      <c r="G14" s="2" t="s">
        <v>5434</v>
      </c>
      <c r="H14" s="33">
        <v>45627</v>
      </c>
      <c r="I14" s="32"/>
      <c r="J14" s="14"/>
      <c r="K14" s="14"/>
    </row>
    <row r="15" spans="2:11" x14ac:dyDescent="0.25">
      <c r="B15" s="2">
        <f t="shared" si="1"/>
        <v>1</v>
      </c>
      <c r="C15" s="70" t="s">
        <v>6025</v>
      </c>
      <c r="D15" s="63" t="s">
        <v>6023</v>
      </c>
      <c r="E15" s="19"/>
      <c r="F15" s="63" t="s">
        <v>6024</v>
      </c>
      <c r="G15" s="2" t="s">
        <v>5434</v>
      </c>
      <c r="H15" s="33">
        <v>45444</v>
      </c>
      <c r="I15" s="32"/>
      <c r="J15" s="14"/>
      <c r="K15" s="14"/>
    </row>
    <row r="16" spans="2:11" x14ac:dyDescent="0.25">
      <c r="B16" s="2">
        <f t="shared" si="1"/>
        <v>1</v>
      </c>
      <c r="C16" s="70" t="s">
        <v>6211</v>
      </c>
      <c r="D16" s="63"/>
      <c r="E16" s="19"/>
      <c r="F16" s="63" t="s">
        <v>6212</v>
      </c>
      <c r="G16" s="2" t="s">
        <v>6209</v>
      </c>
      <c r="H16" s="33">
        <v>46023</v>
      </c>
      <c r="I16" s="32"/>
      <c r="J16" s="14"/>
      <c r="K16" s="14"/>
    </row>
    <row r="17" spans="2:11" x14ac:dyDescent="0.25">
      <c r="B17" s="2">
        <f t="shared" si="1"/>
        <v>1</v>
      </c>
      <c r="C17" s="70" t="s">
        <v>6235</v>
      </c>
      <c r="D17" s="63"/>
      <c r="E17" s="19"/>
      <c r="F17" s="63" t="s">
        <v>6442</v>
      </c>
      <c r="G17" s="2" t="s">
        <v>6443</v>
      </c>
      <c r="H17" s="33">
        <v>46174</v>
      </c>
      <c r="I17" s="32"/>
      <c r="J17" s="14"/>
      <c r="K17" s="14"/>
    </row>
    <row r="18" spans="2:11" x14ac:dyDescent="0.25">
      <c r="B18" s="2">
        <f t="shared" si="1"/>
        <v>0</v>
      </c>
      <c r="C18" s="70"/>
      <c r="D18" s="63"/>
      <c r="E18" s="19"/>
      <c r="F18" s="63"/>
      <c r="G18" s="2"/>
      <c r="H18" s="33"/>
      <c r="I18" s="32"/>
      <c r="J18" s="14"/>
      <c r="K18" s="14"/>
    </row>
    <row r="19" spans="2:11" x14ac:dyDescent="0.25">
      <c r="B19" s="2">
        <f t="shared" si="1"/>
        <v>0</v>
      </c>
      <c r="C19" s="70"/>
      <c r="D19" s="63"/>
      <c r="E19" s="19"/>
      <c r="F19" s="63"/>
      <c r="G19" s="2"/>
      <c r="H19" s="33"/>
      <c r="I19" s="32"/>
      <c r="J19" s="14"/>
      <c r="K19" s="14"/>
    </row>
    <row r="20" spans="2:11" x14ac:dyDescent="0.25">
      <c r="B20" s="2">
        <f t="shared" si="1"/>
        <v>0</v>
      </c>
      <c r="C20" s="70"/>
      <c r="D20" s="63"/>
      <c r="E20" s="19"/>
      <c r="F20" s="63"/>
      <c r="G20" s="2"/>
      <c r="H20" s="33"/>
      <c r="I20" s="32"/>
      <c r="J20" s="14"/>
      <c r="K20" s="14"/>
    </row>
    <row r="21" spans="2:11" x14ac:dyDescent="0.25">
      <c r="B21" s="2">
        <f t="shared" si="1"/>
        <v>0</v>
      </c>
      <c r="C21" s="70"/>
      <c r="D21" s="63"/>
      <c r="E21" s="19"/>
      <c r="F21" s="63"/>
      <c r="G21" s="2"/>
      <c r="H21" s="33"/>
      <c r="I21" s="32"/>
      <c r="J21" s="14"/>
      <c r="K21" s="14"/>
    </row>
    <row r="22" spans="2:11" x14ac:dyDescent="0.25">
      <c r="B22" s="2">
        <f t="shared" si="1"/>
        <v>0</v>
      </c>
      <c r="C22" s="70"/>
      <c r="D22" s="63"/>
      <c r="E22" s="19"/>
      <c r="F22" s="63"/>
      <c r="G22" s="2"/>
      <c r="H22" s="33"/>
      <c r="I22" s="32"/>
      <c r="J22" s="14"/>
      <c r="K22" s="14"/>
    </row>
  </sheetData>
  <hyperlinks>
    <hyperlink ref="C17" r:id="rId1" xr:uid="{9E7B6C81-6BA0-4FC0-B395-A78EEDD900B3}"/>
    <hyperlink ref="C6" r:id="rId2" xr:uid="{9C83CC96-559D-4EDA-A6D4-82CFF90A99DA}"/>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D9AF4-D622-4A5A-B3C9-906B0E8B0891}">
  <sheetPr>
    <tabColor theme="6"/>
  </sheetPr>
  <dimension ref="A1"/>
  <sheetViews>
    <sheetView workbookViewId="0">
      <selection activeCell="E36" sqref="E36"/>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64364-8938-42E1-AE19-094F5E079AEB}">
  <sheetPr>
    <tabColor theme="6" tint="0.59999389629810485"/>
  </sheetPr>
  <dimension ref="A2:AI132"/>
  <sheetViews>
    <sheetView zoomScaleNormal="100" workbookViewId="0">
      <pane xSplit="3" ySplit="3" topLeftCell="D28" activePane="bottomRight" state="frozen"/>
      <selection pane="topRight" activeCell="E1" sqref="E1"/>
      <selection pane="bottomLeft" activeCell="A4" sqref="A4"/>
      <selection pane="bottomRight" activeCell="I38" sqref="I38"/>
    </sheetView>
  </sheetViews>
  <sheetFormatPr defaultColWidth="0" defaultRowHeight="15" x14ac:dyDescent="0.25"/>
  <cols>
    <col min="1" max="1" width="2.7109375" customWidth="1"/>
    <col min="2" max="2" width="10.140625" bestFit="1" customWidth="1"/>
    <col min="3" max="3" width="2.7109375" customWidth="1"/>
    <col min="4" max="5" width="45.7109375" style="2" customWidth="1"/>
    <col min="6" max="7" width="2.7109375" customWidth="1"/>
    <col min="8" max="9" width="45.7109375" customWidth="1"/>
    <col min="10" max="10" width="2.7109375"/>
    <col min="11" max="11" width="45.7109375"/>
    <col min="12" max="13" width="2.7109375"/>
    <col min="14" max="14" width="45.7109375"/>
    <col min="15" max="15" width="2.7109375" customWidth="1"/>
    <col min="16" max="16" width="2.7109375" hidden="1" customWidth="1"/>
    <col min="17" max="17" width="9.140625" hidden="1" customWidth="1"/>
    <col min="18" max="18" width="68.5703125" hidden="1" customWidth="1"/>
    <col min="19" max="20" width="9.140625" hidden="1" customWidth="1"/>
    <col min="21" max="21" width="38.85546875" hidden="1" customWidth="1"/>
    <col min="22" max="22" width="2.7109375" hidden="1" customWidth="1"/>
    <col min="23" max="23" width="48.140625" hidden="1" customWidth="1"/>
    <col min="24" max="24" width="2.7109375" hidden="1" customWidth="1"/>
    <col min="25" max="25" width="54.5703125" hidden="1" customWidth="1"/>
    <col min="26" max="26" width="2.7109375" hidden="1" customWidth="1"/>
    <col min="27" max="27" width="9.140625" hidden="1" customWidth="1"/>
    <col min="28" max="28" width="2.7109375" style="1" hidden="1" customWidth="1"/>
    <col min="29" max="29" width="9.140625" hidden="1" customWidth="1"/>
    <col min="30" max="30" width="2.7109375" hidden="1" customWidth="1"/>
    <col min="31" max="31" width="0" hidden="1" customWidth="1"/>
    <col min="32" max="32" width="2.7109375" hidden="1" customWidth="1"/>
    <col min="33" max="35" width="0" hidden="1" customWidth="1"/>
    <col min="36" max="16384" width="9.140625" hidden="1"/>
  </cols>
  <sheetData>
    <row r="2" spans="2:31" s="9" customFormat="1" x14ac:dyDescent="0.25">
      <c r="C2" s="12"/>
      <c r="D2" s="12" t="s">
        <v>5486</v>
      </c>
      <c r="E2" s="12"/>
      <c r="F2" s="13"/>
      <c r="G2" s="12"/>
      <c r="H2" s="12" t="s">
        <v>5432</v>
      </c>
      <c r="I2" s="12"/>
      <c r="O2" s="13"/>
      <c r="U2" s="5" t="s">
        <v>227</v>
      </c>
      <c r="V2" s="10"/>
      <c r="W2" s="5" t="s">
        <v>226</v>
      </c>
      <c r="X2" s="10"/>
      <c r="Y2" s="5" t="s">
        <v>225</v>
      </c>
      <c r="Z2" s="10"/>
      <c r="AA2" s="5"/>
      <c r="AB2" s="11"/>
      <c r="AC2" s="5"/>
      <c r="AD2" s="10"/>
      <c r="AE2" s="5"/>
    </row>
    <row r="3" spans="2:31" s="9" customFormat="1" x14ac:dyDescent="0.25">
      <c r="C3" s="12"/>
      <c r="D3" s="12" t="s">
        <v>319</v>
      </c>
      <c r="E3" s="12" t="s">
        <v>6113</v>
      </c>
      <c r="F3" s="13"/>
      <c r="G3" s="12"/>
      <c r="H3" s="12" t="s">
        <v>319</v>
      </c>
      <c r="I3" s="12" t="s">
        <v>6113</v>
      </c>
      <c r="O3" s="13"/>
      <c r="U3" s="5"/>
      <c r="V3" s="10"/>
      <c r="W3" s="5"/>
      <c r="X3" s="10"/>
      <c r="Y3" s="5"/>
      <c r="Z3" s="10"/>
      <c r="AA3" s="5"/>
      <c r="AB3" s="11"/>
      <c r="AC3" s="5"/>
      <c r="AD3" s="10"/>
      <c r="AE3" s="5"/>
    </row>
    <row r="4" spans="2:31" x14ac:dyDescent="0.25">
      <c r="U4" s="7"/>
      <c r="V4" s="8"/>
      <c r="W4" s="7"/>
      <c r="X4" s="8"/>
      <c r="Y4" s="7"/>
      <c r="Z4" s="8"/>
      <c r="AA4" s="7"/>
      <c r="AB4" s="8"/>
      <c r="AC4" s="7"/>
      <c r="AD4" s="8"/>
      <c r="AE4" s="7"/>
    </row>
    <row r="5" spans="2:31" x14ac:dyDescent="0.25">
      <c r="B5" s="5" t="s">
        <v>6926</v>
      </c>
      <c r="R5" s="4"/>
      <c r="U5" s="6"/>
      <c r="W5" s="6" t="s">
        <v>224</v>
      </c>
      <c r="Y5" s="6" t="s">
        <v>224</v>
      </c>
      <c r="AA5" s="6"/>
      <c r="AC5" s="6"/>
      <c r="AE5" s="6"/>
    </row>
    <row r="6" spans="2:31" x14ac:dyDescent="0.25">
      <c r="B6" s="1">
        <v>5</v>
      </c>
      <c r="C6" s="2">
        <f t="shared" ref="C6:C11" si="0">COUNTIFS(D:D,D6)</f>
        <v>1</v>
      </c>
      <c r="D6" s="77" t="s">
        <v>6492</v>
      </c>
      <c r="E6" s="77" t="s">
        <v>6493</v>
      </c>
      <c r="G6" s="2">
        <f t="shared" ref="G6:G11" si="1">COUNTIFS(H:H,H6)</f>
        <v>0</v>
      </c>
      <c r="H6" s="105"/>
      <c r="I6" s="77"/>
      <c r="Q6" s="4"/>
      <c r="R6" s="4"/>
      <c r="W6" s="4" t="s">
        <v>222</v>
      </c>
      <c r="Y6" s="4" t="s">
        <v>222</v>
      </c>
    </row>
    <row r="7" spans="2:31" x14ac:dyDescent="0.25">
      <c r="C7" s="2">
        <f t="shared" si="0"/>
        <v>0</v>
      </c>
      <c r="D7" s="77"/>
      <c r="E7" s="77"/>
      <c r="G7" s="2">
        <f t="shared" si="1"/>
        <v>1</v>
      </c>
      <c r="H7" s="79" t="s">
        <v>6988</v>
      </c>
      <c r="I7" s="77" t="s">
        <v>6987</v>
      </c>
      <c r="Q7" s="2"/>
      <c r="R7" s="4"/>
      <c r="W7" s="4" t="s">
        <v>206</v>
      </c>
      <c r="Y7" s="4" t="s">
        <v>205</v>
      </c>
    </row>
    <row r="8" spans="2:31" x14ac:dyDescent="0.25">
      <c r="C8" s="2">
        <f t="shared" si="0"/>
        <v>0</v>
      </c>
      <c r="D8" s="77"/>
      <c r="E8" s="77"/>
      <c r="G8" s="2">
        <f t="shared" si="1"/>
        <v>0</v>
      </c>
      <c r="H8" s="77"/>
      <c r="I8" s="77"/>
      <c r="Q8" s="2"/>
      <c r="R8" s="4"/>
      <c r="W8" s="4" t="s">
        <v>204</v>
      </c>
      <c r="Y8" s="4" t="s">
        <v>197</v>
      </c>
    </row>
    <row r="9" spans="2:31" x14ac:dyDescent="0.25">
      <c r="C9" s="2">
        <f t="shared" si="0"/>
        <v>0</v>
      </c>
      <c r="D9" s="77"/>
      <c r="E9" s="77"/>
      <c r="G9" s="2">
        <f t="shared" si="1"/>
        <v>0</v>
      </c>
      <c r="H9" s="77"/>
      <c r="I9" s="77"/>
      <c r="Q9" s="2"/>
      <c r="R9" s="4"/>
      <c r="W9" s="4" t="s">
        <v>203</v>
      </c>
      <c r="Y9" s="4" t="s">
        <v>202</v>
      </c>
    </row>
    <row r="10" spans="2:31" x14ac:dyDescent="0.25">
      <c r="C10" s="2">
        <f t="shared" si="0"/>
        <v>0</v>
      </c>
      <c r="D10" s="77"/>
      <c r="E10" s="77"/>
      <c r="G10" s="2">
        <f t="shared" si="1"/>
        <v>0</v>
      </c>
      <c r="Q10" s="2"/>
      <c r="R10" s="4"/>
      <c r="W10" s="4" t="s">
        <v>203</v>
      </c>
      <c r="Y10" s="4" t="s">
        <v>202</v>
      </c>
    </row>
    <row r="11" spans="2:31" x14ac:dyDescent="0.25">
      <c r="C11" s="2">
        <f t="shared" si="0"/>
        <v>0</v>
      </c>
      <c r="D11"/>
      <c r="E11"/>
      <c r="G11" s="2">
        <f t="shared" si="1"/>
        <v>0</v>
      </c>
      <c r="Q11" s="2"/>
      <c r="R11" s="4"/>
      <c r="W11" s="4" t="s">
        <v>203</v>
      </c>
      <c r="Y11" s="4" t="s">
        <v>202</v>
      </c>
    </row>
    <row r="12" spans="2:31" x14ac:dyDescent="0.25">
      <c r="C12" s="2"/>
      <c r="D12"/>
      <c r="E12"/>
      <c r="G12" s="2"/>
      <c r="Q12" s="2"/>
      <c r="R12" s="4"/>
      <c r="W12" s="4" t="s">
        <v>185</v>
      </c>
      <c r="Y12" s="4" t="s">
        <v>201</v>
      </c>
    </row>
    <row r="13" spans="2:31" x14ac:dyDescent="0.25">
      <c r="B13" s="1">
        <v>4</v>
      </c>
      <c r="C13" s="2">
        <f t="shared" ref="C13:C22" si="2">COUNTIFS(D:D,D13)</f>
        <v>1</v>
      </c>
      <c r="D13" s="77" t="s">
        <v>6924</v>
      </c>
      <c r="E13" s="77" t="s">
        <v>6925</v>
      </c>
      <c r="G13" s="2">
        <f t="shared" ref="G13:G22" si="3">COUNTIFS(H:H,H13)</f>
        <v>1</v>
      </c>
      <c r="H13" s="79" t="s">
        <v>6999</v>
      </c>
      <c r="I13" s="77" t="s">
        <v>6998</v>
      </c>
      <c r="Q13" s="2"/>
      <c r="U13" s="4"/>
      <c r="W13" s="4"/>
    </row>
    <row r="14" spans="2:31" x14ac:dyDescent="0.25">
      <c r="C14" s="2">
        <f t="shared" si="2"/>
        <v>1</v>
      </c>
      <c r="D14" s="79" t="s">
        <v>6225</v>
      </c>
      <c r="E14" s="77" t="s">
        <v>6979</v>
      </c>
      <c r="G14" s="2">
        <f t="shared" si="3"/>
        <v>0</v>
      </c>
      <c r="H14" s="77"/>
      <c r="I14" s="77"/>
      <c r="Q14" s="2"/>
      <c r="U14" s="4"/>
      <c r="W14" s="4"/>
    </row>
    <row r="15" spans="2:31" x14ac:dyDescent="0.25">
      <c r="C15" s="2">
        <f t="shared" si="2"/>
        <v>1</v>
      </c>
      <c r="D15" s="79" t="s">
        <v>7103</v>
      </c>
      <c r="E15" s="77" t="s">
        <v>6954</v>
      </c>
      <c r="G15" s="2">
        <f t="shared" si="3"/>
        <v>0</v>
      </c>
      <c r="H15" s="77"/>
      <c r="I15" s="77"/>
      <c r="Q15" s="2"/>
      <c r="U15" s="4"/>
      <c r="W15" s="4"/>
    </row>
    <row r="16" spans="2:31" x14ac:dyDescent="0.25">
      <c r="C16" s="2">
        <f t="shared" si="2"/>
        <v>1</v>
      </c>
      <c r="D16" s="79" t="s">
        <v>7131</v>
      </c>
      <c r="E16" s="77" t="s">
        <v>7130</v>
      </c>
      <c r="G16" s="2">
        <f t="shared" si="3"/>
        <v>0</v>
      </c>
      <c r="H16" s="77"/>
      <c r="I16" s="77"/>
      <c r="Q16" s="2"/>
      <c r="U16" s="4"/>
      <c r="W16" s="4"/>
    </row>
    <row r="17" spans="2:28" x14ac:dyDescent="0.25">
      <c r="C17" s="2">
        <f t="shared" si="2"/>
        <v>1</v>
      </c>
      <c r="D17" s="77" t="s">
        <v>7117</v>
      </c>
      <c r="E17" s="77" t="s">
        <v>7157</v>
      </c>
      <c r="G17" s="2">
        <f t="shared" si="3"/>
        <v>0</v>
      </c>
      <c r="H17" s="77"/>
      <c r="I17" s="77"/>
      <c r="Q17" s="2"/>
      <c r="U17" s="4"/>
      <c r="W17" s="4"/>
    </row>
    <row r="18" spans="2:28" x14ac:dyDescent="0.25">
      <c r="C18" s="2">
        <f t="shared" si="2"/>
        <v>1</v>
      </c>
      <c r="D18" s="79" t="s">
        <v>7160</v>
      </c>
      <c r="E18" s="77" t="s">
        <v>7159</v>
      </c>
      <c r="G18" s="2">
        <f t="shared" si="3"/>
        <v>0</v>
      </c>
      <c r="Q18" s="2"/>
      <c r="U18" s="4"/>
      <c r="W18" s="4"/>
    </row>
    <row r="19" spans="2:28" x14ac:dyDescent="0.25">
      <c r="C19" s="2">
        <f t="shared" si="2"/>
        <v>1</v>
      </c>
      <c r="D19" s="77" t="s">
        <v>7123</v>
      </c>
      <c r="E19" s="77" t="s">
        <v>7165</v>
      </c>
      <c r="G19" s="2">
        <f t="shared" si="3"/>
        <v>0</v>
      </c>
      <c r="Q19" s="2"/>
      <c r="U19" s="4"/>
      <c r="W19" s="4"/>
    </row>
    <row r="20" spans="2:28" x14ac:dyDescent="0.25">
      <c r="C20" s="2">
        <f t="shared" si="2"/>
        <v>1</v>
      </c>
      <c r="D20" t="s">
        <v>7124</v>
      </c>
      <c r="E20" t="s">
        <v>7166</v>
      </c>
      <c r="G20" s="2">
        <f t="shared" si="3"/>
        <v>0</v>
      </c>
      <c r="Q20" s="2"/>
      <c r="U20" s="4"/>
      <c r="W20" s="4"/>
    </row>
    <row r="21" spans="2:28" x14ac:dyDescent="0.25">
      <c r="C21" s="2">
        <f t="shared" si="2"/>
        <v>0</v>
      </c>
      <c r="D21"/>
      <c r="E21"/>
      <c r="G21" s="2">
        <f t="shared" si="3"/>
        <v>0</v>
      </c>
      <c r="Q21" s="2"/>
      <c r="U21" s="4"/>
      <c r="W21" s="4"/>
    </row>
    <row r="22" spans="2:28" x14ac:dyDescent="0.25">
      <c r="C22" s="2">
        <f t="shared" si="2"/>
        <v>0</v>
      </c>
      <c r="D22"/>
      <c r="E22"/>
      <c r="G22" s="2">
        <f t="shared" si="3"/>
        <v>0</v>
      </c>
      <c r="Q22" s="2"/>
      <c r="U22" s="4"/>
      <c r="W22" s="4"/>
    </row>
    <row r="23" spans="2:28" x14ac:dyDescent="0.25">
      <c r="C23" s="2"/>
      <c r="D23"/>
      <c r="E23"/>
      <c r="G23" s="2"/>
      <c r="Q23" s="2"/>
      <c r="U23" s="4"/>
      <c r="W23" s="4"/>
    </row>
    <row r="24" spans="2:28" x14ac:dyDescent="0.25">
      <c r="B24" s="1">
        <v>3</v>
      </c>
      <c r="C24" s="2">
        <f t="shared" ref="C24:C30" si="4">COUNTIFS(D:D,D24)</f>
        <v>1</v>
      </c>
      <c r="D24" s="79" t="s">
        <v>7128</v>
      </c>
      <c r="E24" s="77" t="s">
        <v>7129</v>
      </c>
      <c r="G24" s="2">
        <f t="shared" ref="G24:G30" si="5">COUNTIFS(H:H,H24)</f>
        <v>0</v>
      </c>
      <c r="Q24" s="2"/>
      <c r="U24" s="4"/>
      <c r="W24" s="4"/>
    </row>
    <row r="25" spans="2:28" x14ac:dyDescent="0.25">
      <c r="C25" s="2">
        <f t="shared" si="4"/>
        <v>1</v>
      </c>
      <c r="D25" s="77" t="s">
        <v>7118</v>
      </c>
      <c r="E25" s="77" t="s">
        <v>7158</v>
      </c>
      <c r="G25" s="2">
        <f t="shared" si="5"/>
        <v>0</v>
      </c>
      <c r="Q25" s="2"/>
      <c r="U25" s="4"/>
      <c r="W25" s="4"/>
    </row>
    <row r="26" spans="2:28" x14ac:dyDescent="0.25">
      <c r="C26" s="2">
        <f t="shared" si="4"/>
        <v>0</v>
      </c>
      <c r="D26" s="79"/>
      <c r="E26" s="77"/>
      <c r="G26" s="2">
        <f t="shared" si="5"/>
        <v>0</v>
      </c>
      <c r="Q26" s="2"/>
      <c r="U26" s="4"/>
      <c r="W26" s="4"/>
    </row>
    <row r="27" spans="2:28" x14ac:dyDescent="0.25">
      <c r="C27" s="2">
        <f t="shared" si="4"/>
        <v>0</v>
      </c>
      <c r="D27" s="77"/>
      <c r="E27" s="77"/>
      <c r="G27" s="2">
        <f t="shared" si="5"/>
        <v>0</v>
      </c>
      <c r="Q27" s="2"/>
      <c r="U27" s="4"/>
      <c r="W27" s="4"/>
    </row>
    <row r="28" spans="2:28" x14ac:dyDescent="0.25">
      <c r="C28" s="2">
        <f t="shared" si="4"/>
        <v>0</v>
      </c>
      <c r="D28" s="79"/>
      <c r="E28" s="77"/>
      <c r="G28" s="2">
        <f t="shared" si="5"/>
        <v>0</v>
      </c>
      <c r="Q28" s="2"/>
      <c r="U28" s="4"/>
      <c r="W28" s="4"/>
    </row>
    <row r="29" spans="2:28" x14ac:dyDescent="0.25">
      <c r="C29" s="2">
        <f t="shared" si="4"/>
        <v>0</v>
      </c>
      <c r="D29" s="77"/>
      <c r="E29" s="77"/>
      <c r="G29" s="2">
        <f t="shared" si="5"/>
        <v>0</v>
      </c>
      <c r="Q29" s="2"/>
      <c r="U29" s="4"/>
      <c r="W29" s="4"/>
    </row>
    <row r="30" spans="2:28" x14ac:dyDescent="0.25">
      <c r="C30" s="2">
        <f t="shared" si="4"/>
        <v>0</v>
      </c>
      <c r="D30" s="79"/>
      <c r="E30" s="77"/>
      <c r="G30" s="2">
        <f t="shared" si="5"/>
        <v>0</v>
      </c>
      <c r="Q30" s="2"/>
      <c r="U30" s="4"/>
      <c r="W30" s="4"/>
    </row>
    <row r="32" spans="2:28" x14ac:dyDescent="0.25">
      <c r="B32" s="5" t="s">
        <v>6927</v>
      </c>
      <c r="D32"/>
      <c r="E32"/>
      <c r="AB32"/>
    </row>
    <row r="33" spans="2:28" x14ac:dyDescent="0.25">
      <c r="B33" s="1">
        <v>5</v>
      </c>
      <c r="C33" s="2">
        <f t="shared" ref="C33:C38" si="6">COUNTIFS(D:D,D33)</f>
        <v>0</v>
      </c>
      <c r="D33"/>
      <c r="E33"/>
      <c r="G33" s="2">
        <f t="shared" ref="G33:G38" si="7">COUNTIFS(H:H,H33)</f>
        <v>1</v>
      </c>
      <c r="H33" s="105" t="s">
        <v>6363</v>
      </c>
      <c r="I33" s="77" t="s">
        <v>6980</v>
      </c>
      <c r="AB33"/>
    </row>
    <row r="34" spans="2:28" x14ac:dyDescent="0.25">
      <c r="C34" s="2">
        <f t="shared" si="6"/>
        <v>0</v>
      </c>
      <c r="D34"/>
      <c r="E34"/>
      <c r="G34" s="2">
        <f t="shared" si="7"/>
        <v>0</v>
      </c>
      <c r="H34" s="77"/>
      <c r="I34" s="77"/>
      <c r="AB34"/>
    </row>
    <row r="35" spans="2:28" x14ac:dyDescent="0.25">
      <c r="C35" s="2">
        <f t="shared" si="6"/>
        <v>0</v>
      </c>
      <c r="D35"/>
      <c r="E35"/>
      <c r="G35" s="2">
        <f t="shared" si="7"/>
        <v>0</v>
      </c>
      <c r="H35" s="77"/>
      <c r="I35" s="77"/>
      <c r="AB35"/>
    </row>
    <row r="36" spans="2:28" x14ac:dyDescent="0.25">
      <c r="C36" s="2">
        <f t="shared" si="6"/>
        <v>0</v>
      </c>
      <c r="D36"/>
      <c r="E36"/>
      <c r="G36" s="2">
        <f t="shared" si="7"/>
        <v>0</v>
      </c>
      <c r="AB36"/>
    </row>
    <row r="37" spans="2:28" x14ac:dyDescent="0.25">
      <c r="C37" s="2">
        <f t="shared" si="6"/>
        <v>0</v>
      </c>
      <c r="D37"/>
      <c r="E37"/>
      <c r="G37" s="2">
        <f t="shared" si="7"/>
        <v>0</v>
      </c>
      <c r="AB37"/>
    </row>
    <row r="38" spans="2:28" x14ac:dyDescent="0.25">
      <c r="C38" s="2">
        <f t="shared" si="6"/>
        <v>0</v>
      </c>
      <c r="D38"/>
      <c r="E38"/>
      <c r="G38" s="2">
        <f t="shared" si="7"/>
        <v>0</v>
      </c>
      <c r="AB38"/>
    </row>
    <row r="39" spans="2:28" x14ac:dyDescent="0.25">
      <c r="C39" s="2"/>
      <c r="D39"/>
      <c r="E39"/>
      <c r="G39" s="2"/>
      <c r="AB39"/>
    </row>
    <row r="40" spans="2:28" x14ac:dyDescent="0.25">
      <c r="B40" s="1">
        <v>4</v>
      </c>
      <c r="C40" s="2">
        <f t="shared" ref="C40:C52" si="8">COUNTIFS(D:D,D40)</f>
        <v>1</v>
      </c>
      <c r="D40" s="77" t="s">
        <v>6223</v>
      </c>
      <c r="E40" s="77" t="s">
        <v>6976</v>
      </c>
      <c r="G40" s="2">
        <f t="shared" ref="G40:G52" si="9">COUNTIFS(H:H,H40)</f>
        <v>1</v>
      </c>
      <c r="H40" s="77" t="s">
        <v>6982</v>
      </c>
      <c r="I40" s="77" t="s">
        <v>6981</v>
      </c>
      <c r="AB40"/>
    </row>
    <row r="41" spans="2:28" x14ac:dyDescent="0.25">
      <c r="C41" s="2">
        <f t="shared" si="8"/>
        <v>1</v>
      </c>
      <c r="D41" s="77" t="s">
        <v>6222</v>
      </c>
      <c r="E41" s="77" t="s">
        <v>6975</v>
      </c>
      <c r="G41" s="2">
        <f t="shared" si="9"/>
        <v>1</v>
      </c>
      <c r="H41" s="77" t="s">
        <v>7001</v>
      </c>
      <c r="I41" s="77" t="s">
        <v>7000</v>
      </c>
      <c r="AB41"/>
    </row>
    <row r="42" spans="2:28" x14ac:dyDescent="0.25">
      <c r="C42" s="2">
        <f t="shared" si="8"/>
        <v>1</v>
      </c>
      <c r="D42" s="77" t="s">
        <v>6224</v>
      </c>
      <c r="E42" s="77" t="s">
        <v>6977</v>
      </c>
      <c r="G42" s="2">
        <f t="shared" si="9"/>
        <v>1</v>
      </c>
      <c r="H42" s="77" t="s">
        <v>7003</v>
      </c>
      <c r="I42" s="77" t="s">
        <v>7002</v>
      </c>
      <c r="AB42"/>
    </row>
    <row r="43" spans="2:28" x14ac:dyDescent="0.25">
      <c r="C43" s="2">
        <f t="shared" si="8"/>
        <v>1</v>
      </c>
      <c r="D43" s="79" t="s">
        <v>6524</v>
      </c>
      <c r="E43" s="77" t="s">
        <v>6525</v>
      </c>
      <c r="G43" s="2">
        <f t="shared" si="9"/>
        <v>1</v>
      </c>
      <c r="H43" s="77" t="s">
        <v>7004</v>
      </c>
      <c r="I43" s="77" t="s">
        <v>5516</v>
      </c>
      <c r="AB43"/>
    </row>
    <row r="44" spans="2:28" x14ac:dyDescent="0.25">
      <c r="C44" s="2">
        <f t="shared" si="8"/>
        <v>1</v>
      </c>
      <c r="D44" s="77" t="s">
        <v>7084</v>
      </c>
      <c r="E44" s="77" t="s">
        <v>7083</v>
      </c>
      <c r="G44" s="2">
        <f t="shared" si="9"/>
        <v>1</v>
      </c>
      <c r="H44" s="77" t="s">
        <v>7005</v>
      </c>
      <c r="I44" s="77" t="s">
        <v>5516</v>
      </c>
      <c r="AB44"/>
    </row>
    <row r="45" spans="2:28" x14ac:dyDescent="0.25">
      <c r="C45" s="2">
        <f t="shared" si="8"/>
        <v>1</v>
      </c>
      <c r="D45" t="s">
        <v>7104</v>
      </c>
      <c r="E45" t="s">
        <v>7014</v>
      </c>
      <c r="G45" s="2">
        <f t="shared" si="9"/>
        <v>1</v>
      </c>
      <c r="H45" s="79" t="s">
        <v>7006</v>
      </c>
      <c r="I45" s="77" t="s">
        <v>7009</v>
      </c>
      <c r="AB45"/>
    </row>
    <row r="46" spans="2:28" x14ac:dyDescent="0.25">
      <c r="C46" s="2">
        <f t="shared" si="8"/>
        <v>1</v>
      </c>
      <c r="D46" t="s">
        <v>7110</v>
      </c>
      <c r="E46" t="s">
        <v>7144</v>
      </c>
      <c r="G46" s="2">
        <f t="shared" si="9"/>
        <v>1</v>
      </c>
      <c r="H46" s="77" t="s">
        <v>7015</v>
      </c>
      <c r="I46" s="77" t="s">
        <v>7014</v>
      </c>
      <c r="AB46"/>
    </row>
    <row r="47" spans="2:28" x14ac:dyDescent="0.25">
      <c r="C47" s="2">
        <f t="shared" si="8"/>
        <v>1</v>
      </c>
      <c r="D47" t="s">
        <v>7122</v>
      </c>
      <c r="E47" t="s">
        <v>7164</v>
      </c>
      <c r="G47" s="2">
        <f t="shared" si="9"/>
        <v>1</v>
      </c>
      <c r="H47" s="77" t="s">
        <v>7301</v>
      </c>
      <c r="I47" s="77" t="s">
        <v>7302</v>
      </c>
      <c r="AB47"/>
    </row>
    <row r="48" spans="2:28" x14ac:dyDescent="0.25">
      <c r="C48" s="2">
        <f t="shared" si="8"/>
        <v>0</v>
      </c>
      <c r="D48"/>
      <c r="E48"/>
      <c r="G48" s="2">
        <f t="shared" si="9"/>
        <v>1</v>
      </c>
      <c r="H48" s="77" t="s">
        <v>7303</v>
      </c>
      <c r="I48" s="77" t="s">
        <v>7304</v>
      </c>
      <c r="AB48"/>
    </row>
    <row r="49" spans="2:28" x14ac:dyDescent="0.25">
      <c r="C49" s="2">
        <f t="shared" si="8"/>
        <v>0</v>
      </c>
      <c r="D49"/>
      <c r="E49"/>
      <c r="G49" s="2">
        <f t="shared" si="9"/>
        <v>0</v>
      </c>
      <c r="H49" s="77"/>
      <c r="I49" s="77"/>
      <c r="AB49"/>
    </row>
    <row r="50" spans="2:28" x14ac:dyDescent="0.25">
      <c r="C50" s="2">
        <f t="shared" si="8"/>
        <v>0</v>
      </c>
      <c r="D50"/>
      <c r="E50"/>
      <c r="G50" s="2">
        <f t="shared" si="9"/>
        <v>0</v>
      </c>
      <c r="AB50"/>
    </row>
    <row r="51" spans="2:28" x14ac:dyDescent="0.25">
      <c r="C51" s="2">
        <f t="shared" si="8"/>
        <v>0</v>
      </c>
      <c r="D51"/>
      <c r="E51"/>
      <c r="G51" s="2">
        <f t="shared" si="9"/>
        <v>0</v>
      </c>
      <c r="AB51"/>
    </row>
    <row r="52" spans="2:28" x14ac:dyDescent="0.25">
      <c r="C52" s="2">
        <f t="shared" si="8"/>
        <v>0</v>
      </c>
      <c r="D52"/>
      <c r="E52"/>
      <c r="G52" s="2">
        <f t="shared" si="9"/>
        <v>0</v>
      </c>
      <c r="AB52"/>
    </row>
    <row r="53" spans="2:28" x14ac:dyDescent="0.25">
      <c r="C53" s="2"/>
      <c r="D53"/>
      <c r="E53"/>
      <c r="G53" s="2"/>
      <c r="AB53"/>
    </row>
    <row r="54" spans="2:28" x14ac:dyDescent="0.25">
      <c r="C54" s="2"/>
      <c r="D54"/>
      <c r="E54"/>
      <c r="G54" s="2"/>
      <c r="AB54"/>
    </row>
    <row r="55" spans="2:28" x14ac:dyDescent="0.25">
      <c r="B55" s="1">
        <v>3</v>
      </c>
      <c r="C55" s="2">
        <f t="shared" ref="C55:C60" si="10">COUNTIFS(D:D,D55)</f>
        <v>1</v>
      </c>
      <c r="D55" s="79" t="s">
        <v>6527</v>
      </c>
      <c r="E55" s="77" t="s">
        <v>6526</v>
      </c>
      <c r="G55" s="2">
        <f t="shared" ref="G55:G60" si="11">COUNTIFS(H:H,H55)</f>
        <v>1</v>
      </c>
      <c r="H55" s="77" t="s">
        <v>7007</v>
      </c>
      <c r="I55" s="77" t="s">
        <v>7008</v>
      </c>
      <c r="AB55"/>
    </row>
    <row r="56" spans="2:28" x14ac:dyDescent="0.25">
      <c r="C56" s="2">
        <f t="shared" si="10"/>
        <v>1</v>
      </c>
      <c r="D56" s="77" t="s">
        <v>6520</v>
      </c>
      <c r="E56" s="77" t="s">
        <v>6521</v>
      </c>
      <c r="G56" s="2">
        <f t="shared" si="11"/>
        <v>1</v>
      </c>
      <c r="H56" s="77" t="s">
        <v>7011</v>
      </c>
      <c r="I56" s="77" t="s">
        <v>7010</v>
      </c>
      <c r="AB56"/>
    </row>
    <row r="57" spans="2:28" x14ac:dyDescent="0.25">
      <c r="C57" s="2">
        <f t="shared" si="10"/>
        <v>1</v>
      </c>
      <c r="D57" t="s">
        <v>7114</v>
      </c>
      <c r="E57" t="s">
        <v>7154</v>
      </c>
      <c r="G57" s="2">
        <f t="shared" si="11"/>
        <v>1</v>
      </c>
      <c r="H57" s="77" t="s">
        <v>7013</v>
      </c>
      <c r="I57" s="77" t="s">
        <v>7012</v>
      </c>
      <c r="AB57"/>
    </row>
    <row r="58" spans="2:28" x14ac:dyDescent="0.25">
      <c r="C58" s="2">
        <f t="shared" si="10"/>
        <v>0</v>
      </c>
      <c r="D58"/>
      <c r="E58"/>
      <c r="G58" s="2">
        <f t="shared" si="11"/>
        <v>0</v>
      </c>
      <c r="H58" s="77"/>
      <c r="I58" s="77"/>
      <c r="AB58"/>
    </row>
    <row r="59" spans="2:28" x14ac:dyDescent="0.25">
      <c r="C59" s="2">
        <f t="shared" si="10"/>
        <v>0</v>
      </c>
      <c r="D59"/>
      <c r="E59"/>
      <c r="G59" s="2">
        <f t="shared" si="11"/>
        <v>0</v>
      </c>
      <c r="H59" s="77"/>
      <c r="I59" s="77"/>
      <c r="AB59"/>
    </row>
    <row r="60" spans="2:28" x14ac:dyDescent="0.25">
      <c r="C60" s="2">
        <f t="shared" si="10"/>
        <v>0</v>
      </c>
      <c r="D60"/>
      <c r="E60"/>
      <c r="G60" s="2">
        <f t="shared" si="11"/>
        <v>0</v>
      </c>
      <c r="H60" s="77"/>
      <c r="I60" s="77"/>
      <c r="AB60"/>
    </row>
    <row r="61" spans="2:28" x14ac:dyDescent="0.25">
      <c r="D61"/>
      <c r="E61"/>
      <c r="AB61"/>
    </row>
    <row r="62" spans="2:28" x14ac:dyDescent="0.25">
      <c r="B62" s="5" t="s">
        <v>6928</v>
      </c>
      <c r="D62"/>
      <c r="E62"/>
      <c r="AB62"/>
    </row>
    <row r="63" spans="2:28" x14ac:dyDescent="0.25">
      <c r="B63" s="1">
        <v>5</v>
      </c>
      <c r="C63" s="2">
        <f t="shared" ref="C63:C68" si="12">COUNTIFS(D:D,D63)</f>
        <v>1</v>
      </c>
      <c r="D63" s="4" t="s">
        <v>7085</v>
      </c>
      <c r="E63" t="s">
        <v>7086</v>
      </c>
      <c r="G63" s="2">
        <f t="shared" ref="G63:G68" si="13">COUNTIFS(H:H,H63)</f>
        <v>0</v>
      </c>
      <c r="AB63"/>
    </row>
    <row r="64" spans="2:28" x14ac:dyDescent="0.25">
      <c r="C64" s="2">
        <f t="shared" si="12"/>
        <v>1</v>
      </c>
      <c r="D64" t="s">
        <v>7102</v>
      </c>
      <c r="E64" t="s">
        <v>7101</v>
      </c>
      <c r="G64" s="2">
        <f t="shared" si="13"/>
        <v>0</v>
      </c>
      <c r="AB64"/>
    </row>
    <row r="65" spans="2:28" x14ac:dyDescent="0.25">
      <c r="C65" s="2">
        <f t="shared" si="12"/>
        <v>1</v>
      </c>
      <c r="D65" t="s">
        <v>7119</v>
      </c>
      <c r="E65" t="s">
        <v>7161</v>
      </c>
      <c r="G65" s="2">
        <f t="shared" si="13"/>
        <v>0</v>
      </c>
      <c r="AB65"/>
    </row>
    <row r="66" spans="2:28" x14ac:dyDescent="0.25">
      <c r="C66" s="2">
        <f t="shared" si="12"/>
        <v>0</v>
      </c>
      <c r="D66"/>
      <c r="E66"/>
      <c r="G66" s="2">
        <f t="shared" si="13"/>
        <v>0</v>
      </c>
      <c r="AB66"/>
    </row>
    <row r="67" spans="2:28" x14ac:dyDescent="0.25">
      <c r="C67" s="2">
        <f t="shared" si="12"/>
        <v>0</v>
      </c>
      <c r="D67"/>
      <c r="E67"/>
      <c r="G67" s="2">
        <f t="shared" si="13"/>
        <v>0</v>
      </c>
      <c r="AB67"/>
    </row>
    <row r="68" spans="2:28" x14ac:dyDescent="0.25">
      <c r="C68" s="2">
        <f t="shared" si="12"/>
        <v>0</v>
      </c>
      <c r="D68"/>
      <c r="E68"/>
      <c r="G68" s="2">
        <f t="shared" si="13"/>
        <v>0</v>
      </c>
      <c r="AB68"/>
    </row>
    <row r="69" spans="2:28" x14ac:dyDescent="0.25">
      <c r="C69" s="2"/>
      <c r="D69"/>
      <c r="E69"/>
      <c r="G69" s="2"/>
      <c r="AB69"/>
    </row>
    <row r="70" spans="2:28" x14ac:dyDescent="0.25">
      <c r="B70" s="1">
        <v>4</v>
      </c>
      <c r="C70" s="2">
        <f t="shared" ref="C70:C77" si="14">COUNTIFS(D:D,D70)</f>
        <v>1</v>
      </c>
      <c r="D70" t="s">
        <v>7150</v>
      </c>
      <c r="E70" t="s">
        <v>7149</v>
      </c>
      <c r="G70" s="2">
        <f t="shared" ref="G70:G77" si="15">COUNTIFS(H:H,H70)</f>
        <v>1</v>
      </c>
      <c r="H70" s="77" t="s">
        <v>6986</v>
      </c>
      <c r="I70" s="77" t="s">
        <v>6985</v>
      </c>
      <c r="AB70"/>
    </row>
    <row r="71" spans="2:28" x14ac:dyDescent="0.25">
      <c r="C71" s="2">
        <f t="shared" si="14"/>
        <v>1</v>
      </c>
      <c r="D71" t="s">
        <v>7111</v>
      </c>
      <c r="E71" t="s">
        <v>7148</v>
      </c>
      <c r="G71" s="2">
        <f t="shared" si="15"/>
        <v>0</v>
      </c>
      <c r="H71" s="77"/>
      <c r="I71" s="77"/>
      <c r="AB71"/>
    </row>
    <row r="72" spans="2:28" x14ac:dyDescent="0.25">
      <c r="C72" s="2">
        <f t="shared" si="14"/>
        <v>0</v>
      </c>
      <c r="D72"/>
      <c r="E72"/>
      <c r="G72" s="2">
        <f t="shared" si="15"/>
        <v>0</v>
      </c>
      <c r="H72" s="77"/>
      <c r="I72" s="77"/>
      <c r="AB72"/>
    </row>
    <row r="73" spans="2:28" x14ac:dyDescent="0.25">
      <c r="C73" s="2">
        <f t="shared" si="14"/>
        <v>0</v>
      </c>
      <c r="D73"/>
      <c r="E73"/>
      <c r="G73" s="2">
        <f t="shared" si="15"/>
        <v>0</v>
      </c>
      <c r="AB73"/>
    </row>
    <row r="74" spans="2:28" x14ac:dyDescent="0.25">
      <c r="C74" s="2">
        <f t="shared" si="14"/>
        <v>0</v>
      </c>
      <c r="D74"/>
      <c r="E74"/>
      <c r="G74" s="2">
        <f t="shared" si="15"/>
        <v>0</v>
      </c>
      <c r="AB74"/>
    </row>
    <row r="75" spans="2:28" x14ac:dyDescent="0.25">
      <c r="C75" s="2">
        <f t="shared" si="14"/>
        <v>0</v>
      </c>
      <c r="D75"/>
      <c r="E75"/>
      <c r="G75" s="2">
        <f t="shared" si="15"/>
        <v>0</v>
      </c>
      <c r="AB75"/>
    </row>
    <row r="76" spans="2:28" x14ac:dyDescent="0.25">
      <c r="C76" s="2">
        <f t="shared" si="14"/>
        <v>0</v>
      </c>
      <c r="D76"/>
      <c r="E76"/>
      <c r="G76" s="2">
        <f t="shared" si="15"/>
        <v>0</v>
      </c>
      <c r="AB76"/>
    </row>
    <row r="77" spans="2:28" x14ac:dyDescent="0.25">
      <c r="C77" s="2">
        <f t="shared" si="14"/>
        <v>0</v>
      </c>
      <c r="D77"/>
      <c r="E77"/>
      <c r="G77" s="2">
        <f t="shared" si="15"/>
        <v>0</v>
      </c>
      <c r="AB77"/>
    </row>
    <row r="78" spans="2:28" x14ac:dyDescent="0.25">
      <c r="C78" s="2"/>
      <c r="D78"/>
      <c r="E78"/>
      <c r="G78" s="2"/>
      <c r="AB78"/>
    </row>
    <row r="79" spans="2:28" x14ac:dyDescent="0.25">
      <c r="B79" s="1">
        <v>3</v>
      </c>
      <c r="C79" s="2">
        <f t="shared" ref="C79:C84" si="16">COUNTIFS(D:D,D79)</f>
        <v>1</v>
      </c>
      <c r="D79" t="s">
        <v>7115</v>
      </c>
      <c r="E79" t="s">
        <v>7155</v>
      </c>
      <c r="G79" s="2">
        <f t="shared" ref="G79:G84" si="17">COUNTIFS(H:H,H79)</f>
        <v>0</v>
      </c>
      <c r="AB79"/>
    </row>
    <row r="80" spans="2:28" x14ac:dyDescent="0.25">
      <c r="C80" s="2">
        <f t="shared" si="16"/>
        <v>0</v>
      </c>
      <c r="D80"/>
      <c r="E80"/>
      <c r="G80" s="2">
        <f t="shared" si="17"/>
        <v>0</v>
      </c>
      <c r="AB80"/>
    </row>
    <row r="81" spans="2:28" x14ac:dyDescent="0.25">
      <c r="C81" s="2">
        <f t="shared" si="16"/>
        <v>0</v>
      </c>
      <c r="D81"/>
      <c r="E81"/>
      <c r="G81" s="2">
        <f t="shared" si="17"/>
        <v>0</v>
      </c>
      <c r="AB81"/>
    </row>
    <row r="82" spans="2:28" x14ac:dyDescent="0.25">
      <c r="C82" s="2">
        <f t="shared" si="16"/>
        <v>0</v>
      </c>
      <c r="D82"/>
      <c r="E82"/>
      <c r="G82" s="2">
        <f t="shared" si="17"/>
        <v>0</v>
      </c>
      <c r="AB82"/>
    </row>
    <row r="83" spans="2:28" x14ac:dyDescent="0.25">
      <c r="C83" s="2">
        <f t="shared" si="16"/>
        <v>0</v>
      </c>
      <c r="D83"/>
      <c r="E83"/>
      <c r="G83" s="2">
        <f t="shared" si="17"/>
        <v>0</v>
      </c>
      <c r="AB83"/>
    </row>
    <row r="84" spans="2:28" x14ac:dyDescent="0.25">
      <c r="C84" s="2">
        <f t="shared" si="16"/>
        <v>0</v>
      </c>
      <c r="D84"/>
      <c r="E84"/>
      <c r="G84" s="2">
        <f t="shared" si="17"/>
        <v>0</v>
      </c>
      <c r="AB84"/>
    </row>
    <row r="86" spans="2:28" x14ac:dyDescent="0.25">
      <c r="B86" s="5" t="s">
        <v>6205</v>
      </c>
      <c r="D86"/>
      <c r="E86"/>
      <c r="AB86"/>
    </row>
    <row r="87" spans="2:28" x14ac:dyDescent="0.25">
      <c r="B87" s="1">
        <v>5</v>
      </c>
      <c r="C87" s="2">
        <f t="shared" ref="C87:C92" si="18">COUNTIFS(D:D,D87)</f>
        <v>0</v>
      </c>
      <c r="D87"/>
      <c r="E87"/>
      <c r="G87" s="2">
        <f t="shared" ref="G87:G92" si="19">COUNTIFS(H:H,H87)</f>
        <v>0</v>
      </c>
      <c r="AB87"/>
    </row>
    <row r="88" spans="2:28" x14ac:dyDescent="0.25">
      <c r="C88" s="2">
        <f t="shared" si="18"/>
        <v>0</v>
      </c>
      <c r="D88"/>
      <c r="E88"/>
      <c r="G88" s="2">
        <f t="shared" si="19"/>
        <v>0</v>
      </c>
      <c r="AB88"/>
    </row>
    <row r="89" spans="2:28" x14ac:dyDescent="0.25">
      <c r="C89" s="2">
        <f t="shared" si="18"/>
        <v>0</v>
      </c>
      <c r="D89"/>
      <c r="E89"/>
      <c r="G89" s="2">
        <f t="shared" si="19"/>
        <v>0</v>
      </c>
      <c r="AB89"/>
    </row>
    <row r="90" spans="2:28" x14ac:dyDescent="0.25">
      <c r="C90" s="2">
        <f t="shared" si="18"/>
        <v>0</v>
      </c>
      <c r="D90"/>
      <c r="E90"/>
      <c r="G90" s="2">
        <f t="shared" si="19"/>
        <v>0</v>
      </c>
      <c r="AB90"/>
    </row>
    <row r="91" spans="2:28" x14ac:dyDescent="0.25">
      <c r="C91" s="2">
        <f t="shared" si="18"/>
        <v>0</v>
      </c>
      <c r="D91"/>
      <c r="E91"/>
      <c r="G91" s="2">
        <f t="shared" si="19"/>
        <v>0</v>
      </c>
      <c r="AB91"/>
    </row>
    <row r="92" spans="2:28" x14ac:dyDescent="0.25">
      <c r="C92" s="2">
        <f t="shared" si="18"/>
        <v>0</v>
      </c>
      <c r="D92"/>
      <c r="E92"/>
      <c r="G92" s="2">
        <f t="shared" si="19"/>
        <v>0</v>
      </c>
      <c r="AB92"/>
    </row>
    <row r="93" spans="2:28" x14ac:dyDescent="0.25">
      <c r="C93" s="2"/>
      <c r="D93"/>
      <c r="E93"/>
      <c r="G93" s="2"/>
      <c r="AB93"/>
    </row>
    <row r="94" spans="2:28" x14ac:dyDescent="0.25">
      <c r="B94" s="1">
        <v>4</v>
      </c>
      <c r="C94" s="2">
        <f t="shared" ref="C94:C101" si="20">COUNTIFS(D:D,D94)</f>
        <v>1</v>
      </c>
      <c r="D94" s="77" t="s">
        <v>6365</v>
      </c>
      <c r="E94" s="77" t="s">
        <v>6978</v>
      </c>
      <c r="G94" s="2">
        <f t="shared" ref="G94:G101" si="21">COUNTIFS(H:H,H94)</f>
        <v>0</v>
      </c>
      <c r="AB94"/>
    </row>
    <row r="95" spans="2:28" x14ac:dyDescent="0.25">
      <c r="C95" s="2">
        <f t="shared" si="20"/>
        <v>1</v>
      </c>
      <c r="D95" t="s">
        <v>7121</v>
      </c>
      <c r="E95" t="s">
        <v>7163</v>
      </c>
      <c r="G95" s="2">
        <f t="shared" si="21"/>
        <v>0</v>
      </c>
      <c r="AB95"/>
    </row>
    <row r="96" spans="2:28" x14ac:dyDescent="0.25">
      <c r="C96" s="2">
        <f t="shared" si="20"/>
        <v>1</v>
      </c>
      <c r="D96" t="s">
        <v>7126</v>
      </c>
      <c r="E96" t="s">
        <v>7169</v>
      </c>
      <c r="G96" s="2">
        <f t="shared" si="21"/>
        <v>0</v>
      </c>
      <c r="AB96"/>
    </row>
    <row r="97" spans="2:28" x14ac:dyDescent="0.25">
      <c r="C97" s="2">
        <f t="shared" si="20"/>
        <v>1</v>
      </c>
      <c r="D97" t="s">
        <v>7127</v>
      </c>
      <c r="E97" t="s">
        <v>7170</v>
      </c>
      <c r="G97" s="2">
        <f t="shared" si="21"/>
        <v>0</v>
      </c>
      <c r="AB97"/>
    </row>
    <row r="98" spans="2:28" x14ac:dyDescent="0.25">
      <c r="C98" s="2">
        <f t="shared" si="20"/>
        <v>0</v>
      </c>
      <c r="D98"/>
      <c r="E98"/>
      <c r="G98" s="2">
        <f t="shared" si="21"/>
        <v>0</v>
      </c>
      <c r="AB98"/>
    </row>
    <row r="99" spans="2:28" x14ac:dyDescent="0.25">
      <c r="C99" s="2">
        <f t="shared" si="20"/>
        <v>0</v>
      </c>
      <c r="D99"/>
      <c r="E99"/>
      <c r="G99" s="2">
        <f t="shared" si="21"/>
        <v>0</v>
      </c>
      <c r="AB99"/>
    </row>
    <row r="100" spans="2:28" x14ac:dyDescent="0.25">
      <c r="C100" s="2">
        <f t="shared" si="20"/>
        <v>0</v>
      </c>
      <c r="D100"/>
      <c r="E100"/>
      <c r="G100" s="2">
        <f t="shared" si="21"/>
        <v>0</v>
      </c>
      <c r="AB100"/>
    </row>
    <row r="101" spans="2:28" x14ac:dyDescent="0.25">
      <c r="C101" s="2">
        <f t="shared" si="20"/>
        <v>0</v>
      </c>
      <c r="D101"/>
      <c r="E101"/>
      <c r="G101" s="2">
        <f t="shared" si="21"/>
        <v>0</v>
      </c>
      <c r="AB101"/>
    </row>
    <row r="102" spans="2:28" x14ac:dyDescent="0.25">
      <c r="C102" s="2"/>
      <c r="D102"/>
      <c r="E102"/>
      <c r="G102" s="2"/>
      <c r="AB102"/>
    </row>
    <row r="103" spans="2:28" x14ac:dyDescent="0.25">
      <c r="B103" s="1">
        <v>3</v>
      </c>
      <c r="C103" s="2">
        <f t="shared" ref="C103:C108" si="22">COUNTIFS(D:D,D103)</f>
        <v>1</v>
      </c>
      <c r="D103" t="s">
        <v>7116</v>
      </c>
      <c r="E103" t="s">
        <v>7156</v>
      </c>
      <c r="G103" s="2">
        <f t="shared" ref="G103:G108" si="23">COUNTIFS(H:H,H103)</f>
        <v>0</v>
      </c>
      <c r="AB103"/>
    </row>
    <row r="104" spans="2:28" x14ac:dyDescent="0.25">
      <c r="C104" s="2">
        <f t="shared" si="22"/>
        <v>0</v>
      </c>
      <c r="D104"/>
      <c r="E104"/>
      <c r="G104" s="2">
        <f t="shared" si="23"/>
        <v>0</v>
      </c>
      <c r="AB104"/>
    </row>
    <row r="105" spans="2:28" x14ac:dyDescent="0.25">
      <c r="C105" s="2">
        <f t="shared" si="22"/>
        <v>0</v>
      </c>
      <c r="D105"/>
      <c r="E105"/>
      <c r="G105" s="2">
        <f t="shared" si="23"/>
        <v>0</v>
      </c>
      <c r="AB105"/>
    </row>
    <row r="106" spans="2:28" x14ac:dyDescent="0.25">
      <c r="C106" s="2">
        <f t="shared" si="22"/>
        <v>0</v>
      </c>
      <c r="D106"/>
      <c r="E106"/>
      <c r="G106" s="2">
        <f t="shared" si="23"/>
        <v>0</v>
      </c>
      <c r="AB106"/>
    </row>
    <row r="107" spans="2:28" x14ac:dyDescent="0.25">
      <c r="C107" s="2">
        <f t="shared" si="22"/>
        <v>0</v>
      </c>
      <c r="D107"/>
      <c r="E107"/>
      <c r="G107" s="2">
        <f t="shared" si="23"/>
        <v>0</v>
      </c>
      <c r="AB107"/>
    </row>
    <row r="108" spans="2:28" x14ac:dyDescent="0.25">
      <c r="C108" s="2">
        <f t="shared" si="22"/>
        <v>0</v>
      </c>
      <c r="D108"/>
      <c r="E108"/>
      <c r="G108" s="2">
        <f t="shared" si="23"/>
        <v>0</v>
      </c>
      <c r="AB108"/>
    </row>
    <row r="110" spans="2:28" x14ac:dyDescent="0.25">
      <c r="B110" s="5" t="s">
        <v>7132</v>
      </c>
      <c r="D110"/>
      <c r="E110"/>
      <c r="AB110"/>
    </row>
    <row r="111" spans="2:28" x14ac:dyDescent="0.25">
      <c r="B111" s="1">
        <v>5</v>
      </c>
      <c r="C111" s="2">
        <f t="shared" ref="C111:C116" si="24">COUNTIFS(D:D,D111)</f>
        <v>1</v>
      </c>
      <c r="D111" s="4" t="s">
        <v>7135</v>
      </c>
      <c r="E111" t="s">
        <v>7136</v>
      </c>
      <c r="G111" s="2">
        <f t="shared" ref="G111:G116" si="25">COUNTIFS(H:H,H111)</f>
        <v>0</v>
      </c>
      <c r="AB111"/>
    </row>
    <row r="112" spans="2:28" x14ac:dyDescent="0.25">
      <c r="C112" s="2">
        <f t="shared" si="24"/>
        <v>1</v>
      </c>
      <c r="D112" t="s">
        <v>7109</v>
      </c>
      <c r="E112" t="s">
        <v>7140</v>
      </c>
      <c r="G112" s="2">
        <f t="shared" si="25"/>
        <v>0</v>
      </c>
      <c r="AB112"/>
    </row>
    <row r="113" spans="2:28" x14ac:dyDescent="0.25">
      <c r="C113" s="2">
        <f t="shared" si="24"/>
        <v>0</v>
      </c>
      <c r="D113"/>
      <c r="E113"/>
      <c r="G113" s="2">
        <f t="shared" si="25"/>
        <v>0</v>
      </c>
      <c r="AB113"/>
    </row>
    <row r="114" spans="2:28" x14ac:dyDescent="0.25">
      <c r="C114" s="2">
        <f t="shared" si="24"/>
        <v>0</v>
      </c>
      <c r="D114"/>
      <c r="E114"/>
      <c r="G114" s="2">
        <f t="shared" si="25"/>
        <v>0</v>
      </c>
      <c r="AB114"/>
    </row>
    <row r="115" spans="2:28" x14ac:dyDescent="0.25">
      <c r="C115" s="2">
        <f t="shared" si="24"/>
        <v>0</v>
      </c>
      <c r="D115"/>
      <c r="E115"/>
      <c r="G115" s="2">
        <f t="shared" si="25"/>
        <v>0</v>
      </c>
      <c r="AB115"/>
    </row>
    <row r="116" spans="2:28" x14ac:dyDescent="0.25">
      <c r="C116" s="2">
        <f t="shared" si="24"/>
        <v>0</v>
      </c>
      <c r="D116"/>
      <c r="E116"/>
      <c r="G116" s="2">
        <f t="shared" si="25"/>
        <v>0</v>
      </c>
      <c r="AB116"/>
    </row>
    <row r="117" spans="2:28" x14ac:dyDescent="0.25">
      <c r="C117" s="2"/>
      <c r="D117"/>
      <c r="E117"/>
      <c r="G117" s="2"/>
      <c r="AB117"/>
    </row>
    <row r="118" spans="2:28" x14ac:dyDescent="0.25">
      <c r="B118" s="1">
        <v>4</v>
      </c>
      <c r="C118" s="2">
        <f t="shared" ref="C118:C125" si="26">COUNTIFS(D:D,D118)</f>
        <v>1</v>
      </c>
      <c r="D118" t="s">
        <v>7108</v>
      </c>
      <c r="E118" t="s">
        <v>7134</v>
      </c>
      <c r="G118" s="2">
        <f t="shared" ref="G118:G125" si="27">COUNTIFS(H:H,H118)</f>
        <v>0</v>
      </c>
      <c r="AB118"/>
    </row>
    <row r="119" spans="2:28" x14ac:dyDescent="0.25">
      <c r="C119" s="2">
        <f t="shared" si="26"/>
        <v>1</v>
      </c>
      <c r="D119" t="s">
        <v>7106</v>
      </c>
      <c r="E119" t="s">
        <v>7139</v>
      </c>
      <c r="G119" s="2">
        <f t="shared" si="27"/>
        <v>0</v>
      </c>
      <c r="AB119"/>
    </row>
    <row r="120" spans="2:28" x14ac:dyDescent="0.25">
      <c r="C120" s="2">
        <f t="shared" si="26"/>
        <v>1</v>
      </c>
      <c r="D120" t="s">
        <v>7142</v>
      </c>
      <c r="E120" t="s">
        <v>7141</v>
      </c>
      <c r="G120" s="2">
        <f t="shared" si="27"/>
        <v>0</v>
      </c>
      <c r="AB120"/>
    </row>
    <row r="121" spans="2:28" x14ac:dyDescent="0.25">
      <c r="C121" s="2">
        <f t="shared" si="26"/>
        <v>1</v>
      </c>
      <c r="D121" t="s">
        <v>7107</v>
      </c>
      <c r="E121" t="s">
        <v>7143</v>
      </c>
      <c r="G121" s="2">
        <f t="shared" si="27"/>
        <v>0</v>
      </c>
      <c r="AB121"/>
    </row>
    <row r="122" spans="2:28" x14ac:dyDescent="0.25">
      <c r="C122" s="2">
        <f t="shared" si="26"/>
        <v>1</v>
      </c>
      <c r="D122" t="s">
        <v>7113</v>
      </c>
      <c r="E122" t="s">
        <v>7153</v>
      </c>
      <c r="G122" s="2">
        <f t="shared" si="27"/>
        <v>0</v>
      </c>
      <c r="AB122"/>
    </row>
    <row r="123" spans="2:28" x14ac:dyDescent="0.25">
      <c r="C123" s="2">
        <f t="shared" si="26"/>
        <v>0</v>
      </c>
      <c r="D123"/>
      <c r="E123"/>
      <c r="G123" s="2">
        <f t="shared" si="27"/>
        <v>0</v>
      </c>
      <c r="AB123"/>
    </row>
    <row r="124" spans="2:28" x14ac:dyDescent="0.25">
      <c r="C124" s="2">
        <f t="shared" si="26"/>
        <v>0</v>
      </c>
      <c r="D124"/>
      <c r="E124"/>
      <c r="G124" s="2">
        <f t="shared" si="27"/>
        <v>0</v>
      </c>
      <c r="AB124"/>
    </row>
    <row r="125" spans="2:28" x14ac:dyDescent="0.25">
      <c r="C125" s="2">
        <f t="shared" si="26"/>
        <v>0</v>
      </c>
      <c r="D125"/>
      <c r="E125"/>
      <c r="G125" s="2">
        <f t="shared" si="27"/>
        <v>0</v>
      </c>
      <c r="AB125"/>
    </row>
    <row r="126" spans="2:28" x14ac:dyDescent="0.25">
      <c r="C126" s="2"/>
      <c r="D126"/>
      <c r="E126"/>
      <c r="G126" s="2"/>
      <c r="AB126"/>
    </row>
    <row r="127" spans="2:28" x14ac:dyDescent="0.25">
      <c r="B127" s="1">
        <v>3</v>
      </c>
      <c r="C127" s="2">
        <f t="shared" ref="C127:C132" si="28">COUNTIFS(D:D,D127)</f>
        <v>1</v>
      </c>
      <c r="D127" s="82" t="s">
        <v>7105</v>
      </c>
      <c r="E127" t="s">
        <v>7133</v>
      </c>
      <c r="G127" s="2">
        <f t="shared" ref="G127:G132" si="29">COUNTIFS(H:H,H127)</f>
        <v>0</v>
      </c>
      <c r="AB127"/>
    </row>
    <row r="128" spans="2:28" x14ac:dyDescent="0.25">
      <c r="C128" s="2">
        <f t="shared" si="28"/>
        <v>1</v>
      </c>
      <c r="D128" t="s">
        <v>7137</v>
      </c>
      <c r="E128" t="s">
        <v>7138</v>
      </c>
      <c r="G128" s="2">
        <f t="shared" si="29"/>
        <v>0</v>
      </c>
      <c r="AB128"/>
    </row>
    <row r="129" spans="3:28" x14ac:dyDescent="0.25">
      <c r="C129" s="2">
        <f t="shared" si="28"/>
        <v>0</v>
      </c>
      <c r="D129"/>
      <c r="E129"/>
      <c r="G129" s="2">
        <f t="shared" si="29"/>
        <v>0</v>
      </c>
      <c r="AB129"/>
    </row>
    <row r="130" spans="3:28" x14ac:dyDescent="0.25">
      <c r="C130" s="2">
        <f t="shared" si="28"/>
        <v>0</v>
      </c>
      <c r="D130"/>
      <c r="E130"/>
      <c r="G130" s="2">
        <f t="shared" si="29"/>
        <v>0</v>
      </c>
      <c r="AB130"/>
    </row>
    <row r="131" spans="3:28" x14ac:dyDescent="0.25">
      <c r="C131" s="2">
        <f t="shared" si="28"/>
        <v>0</v>
      </c>
      <c r="D131"/>
      <c r="E131"/>
      <c r="G131" s="2">
        <f t="shared" si="29"/>
        <v>0</v>
      </c>
      <c r="AB131"/>
    </row>
    <row r="132" spans="3:28" x14ac:dyDescent="0.25">
      <c r="C132" s="2">
        <f t="shared" si="28"/>
        <v>0</v>
      </c>
      <c r="D132"/>
      <c r="E132"/>
      <c r="G132" s="2">
        <f t="shared" si="29"/>
        <v>0</v>
      </c>
      <c r="AB132"/>
    </row>
  </sheetData>
  <hyperlinks>
    <hyperlink ref="Y6" r:id="rId1" xr:uid="{A5DF9784-76EC-4F00-8A81-2BB37FF7A957}"/>
    <hyperlink ref="W6" r:id="rId2" xr:uid="{90E06366-8CC0-4F21-885B-DB75E095F2FE}"/>
    <hyperlink ref="W7" r:id="rId3" xr:uid="{55AF7CA4-0ED9-4520-A5BB-5C60A5199D2C}"/>
    <hyperlink ref="W8" r:id="rId4" xr:uid="{626B478A-F719-45B1-A2DB-8F6CFC3DDB84}"/>
    <hyperlink ref="W9" r:id="rId5" xr:uid="{109F29D2-4A34-4C84-8B21-DE3F109BF2CB}"/>
    <hyperlink ref="W12" r:id="rId6" xr:uid="{8D3ED057-C322-429B-9332-6DDE8A9EB15A}"/>
    <hyperlink ref="Y7" r:id="rId7" xr:uid="{8AE831D6-B798-4BCD-9B03-0840713D0E06}"/>
    <hyperlink ref="Y8" r:id="rId8" xr:uid="{C8CC5879-781B-482E-BC4D-E484A1CD0CCD}"/>
    <hyperlink ref="Y9" r:id="rId9" xr:uid="{2CF19BC8-BAFC-4925-B35C-3754F4EC1BB8}"/>
    <hyperlink ref="Y12" r:id="rId10" xr:uid="{25C5BF02-0848-448E-A385-30ACC483CC79}"/>
    <hyperlink ref="W10" r:id="rId11" xr:uid="{D434FBE8-2CB8-415D-9158-2A2E30075E57}"/>
    <hyperlink ref="W11" r:id="rId12" xr:uid="{CB91BED9-263E-43CF-8732-81B4156561FC}"/>
    <hyperlink ref="Y10" r:id="rId13" xr:uid="{5F9E23F0-11FE-465F-B574-F465131970E8}"/>
    <hyperlink ref="Y11" r:id="rId14" xr:uid="{EBA26A78-3210-4A73-B23D-91BFDD34DE9D}"/>
    <hyperlink ref="D43" r:id="rId15" xr:uid="{413B74EB-F3A6-40D2-896B-BD24DD9F78B4}"/>
    <hyperlink ref="D55" r:id="rId16" xr:uid="{DCEAE934-5277-474F-A769-3F35B60EF969}"/>
    <hyperlink ref="D14" r:id="rId17" xr:uid="{4F45333B-CDB1-4E7A-8254-959F71AEA1B6}"/>
    <hyperlink ref="H33" r:id="rId18" xr:uid="{D17AFE70-2837-4848-8023-55DF12C45F36}"/>
    <hyperlink ref="H45" r:id="rId19" xr:uid="{C6B4E45E-A7A8-470A-92C9-EB7EB7AD8F66}"/>
    <hyperlink ref="H13" r:id="rId20" xr:uid="{132DF5E4-0AE6-49F7-96B1-7EDE9783131D}"/>
    <hyperlink ref="H7" r:id="rId21" xr:uid="{22640DEE-8210-4BBE-8B08-F4AA98DBF65D}"/>
    <hyperlink ref="D63" r:id="rId22" xr:uid="{3B1048C9-41F6-41F5-A18B-3B3F842EDCE7}"/>
    <hyperlink ref="D127" r:id="rId23" xr:uid="{7AF477FE-CFD6-4279-B909-AE516D33F696}"/>
  </hyperlinks>
  <pageMargins left="0.7" right="0.7" top="0.75" bottom="0.75" header="0.3" footer="0.3"/>
  <pageSetup paperSize="9" orientation="portrait" r:id="rId2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74A38-FD6E-4260-8BD7-0ED30F69C297}">
  <sheetPr>
    <tabColor theme="6" tint="0.59999389629810485"/>
  </sheetPr>
  <dimension ref="A2:R130"/>
  <sheetViews>
    <sheetView zoomScale="70" zoomScaleNormal="70" workbookViewId="0">
      <pane xSplit="2" ySplit="3" topLeftCell="C4" activePane="bottomRight" state="frozen"/>
      <selection pane="topRight" activeCell="C1" sqref="C1"/>
      <selection pane="bottomLeft" activeCell="A4" sqref="A4"/>
      <selection pane="bottomRight" activeCell="D131" sqref="A131:XFD147"/>
    </sheetView>
  </sheetViews>
  <sheetFormatPr defaultRowHeight="15" x14ac:dyDescent="0.25"/>
  <cols>
    <col min="1" max="1" width="2.7109375" customWidth="1"/>
    <col min="2" max="2" width="10.140625" bestFit="1" customWidth="1"/>
    <col min="3" max="3" width="2.7109375" customWidth="1"/>
    <col min="4" max="5" width="45.7109375" customWidth="1"/>
    <col min="6" max="7" width="2.7109375" customWidth="1"/>
    <col min="8" max="9" width="45.7109375" customWidth="1"/>
    <col min="10" max="11" width="2.7109375" customWidth="1"/>
    <col min="12" max="13" width="45.7109375" customWidth="1"/>
    <col min="14" max="16" width="2.7109375" customWidth="1"/>
    <col min="17" max="18" width="45.7109375" customWidth="1"/>
  </cols>
  <sheetData>
    <row r="2" spans="1:18" x14ac:dyDescent="0.25">
      <c r="A2" s="12"/>
      <c r="B2" s="12"/>
      <c r="C2" s="12"/>
      <c r="D2" s="12" t="s">
        <v>5431</v>
      </c>
      <c r="E2" s="12"/>
      <c r="F2" s="13"/>
      <c r="G2" s="12"/>
      <c r="H2" s="12" t="s">
        <v>5850</v>
      </c>
      <c r="I2" s="12"/>
      <c r="J2" s="13"/>
      <c r="K2" s="12"/>
      <c r="L2" s="12" t="s">
        <v>5433</v>
      </c>
      <c r="M2" s="12"/>
      <c r="N2" s="13"/>
      <c r="O2" s="13"/>
      <c r="P2" s="12"/>
      <c r="Q2" s="12" t="s">
        <v>6199</v>
      </c>
      <c r="R2" s="12"/>
    </row>
    <row r="3" spans="1:18" x14ac:dyDescent="0.25">
      <c r="A3" s="12"/>
      <c r="B3" s="12"/>
      <c r="C3" s="12"/>
      <c r="D3" s="12" t="s">
        <v>319</v>
      </c>
      <c r="E3" s="12" t="s">
        <v>6113</v>
      </c>
      <c r="F3" s="13"/>
      <c r="G3" s="12"/>
      <c r="H3" s="12" t="s">
        <v>319</v>
      </c>
      <c r="I3" s="12" t="s">
        <v>6113</v>
      </c>
      <c r="J3" s="13"/>
      <c r="K3" s="12"/>
      <c r="L3" s="12" t="s">
        <v>319</v>
      </c>
      <c r="M3" s="12" t="s">
        <v>6113</v>
      </c>
      <c r="N3" s="13"/>
      <c r="O3" s="13"/>
      <c r="P3" s="12"/>
      <c r="Q3" s="12" t="s">
        <v>319</v>
      </c>
      <c r="R3" s="12" t="s">
        <v>6113</v>
      </c>
    </row>
    <row r="5" spans="1:18" x14ac:dyDescent="0.25">
      <c r="B5" s="5" t="s">
        <v>6926</v>
      </c>
    </row>
    <row r="6" spans="1:18" x14ac:dyDescent="0.25">
      <c r="B6" s="1">
        <v>5</v>
      </c>
      <c r="C6" s="2">
        <f t="shared" ref="C6:C16" si="0">COUNTIFS(D:D,D6)</f>
        <v>1</v>
      </c>
      <c r="D6" s="82" t="s">
        <v>7171</v>
      </c>
      <c r="E6" t="s">
        <v>246</v>
      </c>
      <c r="G6" s="2">
        <f t="shared" ref="G6:G16" si="1">COUNTIFS(H:H,H6)</f>
        <v>1</v>
      </c>
      <c r="H6" s="77" t="s">
        <v>6930</v>
      </c>
      <c r="I6" s="77" t="s">
        <v>6929</v>
      </c>
      <c r="K6" s="2">
        <f t="shared" ref="K6:K16" si="2">COUNTIFS(L:L,L6)</f>
        <v>0</v>
      </c>
      <c r="P6" s="2">
        <f t="shared" ref="P6:P16" si="3">COUNTIFS(Q:Q,Q6)</f>
        <v>1</v>
      </c>
      <c r="Q6" t="s">
        <v>7057</v>
      </c>
      <c r="R6" t="s">
        <v>7056</v>
      </c>
    </row>
    <row r="7" spans="1:18" x14ac:dyDescent="0.25">
      <c r="C7" s="2">
        <f t="shared" si="0"/>
        <v>1</v>
      </c>
      <c r="D7" t="s">
        <v>7174</v>
      </c>
      <c r="E7" t="s">
        <v>5561</v>
      </c>
      <c r="G7" s="2">
        <f t="shared" si="1"/>
        <v>1</v>
      </c>
      <c r="H7" s="77" t="s">
        <v>6990</v>
      </c>
      <c r="I7" s="77" t="s">
        <v>6989</v>
      </c>
      <c r="K7" s="2">
        <f t="shared" si="2"/>
        <v>0</v>
      </c>
      <c r="P7" s="2">
        <f t="shared" si="3"/>
        <v>1</v>
      </c>
      <c r="Q7" t="s">
        <v>7061</v>
      </c>
      <c r="R7" t="s">
        <v>7060</v>
      </c>
    </row>
    <row r="8" spans="1:18" x14ac:dyDescent="0.25">
      <c r="C8" s="2">
        <f t="shared" si="0"/>
        <v>1</v>
      </c>
      <c r="D8" t="s">
        <v>7173</v>
      </c>
      <c r="E8" t="s">
        <v>7203</v>
      </c>
      <c r="G8" s="2">
        <f t="shared" si="1"/>
        <v>1</v>
      </c>
      <c r="H8" s="77" t="s">
        <v>7017</v>
      </c>
      <c r="I8" s="77" t="s">
        <v>7016</v>
      </c>
      <c r="K8" s="2">
        <f t="shared" si="2"/>
        <v>0</v>
      </c>
      <c r="P8" s="2">
        <f t="shared" si="3"/>
        <v>0</v>
      </c>
    </row>
    <row r="9" spans="1:18" x14ac:dyDescent="0.25">
      <c r="C9" s="2">
        <f t="shared" si="0"/>
        <v>1</v>
      </c>
      <c r="D9" t="s">
        <v>7190</v>
      </c>
      <c r="E9" t="s">
        <v>5399</v>
      </c>
      <c r="G9" s="2">
        <f t="shared" si="1"/>
        <v>1</v>
      </c>
      <c r="H9" s="77" t="s">
        <v>7064</v>
      </c>
      <c r="I9" s="77" t="s">
        <v>7065</v>
      </c>
      <c r="K9" s="2">
        <f t="shared" si="2"/>
        <v>0</v>
      </c>
      <c r="P9" s="2">
        <f t="shared" si="3"/>
        <v>0</v>
      </c>
    </row>
    <row r="10" spans="1:18" x14ac:dyDescent="0.25">
      <c r="C10" s="2">
        <f t="shared" si="0"/>
        <v>0</v>
      </c>
      <c r="G10" s="2">
        <f t="shared" si="1"/>
        <v>1</v>
      </c>
      <c r="H10" t="s">
        <v>6194</v>
      </c>
      <c r="I10" t="s">
        <v>7068</v>
      </c>
      <c r="K10" s="2">
        <f t="shared" si="2"/>
        <v>0</v>
      </c>
      <c r="P10" s="2">
        <f t="shared" si="3"/>
        <v>0</v>
      </c>
    </row>
    <row r="11" spans="1:18" x14ac:dyDescent="0.25">
      <c r="C11" s="2">
        <f t="shared" si="0"/>
        <v>0</v>
      </c>
      <c r="G11" s="2">
        <f t="shared" si="1"/>
        <v>1</v>
      </c>
      <c r="H11" t="s">
        <v>7076</v>
      </c>
      <c r="I11" t="s">
        <v>7075</v>
      </c>
      <c r="K11" s="2">
        <f t="shared" si="2"/>
        <v>0</v>
      </c>
      <c r="P11" s="2">
        <f t="shared" si="3"/>
        <v>0</v>
      </c>
    </row>
    <row r="12" spans="1:18" x14ac:dyDescent="0.25">
      <c r="C12" s="2">
        <f t="shared" si="0"/>
        <v>0</v>
      </c>
      <c r="G12" s="2">
        <f t="shared" si="1"/>
        <v>1</v>
      </c>
      <c r="H12" t="s">
        <v>7079</v>
      </c>
      <c r="I12" t="s">
        <v>7078</v>
      </c>
      <c r="K12" s="2">
        <f t="shared" si="2"/>
        <v>0</v>
      </c>
      <c r="P12" s="2">
        <f t="shared" si="3"/>
        <v>0</v>
      </c>
    </row>
    <row r="13" spans="1:18" x14ac:dyDescent="0.25">
      <c r="C13" s="2">
        <f t="shared" si="0"/>
        <v>0</v>
      </c>
      <c r="G13" s="2">
        <f t="shared" si="1"/>
        <v>1</v>
      </c>
      <c r="H13" s="4" t="s">
        <v>7081</v>
      </c>
      <c r="I13" t="s">
        <v>7080</v>
      </c>
      <c r="K13" s="2">
        <f t="shared" si="2"/>
        <v>0</v>
      </c>
      <c r="P13" s="2">
        <f t="shared" si="3"/>
        <v>0</v>
      </c>
    </row>
    <row r="14" spans="1:18" x14ac:dyDescent="0.25">
      <c r="C14" s="2">
        <f t="shared" si="0"/>
        <v>0</v>
      </c>
      <c r="G14" s="2">
        <f t="shared" si="1"/>
        <v>0</v>
      </c>
      <c r="K14" s="2">
        <f t="shared" si="2"/>
        <v>0</v>
      </c>
      <c r="P14" s="2">
        <f t="shared" si="3"/>
        <v>0</v>
      </c>
    </row>
    <row r="15" spans="1:18" x14ac:dyDescent="0.25">
      <c r="C15" s="2">
        <f t="shared" si="0"/>
        <v>0</v>
      </c>
      <c r="G15" s="2">
        <f t="shared" si="1"/>
        <v>0</v>
      </c>
      <c r="K15" s="2">
        <f t="shared" si="2"/>
        <v>0</v>
      </c>
      <c r="P15" s="2">
        <f t="shared" si="3"/>
        <v>0</v>
      </c>
    </row>
    <row r="16" spans="1:18" x14ac:dyDescent="0.25">
      <c r="C16" s="2">
        <f t="shared" si="0"/>
        <v>0</v>
      </c>
      <c r="G16" s="2">
        <f t="shared" si="1"/>
        <v>0</v>
      </c>
      <c r="K16" s="2">
        <f t="shared" si="2"/>
        <v>0</v>
      </c>
      <c r="P16" s="2">
        <f t="shared" si="3"/>
        <v>0</v>
      </c>
    </row>
    <row r="17" spans="2:18" x14ac:dyDescent="0.25">
      <c r="C17" s="2"/>
      <c r="G17" s="2"/>
      <c r="K17" s="2"/>
      <c r="P17" s="2"/>
    </row>
    <row r="18" spans="2:18" x14ac:dyDescent="0.25">
      <c r="B18" s="1">
        <v>4</v>
      </c>
      <c r="C18" s="2">
        <f t="shared" ref="C18:C30" si="4">COUNTIFS(D:D,D18)</f>
        <v>1</v>
      </c>
      <c r="D18" t="s">
        <v>7187</v>
      </c>
      <c r="E18" t="s">
        <v>7204</v>
      </c>
      <c r="G18" s="2">
        <f t="shared" ref="G18:G30" si="5">COUNTIFS(H:H,H18)</f>
        <v>1</v>
      </c>
      <c r="H18" s="77" t="s">
        <v>6992</v>
      </c>
      <c r="I18" s="77" t="s">
        <v>6991</v>
      </c>
      <c r="K18" s="2">
        <f t="shared" ref="K18:K30" si="6">COUNTIFS(L:L,L18)</f>
        <v>1</v>
      </c>
      <c r="L18" t="s">
        <v>6221</v>
      </c>
      <c r="M18" t="s">
        <v>7055</v>
      </c>
      <c r="P18" s="2">
        <f t="shared" ref="P18:P30" si="7">COUNTIFS(Q:Q,Q18)</f>
        <v>1</v>
      </c>
      <c r="Q18" t="s">
        <v>6206</v>
      </c>
      <c r="R18" t="s">
        <v>6983</v>
      </c>
    </row>
    <row r="19" spans="2:18" x14ac:dyDescent="0.25">
      <c r="C19" s="2">
        <f t="shared" si="4"/>
        <v>1</v>
      </c>
      <c r="D19" t="s">
        <v>7191</v>
      </c>
      <c r="E19" t="s">
        <v>7205</v>
      </c>
      <c r="G19" s="2">
        <f t="shared" si="5"/>
        <v>1</v>
      </c>
      <c r="H19" s="77" t="s">
        <v>7287</v>
      </c>
      <c r="I19" s="77" t="s">
        <v>7290</v>
      </c>
      <c r="K19" s="2">
        <f t="shared" si="6"/>
        <v>0</v>
      </c>
      <c r="P19" s="2">
        <f t="shared" si="7"/>
        <v>1</v>
      </c>
      <c r="Q19" t="s">
        <v>7286</v>
      </c>
      <c r="R19" t="s">
        <v>7285</v>
      </c>
    </row>
    <row r="20" spans="2:18" x14ac:dyDescent="0.25">
      <c r="C20" s="2">
        <f t="shared" si="4"/>
        <v>1</v>
      </c>
      <c r="D20" t="s">
        <v>7207</v>
      </c>
      <c r="E20" t="s">
        <v>7206</v>
      </c>
      <c r="G20" s="2">
        <f t="shared" si="5"/>
        <v>0</v>
      </c>
      <c r="H20" s="77"/>
      <c r="I20" s="77"/>
      <c r="K20" s="2">
        <f t="shared" si="6"/>
        <v>0</v>
      </c>
      <c r="P20" s="2">
        <f t="shared" si="7"/>
        <v>0</v>
      </c>
    </row>
    <row r="21" spans="2:18" x14ac:dyDescent="0.25">
      <c r="C21" s="2">
        <f t="shared" si="4"/>
        <v>1</v>
      </c>
      <c r="D21" t="s">
        <v>7209</v>
      </c>
      <c r="E21" t="s">
        <v>7208</v>
      </c>
      <c r="G21" s="2">
        <f t="shared" si="5"/>
        <v>0</v>
      </c>
      <c r="K21" s="2">
        <f t="shared" si="6"/>
        <v>0</v>
      </c>
      <c r="P21" s="2">
        <f t="shared" si="7"/>
        <v>0</v>
      </c>
    </row>
    <row r="22" spans="2:18" x14ac:dyDescent="0.25">
      <c r="C22" s="2">
        <f t="shared" si="4"/>
        <v>1</v>
      </c>
      <c r="D22" t="s">
        <v>7212</v>
      </c>
      <c r="E22" t="s">
        <v>6933</v>
      </c>
      <c r="G22" s="2">
        <f t="shared" si="5"/>
        <v>0</v>
      </c>
      <c r="K22" s="2">
        <f t="shared" si="6"/>
        <v>0</v>
      </c>
      <c r="P22" s="2">
        <f t="shared" si="7"/>
        <v>0</v>
      </c>
    </row>
    <row r="23" spans="2:18" x14ac:dyDescent="0.25">
      <c r="C23" s="2">
        <f t="shared" si="4"/>
        <v>1</v>
      </c>
      <c r="D23" t="s">
        <v>7216</v>
      </c>
      <c r="E23" t="s">
        <v>7215</v>
      </c>
      <c r="G23" s="2">
        <f t="shared" si="5"/>
        <v>0</v>
      </c>
      <c r="K23" s="2">
        <f t="shared" si="6"/>
        <v>0</v>
      </c>
      <c r="P23" s="2">
        <f t="shared" si="7"/>
        <v>0</v>
      </c>
    </row>
    <row r="24" spans="2:18" x14ac:dyDescent="0.25">
      <c r="C24" s="2">
        <f t="shared" si="4"/>
        <v>1</v>
      </c>
      <c r="D24" t="s">
        <v>7189</v>
      </c>
      <c r="E24" t="s">
        <v>6983</v>
      </c>
      <c r="G24" s="2">
        <f t="shared" si="5"/>
        <v>0</v>
      </c>
      <c r="K24" s="2">
        <f t="shared" si="6"/>
        <v>0</v>
      </c>
      <c r="P24" s="2">
        <f t="shared" si="7"/>
        <v>0</v>
      </c>
    </row>
    <row r="25" spans="2:18" x14ac:dyDescent="0.25">
      <c r="C25" s="2">
        <f t="shared" si="4"/>
        <v>1</v>
      </c>
      <c r="D25" t="s">
        <v>7175</v>
      </c>
      <c r="E25" t="s">
        <v>7224</v>
      </c>
      <c r="G25" s="2">
        <f t="shared" si="5"/>
        <v>0</v>
      </c>
      <c r="K25" s="2">
        <f t="shared" si="6"/>
        <v>0</v>
      </c>
      <c r="P25" s="2">
        <f t="shared" si="7"/>
        <v>0</v>
      </c>
    </row>
    <row r="26" spans="2:18" x14ac:dyDescent="0.25">
      <c r="C26" s="2">
        <f t="shared" si="4"/>
        <v>1</v>
      </c>
      <c r="D26" t="s">
        <v>7198</v>
      </c>
      <c r="E26" t="s">
        <v>6962</v>
      </c>
      <c r="G26" s="2">
        <f t="shared" si="5"/>
        <v>0</v>
      </c>
      <c r="K26" s="2">
        <f t="shared" si="6"/>
        <v>0</v>
      </c>
      <c r="P26" s="2">
        <f t="shared" si="7"/>
        <v>0</v>
      </c>
    </row>
    <row r="27" spans="2:18" x14ac:dyDescent="0.25">
      <c r="C27" s="2">
        <f t="shared" si="4"/>
        <v>1</v>
      </c>
      <c r="D27" t="s">
        <v>7179</v>
      </c>
      <c r="E27" t="s">
        <v>7235</v>
      </c>
      <c r="G27" s="2">
        <f t="shared" si="5"/>
        <v>0</v>
      </c>
      <c r="K27" s="2">
        <f t="shared" si="6"/>
        <v>0</v>
      </c>
      <c r="P27" s="2">
        <f t="shared" si="7"/>
        <v>0</v>
      </c>
    </row>
    <row r="28" spans="2:18" x14ac:dyDescent="0.25">
      <c r="C28" s="2">
        <f t="shared" si="4"/>
        <v>1</v>
      </c>
      <c r="D28" t="s">
        <v>7188</v>
      </c>
      <c r="E28" t="s">
        <v>7236</v>
      </c>
      <c r="G28" s="2">
        <f t="shared" si="5"/>
        <v>0</v>
      </c>
      <c r="K28" s="2">
        <f t="shared" si="6"/>
        <v>0</v>
      </c>
      <c r="P28" s="2">
        <f t="shared" si="7"/>
        <v>0</v>
      </c>
    </row>
    <row r="29" spans="2:18" x14ac:dyDescent="0.25">
      <c r="C29" s="2">
        <f t="shared" si="4"/>
        <v>1</v>
      </c>
      <c r="D29" t="s">
        <v>7199</v>
      </c>
      <c r="E29" t="s">
        <v>7258</v>
      </c>
      <c r="G29" s="2">
        <f t="shared" si="5"/>
        <v>0</v>
      </c>
      <c r="K29" s="2">
        <f t="shared" si="6"/>
        <v>0</v>
      </c>
      <c r="P29" s="2">
        <f t="shared" si="7"/>
        <v>0</v>
      </c>
    </row>
    <row r="30" spans="2:18" x14ac:dyDescent="0.25">
      <c r="C30" s="2">
        <f t="shared" si="4"/>
        <v>0</v>
      </c>
      <c r="G30" s="2">
        <f t="shared" si="5"/>
        <v>0</v>
      </c>
      <c r="K30" s="2">
        <f t="shared" si="6"/>
        <v>0</v>
      </c>
      <c r="P30" s="2">
        <f t="shared" si="7"/>
        <v>0</v>
      </c>
    </row>
    <row r="31" spans="2:18" x14ac:dyDescent="0.25">
      <c r="C31" s="2"/>
      <c r="G31" s="2"/>
      <c r="K31" s="2"/>
      <c r="P31" s="2"/>
    </row>
    <row r="32" spans="2:18" x14ac:dyDescent="0.25">
      <c r="B32" s="1">
        <v>3</v>
      </c>
      <c r="C32" s="2">
        <f t="shared" ref="C32:C37" si="8">COUNTIFS(D:D,D32)</f>
        <v>1</v>
      </c>
      <c r="D32" t="s">
        <v>7211</v>
      </c>
      <c r="E32" t="s">
        <v>7210</v>
      </c>
      <c r="G32" s="2">
        <f t="shared" ref="G32:G37" si="9">COUNTIFS(H:H,H32)</f>
        <v>1</v>
      </c>
      <c r="H32" s="77" t="s">
        <v>6994</v>
      </c>
      <c r="I32" s="77" t="s">
        <v>6993</v>
      </c>
      <c r="K32" s="2">
        <f t="shared" ref="K32:K37" si="10">COUNTIFS(L:L,L32)</f>
        <v>0</v>
      </c>
      <c r="P32" s="2">
        <f t="shared" ref="P32:P37" si="11">COUNTIFS(Q:Q,Q32)</f>
        <v>0</v>
      </c>
    </row>
    <row r="33" spans="2:18" x14ac:dyDescent="0.25">
      <c r="C33" s="2">
        <f t="shared" si="8"/>
        <v>1</v>
      </c>
      <c r="D33" t="s">
        <v>7214</v>
      </c>
      <c r="E33" t="s">
        <v>7213</v>
      </c>
      <c r="G33" s="2">
        <f t="shared" si="9"/>
        <v>1</v>
      </c>
      <c r="H33" s="77" t="s">
        <v>7077</v>
      </c>
      <c r="I33" s="77" t="s">
        <v>6215</v>
      </c>
      <c r="K33" s="2">
        <f t="shared" si="10"/>
        <v>0</v>
      </c>
      <c r="P33" s="2">
        <f t="shared" si="11"/>
        <v>0</v>
      </c>
    </row>
    <row r="34" spans="2:18" x14ac:dyDescent="0.25">
      <c r="C34" s="2">
        <f t="shared" si="8"/>
        <v>0</v>
      </c>
      <c r="E34" t="s">
        <v>7219</v>
      </c>
      <c r="G34" s="2">
        <f t="shared" si="9"/>
        <v>1</v>
      </c>
      <c r="H34" s="77" t="s">
        <v>7266</v>
      </c>
      <c r="I34" s="77" t="s">
        <v>6705</v>
      </c>
      <c r="K34" s="2">
        <f t="shared" si="10"/>
        <v>0</v>
      </c>
      <c r="P34" s="2">
        <f t="shared" si="11"/>
        <v>0</v>
      </c>
    </row>
    <row r="35" spans="2:18" x14ac:dyDescent="0.25">
      <c r="C35" s="2">
        <f t="shared" si="8"/>
        <v>1</v>
      </c>
      <c r="D35" t="s">
        <v>7220</v>
      </c>
      <c r="G35" s="2">
        <f t="shared" si="9"/>
        <v>0</v>
      </c>
      <c r="K35" s="2">
        <f t="shared" si="10"/>
        <v>0</v>
      </c>
      <c r="P35" s="2">
        <f t="shared" si="11"/>
        <v>0</v>
      </c>
    </row>
    <row r="36" spans="2:18" x14ac:dyDescent="0.25">
      <c r="C36" s="2">
        <f t="shared" si="8"/>
        <v>0</v>
      </c>
      <c r="G36" s="2">
        <f t="shared" si="9"/>
        <v>0</v>
      </c>
      <c r="K36" s="2">
        <f t="shared" si="10"/>
        <v>0</v>
      </c>
      <c r="P36" s="2">
        <f t="shared" si="11"/>
        <v>0</v>
      </c>
    </row>
    <row r="37" spans="2:18" x14ac:dyDescent="0.25">
      <c r="C37" s="2">
        <f t="shared" si="8"/>
        <v>0</v>
      </c>
      <c r="G37" s="2">
        <f t="shared" si="9"/>
        <v>0</v>
      </c>
      <c r="K37" s="2">
        <f t="shared" si="10"/>
        <v>0</v>
      </c>
      <c r="P37" s="2">
        <f t="shared" si="11"/>
        <v>0</v>
      </c>
    </row>
    <row r="39" spans="2:18" x14ac:dyDescent="0.25">
      <c r="B39" s="5" t="s">
        <v>6927</v>
      </c>
    </row>
    <row r="40" spans="2:18" x14ac:dyDescent="0.25">
      <c r="B40" s="1">
        <v>5</v>
      </c>
      <c r="C40" s="2">
        <f t="shared" ref="C40:C45" si="12">COUNTIFS(D:D,D40)</f>
        <v>1</v>
      </c>
      <c r="D40" t="s">
        <v>7223</v>
      </c>
      <c r="E40" t="s">
        <v>7222</v>
      </c>
      <c r="G40" s="2">
        <f t="shared" ref="G40:G45" si="13">COUNTIFS(H:H,H40)</f>
        <v>0</v>
      </c>
      <c r="K40" s="2">
        <f t="shared" ref="K40:K45" si="14">COUNTIFS(L:L,L40)</f>
        <v>1</v>
      </c>
      <c r="L40" t="s">
        <v>6217</v>
      </c>
      <c r="M40" t="s">
        <v>7038</v>
      </c>
      <c r="P40" s="2">
        <f t="shared" ref="P40:P45" si="15">COUNTIFS(Q:Q,Q40)</f>
        <v>1</v>
      </c>
      <c r="Q40" t="s">
        <v>7063</v>
      </c>
      <c r="R40" t="s">
        <v>7062</v>
      </c>
    </row>
    <row r="41" spans="2:18" x14ac:dyDescent="0.25">
      <c r="C41" s="2">
        <f t="shared" si="12"/>
        <v>0</v>
      </c>
      <c r="G41" s="2">
        <f t="shared" si="13"/>
        <v>0</v>
      </c>
      <c r="K41" s="2">
        <f t="shared" si="14"/>
        <v>0</v>
      </c>
      <c r="P41" s="2">
        <f t="shared" si="15"/>
        <v>0</v>
      </c>
    </row>
    <row r="42" spans="2:18" x14ac:dyDescent="0.25">
      <c r="C42" s="2">
        <f t="shared" si="12"/>
        <v>0</v>
      </c>
      <c r="G42" s="2">
        <f t="shared" si="13"/>
        <v>0</v>
      </c>
      <c r="K42" s="2">
        <f t="shared" si="14"/>
        <v>0</v>
      </c>
      <c r="P42" s="2">
        <f t="shared" si="15"/>
        <v>0</v>
      </c>
    </row>
    <row r="43" spans="2:18" x14ac:dyDescent="0.25">
      <c r="C43" s="2">
        <f t="shared" si="12"/>
        <v>0</v>
      </c>
      <c r="G43" s="2">
        <f t="shared" si="13"/>
        <v>0</v>
      </c>
      <c r="K43" s="2">
        <f t="shared" si="14"/>
        <v>0</v>
      </c>
      <c r="P43" s="2">
        <f t="shared" si="15"/>
        <v>0</v>
      </c>
    </row>
    <row r="44" spans="2:18" x14ac:dyDescent="0.25">
      <c r="C44" s="2">
        <f t="shared" si="12"/>
        <v>0</v>
      </c>
      <c r="G44" s="2">
        <f t="shared" si="13"/>
        <v>0</v>
      </c>
      <c r="K44" s="2">
        <f t="shared" si="14"/>
        <v>0</v>
      </c>
      <c r="P44" s="2">
        <f t="shared" si="15"/>
        <v>0</v>
      </c>
    </row>
    <row r="45" spans="2:18" x14ac:dyDescent="0.25">
      <c r="C45" s="2">
        <f t="shared" si="12"/>
        <v>0</v>
      </c>
      <c r="G45" s="2">
        <f t="shared" si="13"/>
        <v>0</v>
      </c>
      <c r="K45" s="2">
        <f t="shared" si="14"/>
        <v>0</v>
      </c>
      <c r="P45" s="2">
        <f t="shared" si="15"/>
        <v>0</v>
      </c>
    </row>
    <row r="46" spans="2:18" x14ac:dyDescent="0.25">
      <c r="C46" s="2"/>
      <c r="G46" s="2"/>
      <c r="K46" s="2"/>
      <c r="P46" s="2"/>
    </row>
    <row r="47" spans="2:18" x14ac:dyDescent="0.25">
      <c r="B47" s="1">
        <v>4</v>
      </c>
      <c r="C47" s="2">
        <f t="shared" ref="C47:C57" si="16">COUNTIFS(D:D,D47)</f>
        <v>1</v>
      </c>
      <c r="D47" t="s">
        <v>7182</v>
      </c>
      <c r="E47" t="s">
        <v>7221</v>
      </c>
      <c r="G47" s="2">
        <f t="shared" ref="G47:G57" si="17">COUNTIFS(H:H,H47)</f>
        <v>1</v>
      </c>
      <c r="H47" t="s">
        <v>7072</v>
      </c>
      <c r="I47" t="s">
        <v>7071</v>
      </c>
      <c r="K47" s="2">
        <f t="shared" ref="K47:K57" si="18">COUNTIFS(L:L,L47)</f>
        <v>1</v>
      </c>
      <c r="L47" t="s">
        <v>7052</v>
      </c>
      <c r="M47" t="s">
        <v>7051</v>
      </c>
      <c r="P47" s="2">
        <f t="shared" ref="P47:P57" si="19">COUNTIFS(Q:Q,Q47)</f>
        <v>0</v>
      </c>
    </row>
    <row r="48" spans="2:18" x14ac:dyDescent="0.25">
      <c r="C48" s="2">
        <f t="shared" si="16"/>
        <v>1</v>
      </c>
      <c r="D48" t="s">
        <v>7227</v>
      </c>
      <c r="E48" t="s">
        <v>7228</v>
      </c>
      <c r="G48" s="2">
        <f t="shared" si="17"/>
        <v>1</v>
      </c>
      <c r="H48" t="s">
        <v>7261</v>
      </c>
      <c r="I48" t="s">
        <v>7263</v>
      </c>
      <c r="K48" s="2">
        <f t="shared" si="18"/>
        <v>0</v>
      </c>
      <c r="P48" s="2">
        <f t="shared" si="19"/>
        <v>0</v>
      </c>
    </row>
    <row r="49" spans="2:16" x14ac:dyDescent="0.25">
      <c r="C49" s="2">
        <f t="shared" si="16"/>
        <v>1</v>
      </c>
      <c r="D49" t="s">
        <v>7176</v>
      </c>
      <c r="E49" t="s">
        <v>7229</v>
      </c>
      <c r="G49" s="2">
        <f t="shared" si="17"/>
        <v>1</v>
      </c>
      <c r="H49" t="s">
        <v>7262</v>
      </c>
      <c r="I49" t="s">
        <v>7267</v>
      </c>
      <c r="K49" s="2">
        <f t="shared" si="18"/>
        <v>0</v>
      </c>
      <c r="P49" s="2">
        <f t="shared" si="19"/>
        <v>0</v>
      </c>
    </row>
    <row r="50" spans="2:16" x14ac:dyDescent="0.25">
      <c r="C50" s="2">
        <f t="shared" si="16"/>
        <v>1</v>
      </c>
      <c r="D50" t="s">
        <v>7186</v>
      </c>
      <c r="E50" t="s">
        <v>7249</v>
      </c>
      <c r="G50" s="2">
        <f t="shared" si="17"/>
        <v>0</v>
      </c>
      <c r="K50" s="2">
        <f t="shared" si="18"/>
        <v>0</v>
      </c>
      <c r="P50" s="2">
        <f t="shared" si="19"/>
        <v>0</v>
      </c>
    </row>
    <row r="51" spans="2:16" x14ac:dyDescent="0.25">
      <c r="C51" s="2">
        <f t="shared" si="16"/>
        <v>1</v>
      </c>
      <c r="D51" t="s">
        <v>7230</v>
      </c>
      <c r="E51" t="s">
        <v>7246</v>
      </c>
      <c r="G51" s="2">
        <f t="shared" si="17"/>
        <v>0</v>
      </c>
      <c r="K51" s="2">
        <f t="shared" si="18"/>
        <v>0</v>
      </c>
      <c r="P51" s="2">
        <f t="shared" si="19"/>
        <v>0</v>
      </c>
    </row>
    <row r="52" spans="2:16" x14ac:dyDescent="0.25">
      <c r="C52" s="2">
        <f t="shared" si="16"/>
        <v>1</v>
      </c>
      <c r="D52" t="s">
        <v>7183</v>
      </c>
      <c r="E52" t="s">
        <v>7244</v>
      </c>
      <c r="G52" s="2">
        <f t="shared" si="17"/>
        <v>0</v>
      </c>
      <c r="K52" s="2">
        <f t="shared" si="18"/>
        <v>0</v>
      </c>
      <c r="P52" s="2">
        <f t="shared" si="19"/>
        <v>0</v>
      </c>
    </row>
    <row r="53" spans="2:16" x14ac:dyDescent="0.25">
      <c r="C53" s="2">
        <f t="shared" si="16"/>
        <v>1</v>
      </c>
      <c r="D53" t="s">
        <v>7184</v>
      </c>
      <c r="E53" t="s">
        <v>7245</v>
      </c>
      <c r="G53" s="2">
        <f t="shared" si="17"/>
        <v>0</v>
      </c>
      <c r="K53" s="2">
        <f t="shared" si="18"/>
        <v>0</v>
      </c>
      <c r="P53" s="2">
        <f t="shared" si="19"/>
        <v>0</v>
      </c>
    </row>
    <row r="54" spans="2:16" x14ac:dyDescent="0.25">
      <c r="C54" s="2">
        <f t="shared" si="16"/>
        <v>1</v>
      </c>
      <c r="D54" t="s">
        <v>7251</v>
      </c>
      <c r="E54" t="s">
        <v>7250</v>
      </c>
      <c r="G54" s="2">
        <f t="shared" si="17"/>
        <v>0</v>
      </c>
      <c r="K54" s="2">
        <f t="shared" si="18"/>
        <v>0</v>
      </c>
      <c r="P54" s="2">
        <f t="shared" si="19"/>
        <v>0</v>
      </c>
    </row>
    <row r="55" spans="2:16" x14ac:dyDescent="0.25">
      <c r="C55" s="2">
        <f t="shared" si="16"/>
        <v>1</v>
      </c>
      <c r="D55" t="s">
        <v>7192</v>
      </c>
      <c r="E55" t="s">
        <v>7252</v>
      </c>
      <c r="G55" s="2">
        <f t="shared" si="17"/>
        <v>0</v>
      </c>
      <c r="K55" s="2">
        <f t="shared" si="18"/>
        <v>0</v>
      </c>
      <c r="P55" s="2">
        <f t="shared" si="19"/>
        <v>0</v>
      </c>
    </row>
    <row r="56" spans="2:16" x14ac:dyDescent="0.25">
      <c r="C56" s="2">
        <f t="shared" si="16"/>
        <v>1</v>
      </c>
      <c r="D56" t="s">
        <v>7194</v>
      </c>
      <c r="E56" t="s">
        <v>7255</v>
      </c>
      <c r="G56" s="2">
        <f t="shared" si="17"/>
        <v>0</v>
      </c>
      <c r="K56" s="2">
        <f t="shared" si="18"/>
        <v>0</v>
      </c>
      <c r="P56" s="2">
        <f t="shared" si="19"/>
        <v>0</v>
      </c>
    </row>
    <row r="57" spans="2:16" x14ac:dyDescent="0.25">
      <c r="C57" s="2">
        <f t="shared" si="16"/>
        <v>0</v>
      </c>
      <c r="G57" s="2">
        <f t="shared" si="17"/>
        <v>0</v>
      </c>
      <c r="K57" s="2">
        <f t="shared" si="18"/>
        <v>0</v>
      </c>
      <c r="P57" s="2">
        <f t="shared" si="19"/>
        <v>0</v>
      </c>
    </row>
    <row r="58" spans="2:16" x14ac:dyDescent="0.25">
      <c r="C58" s="2"/>
      <c r="G58" s="2"/>
      <c r="K58" s="2"/>
      <c r="P58" s="2"/>
    </row>
    <row r="59" spans="2:16" x14ac:dyDescent="0.25">
      <c r="B59" s="1">
        <v>3</v>
      </c>
      <c r="C59" s="2">
        <f t="shared" ref="C59:C64" si="20">COUNTIFS(D:D,D59)</f>
        <v>1</v>
      </c>
      <c r="D59" t="s">
        <v>7185</v>
      </c>
      <c r="E59" t="s">
        <v>7247</v>
      </c>
      <c r="G59" s="2">
        <f t="shared" ref="G59:G64" si="21">COUNTIFS(H:H,H59)</f>
        <v>0</v>
      </c>
      <c r="K59" s="2">
        <f t="shared" ref="K59:K64" si="22">COUNTIFS(L:L,L59)</f>
        <v>1</v>
      </c>
      <c r="L59" t="s">
        <v>6218</v>
      </c>
      <c r="M59" t="s">
        <v>7050</v>
      </c>
      <c r="P59" s="2">
        <f t="shared" ref="P59:P64" si="23">COUNTIFS(Q:Q,Q59)</f>
        <v>0</v>
      </c>
    </row>
    <row r="60" spans="2:16" x14ac:dyDescent="0.25">
      <c r="C60" s="2">
        <f t="shared" si="20"/>
        <v>1</v>
      </c>
      <c r="D60" t="s">
        <v>7193</v>
      </c>
      <c r="E60" t="s">
        <v>6511</v>
      </c>
      <c r="G60" s="2">
        <f t="shared" si="21"/>
        <v>0</v>
      </c>
      <c r="K60" s="2">
        <f t="shared" si="22"/>
        <v>1</v>
      </c>
      <c r="L60" t="s">
        <v>7053</v>
      </c>
      <c r="M60" t="s">
        <v>7054</v>
      </c>
      <c r="P60" s="2">
        <f t="shared" si="23"/>
        <v>0</v>
      </c>
    </row>
    <row r="61" spans="2:16" x14ac:dyDescent="0.25">
      <c r="C61" s="2">
        <f t="shared" si="20"/>
        <v>1</v>
      </c>
      <c r="D61" t="s">
        <v>7253</v>
      </c>
      <c r="E61" t="s">
        <v>6511</v>
      </c>
      <c r="G61" s="2">
        <f t="shared" si="21"/>
        <v>0</v>
      </c>
      <c r="K61" s="2">
        <f t="shared" si="22"/>
        <v>1</v>
      </c>
      <c r="L61" t="s">
        <v>7088</v>
      </c>
      <c r="M61" t="s">
        <v>7087</v>
      </c>
      <c r="P61" s="2">
        <f t="shared" si="23"/>
        <v>0</v>
      </c>
    </row>
    <row r="62" spans="2:16" x14ac:dyDescent="0.25">
      <c r="C62" s="2">
        <f t="shared" si="20"/>
        <v>1</v>
      </c>
      <c r="D62" t="s">
        <v>7195</v>
      </c>
      <c r="E62" t="s">
        <v>7254</v>
      </c>
      <c r="G62" s="2">
        <f t="shared" si="21"/>
        <v>0</v>
      </c>
      <c r="K62" s="2">
        <f t="shared" si="22"/>
        <v>0</v>
      </c>
      <c r="P62" s="2">
        <f t="shared" si="23"/>
        <v>0</v>
      </c>
    </row>
    <row r="63" spans="2:16" x14ac:dyDescent="0.25">
      <c r="C63" s="2">
        <f t="shared" si="20"/>
        <v>0</v>
      </c>
      <c r="G63" s="2">
        <f t="shared" si="21"/>
        <v>0</v>
      </c>
      <c r="K63" s="2">
        <f t="shared" si="22"/>
        <v>0</v>
      </c>
      <c r="P63" s="2">
        <f t="shared" si="23"/>
        <v>0</v>
      </c>
    </row>
    <row r="64" spans="2:16" x14ac:dyDescent="0.25">
      <c r="C64" s="2">
        <f t="shared" si="20"/>
        <v>0</v>
      </c>
      <c r="G64" s="2">
        <f t="shared" si="21"/>
        <v>0</v>
      </c>
      <c r="K64" s="2">
        <f t="shared" si="22"/>
        <v>0</v>
      </c>
      <c r="P64" s="2">
        <f t="shared" si="23"/>
        <v>0</v>
      </c>
    </row>
    <row r="66" spans="2:18" x14ac:dyDescent="0.25">
      <c r="B66" s="5" t="s">
        <v>6928</v>
      </c>
    </row>
    <row r="67" spans="2:18" x14ac:dyDescent="0.25">
      <c r="B67" s="1">
        <v>5</v>
      </c>
      <c r="C67" s="2">
        <f t="shared" ref="C67:C72" si="24">COUNTIFS(D:D,D67)</f>
        <v>1</v>
      </c>
      <c r="D67" t="s">
        <v>7172</v>
      </c>
      <c r="E67" t="s">
        <v>7200</v>
      </c>
      <c r="G67" s="2">
        <f t="shared" ref="G67:G72" si="25">COUNTIFS(H:H,H67)</f>
        <v>1</v>
      </c>
      <c r="H67" t="s">
        <v>7070</v>
      </c>
      <c r="I67" t="s">
        <v>7069</v>
      </c>
      <c r="K67" s="2">
        <f t="shared" ref="K67:K72" si="26">COUNTIFS(L:L,L67)</f>
        <v>1</v>
      </c>
      <c r="L67" t="s">
        <v>7049</v>
      </c>
      <c r="M67" t="s">
        <v>6985</v>
      </c>
      <c r="P67" s="2">
        <f t="shared" ref="P67:P72" si="27">COUNTIFS(Q:Q,Q67)</f>
        <v>1</v>
      </c>
      <c r="Q67" t="s">
        <v>7058</v>
      </c>
      <c r="R67" t="s">
        <v>7059</v>
      </c>
    </row>
    <row r="68" spans="2:18" x14ac:dyDescent="0.25">
      <c r="C68" s="2">
        <f t="shared" si="24"/>
        <v>1</v>
      </c>
      <c r="D68" t="s">
        <v>7202</v>
      </c>
      <c r="E68" t="s">
        <v>7201</v>
      </c>
      <c r="G68" s="2">
        <f t="shared" si="25"/>
        <v>0</v>
      </c>
      <c r="K68" s="2">
        <f t="shared" si="26"/>
        <v>0</v>
      </c>
      <c r="P68" s="2">
        <f t="shared" si="27"/>
        <v>0</v>
      </c>
    </row>
    <row r="69" spans="2:18" x14ac:dyDescent="0.25">
      <c r="C69" s="2">
        <f t="shared" si="24"/>
        <v>0</v>
      </c>
      <c r="G69" s="2">
        <f t="shared" si="25"/>
        <v>0</v>
      </c>
      <c r="K69" s="2">
        <f t="shared" si="26"/>
        <v>0</v>
      </c>
      <c r="P69" s="2">
        <f t="shared" si="27"/>
        <v>0</v>
      </c>
    </row>
    <row r="70" spans="2:18" x14ac:dyDescent="0.25">
      <c r="C70" s="2">
        <f t="shared" si="24"/>
        <v>0</v>
      </c>
      <c r="G70" s="2">
        <f t="shared" si="25"/>
        <v>0</v>
      </c>
      <c r="K70" s="2">
        <f t="shared" si="26"/>
        <v>0</v>
      </c>
      <c r="P70" s="2">
        <f t="shared" si="27"/>
        <v>0</v>
      </c>
    </row>
    <row r="71" spans="2:18" x14ac:dyDescent="0.25">
      <c r="C71" s="2">
        <f t="shared" si="24"/>
        <v>0</v>
      </c>
      <c r="G71" s="2">
        <f t="shared" si="25"/>
        <v>0</v>
      </c>
      <c r="K71" s="2">
        <f t="shared" si="26"/>
        <v>0</v>
      </c>
      <c r="P71" s="2">
        <f t="shared" si="27"/>
        <v>0</v>
      </c>
    </row>
    <row r="72" spans="2:18" x14ac:dyDescent="0.25">
      <c r="C72" s="2">
        <f t="shared" si="24"/>
        <v>0</v>
      </c>
      <c r="G72" s="2">
        <f t="shared" si="25"/>
        <v>0</v>
      </c>
      <c r="K72" s="2">
        <f t="shared" si="26"/>
        <v>0</v>
      </c>
      <c r="P72" s="2">
        <f t="shared" si="27"/>
        <v>0</v>
      </c>
    </row>
    <row r="73" spans="2:18" x14ac:dyDescent="0.25">
      <c r="C73" s="2"/>
      <c r="G73" s="2"/>
      <c r="K73" s="2"/>
      <c r="P73" s="2"/>
    </row>
    <row r="74" spans="2:18" x14ac:dyDescent="0.25">
      <c r="B74" s="1">
        <v>4</v>
      </c>
      <c r="C74" s="2">
        <f t="shared" ref="C74:C85" si="28">COUNTIFS(D:D,D74)</f>
        <v>1</v>
      </c>
      <c r="D74" t="s">
        <v>7178</v>
      </c>
      <c r="E74" t="s">
        <v>7232</v>
      </c>
      <c r="G74" s="2">
        <f t="shared" ref="G74:G85" si="29">COUNTIFS(H:H,H74)</f>
        <v>0</v>
      </c>
      <c r="K74" s="2">
        <f t="shared" ref="K74:K85" si="30">COUNTIFS(L:L,L74)</f>
        <v>0</v>
      </c>
      <c r="P74" s="2">
        <f t="shared" ref="P74:P85" si="31">COUNTIFS(Q:Q,Q74)</f>
        <v>0</v>
      </c>
    </row>
    <row r="75" spans="2:18" x14ac:dyDescent="0.25">
      <c r="C75" s="2">
        <f t="shared" si="28"/>
        <v>1</v>
      </c>
      <c r="D75" t="s">
        <v>7234</v>
      </c>
      <c r="E75" t="s">
        <v>7233</v>
      </c>
      <c r="G75" s="2">
        <f t="shared" si="29"/>
        <v>0</v>
      </c>
      <c r="K75" s="2">
        <f t="shared" si="30"/>
        <v>0</v>
      </c>
      <c r="P75" s="2">
        <f t="shared" si="31"/>
        <v>0</v>
      </c>
    </row>
    <row r="76" spans="2:18" x14ac:dyDescent="0.25">
      <c r="C76" s="2">
        <f t="shared" si="28"/>
        <v>1</v>
      </c>
      <c r="D76" t="s">
        <v>7180</v>
      </c>
      <c r="E76" t="s">
        <v>7237</v>
      </c>
      <c r="G76" s="2">
        <f t="shared" si="29"/>
        <v>0</v>
      </c>
      <c r="K76" s="2">
        <f t="shared" si="30"/>
        <v>0</v>
      </c>
      <c r="P76" s="2">
        <f t="shared" si="31"/>
        <v>0</v>
      </c>
    </row>
    <row r="77" spans="2:18" x14ac:dyDescent="0.25">
      <c r="C77" s="2">
        <f t="shared" si="28"/>
        <v>1</v>
      </c>
      <c r="D77" t="s">
        <v>7239</v>
      </c>
      <c r="E77" t="s">
        <v>7238</v>
      </c>
      <c r="G77" s="2">
        <f t="shared" si="29"/>
        <v>0</v>
      </c>
      <c r="K77" s="2">
        <f t="shared" si="30"/>
        <v>0</v>
      </c>
      <c r="P77" s="2">
        <f t="shared" si="31"/>
        <v>0</v>
      </c>
    </row>
    <row r="78" spans="2:18" x14ac:dyDescent="0.25">
      <c r="C78" s="2">
        <f t="shared" si="28"/>
        <v>1</v>
      </c>
      <c r="D78" t="s">
        <v>7241</v>
      </c>
      <c r="E78" t="s">
        <v>7240</v>
      </c>
      <c r="G78" s="2">
        <f t="shared" si="29"/>
        <v>0</v>
      </c>
      <c r="K78" s="2">
        <f t="shared" si="30"/>
        <v>0</v>
      </c>
      <c r="P78" s="2">
        <f t="shared" si="31"/>
        <v>0</v>
      </c>
    </row>
    <row r="79" spans="2:18" x14ac:dyDescent="0.25">
      <c r="C79" s="2">
        <f t="shared" si="28"/>
        <v>1</v>
      </c>
      <c r="D79" t="s">
        <v>7181</v>
      </c>
      <c r="E79" t="s">
        <v>7243</v>
      </c>
      <c r="G79" s="2">
        <f t="shared" si="29"/>
        <v>0</v>
      </c>
      <c r="K79" s="2">
        <f t="shared" si="30"/>
        <v>0</v>
      </c>
      <c r="P79" s="2">
        <f t="shared" si="31"/>
        <v>0</v>
      </c>
    </row>
    <row r="80" spans="2:18" x14ac:dyDescent="0.25">
      <c r="C80" s="2">
        <f t="shared" si="28"/>
        <v>1</v>
      </c>
      <c r="D80" t="s">
        <v>7196</v>
      </c>
      <c r="E80" t="s">
        <v>5464</v>
      </c>
      <c r="G80" s="2">
        <f t="shared" si="29"/>
        <v>0</v>
      </c>
      <c r="K80" s="2">
        <f t="shared" si="30"/>
        <v>0</v>
      </c>
      <c r="P80" s="2">
        <f t="shared" si="31"/>
        <v>0</v>
      </c>
    </row>
    <row r="81" spans="2:16" x14ac:dyDescent="0.25">
      <c r="C81" s="2">
        <f t="shared" si="28"/>
        <v>1</v>
      </c>
      <c r="D81" t="s">
        <v>7242</v>
      </c>
      <c r="E81" t="s">
        <v>7248</v>
      </c>
      <c r="G81" s="2">
        <f t="shared" si="29"/>
        <v>0</v>
      </c>
      <c r="K81" s="2">
        <f t="shared" si="30"/>
        <v>0</v>
      </c>
      <c r="P81" s="2">
        <f t="shared" si="31"/>
        <v>0</v>
      </c>
    </row>
    <row r="82" spans="2:16" x14ac:dyDescent="0.25">
      <c r="C82" s="2">
        <f t="shared" si="28"/>
        <v>1</v>
      </c>
      <c r="D82" t="s">
        <v>7256</v>
      </c>
      <c r="E82" t="s">
        <v>5464</v>
      </c>
      <c r="G82" s="2">
        <f t="shared" si="29"/>
        <v>0</v>
      </c>
      <c r="K82" s="2">
        <f t="shared" si="30"/>
        <v>0</v>
      </c>
      <c r="P82" s="2">
        <f t="shared" si="31"/>
        <v>0</v>
      </c>
    </row>
    <row r="83" spans="2:16" x14ac:dyDescent="0.25">
      <c r="C83" s="2">
        <f t="shared" si="28"/>
        <v>0</v>
      </c>
      <c r="G83" s="2">
        <f t="shared" si="29"/>
        <v>0</v>
      </c>
      <c r="K83" s="2">
        <f t="shared" si="30"/>
        <v>0</v>
      </c>
      <c r="P83" s="2">
        <f t="shared" si="31"/>
        <v>0</v>
      </c>
    </row>
    <row r="84" spans="2:16" x14ac:dyDescent="0.25">
      <c r="C84" s="2">
        <f t="shared" si="28"/>
        <v>0</v>
      </c>
      <c r="G84" s="2">
        <f t="shared" si="29"/>
        <v>0</v>
      </c>
      <c r="K84" s="2">
        <f t="shared" si="30"/>
        <v>0</v>
      </c>
      <c r="P84" s="2">
        <f t="shared" si="31"/>
        <v>0</v>
      </c>
    </row>
    <row r="85" spans="2:16" x14ac:dyDescent="0.25">
      <c r="C85" s="2">
        <f t="shared" si="28"/>
        <v>0</v>
      </c>
      <c r="G85" s="2">
        <f t="shared" si="29"/>
        <v>0</v>
      </c>
      <c r="K85" s="2">
        <f t="shared" si="30"/>
        <v>0</v>
      </c>
      <c r="P85" s="2">
        <f t="shared" si="31"/>
        <v>0</v>
      </c>
    </row>
    <row r="86" spans="2:16" x14ac:dyDescent="0.25">
      <c r="C86" s="2"/>
      <c r="G86" s="2"/>
      <c r="K86" s="2"/>
      <c r="P86" s="2"/>
    </row>
    <row r="87" spans="2:16" x14ac:dyDescent="0.25">
      <c r="B87" s="1">
        <v>3</v>
      </c>
      <c r="C87" s="2">
        <f t="shared" ref="C87:C92" si="32">COUNTIFS(D:D,D87)</f>
        <v>1</v>
      </c>
      <c r="D87" t="s">
        <v>7218</v>
      </c>
      <c r="E87" t="s">
        <v>7217</v>
      </c>
      <c r="G87" s="2">
        <f t="shared" ref="G87:G92" si="33">COUNTIFS(H:H,H87)</f>
        <v>0</v>
      </c>
      <c r="K87" s="2">
        <f t="shared" ref="K87:K92" si="34">COUNTIFS(L:L,L87)</f>
        <v>0</v>
      </c>
      <c r="P87" s="2">
        <f t="shared" ref="P87:P92" si="35">COUNTIFS(Q:Q,Q87)</f>
        <v>0</v>
      </c>
    </row>
    <row r="88" spans="2:16" x14ac:dyDescent="0.25">
      <c r="C88" s="2">
        <f t="shared" si="32"/>
        <v>1</v>
      </c>
      <c r="D88" t="s">
        <v>7226</v>
      </c>
      <c r="E88" t="s">
        <v>7225</v>
      </c>
      <c r="G88" s="2">
        <f t="shared" si="33"/>
        <v>0</v>
      </c>
      <c r="K88" s="2">
        <f t="shared" si="34"/>
        <v>0</v>
      </c>
      <c r="P88" s="2">
        <f t="shared" si="35"/>
        <v>0</v>
      </c>
    </row>
    <row r="89" spans="2:16" x14ac:dyDescent="0.25">
      <c r="C89" s="2">
        <f t="shared" si="32"/>
        <v>0</v>
      </c>
      <c r="G89" s="2">
        <f t="shared" si="33"/>
        <v>0</v>
      </c>
      <c r="K89" s="2">
        <f t="shared" si="34"/>
        <v>0</v>
      </c>
      <c r="P89" s="2">
        <f t="shared" si="35"/>
        <v>0</v>
      </c>
    </row>
    <row r="90" spans="2:16" x14ac:dyDescent="0.25">
      <c r="C90" s="2">
        <f t="shared" si="32"/>
        <v>0</v>
      </c>
      <c r="G90" s="2">
        <f t="shared" si="33"/>
        <v>0</v>
      </c>
      <c r="K90" s="2">
        <f t="shared" si="34"/>
        <v>0</v>
      </c>
      <c r="P90" s="2">
        <f t="shared" si="35"/>
        <v>0</v>
      </c>
    </row>
    <row r="91" spans="2:16" x14ac:dyDescent="0.25">
      <c r="C91" s="2">
        <f t="shared" si="32"/>
        <v>0</v>
      </c>
      <c r="G91" s="2">
        <f t="shared" si="33"/>
        <v>0</v>
      </c>
      <c r="K91" s="2">
        <f t="shared" si="34"/>
        <v>0</v>
      </c>
      <c r="P91" s="2">
        <f t="shared" si="35"/>
        <v>0</v>
      </c>
    </row>
    <row r="92" spans="2:16" x14ac:dyDescent="0.25">
      <c r="C92" s="2">
        <f t="shared" si="32"/>
        <v>0</v>
      </c>
      <c r="G92" s="2">
        <f t="shared" si="33"/>
        <v>0</v>
      </c>
      <c r="K92" s="2">
        <f t="shared" si="34"/>
        <v>0</v>
      </c>
      <c r="P92" s="2">
        <f t="shared" si="35"/>
        <v>0</v>
      </c>
    </row>
    <row r="94" spans="2:16" x14ac:dyDescent="0.25">
      <c r="B94" s="5" t="s">
        <v>6205</v>
      </c>
    </row>
    <row r="95" spans="2:16" x14ac:dyDescent="0.25">
      <c r="B95" s="1">
        <v>5</v>
      </c>
      <c r="C95" s="2">
        <f t="shared" ref="C95:C100" si="36">COUNTIFS(D:D,D95)</f>
        <v>0</v>
      </c>
      <c r="G95" s="2">
        <f t="shared" ref="G95:G100" si="37">COUNTIFS(H:H,H95)</f>
        <v>1</v>
      </c>
      <c r="H95" t="s">
        <v>7074</v>
      </c>
      <c r="I95" t="s">
        <v>7073</v>
      </c>
      <c r="K95" s="2">
        <f t="shared" ref="K95:K100" si="38">COUNTIFS(L:L,L95)</f>
        <v>0</v>
      </c>
      <c r="P95" s="2">
        <f t="shared" ref="P95:P100" si="39">COUNTIFS(Q:Q,Q95)</f>
        <v>0</v>
      </c>
    </row>
    <row r="96" spans="2:16" x14ac:dyDescent="0.25">
      <c r="C96" s="2">
        <f t="shared" si="36"/>
        <v>0</v>
      </c>
      <c r="G96" s="2">
        <f t="shared" si="37"/>
        <v>1</v>
      </c>
      <c r="H96" t="s">
        <v>7259</v>
      </c>
      <c r="I96" t="s">
        <v>7264</v>
      </c>
      <c r="K96" s="2">
        <f t="shared" si="38"/>
        <v>0</v>
      </c>
      <c r="P96" s="2">
        <f t="shared" si="39"/>
        <v>0</v>
      </c>
    </row>
    <row r="97" spans="2:16" x14ac:dyDescent="0.25">
      <c r="C97" s="2">
        <f t="shared" si="36"/>
        <v>0</v>
      </c>
      <c r="G97" s="2">
        <f t="shared" si="37"/>
        <v>0</v>
      </c>
      <c r="K97" s="2">
        <f t="shared" si="38"/>
        <v>0</v>
      </c>
      <c r="P97" s="2">
        <f t="shared" si="39"/>
        <v>0</v>
      </c>
    </row>
    <row r="98" spans="2:16" x14ac:dyDescent="0.25">
      <c r="C98" s="2">
        <f t="shared" si="36"/>
        <v>0</v>
      </c>
      <c r="G98" s="2">
        <f t="shared" si="37"/>
        <v>0</v>
      </c>
      <c r="K98" s="2">
        <f t="shared" si="38"/>
        <v>0</v>
      </c>
      <c r="P98" s="2">
        <f t="shared" si="39"/>
        <v>0</v>
      </c>
    </row>
    <row r="99" spans="2:16" x14ac:dyDescent="0.25">
      <c r="C99" s="2">
        <f t="shared" si="36"/>
        <v>0</v>
      </c>
      <c r="G99" s="2">
        <f t="shared" si="37"/>
        <v>0</v>
      </c>
      <c r="K99" s="2">
        <f t="shared" si="38"/>
        <v>0</v>
      </c>
      <c r="P99" s="2">
        <f t="shared" si="39"/>
        <v>0</v>
      </c>
    </row>
    <row r="100" spans="2:16" x14ac:dyDescent="0.25">
      <c r="C100" s="2">
        <f t="shared" si="36"/>
        <v>0</v>
      </c>
      <c r="G100" s="2">
        <f t="shared" si="37"/>
        <v>0</v>
      </c>
      <c r="K100" s="2">
        <f t="shared" si="38"/>
        <v>0</v>
      </c>
      <c r="P100" s="2">
        <f t="shared" si="39"/>
        <v>0</v>
      </c>
    </row>
    <row r="101" spans="2:16" x14ac:dyDescent="0.25">
      <c r="C101" s="2"/>
      <c r="G101" s="2"/>
      <c r="K101" s="2"/>
      <c r="P101" s="2"/>
    </row>
    <row r="102" spans="2:16" x14ac:dyDescent="0.25">
      <c r="B102" s="1">
        <v>4</v>
      </c>
      <c r="C102" s="2">
        <f t="shared" ref="C102:C109" si="40">COUNTIFS(D:D,D102)</f>
        <v>1</v>
      </c>
      <c r="D102" t="s">
        <v>7177</v>
      </c>
      <c r="E102" t="s">
        <v>7231</v>
      </c>
      <c r="G102" s="2">
        <f t="shared" ref="G102:G109" si="41">COUNTIFS(H:H,H102)</f>
        <v>1</v>
      </c>
      <c r="H102" t="s">
        <v>7260</v>
      </c>
      <c r="I102" t="s">
        <v>7265</v>
      </c>
      <c r="K102" s="2">
        <f t="shared" ref="K102:K109" si="42">COUNTIFS(L:L,L102)</f>
        <v>0</v>
      </c>
      <c r="P102" s="2">
        <f t="shared" ref="P102:P109" si="43">COUNTIFS(Q:Q,Q102)</f>
        <v>0</v>
      </c>
    </row>
    <row r="103" spans="2:16" x14ac:dyDescent="0.25">
      <c r="C103" s="2">
        <f t="shared" si="40"/>
        <v>1</v>
      </c>
      <c r="D103" t="s">
        <v>7197</v>
      </c>
      <c r="E103" t="s">
        <v>7257</v>
      </c>
      <c r="G103" s="2">
        <f t="shared" si="41"/>
        <v>0</v>
      </c>
      <c r="K103" s="2">
        <f t="shared" si="42"/>
        <v>0</v>
      </c>
      <c r="P103" s="2">
        <f t="shared" si="43"/>
        <v>0</v>
      </c>
    </row>
    <row r="104" spans="2:16" x14ac:dyDescent="0.25">
      <c r="C104" s="2">
        <f t="shared" si="40"/>
        <v>0</v>
      </c>
      <c r="G104" s="2">
        <f t="shared" si="41"/>
        <v>0</v>
      </c>
      <c r="K104" s="2">
        <f t="shared" si="42"/>
        <v>0</v>
      </c>
      <c r="P104" s="2">
        <f t="shared" si="43"/>
        <v>0</v>
      </c>
    </row>
    <row r="105" spans="2:16" x14ac:dyDescent="0.25">
      <c r="C105" s="2">
        <f t="shared" si="40"/>
        <v>0</v>
      </c>
      <c r="G105" s="2">
        <f t="shared" si="41"/>
        <v>0</v>
      </c>
      <c r="K105" s="2">
        <f t="shared" si="42"/>
        <v>0</v>
      </c>
      <c r="P105" s="2">
        <f t="shared" si="43"/>
        <v>0</v>
      </c>
    </row>
    <row r="106" spans="2:16" x14ac:dyDescent="0.25">
      <c r="C106" s="2">
        <f t="shared" si="40"/>
        <v>0</v>
      </c>
      <c r="G106" s="2">
        <f t="shared" si="41"/>
        <v>0</v>
      </c>
      <c r="K106" s="2">
        <f t="shared" si="42"/>
        <v>0</v>
      </c>
      <c r="P106" s="2">
        <f t="shared" si="43"/>
        <v>0</v>
      </c>
    </row>
    <row r="107" spans="2:16" x14ac:dyDescent="0.25">
      <c r="C107" s="2">
        <f t="shared" si="40"/>
        <v>0</v>
      </c>
      <c r="G107" s="2">
        <f t="shared" si="41"/>
        <v>0</v>
      </c>
      <c r="K107" s="2">
        <f t="shared" si="42"/>
        <v>0</v>
      </c>
      <c r="P107" s="2">
        <f t="shared" si="43"/>
        <v>0</v>
      </c>
    </row>
    <row r="108" spans="2:16" x14ac:dyDescent="0.25">
      <c r="C108" s="2">
        <f t="shared" si="40"/>
        <v>0</v>
      </c>
      <c r="G108" s="2">
        <f t="shared" si="41"/>
        <v>0</v>
      </c>
      <c r="K108" s="2">
        <f t="shared" si="42"/>
        <v>0</v>
      </c>
      <c r="P108" s="2">
        <f t="shared" si="43"/>
        <v>0</v>
      </c>
    </row>
    <row r="109" spans="2:16" x14ac:dyDescent="0.25">
      <c r="C109" s="2">
        <f t="shared" si="40"/>
        <v>0</v>
      </c>
      <c r="G109" s="2">
        <f t="shared" si="41"/>
        <v>0</v>
      </c>
      <c r="K109" s="2">
        <f t="shared" si="42"/>
        <v>0</v>
      </c>
      <c r="P109" s="2">
        <f t="shared" si="43"/>
        <v>0</v>
      </c>
    </row>
    <row r="110" spans="2:16" x14ac:dyDescent="0.25">
      <c r="C110" s="2"/>
      <c r="G110" s="2"/>
      <c r="K110" s="2"/>
      <c r="P110" s="2"/>
    </row>
    <row r="111" spans="2:16" x14ac:dyDescent="0.25">
      <c r="B111" s="1">
        <v>3</v>
      </c>
      <c r="C111" s="2">
        <f t="shared" ref="C111:C129" si="44">COUNTIFS(D:D,D111)</f>
        <v>0</v>
      </c>
      <c r="G111" s="2">
        <f t="shared" ref="G111:G129" si="45">COUNTIFS(H:H,H111)</f>
        <v>0</v>
      </c>
      <c r="K111" s="2">
        <f t="shared" ref="K111:K129" si="46">COUNTIFS(L:L,L111)</f>
        <v>0</v>
      </c>
      <c r="P111" s="2">
        <f t="shared" ref="P111:P129" si="47">COUNTIFS(Q:Q,Q111)</f>
        <v>0</v>
      </c>
    </row>
    <row r="112" spans="2:16" x14ac:dyDescent="0.25">
      <c r="C112" s="2">
        <f t="shared" si="44"/>
        <v>0</v>
      </c>
      <c r="G112" s="2">
        <f t="shared" si="45"/>
        <v>0</v>
      </c>
      <c r="K112" s="2">
        <f t="shared" si="46"/>
        <v>0</v>
      </c>
      <c r="P112" s="2">
        <f t="shared" si="47"/>
        <v>0</v>
      </c>
    </row>
    <row r="113" spans="3:16" x14ac:dyDescent="0.25">
      <c r="C113" s="2">
        <f t="shared" si="44"/>
        <v>0</v>
      </c>
      <c r="G113" s="2">
        <f t="shared" si="45"/>
        <v>0</v>
      </c>
      <c r="K113" s="2">
        <f t="shared" si="46"/>
        <v>0</v>
      </c>
      <c r="P113" s="2">
        <f t="shared" si="47"/>
        <v>0</v>
      </c>
    </row>
    <row r="114" spans="3:16" x14ac:dyDescent="0.25">
      <c r="C114" s="2">
        <f t="shared" si="44"/>
        <v>0</v>
      </c>
      <c r="G114" s="2">
        <f t="shared" si="45"/>
        <v>0</v>
      </c>
      <c r="K114" s="2">
        <f t="shared" si="46"/>
        <v>0</v>
      </c>
      <c r="P114" s="2">
        <f t="shared" si="47"/>
        <v>0</v>
      </c>
    </row>
    <row r="115" spans="3:16" x14ac:dyDescent="0.25">
      <c r="C115" s="2">
        <f t="shared" si="44"/>
        <v>0</v>
      </c>
      <c r="G115" s="2">
        <f t="shared" si="45"/>
        <v>0</v>
      </c>
      <c r="K115" s="2">
        <f t="shared" si="46"/>
        <v>0</v>
      </c>
      <c r="P115" s="2">
        <f t="shared" si="47"/>
        <v>0</v>
      </c>
    </row>
    <row r="116" spans="3:16" x14ac:dyDescent="0.25">
      <c r="C116" s="2">
        <f t="shared" si="44"/>
        <v>0</v>
      </c>
      <c r="G116" s="2">
        <f t="shared" si="45"/>
        <v>0</v>
      </c>
      <c r="K116" s="2">
        <f t="shared" si="46"/>
        <v>0</v>
      </c>
      <c r="P116" s="2">
        <f t="shared" si="47"/>
        <v>0</v>
      </c>
    </row>
    <row r="117" spans="3:16" x14ac:dyDescent="0.25">
      <c r="C117" s="2">
        <f t="shared" si="44"/>
        <v>0</v>
      </c>
      <c r="G117" s="2">
        <f t="shared" si="45"/>
        <v>0</v>
      </c>
      <c r="K117" s="2">
        <f t="shared" si="46"/>
        <v>0</v>
      </c>
      <c r="P117" s="2">
        <f t="shared" si="47"/>
        <v>0</v>
      </c>
    </row>
    <row r="118" spans="3:16" x14ac:dyDescent="0.25">
      <c r="C118" s="2">
        <f t="shared" si="44"/>
        <v>0</v>
      </c>
      <c r="G118" s="2">
        <f t="shared" si="45"/>
        <v>0</v>
      </c>
      <c r="K118" s="2">
        <f t="shared" si="46"/>
        <v>0</v>
      </c>
      <c r="P118" s="2">
        <f t="shared" si="47"/>
        <v>0</v>
      </c>
    </row>
    <row r="119" spans="3:16" x14ac:dyDescent="0.25">
      <c r="C119" s="2">
        <f t="shared" si="44"/>
        <v>0</v>
      </c>
      <c r="G119" s="2">
        <f t="shared" si="45"/>
        <v>0</v>
      </c>
      <c r="K119" s="2">
        <f t="shared" si="46"/>
        <v>0</v>
      </c>
      <c r="P119" s="2">
        <f t="shared" si="47"/>
        <v>0</v>
      </c>
    </row>
    <row r="120" spans="3:16" x14ac:dyDescent="0.25">
      <c r="C120" s="2">
        <f t="shared" si="44"/>
        <v>0</v>
      </c>
      <c r="G120" s="2">
        <f t="shared" si="45"/>
        <v>0</v>
      </c>
      <c r="K120" s="2">
        <f t="shared" si="46"/>
        <v>0</v>
      </c>
      <c r="P120" s="2">
        <f t="shared" si="47"/>
        <v>0</v>
      </c>
    </row>
    <row r="121" spans="3:16" x14ac:dyDescent="0.25">
      <c r="C121" s="2">
        <f t="shared" si="44"/>
        <v>0</v>
      </c>
      <c r="G121" s="2">
        <f t="shared" si="45"/>
        <v>0</v>
      </c>
      <c r="K121" s="2">
        <f t="shared" si="46"/>
        <v>0</v>
      </c>
      <c r="P121" s="2">
        <f t="shared" si="47"/>
        <v>0</v>
      </c>
    </row>
    <row r="122" spans="3:16" x14ac:dyDescent="0.25">
      <c r="C122" s="2">
        <f t="shared" si="44"/>
        <v>0</v>
      </c>
      <c r="G122" s="2">
        <f t="shared" si="45"/>
        <v>0</v>
      </c>
      <c r="K122" s="2">
        <f t="shared" si="46"/>
        <v>0</v>
      </c>
      <c r="P122" s="2">
        <f t="shared" si="47"/>
        <v>0</v>
      </c>
    </row>
    <row r="123" spans="3:16" x14ac:dyDescent="0.25">
      <c r="C123" s="2">
        <f t="shared" si="44"/>
        <v>0</v>
      </c>
      <c r="G123" s="2">
        <f t="shared" si="45"/>
        <v>0</v>
      </c>
      <c r="K123" s="2">
        <f t="shared" si="46"/>
        <v>0</v>
      </c>
      <c r="P123" s="2">
        <f t="shared" si="47"/>
        <v>0</v>
      </c>
    </row>
    <row r="124" spans="3:16" x14ac:dyDescent="0.25">
      <c r="C124" s="2">
        <f t="shared" si="44"/>
        <v>0</v>
      </c>
      <c r="G124" s="2">
        <f t="shared" si="45"/>
        <v>0</v>
      </c>
      <c r="K124" s="2">
        <f t="shared" si="46"/>
        <v>0</v>
      </c>
      <c r="P124" s="2">
        <f t="shared" si="47"/>
        <v>0</v>
      </c>
    </row>
    <row r="125" spans="3:16" x14ac:dyDescent="0.25">
      <c r="C125" s="2">
        <f t="shared" si="44"/>
        <v>0</v>
      </c>
      <c r="G125" s="2">
        <f t="shared" si="45"/>
        <v>0</v>
      </c>
      <c r="K125" s="2">
        <f t="shared" si="46"/>
        <v>0</v>
      </c>
      <c r="P125" s="2">
        <f t="shared" si="47"/>
        <v>0</v>
      </c>
    </row>
    <row r="126" spans="3:16" x14ac:dyDescent="0.25">
      <c r="C126" s="2">
        <f t="shared" si="44"/>
        <v>0</v>
      </c>
      <c r="G126" s="2">
        <f t="shared" si="45"/>
        <v>0</v>
      </c>
      <c r="K126" s="2">
        <f t="shared" si="46"/>
        <v>0</v>
      </c>
      <c r="P126" s="2">
        <f t="shared" si="47"/>
        <v>0</v>
      </c>
    </row>
    <row r="127" spans="3:16" x14ac:dyDescent="0.25">
      <c r="C127" s="2">
        <f t="shared" si="44"/>
        <v>0</v>
      </c>
      <c r="G127" s="2">
        <f t="shared" si="45"/>
        <v>0</v>
      </c>
      <c r="K127" s="2">
        <f t="shared" si="46"/>
        <v>0</v>
      </c>
      <c r="P127" s="2">
        <f t="shared" si="47"/>
        <v>0</v>
      </c>
    </row>
    <row r="128" spans="3:16" x14ac:dyDescent="0.25">
      <c r="C128" s="2">
        <f t="shared" si="44"/>
        <v>0</v>
      </c>
      <c r="G128" s="2">
        <f t="shared" si="45"/>
        <v>0</v>
      </c>
      <c r="K128" s="2">
        <f t="shared" si="46"/>
        <v>0</v>
      </c>
      <c r="P128" s="2">
        <f t="shared" si="47"/>
        <v>0</v>
      </c>
    </row>
    <row r="129" spans="3:16" x14ac:dyDescent="0.25">
      <c r="C129" s="2">
        <f t="shared" si="44"/>
        <v>0</v>
      </c>
      <c r="G129" s="2">
        <f t="shared" si="45"/>
        <v>0</v>
      </c>
      <c r="K129" s="2">
        <f t="shared" si="46"/>
        <v>0</v>
      </c>
      <c r="P129" s="2">
        <f t="shared" si="47"/>
        <v>0</v>
      </c>
    </row>
    <row r="130" spans="3:16" x14ac:dyDescent="0.25">
      <c r="C130" s="2"/>
      <c r="G130" s="2"/>
      <c r="K130" s="2"/>
      <c r="P130" s="2"/>
    </row>
  </sheetData>
  <hyperlinks>
    <hyperlink ref="H13" r:id="rId1" xr:uid="{DEB8711C-B946-45C4-8EE4-485682A41C68}"/>
    <hyperlink ref="D6" r:id="rId2" xr:uid="{7FE0C10E-0973-43E4-AD12-149C685945B8}"/>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CC74B-280E-442B-AE71-A145F51F9644}">
  <sheetPr>
    <tabColor theme="6" tint="0.59999389629810485"/>
  </sheetPr>
  <dimension ref="B2:K76"/>
  <sheetViews>
    <sheetView topLeftCell="A7" workbookViewId="0">
      <selection activeCell="P24" sqref="P24"/>
    </sheetView>
  </sheetViews>
  <sheetFormatPr defaultColWidth="9.140625" defaultRowHeight="15" x14ac:dyDescent="0.25"/>
  <cols>
    <col min="1" max="1" width="2.7109375" style="14" customWidth="1"/>
    <col min="2" max="2" width="9.140625" style="14"/>
    <col min="3" max="3" width="22.28515625" style="14" customWidth="1"/>
    <col min="4" max="4" width="18.140625" style="14" bestFit="1" customWidth="1"/>
    <col min="5" max="5" width="6" style="14" bestFit="1" customWidth="1"/>
    <col min="6" max="6" width="36.140625" style="14" bestFit="1" customWidth="1"/>
    <col min="7" max="7" width="7.7109375" style="16" bestFit="1" customWidth="1"/>
    <col min="8" max="8" width="7.7109375" style="14" bestFit="1" customWidth="1"/>
    <col min="9" max="9" width="17.28515625" style="14" bestFit="1" customWidth="1"/>
    <col min="10" max="11" width="47.85546875" style="15" customWidth="1"/>
    <col min="12" max="16384" width="9.140625" style="14"/>
  </cols>
  <sheetData>
    <row r="2" spans="2:11" s="28" customFormat="1" x14ac:dyDescent="0.25">
      <c r="C2" s="31" t="s">
        <v>319</v>
      </c>
      <c r="D2" s="31" t="s">
        <v>318</v>
      </c>
      <c r="E2" s="31" t="s">
        <v>317</v>
      </c>
      <c r="F2" s="29" t="s">
        <v>316</v>
      </c>
      <c r="G2" s="29" t="s">
        <v>315</v>
      </c>
      <c r="H2" s="29" t="s">
        <v>314</v>
      </c>
      <c r="I2" s="29" t="s">
        <v>313</v>
      </c>
      <c r="J2" s="30" t="s">
        <v>312</v>
      </c>
      <c r="K2" s="30" t="s">
        <v>312</v>
      </c>
    </row>
    <row r="3" spans="2:11" s="27" customFormat="1" x14ac:dyDescent="0.25"/>
    <row r="4" spans="2:11" s="27" customFormat="1" x14ac:dyDescent="0.25">
      <c r="C4" s="69" t="s">
        <v>7046</v>
      </c>
    </row>
    <row r="5" spans="2:11" x14ac:dyDescent="0.25">
      <c r="B5" s="2"/>
      <c r="C5" s="70" t="s">
        <v>6995</v>
      </c>
      <c r="D5" s="63"/>
      <c r="E5" s="19"/>
      <c r="F5" s="63" t="s">
        <v>6997</v>
      </c>
      <c r="G5" s="2"/>
      <c r="H5" s="33"/>
      <c r="I5" s="32" t="s">
        <v>5407</v>
      </c>
      <c r="J5" s="14"/>
      <c r="K5" s="14"/>
    </row>
    <row r="6" spans="2:11" x14ac:dyDescent="0.25">
      <c r="B6" s="2"/>
      <c r="C6" s="70" t="s">
        <v>6996</v>
      </c>
      <c r="D6" s="63"/>
      <c r="E6" s="19"/>
      <c r="F6" s="63" t="s">
        <v>5399</v>
      </c>
      <c r="G6" s="2"/>
      <c r="H6" s="33"/>
      <c r="I6" s="32" t="s">
        <v>5407</v>
      </c>
      <c r="J6" s="14"/>
      <c r="K6" s="14"/>
    </row>
    <row r="7" spans="2:11" x14ac:dyDescent="0.25">
      <c r="B7" s="2"/>
      <c r="D7" s="63"/>
      <c r="E7" s="19"/>
      <c r="F7" s="63"/>
      <c r="G7" s="2"/>
      <c r="H7" s="33"/>
      <c r="I7" s="32"/>
      <c r="J7" s="14"/>
      <c r="K7" s="14"/>
    </row>
    <row r="8" spans="2:11" x14ac:dyDescent="0.25">
      <c r="B8" s="2"/>
      <c r="C8" s="70"/>
      <c r="D8" s="63"/>
      <c r="E8" s="19"/>
      <c r="F8" s="63"/>
      <c r="G8" s="2"/>
      <c r="H8" s="33"/>
      <c r="I8" s="32"/>
      <c r="J8" s="14"/>
      <c r="K8" s="14"/>
    </row>
    <row r="9" spans="2:11" s="27" customFormat="1" x14ac:dyDescent="0.25"/>
    <row r="10" spans="2:11" s="27" customFormat="1" x14ac:dyDescent="0.25">
      <c r="C10" s="69" t="s">
        <v>5808</v>
      </c>
    </row>
    <row r="11" spans="2:11" x14ac:dyDescent="0.25">
      <c r="B11" s="2"/>
      <c r="C11" s="70"/>
      <c r="D11" s="63"/>
      <c r="E11" s="19"/>
      <c r="F11" s="63"/>
      <c r="G11" s="2"/>
      <c r="H11" s="33"/>
      <c r="I11" s="32"/>
      <c r="J11" s="14"/>
      <c r="K11" s="14"/>
    </row>
    <row r="12" spans="2:11" x14ac:dyDescent="0.25">
      <c r="B12" s="2">
        <f>COUNTIFS($C:$C,C12)</f>
        <v>1</v>
      </c>
      <c r="C12" s="70" t="s">
        <v>7145</v>
      </c>
      <c r="D12" s="63"/>
      <c r="E12" s="19"/>
      <c r="F12" s="63" t="s">
        <v>7146</v>
      </c>
      <c r="G12" s="2"/>
      <c r="H12" s="33"/>
      <c r="I12" s="32" t="s">
        <v>6376</v>
      </c>
      <c r="J12" s="14" t="s">
        <v>7147</v>
      </c>
      <c r="K12" s="14"/>
    </row>
    <row r="13" spans="2:11" x14ac:dyDescent="0.25">
      <c r="B13" s="2">
        <f>COUNTIFS($C:$C,C13)</f>
        <v>1</v>
      </c>
      <c r="C13" s="70" t="s">
        <v>7112</v>
      </c>
      <c r="D13" s="63"/>
      <c r="E13" s="19"/>
      <c r="F13" s="63" t="s">
        <v>7151</v>
      </c>
      <c r="G13" s="2"/>
      <c r="H13" s="33"/>
      <c r="I13" s="32" t="s">
        <v>6376</v>
      </c>
      <c r="J13" s="14" t="s">
        <v>7152</v>
      </c>
      <c r="K13" s="14"/>
    </row>
    <row r="14" spans="2:11" x14ac:dyDescent="0.25">
      <c r="B14" s="2">
        <f>COUNTIFS($C:$C,C14)</f>
        <v>0</v>
      </c>
      <c r="C14" s="70"/>
      <c r="D14" s="63"/>
      <c r="E14" s="19"/>
      <c r="F14" s="63"/>
      <c r="G14" s="2"/>
      <c r="H14" s="33"/>
      <c r="I14" s="32"/>
      <c r="J14" s="14"/>
      <c r="K14" s="14"/>
    </row>
    <row r="15" spans="2:11" x14ac:dyDescent="0.25">
      <c r="B15" s="2">
        <f>COUNTIFS($C:$C,C15)</f>
        <v>0</v>
      </c>
      <c r="C15" s="70"/>
      <c r="D15" s="63"/>
      <c r="E15" s="19"/>
      <c r="F15" s="63"/>
      <c r="G15" s="2"/>
      <c r="H15" s="33"/>
      <c r="I15" s="32"/>
      <c r="J15" s="14"/>
      <c r="K15" s="14"/>
    </row>
    <row r="16" spans="2:11" x14ac:dyDescent="0.25">
      <c r="B16" s="2">
        <f>COUNTIFS($C:$C,C16)</f>
        <v>0</v>
      </c>
      <c r="C16" s="70"/>
      <c r="D16" s="63"/>
      <c r="E16" s="19"/>
      <c r="F16" s="63"/>
      <c r="G16" s="2"/>
      <c r="H16" s="33"/>
      <c r="I16" s="32"/>
      <c r="J16" s="14"/>
      <c r="K16" s="14"/>
    </row>
    <row r="17" spans="2:11" s="27" customFormat="1" x14ac:dyDescent="0.25"/>
    <row r="18" spans="2:11" s="27" customFormat="1" x14ac:dyDescent="0.25">
      <c r="C18" s="69" t="s">
        <v>7096</v>
      </c>
    </row>
    <row r="19" spans="2:11" x14ac:dyDescent="0.25">
      <c r="B19" s="2">
        <f t="shared" ref="B19:B27" si="0">COUNTIFS($C:$C,C19)</f>
        <v>1</v>
      </c>
      <c r="C19" s="70" t="s">
        <v>7040</v>
      </c>
      <c r="D19" s="63"/>
      <c r="E19" s="19"/>
      <c r="F19" s="63" t="s">
        <v>246</v>
      </c>
      <c r="G19" s="2" t="s">
        <v>236</v>
      </c>
      <c r="H19" s="33" t="s">
        <v>236</v>
      </c>
      <c r="I19" s="32" t="s">
        <v>7042</v>
      </c>
      <c r="J19" s="14"/>
      <c r="K19" s="14"/>
    </row>
    <row r="20" spans="2:11" x14ac:dyDescent="0.25">
      <c r="B20" s="2">
        <f t="shared" si="0"/>
        <v>1</v>
      </c>
      <c r="C20" s="70" t="s">
        <v>6204</v>
      </c>
      <c r="D20" s="63"/>
      <c r="E20" s="19"/>
      <c r="F20" s="63" t="s">
        <v>7044</v>
      </c>
      <c r="G20" s="2" t="s">
        <v>236</v>
      </c>
      <c r="H20" s="33" t="s">
        <v>236</v>
      </c>
      <c r="I20" s="32" t="s">
        <v>7042</v>
      </c>
      <c r="J20" s="14"/>
      <c r="K20" s="14"/>
    </row>
    <row r="21" spans="2:11" x14ac:dyDescent="0.25">
      <c r="B21" s="2">
        <f t="shared" si="0"/>
        <v>1</v>
      </c>
      <c r="C21" s="70" t="s">
        <v>7095</v>
      </c>
      <c r="D21" s="63"/>
      <c r="E21" s="19"/>
      <c r="F21" s="63" t="s">
        <v>6490</v>
      </c>
      <c r="G21" s="2"/>
      <c r="H21" s="33"/>
      <c r="I21" s="32" t="s">
        <v>7098</v>
      </c>
      <c r="J21" s="14"/>
      <c r="K21" s="14"/>
    </row>
    <row r="22" spans="2:11" x14ac:dyDescent="0.25">
      <c r="B22" s="2">
        <f t="shared" si="0"/>
        <v>1</v>
      </c>
      <c r="C22" s="70" t="s">
        <v>7092</v>
      </c>
      <c r="D22" s="63"/>
      <c r="E22" s="19"/>
      <c r="F22" s="63" t="s">
        <v>7093</v>
      </c>
      <c r="G22" s="2"/>
      <c r="H22" s="33"/>
      <c r="I22" s="32" t="s">
        <v>7094</v>
      </c>
      <c r="J22" s="14"/>
      <c r="K22" s="14"/>
    </row>
    <row r="23" spans="2:11" x14ac:dyDescent="0.25">
      <c r="B23" s="2">
        <f t="shared" si="0"/>
        <v>1</v>
      </c>
      <c r="C23" s="70" t="s">
        <v>7279</v>
      </c>
      <c r="D23" s="63"/>
      <c r="E23" s="19"/>
      <c r="F23" s="63" t="s">
        <v>7277</v>
      </c>
      <c r="G23" s="2"/>
      <c r="H23" s="33"/>
      <c r="I23" s="32" t="s">
        <v>7278</v>
      </c>
      <c r="J23" s="14"/>
      <c r="K23" s="14"/>
    </row>
    <row r="24" spans="2:11" x14ac:dyDescent="0.25">
      <c r="B24" s="2">
        <f t="shared" si="0"/>
        <v>1</v>
      </c>
      <c r="C24" s="3" t="s">
        <v>7280</v>
      </c>
      <c r="D24"/>
      <c r="F24" s="34" t="s">
        <v>7281</v>
      </c>
      <c r="G24" s="2"/>
      <c r="H24" s="33"/>
      <c r="I24" s="32" t="s">
        <v>7278</v>
      </c>
      <c r="J24" s="14"/>
      <c r="K24" s="14"/>
    </row>
    <row r="25" spans="2:11" x14ac:dyDescent="0.25">
      <c r="B25" s="2">
        <f t="shared" si="0"/>
        <v>0</v>
      </c>
      <c r="C25" s="70"/>
      <c r="D25" s="63"/>
      <c r="E25" s="19"/>
      <c r="F25" s="63"/>
      <c r="G25" s="2"/>
      <c r="H25" s="33"/>
      <c r="I25" s="32"/>
      <c r="J25" s="14"/>
      <c r="K25" s="14"/>
    </row>
    <row r="26" spans="2:11" x14ac:dyDescent="0.25">
      <c r="B26" s="2">
        <f t="shared" si="0"/>
        <v>0</v>
      </c>
      <c r="C26" s="70"/>
      <c r="D26" s="63"/>
      <c r="E26" s="19"/>
      <c r="F26" s="63"/>
      <c r="G26" s="2"/>
      <c r="H26" s="33"/>
      <c r="I26" s="32"/>
      <c r="J26" s="14"/>
      <c r="K26" s="14"/>
    </row>
    <row r="27" spans="2:11" x14ac:dyDescent="0.25">
      <c r="B27" s="2">
        <f t="shared" si="0"/>
        <v>0</v>
      </c>
      <c r="C27" s="70"/>
      <c r="D27" s="63"/>
      <c r="E27" s="19"/>
      <c r="F27" s="63"/>
      <c r="G27" s="2"/>
      <c r="H27" s="33"/>
      <c r="I27" s="32"/>
      <c r="J27" s="14"/>
      <c r="K27" s="14"/>
    </row>
    <row r="28" spans="2:11" x14ac:dyDescent="0.25">
      <c r="B28" s="2"/>
      <c r="C28" s="70"/>
      <c r="D28" s="63"/>
      <c r="E28" s="19"/>
      <c r="F28" s="63"/>
      <c r="G28" s="2"/>
      <c r="H28" s="33"/>
      <c r="I28" s="32"/>
      <c r="J28" s="14"/>
      <c r="K28" s="14"/>
    </row>
    <row r="29" spans="2:11" x14ac:dyDescent="0.25">
      <c r="B29" s="2"/>
      <c r="C29" s="69" t="s">
        <v>7269</v>
      </c>
      <c r="D29" s="63"/>
      <c r="E29" s="19"/>
      <c r="F29" s="63"/>
      <c r="G29" s="2"/>
      <c r="H29" s="33"/>
      <c r="I29" s="32"/>
      <c r="J29" s="14"/>
      <c r="K29" s="14"/>
    </row>
    <row r="30" spans="2:11" x14ac:dyDescent="0.25">
      <c r="B30" s="2">
        <f t="shared" ref="B30:B35" si="1">COUNTIFS($C:$C,C30)</f>
        <v>1</v>
      </c>
      <c r="C30" s="70" t="s">
        <v>7268</v>
      </c>
      <c r="D30" s="63"/>
      <c r="E30" s="19"/>
      <c r="F30" s="63"/>
      <c r="G30" s="2"/>
      <c r="H30" s="33"/>
      <c r="I30" s="32" t="s">
        <v>7097</v>
      </c>
      <c r="J30" s="14"/>
      <c r="K30" s="14"/>
    </row>
    <row r="31" spans="2:11" x14ac:dyDescent="0.25">
      <c r="B31" s="2">
        <f t="shared" si="1"/>
        <v>1</v>
      </c>
      <c r="C31" s="70" t="s">
        <v>6370</v>
      </c>
      <c r="D31" s="63"/>
      <c r="E31" s="19"/>
      <c r="F31" s="63"/>
      <c r="G31" s="2"/>
      <c r="H31" s="33"/>
      <c r="I31" s="32" t="s">
        <v>7097</v>
      </c>
      <c r="J31" s="14"/>
      <c r="K31" s="14"/>
    </row>
    <row r="32" spans="2:11" x14ac:dyDescent="0.25">
      <c r="B32" s="2">
        <f t="shared" si="1"/>
        <v>1</v>
      </c>
      <c r="C32" s="70" t="s">
        <v>7288</v>
      </c>
      <c r="D32" s="63"/>
      <c r="E32" s="19"/>
      <c r="F32" s="63"/>
      <c r="G32" s="2"/>
      <c r="H32" s="33"/>
      <c r="I32" s="32" t="s">
        <v>7097</v>
      </c>
      <c r="J32" s="14"/>
      <c r="K32" s="14"/>
    </row>
    <row r="33" spans="2:11" x14ac:dyDescent="0.25">
      <c r="B33" s="2">
        <f t="shared" si="1"/>
        <v>1</v>
      </c>
      <c r="C33" s="14" t="s">
        <v>6184</v>
      </c>
      <c r="D33" s="63"/>
      <c r="E33" s="19"/>
      <c r="F33" s="63"/>
      <c r="G33" s="2"/>
      <c r="H33" s="33"/>
      <c r="I33" s="32" t="s">
        <v>5430</v>
      </c>
      <c r="J33" s="14"/>
      <c r="K33" s="14"/>
    </row>
    <row r="34" spans="2:11" x14ac:dyDescent="0.25">
      <c r="B34" s="2">
        <f t="shared" si="1"/>
        <v>1</v>
      </c>
      <c r="C34" s="14" t="s">
        <v>7293</v>
      </c>
      <c r="D34" s="63"/>
      <c r="E34" s="19"/>
      <c r="F34" s="63"/>
      <c r="G34" s="2"/>
      <c r="H34" s="33"/>
      <c r="I34" s="32" t="s">
        <v>5430</v>
      </c>
      <c r="J34" s="14"/>
      <c r="K34" s="14"/>
    </row>
    <row r="35" spans="2:11" x14ac:dyDescent="0.25">
      <c r="B35" s="2">
        <f t="shared" si="1"/>
        <v>1</v>
      </c>
      <c r="C35" s="14" t="s">
        <v>6183</v>
      </c>
      <c r="D35" s="63"/>
      <c r="E35" s="19"/>
      <c r="F35" s="63"/>
      <c r="G35" s="2"/>
      <c r="H35" s="33"/>
      <c r="I35" s="32" t="s">
        <v>5430</v>
      </c>
      <c r="J35" s="14"/>
      <c r="K35" s="14"/>
    </row>
    <row r="36" spans="2:11" s="27" customFormat="1" x14ac:dyDescent="0.25">
      <c r="C36" s="82"/>
    </row>
    <row r="37" spans="2:11" s="27" customFormat="1" x14ac:dyDescent="0.25">
      <c r="C37" s="82"/>
    </row>
    <row r="38" spans="2:11" s="27" customFormat="1" x14ac:dyDescent="0.25">
      <c r="C38" s="82"/>
    </row>
    <row r="39" spans="2:11" s="27" customFormat="1" x14ac:dyDescent="0.25">
      <c r="C39" s="82"/>
    </row>
    <row r="40" spans="2:11" s="27" customFormat="1" x14ac:dyDescent="0.25">
      <c r="C40" s="82"/>
    </row>
    <row r="41" spans="2:11" s="27" customFormat="1" x14ac:dyDescent="0.25">
      <c r="C41" s="82"/>
    </row>
    <row r="42" spans="2:11" s="27" customFormat="1" x14ac:dyDescent="0.25">
      <c r="C42" s="69" t="s">
        <v>5816</v>
      </c>
    </row>
    <row r="43" spans="2:11" x14ac:dyDescent="0.25">
      <c r="B43" s="2">
        <f t="shared" ref="B43:B49" si="2">COUNTIFS($C:$C,C43)</f>
        <v>1</v>
      </c>
      <c r="C43" s="70" t="s">
        <v>7039</v>
      </c>
      <c r="D43" s="63"/>
      <c r="E43" s="19"/>
      <c r="F43" s="63" t="s">
        <v>246</v>
      </c>
      <c r="G43" s="2" t="s">
        <v>6161</v>
      </c>
      <c r="H43" s="33">
        <v>44743</v>
      </c>
      <c r="I43" s="32" t="s">
        <v>7043</v>
      </c>
      <c r="J43" s="14"/>
      <c r="K43" s="14"/>
    </row>
    <row r="44" spans="2:11" x14ac:dyDescent="0.25">
      <c r="B44" s="2">
        <f t="shared" si="2"/>
        <v>1</v>
      </c>
      <c r="C44" s="70" t="s">
        <v>7099</v>
      </c>
      <c r="D44" s="63"/>
      <c r="E44" s="19"/>
      <c r="F44" s="63" t="s">
        <v>246</v>
      </c>
      <c r="G44" s="2" t="s">
        <v>236</v>
      </c>
      <c r="H44" s="33" t="s">
        <v>236</v>
      </c>
      <c r="I44" s="32" t="s">
        <v>7100</v>
      </c>
      <c r="J44" s="14"/>
      <c r="K44" s="14"/>
    </row>
    <row r="45" spans="2:11" x14ac:dyDescent="0.25">
      <c r="B45" s="2">
        <f t="shared" si="2"/>
        <v>1</v>
      </c>
      <c r="C45" s="70" t="s">
        <v>7120</v>
      </c>
      <c r="D45" s="63"/>
      <c r="E45" s="19"/>
      <c r="F45" s="63" t="s">
        <v>7162</v>
      </c>
      <c r="G45" s="2"/>
      <c r="H45" s="33"/>
      <c r="I45" s="32"/>
      <c r="J45" s="14"/>
      <c r="K45" s="14"/>
    </row>
    <row r="46" spans="2:11" x14ac:dyDescent="0.25">
      <c r="B46" s="2">
        <f t="shared" si="2"/>
        <v>0</v>
      </c>
      <c r="C46" s="70"/>
      <c r="D46" s="63"/>
      <c r="E46" s="19"/>
      <c r="F46" s="63"/>
      <c r="G46" s="2"/>
      <c r="H46" s="33"/>
      <c r="I46" s="32"/>
      <c r="J46" s="14"/>
      <c r="K46" s="14"/>
    </row>
    <row r="47" spans="2:11" x14ac:dyDescent="0.25">
      <c r="B47" s="2">
        <f t="shared" si="2"/>
        <v>1</v>
      </c>
      <c r="C47" s="70" t="s">
        <v>6182</v>
      </c>
      <c r="D47" s="63"/>
      <c r="E47" s="19"/>
      <c r="F47" s="63" t="s">
        <v>7041</v>
      </c>
      <c r="G47" s="2" t="s">
        <v>5430</v>
      </c>
      <c r="H47" s="33">
        <v>45536</v>
      </c>
      <c r="I47" s="32" t="s">
        <v>7048</v>
      </c>
      <c r="J47" s="14"/>
      <c r="K47" s="14"/>
    </row>
    <row r="48" spans="2:11" x14ac:dyDescent="0.25">
      <c r="B48" s="2">
        <f t="shared" si="2"/>
        <v>1</v>
      </c>
      <c r="C48" s="70" t="s">
        <v>6973</v>
      </c>
      <c r="D48" s="63"/>
      <c r="E48" s="19"/>
      <c r="F48" s="63" t="s">
        <v>6974</v>
      </c>
      <c r="G48" s="2" t="s">
        <v>5431</v>
      </c>
      <c r="H48" s="33">
        <v>45261</v>
      </c>
      <c r="I48" s="32" t="s">
        <v>7047</v>
      </c>
      <c r="J48" s="14"/>
      <c r="K48" s="14"/>
    </row>
    <row r="49" spans="2:11" x14ac:dyDescent="0.25">
      <c r="B49" s="2">
        <f t="shared" si="2"/>
        <v>1</v>
      </c>
      <c r="C49" s="70" t="s">
        <v>7045</v>
      </c>
      <c r="D49" s="63"/>
      <c r="E49" s="19"/>
      <c r="F49" s="63" t="s">
        <v>6974</v>
      </c>
      <c r="G49" s="2" t="s">
        <v>6376</v>
      </c>
      <c r="H49" s="33">
        <v>44440</v>
      </c>
      <c r="I49" s="32" t="s">
        <v>7047</v>
      </c>
      <c r="J49" s="14"/>
      <c r="K49" s="14"/>
    </row>
    <row r="50" spans="2:11" x14ac:dyDescent="0.25">
      <c r="B50" s="2"/>
      <c r="C50" s="70"/>
      <c r="D50" s="63"/>
      <c r="E50" s="19"/>
      <c r="F50" s="63"/>
      <c r="G50" s="2"/>
      <c r="H50" s="33"/>
      <c r="I50" s="32"/>
      <c r="J50" s="14"/>
      <c r="K50" s="14"/>
    </row>
    <row r="51" spans="2:11" x14ac:dyDescent="0.25">
      <c r="B51" s="2">
        <f t="shared" ref="B51:B61" si="3">COUNTIFS($C:$C,C51)</f>
        <v>1</v>
      </c>
      <c r="C51" s="70" t="s">
        <v>7089</v>
      </c>
      <c r="D51" s="63" t="s">
        <v>7090</v>
      </c>
      <c r="E51" s="19">
        <v>4</v>
      </c>
      <c r="F51" s="63" t="s">
        <v>7091</v>
      </c>
      <c r="G51" s="2" t="s">
        <v>5486</v>
      </c>
      <c r="H51" s="33">
        <v>45627</v>
      </c>
      <c r="I51" s="32" t="s">
        <v>5310</v>
      </c>
      <c r="J51" s="14"/>
      <c r="K51" s="14"/>
    </row>
    <row r="52" spans="2:11" x14ac:dyDescent="0.25">
      <c r="B52" s="2">
        <f t="shared" si="3"/>
        <v>1</v>
      </c>
      <c r="C52" s="3" t="s">
        <v>7270</v>
      </c>
      <c r="D52" s="63"/>
      <c r="E52" s="19"/>
      <c r="F52" s="63" t="s">
        <v>5474</v>
      </c>
      <c r="G52" s="2"/>
      <c r="H52" s="33"/>
      <c r="I52" s="32" t="s">
        <v>7271</v>
      </c>
      <c r="J52" s="14" t="s">
        <v>7272</v>
      </c>
      <c r="K52" s="14"/>
    </row>
    <row r="53" spans="2:11" x14ac:dyDescent="0.25">
      <c r="B53" s="2">
        <f t="shared" si="3"/>
        <v>1</v>
      </c>
      <c r="C53" s="3" t="s">
        <v>7273</v>
      </c>
      <c r="D53"/>
      <c r="F53" s="34" t="s">
        <v>7274</v>
      </c>
      <c r="G53" s="2"/>
      <c r="H53" s="33"/>
      <c r="I53" s="32"/>
      <c r="J53" s="14"/>
      <c r="K53" s="14"/>
    </row>
    <row r="54" spans="2:11" x14ac:dyDescent="0.25">
      <c r="B54" s="2">
        <f t="shared" si="3"/>
        <v>1</v>
      </c>
      <c r="C54" s="70" t="s">
        <v>7275</v>
      </c>
      <c r="D54" s="63"/>
      <c r="E54" s="19"/>
      <c r="F54" s="34" t="s">
        <v>7276</v>
      </c>
      <c r="G54" s="2"/>
      <c r="H54" s="33"/>
      <c r="I54" s="32"/>
      <c r="J54" s="14"/>
      <c r="K54" s="14"/>
    </row>
    <row r="55" spans="2:11" x14ac:dyDescent="0.25">
      <c r="B55" s="2">
        <f t="shared" si="3"/>
        <v>1</v>
      </c>
      <c r="C55" s="70" t="s">
        <v>7284</v>
      </c>
      <c r="D55" s="63"/>
      <c r="E55" s="19"/>
      <c r="F55" s="63" t="s">
        <v>7282</v>
      </c>
      <c r="G55" s="2"/>
      <c r="H55" s="33"/>
      <c r="I55" s="32" t="s">
        <v>7283</v>
      </c>
      <c r="J55" s="14"/>
      <c r="K55" s="14"/>
    </row>
    <row r="56" spans="2:11" x14ac:dyDescent="0.25">
      <c r="B56" s="2">
        <f t="shared" si="3"/>
        <v>1</v>
      </c>
      <c r="C56" s="70" t="s">
        <v>7289</v>
      </c>
      <c r="D56" s="63"/>
      <c r="E56" s="19"/>
      <c r="F56" s="63"/>
      <c r="G56" s="2"/>
      <c r="H56" s="33"/>
      <c r="I56" s="32" t="s">
        <v>7291</v>
      </c>
      <c r="J56" s="14"/>
      <c r="K56" s="14"/>
    </row>
    <row r="57" spans="2:11" x14ac:dyDescent="0.25">
      <c r="B57" s="2">
        <f t="shared" si="3"/>
        <v>0</v>
      </c>
      <c r="C57" s="70"/>
      <c r="D57" s="63"/>
      <c r="E57" s="19"/>
      <c r="F57" s="63"/>
      <c r="G57" s="2"/>
      <c r="H57" s="33"/>
      <c r="I57" s="32"/>
      <c r="J57" s="14"/>
      <c r="K57" s="14"/>
    </row>
    <row r="58" spans="2:11" x14ac:dyDescent="0.25">
      <c r="B58" s="2">
        <f t="shared" si="3"/>
        <v>0</v>
      </c>
      <c r="C58" s="70"/>
      <c r="D58" s="63"/>
      <c r="E58" s="19"/>
      <c r="F58" s="63"/>
      <c r="G58" s="2"/>
      <c r="H58" s="33"/>
      <c r="I58" s="32"/>
      <c r="J58" s="14"/>
      <c r="K58" s="14"/>
    </row>
    <row r="59" spans="2:11" x14ac:dyDescent="0.25">
      <c r="B59" s="2">
        <f t="shared" si="3"/>
        <v>0</v>
      </c>
      <c r="C59" s="70"/>
      <c r="D59" s="63"/>
      <c r="E59" s="19"/>
      <c r="F59" s="63"/>
      <c r="G59" s="2"/>
      <c r="H59" s="33"/>
      <c r="I59" s="32"/>
      <c r="J59" s="14"/>
      <c r="K59" s="14"/>
    </row>
    <row r="60" spans="2:11" x14ac:dyDescent="0.25">
      <c r="B60" s="2">
        <f t="shared" si="3"/>
        <v>0</v>
      </c>
      <c r="C60" s="70"/>
      <c r="D60" s="63"/>
      <c r="E60" s="19"/>
      <c r="F60" s="63"/>
      <c r="G60" s="2"/>
      <c r="H60" s="33"/>
      <c r="I60" s="32"/>
      <c r="J60" s="14"/>
      <c r="K60" s="14"/>
    </row>
    <row r="61" spans="2:11" x14ac:dyDescent="0.25">
      <c r="B61" s="2">
        <f t="shared" si="3"/>
        <v>0</v>
      </c>
      <c r="C61" s="70"/>
      <c r="D61" s="63"/>
      <c r="E61" s="19"/>
      <c r="F61" s="63"/>
      <c r="G61" s="2"/>
      <c r="H61" s="33"/>
      <c r="I61" s="32"/>
      <c r="J61" s="14"/>
      <c r="K61" s="14"/>
    </row>
    <row r="62" spans="2:11" x14ac:dyDescent="0.25">
      <c r="B62" s="2"/>
      <c r="C62" s="82"/>
      <c r="D62" s="63"/>
      <c r="E62" s="19"/>
      <c r="F62" s="63"/>
      <c r="G62" s="2"/>
      <c r="H62" s="33"/>
      <c r="I62" s="32"/>
      <c r="J62" s="14"/>
      <c r="K62" s="14"/>
    </row>
    <row r="63" spans="2:11" x14ac:dyDescent="0.25">
      <c r="B63" s="2"/>
      <c r="C63" s="69" t="s">
        <v>7167</v>
      </c>
      <c r="D63" s="63"/>
      <c r="E63" s="19"/>
      <c r="F63" s="63"/>
      <c r="G63" s="2"/>
      <c r="H63" s="33"/>
      <c r="I63" s="32"/>
      <c r="J63" s="14"/>
      <c r="K63" s="14"/>
    </row>
    <row r="64" spans="2:11" x14ac:dyDescent="0.25">
      <c r="B64" s="2"/>
      <c r="C64" s="70" t="s">
        <v>7125</v>
      </c>
      <c r="D64" s="63"/>
      <c r="E64" s="19">
        <v>5</v>
      </c>
      <c r="F64" s="63" t="s">
        <v>7168</v>
      </c>
      <c r="G64" s="2" t="s">
        <v>5486</v>
      </c>
      <c r="H64" s="33">
        <v>46082</v>
      </c>
      <c r="I64" s="32" t="s">
        <v>5310</v>
      </c>
      <c r="J64" s="14"/>
      <c r="K64" s="14"/>
    </row>
    <row r="65" spans="2:11" x14ac:dyDescent="0.25">
      <c r="B65" s="2"/>
      <c r="C65" s="70" t="s">
        <v>7292</v>
      </c>
      <c r="D65" s="63"/>
      <c r="E65" s="19"/>
      <c r="F65" s="63"/>
      <c r="G65" s="2"/>
      <c r="H65" s="33"/>
      <c r="I65" s="32" t="s">
        <v>236</v>
      </c>
      <c r="J65" s="14"/>
      <c r="K65" s="14"/>
    </row>
    <row r="66" spans="2:11" x14ac:dyDescent="0.25">
      <c r="B66" s="2"/>
      <c r="C66" s="70"/>
      <c r="D66" s="63"/>
      <c r="E66" s="19"/>
      <c r="F66" s="63"/>
      <c r="G66" s="2"/>
      <c r="H66" s="33"/>
      <c r="I66" s="32"/>
      <c r="J66" s="14"/>
      <c r="K66" s="14"/>
    </row>
    <row r="67" spans="2:11" x14ac:dyDescent="0.25">
      <c r="B67" s="2"/>
      <c r="C67" s="70"/>
      <c r="D67" s="63"/>
      <c r="E67" s="19"/>
      <c r="F67" s="63"/>
      <c r="G67" s="2"/>
      <c r="H67" s="33"/>
      <c r="I67" s="32"/>
      <c r="J67" s="14"/>
      <c r="K67" s="14"/>
    </row>
    <row r="68" spans="2:11" x14ac:dyDescent="0.25">
      <c r="B68" s="2"/>
      <c r="C68" s="70"/>
      <c r="D68" s="63"/>
      <c r="E68" s="19"/>
      <c r="F68" s="63"/>
      <c r="G68" s="2"/>
      <c r="H68" s="33"/>
      <c r="I68" s="32"/>
      <c r="J68" s="14"/>
      <c r="K68" s="14"/>
    </row>
    <row r="69" spans="2:11" x14ac:dyDescent="0.25">
      <c r="B69" s="2"/>
      <c r="C69" s="70"/>
      <c r="D69" s="63"/>
      <c r="E69" s="19"/>
      <c r="F69" s="63"/>
      <c r="G69" s="2"/>
      <c r="H69" s="33"/>
      <c r="I69" s="32"/>
      <c r="J69" s="14"/>
      <c r="K69" s="14"/>
    </row>
    <row r="70" spans="2:11" x14ac:dyDescent="0.25">
      <c r="B70" s="2"/>
      <c r="C70" s="70"/>
      <c r="D70" s="63"/>
      <c r="E70" s="19"/>
      <c r="F70" s="63"/>
      <c r="G70" s="2"/>
      <c r="H70" s="33"/>
      <c r="I70" s="32"/>
      <c r="J70" s="14"/>
      <c r="K70" s="14"/>
    </row>
    <row r="71" spans="2:11" x14ac:dyDescent="0.25">
      <c r="B71" s="2"/>
      <c r="C71" s="69" t="s">
        <v>7082</v>
      </c>
      <c r="D71" s="63"/>
      <c r="E71" s="19"/>
      <c r="F71" s="63"/>
      <c r="G71" s="2"/>
      <c r="H71" s="33"/>
      <c r="I71" s="32"/>
      <c r="J71" s="14"/>
      <c r="K71" s="14"/>
    </row>
    <row r="72" spans="2:11" x14ac:dyDescent="0.25">
      <c r="B72" s="2">
        <f>COUNTIFS($C:$C,C72)</f>
        <v>1</v>
      </c>
      <c r="C72" s="70" t="s">
        <v>6185</v>
      </c>
      <c r="D72" s="63" t="s">
        <v>6186</v>
      </c>
      <c r="E72" s="19">
        <v>4</v>
      </c>
      <c r="F72" s="63" t="s">
        <v>6187</v>
      </c>
      <c r="G72" s="2"/>
      <c r="H72" s="33"/>
      <c r="I72" s="32"/>
      <c r="J72" s="14"/>
      <c r="K72" s="14"/>
    </row>
    <row r="73" spans="2:11" x14ac:dyDescent="0.25">
      <c r="B73" s="2">
        <f>COUNTIFS($C:$C,C73)</f>
        <v>1</v>
      </c>
      <c r="C73" s="70" t="s">
        <v>6189</v>
      </c>
      <c r="D73" s="63" t="s">
        <v>6191</v>
      </c>
      <c r="E73" s="19">
        <v>4</v>
      </c>
      <c r="F73" s="63" t="s">
        <v>6190</v>
      </c>
      <c r="G73" s="2" t="s">
        <v>5409</v>
      </c>
      <c r="H73" s="33"/>
      <c r="I73" s="32"/>
      <c r="J73" s="14"/>
      <c r="K73" s="14"/>
    </row>
    <row r="74" spans="2:11" x14ac:dyDescent="0.25">
      <c r="B74" s="2">
        <f>COUNTIFS($C:$C,C74)</f>
        <v>1</v>
      </c>
      <c r="C74" s="70" t="s">
        <v>6195</v>
      </c>
      <c r="D74" s="63" t="s">
        <v>6196</v>
      </c>
      <c r="E74" s="19">
        <v>4</v>
      </c>
      <c r="F74" s="63" t="s">
        <v>6197</v>
      </c>
      <c r="G74" s="2"/>
      <c r="H74" s="33"/>
      <c r="I74" s="32"/>
      <c r="J74" s="14"/>
      <c r="K74" s="14"/>
    </row>
    <row r="75" spans="2:11" x14ac:dyDescent="0.25">
      <c r="B75" s="2">
        <f>COUNTIFS($C:$C,C75)</f>
        <v>1</v>
      </c>
      <c r="C75" s="70" t="s">
        <v>6201</v>
      </c>
      <c r="D75" s="63"/>
      <c r="E75" s="19">
        <v>4</v>
      </c>
      <c r="F75" s="63" t="s">
        <v>6202</v>
      </c>
      <c r="G75" s="2"/>
      <c r="H75" s="33"/>
      <c r="I75" s="32"/>
      <c r="J75" s="14"/>
      <c r="K75" s="14"/>
    </row>
    <row r="76" spans="2:11" x14ac:dyDescent="0.25">
      <c r="B76" s="2">
        <f>COUNTIFS($C:$C,C76)</f>
        <v>0</v>
      </c>
      <c r="C76" s="70"/>
      <c r="D76" s="63"/>
      <c r="E76" s="19"/>
      <c r="F76" s="63"/>
      <c r="G76" s="2"/>
      <c r="H76" s="33"/>
      <c r="I76" s="32"/>
      <c r="J76" s="14"/>
      <c r="K76" s="14"/>
    </row>
  </sheetData>
  <hyperlinks>
    <hyperlink ref="C47" r:id="rId1" xr:uid="{46DC94A4-2FDB-4AC5-AD17-D297E2509946}"/>
    <hyperlink ref="C43" r:id="rId2" xr:uid="{AD717C70-A8A0-4FAC-B4C5-05A3D831A2E0}"/>
    <hyperlink ref="C19" r:id="rId3" xr:uid="{2047A106-4B5F-4D81-A5E1-4C305C591671}"/>
    <hyperlink ref="C20" r:id="rId4" xr:uid="{A775B6D1-D4D9-4FE4-A852-AD56DBE39E4C}"/>
    <hyperlink ref="C48" r:id="rId5" xr:uid="{723682AC-0F36-4430-A9B2-16F73822D347}"/>
    <hyperlink ref="C51" r:id="rId6" xr:uid="{A0D853BA-C449-4D3E-B39A-5BF9207424F6}"/>
    <hyperlink ref="C21" r:id="rId7" xr:uid="{3FC9FABA-03D3-40C4-8ADB-A9AE6918BD71}"/>
    <hyperlink ref="C30" r:id="rId8" xr:uid="{0B588D2C-ABF6-447C-8EAF-043E88F124CB}"/>
    <hyperlink ref="C52" r:id="rId9" display="https://www.linkedin.com/in/frankmakryllos/?originalSubdomain=au" xr:uid="{22F90647-F386-4495-85F6-7DF59F08822C}"/>
    <hyperlink ref="C53" r:id="rId10" xr:uid="{C14B638C-5DFE-4D37-A5C6-F5689DB9C1B7}"/>
    <hyperlink ref="C24" r:id="rId11" xr:uid="{0BEE8CC3-634E-43AB-9DB6-24D67CCB1A94}"/>
    <hyperlink ref="C32" r:id="rId12" xr:uid="{53189E93-9685-4517-BF59-FB986066C91C}"/>
    <hyperlink ref="C56" r:id="rId13" xr:uid="{CECE5134-C422-4D66-B3E1-75EE916DA15F}"/>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9312-503B-4FCB-8B06-5C981B7987F3}">
  <sheetPr>
    <tabColor theme="2" tint="-9.9978637043366805E-2"/>
  </sheetPr>
  <dimension ref="B2:L36"/>
  <sheetViews>
    <sheetView workbookViewId="0">
      <selection activeCell="J26" sqref="J26"/>
    </sheetView>
  </sheetViews>
  <sheetFormatPr defaultRowHeight="15" x14ac:dyDescent="0.25"/>
  <cols>
    <col min="2" max="2" width="52.28515625" bestFit="1" customWidth="1"/>
    <col min="5" max="5" width="21.5703125" bestFit="1" customWidth="1"/>
    <col min="6" max="6" width="7.28515625" bestFit="1" customWidth="1"/>
    <col min="7" max="7" width="9.42578125" bestFit="1" customWidth="1"/>
    <col min="10" max="10" width="15.85546875" bestFit="1" customWidth="1"/>
    <col min="12" max="12" width="45.7109375" customWidth="1"/>
  </cols>
  <sheetData>
    <row r="2" spans="2:12" x14ac:dyDescent="0.25">
      <c r="L2" s="12" t="s">
        <v>5850</v>
      </c>
    </row>
    <row r="3" spans="2:12" x14ac:dyDescent="0.25">
      <c r="B3" s="76" t="s">
        <v>6368</v>
      </c>
      <c r="D3" t="s">
        <v>5431</v>
      </c>
      <c r="E3" t="s">
        <v>6381</v>
      </c>
      <c r="F3" s="83">
        <v>46023</v>
      </c>
      <c r="G3" t="s">
        <v>6373</v>
      </c>
      <c r="H3" t="s">
        <v>6374</v>
      </c>
      <c r="J3" t="s">
        <v>6380</v>
      </c>
      <c r="L3" s="12" t="s">
        <v>319</v>
      </c>
    </row>
    <row r="4" spans="2:12" x14ac:dyDescent="0.25">
      <c r="B4" s="76" t="s">
        <v>6366</v>
      </c>
      <c r="D4" t="s">
        <v>5431</v>
      </c>
      <c r="E4" t="s">
        <v>6375</v>
      </c>
      <c r="F4" s="83">
        <v>45931</v>
      </c>
      <c r="G4" t="s">
        <v>6373</v>
      </c>
      <c r="H4" t="s">
        <v>6374</v>
      </c>
    </row>
    <row r="5" spans="2:12" x14ac:dyDescent="0.25">
      <c r="B5" s="76"/>
      <c r="F5" s="83"/>
    </row>
    <row r="6" spans="2:12" x14ac:dyDescent="0.25">
      <c r="B6" t="s">
        <v>6372</v>
      </c>
      <c r="D6" t="s">
        <v>5486</v>
      </c>
      <c r="E6" t="s">
        <v>6384</v>
      </c>
      <c r="F6" s="83">
        <v>45962</v>
      </c>
      <c r="G6" t="s">
        <v>6385</v>
      </c>
      <c r="H6" t="s">
        <v>323</v>
      </c>
      <c r="L6" t="s">
        <v>6193</v>
      </c>
    </row>
    <row r="7" spans="2:12" x14ac:dyDescent="0.25">
      <c r="B7" s="76" t="s">
        <v>6370</v>
      </c>
      <c r="D7" t="s">
        <v>5486</v>
      </c>
      <c r="E7" t="s">
        <v>6386</v>
      </c>
      <c r="F7" s="83">
        <v>45992</v>
      </c>
      <c r="G7" t="s">
        <v>6385</v>
      </c>
      <c r="H7" t="s">
        <v>6374</v>
      </c>
      <c r="L7" t="s">
        <v>6220</v>
      </c>
    </row>
    <row r="8" spans="2:12" x14ac:dyDescent="0.25">
      <c r="F8" s="83"/>
      <c r="L8" t="s">
        <v>6364</v>
      </c>
    </row>
    <row r="9" spans="2:12" x14ac:dyDescent="0.25">
      <c r="B9" s="76" t="s">
        <v>6367</v>
      </c>
      <c r="D9" t="s">
        <v>6376</v>
      </c>
      <c r="E9" t="s">
        <v>6377</v>
      </c>
      <c r="F9" s="83">
        <v>45778</v>
      </c>
      <c r="G9" t="s">
        <v>6378</v>
      </c>
      <c r="H9" t="s">
        <v>6374</v>
      </c>
      <c r="J9" t="s">
        <v>6379</v>
      </c>
    </row>
    <row r="10" spans="2:12" x14ac:dyDescent="0.25">
      <c r="B10" s="76" t="s">
        <v>6369</v>
      </c>
      <c r="D10" t="s">
        <v>5431</v>
      </c>
      <c r="E10" t="s">
        <v>6382</v>
      </c>
      <c r="F10" s="83">
        <v>45778</v>
      </c>
      <c r="G10" t="s">
        <v>6378</v>
      </c>
      <c r="H10" t="s">
        <v>6374</v>
      </c>
    </row>
    <row r="11" spans="2:12" x14ac:dyDescent="0.25">
      <c r="B11" t="s">
        <v>6371</v>
      </c>
      <c r="D11" t="s">
        <v>6376</v>
      </c>
      <c r="E11" t="s">
        <v>6383</v>
      </c>
      <c r="F11" s="83">
        <v>45839</v>
      </c>
      <c r="G11" t="s">
        <v>6378</v>
      </c>
      <c r="H11" t="s">
        <v>323</v>
      </c>
      <c r="L11" t="s">
        <v>6357</v>
      </c>
    </row>
    <row r="14" spans="2:12" x14ac:dyDescent="0.25">
      <c r="B14" t="s">
        <v>7066</v>
      </c>
      <c r="E14" t="s">
        <v>7067</v>
      </c>
    </row>
    <row r="17" spans="12:12" x14ac:dyDescent="0.25">
      <c r="L17" t="s">
        <v>6183</v>
      </c>
    </row>
    <row r="18" spans="12:12" x14ac:dyDescent="0.25">
      <c r="L18" t="s">
        <v>6184</v>
      </c>
    </row>
    <row r="19" spans="12:12" x14ac:dyDescent="0.25">
      <c r="L19" t="s">
        <v>6188</v>
      </c>
    </row>
    <row r="20" spans="12:12" x14ac:dyDescent="0.25">
      <c r="L20" t="s">
        <v>6203</v>
      </c>
    </row>
    <row r="21" spans="12:12" x14ac:dyDescent="0.25">
      <c r="L21" t="s">
        <v>6189</v>
      </c>
    </row>
    <row r="36" spans="12:12" x14ac:dyDescent="0.25">
      <c r="L36" t="s">
        <v>6198</v>
      </c>
    </row>
  </sheetData>
  <hyperlinks>
    <hyperlink ref="B4" r:id="rId1" xr:uid="{94515BD3-3C8B-4FBB-B7A2-0336ACAF7FF0}"/>
    <hyperlink ref="B9" r:id="rId2" xr:uid="{792DA670-BEC7-4C05-99E8-F774D1DCF2F6}"/>
    <hyperlink ref="B3" r:id="rId3" xr:uid="{75E4D08B-6B4B-48AA-A67B-B6854CFF10EB}"/>
    <hyperlink ref="B10" r:id="rId4" xr:uid="{F118053C-A3F9-4AF6-8576-192591F04239}"/>
    <hyperlink ref="B7" r:id="rId5" xr:uid="{C7F42960-4C77-4865-81B1-91772546D951}"/>
  </hyperlinks>
  <pageMargins left="0.7" right="0.7" top="0.75" bottom="0.75" header="0.3" footer="0.3"/>
  <pageSetup paperSize="9" orientation="portrait"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3BDB9-D4F6-4095-A487-7A44E177C135}">
  <sheetPr>
    <tabColor theme="2" tint="-0.499984740745262"/>
  </sheetPr>
  <dimension ref="A1"/>
  <sheetViews>
    <sheetView workbookViewId="0">
      <selection activeCell="G15" sqref="G15"/>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415D5-373F-452D-A92C-3D31C683A0D6}">
  <sheetPr>
    <tabColor theme="0" tint="-0.14999847407452621"/>
    <pageSetUpPr fitToPage="1"/>
  </sheetPr>
  <dimension ref="A1:G1378"/>
  <sheetViews>
    <sheetView zoomScaleNormal="100" workbookViewId="0">
      <pane ySplit="3" topLeftCell="A4" activePane="bottomLeft" state="frozen"/>
      <selection activeCell="G37" sqref="G37"/>
      <selection pane="bottomLeft" activeCell="G37" sqref="G37"/>
    </sheetView>
  </sheetViews>
  <sheetFormatPr defaultColWidth="8" defaultRowHeight="16.5" customHeight="1" x14ac:dyDescent="0.25"/>
  <cols>
    <col min="1" max="1" width="16" style="35" customWidth="1"/>
    <col min="2" max="2" width="69.140625" style="35" customWidth="1"/>
    <col min="3" max="3" width="24.5703125" style="35" customWidth="1"/>
    <col min="4" max="4" width="16" style="37" customWidth="1"/>
    <col min="5" max="5" width="41.7109375" style="35" customWidth="1"/>
    <col min="6" max="7" width="17.7109375" style="36" customWidth="1"/>
    <col min="8" max="16384" width="8" style="35"/>
  </cols>
  <sheetData>
    <row r="1" spans="1:7" s="43" customFormat="1" ht="94.5" customHeight="1" x14ac:dyDescent="0.2">
      <c r="A1" s="107"/>
      <c r="B1" s="107"/>
      <c r="C1" s="107"/>
      <c r="D1" s="107"/>
      <c r="E1" s="107"/>
      <c r="F1" s="107"/>
      <c r="G1" s="107"/>
    </row>
    <row r="2" spans="1:7" s="47" customFormat="1" ht="45" customHeight="1" x14ac:dyDescent="0.2">
      <c r="A2" s="108" t="s">
        <v>3136</v>
      </c>
      <c r="B2" s="108"/>
      <c r="C2" s="108"/>
      <c r="D2" s="108"/>
      <c r="E2" s="108"/>
      <c r="F2" s="108"/>
      <c r="G2" s="108"/>
    </row>
    <row r="3" spans="1:7" s="44" customFormat="1" ht="66.599999999999994" customHeight="1" x14ac:dyDescent="0.2">
      <c r="A3" s="46" t="s">
        <v>3135</v>
      </c>
      <c r="B3" s="46" t="s">
        <v>3134</v>
      </c>
      <c r="C3" s="46" t="s">
        <v>3133</v>
      </c>
      <c r="D3" s="46" t="s">
        <v>3132</v>
      </c>
      <c r="E3" s="46" t="s">
        <v>3131</v>
      </c>
      <c r="F3" s="45" t="s">
        <v>3130</v>
      </c>
      <c r="G3" s="45" t="s">
        <v>3129</v>
      </c>
    </row>
    <row r="4" spans="1:7" ht="16.5" customHeight="1" x14ac:dyDescent="0.2">
      <c r="A4" s="43" t="s">
        <v>3128</v>
      </c>
      <c r="B4" s="43" t="s">
        <v>3127</v>
      </c>
      <c r="C4" s="43" t="s">
        <v>3126</v>
      </c>
      <c r="D4" s="43">
        <v>2170</v>
      </c>
      <c r="E4" s="43" t="s">
        <v>427</v>
      </c>
      <c r="F4" s="43">
        <v>603</v>
      </c>
      <c r="G4" s="43">
        <v>1</v>
      </c>
    </row>
    <row r="5" spans="1:7" ht="16.5" customHeight="1" x14ac:dyDescent="0.2">
      <c r="A5" s="43" t="s">
        <v>3125</v>
      </c>
      <c r="B5" s="43" t="s">
        <v>3124</v>
      </c>
      <c r="C5" s="43" t="s">
        <v>632</v>
      </c>
      <c r="D5" s="43">
        <v>2200</v>
      </c>
      <c r="E5" s="43" t="s">
        <v>631</v>
      </c>
      <c r="F5" s="43">
        <v>745</v>
      </c>
      <c r="G5" s="43">
        <v>2</v>
      </c>
    </row>
    <row r="6" spans="1:7" ht="16.5" customHeight="1" x14ac:dyDescent="0.2">
      <c r="A6" s="43" t="s">
        <v>3123</v>
      </c>
      <c r="B6" s="43" t="s">
        <v>3122</v>
      </c>
      <c r="C6" s="43" t="s">
        <v>3121</v>
      </c>
      <c r="D6" s="43">
        <v>2192</v>
      </c>
      <c r="E6" s="43" t="s">
        <v>631</v>
      </c>
      <c r="F6" s="43">
        <v>674</v>
      </c>
      <c r="G6" s="43">
        <v>3</v>
      </c>
    </row>
    <row r="7" spans="1:7" ht="16.5" customHeight="1" x14ac:dyDescent="0.2">
      <c r="A7" s="43" t="s">
        <v>3120</v>
      </c>
      <c r="B7" s="43" t="s">
        <v>3119</v>
      </c>
      <c r="C7" s="43" t="s">
        <v>3118</v>
      </c>
      <c r="D7" s="43">
        <v>2145</v>
      </c>
      <c r="E7" s="43" t="s">
        <v>377</v>
      </c>
      <c r="F7" s="43">
        <v>545</v>
      </c>
      <c r="G7" s="43">
        <v>4</v>
      </c>
    </row>
    <row r="8" spans="1:7" ht="16.5" customHeight="1" x14ac:dyDescent="0.2">
      <c r="A8" s="43" t="s">
        <v>3117</v>
      </c>
      <c r="B8" s="43" t="s">
        <v>3116</v>
      </c>
      <c r="C8" s="43" t="s">
        <v>1133</v>
      </c>
      <c r="D8" s="43">
        <v>2141</v>
      </c>
      <c r="E8" s="43" t="s">
        <v>377</v>
      </c>
      <c r="F8" s="43">
        <v>450</v>
      </c>
      <c r="G8" s="43">
        <v>5</v>
      </c>
    </row>
    <row r="9" spans="1:7" ht="16.5" customHeight="1" x14ac:dyDescent="0.2">
      <c r="A9" s="43" t="s">
        <v>3115</v>
      </c>
      <c r="B9" s="43" t="s">
        <v>3114</v>
      </c>
      <c r="C9" s="43" t="s">
        <v>1586</v>
      </c>
      <c r="D9" s="43">
        <v>2166</v>
      </c>
      <c r="E9" s="43" t="s">
        <v>427</v>
      </c>
      <c r="F9" s="43">
        <v>450</v>
      </c>
      <c r="G9" s="43">
        <v>6</v>
      </c>
    </row>
    <row r="10" spans="1:7" ht="16.5" customHeight="1" x14ac:dyDescent="0.2">
      <c r="A10" s="43" t="s">
        <v>3113</v>
      </c>
      <c r="B10" s="43" t="s">
        <v>3112</v>
      </c>
      <c r="C10" s="43" t="s">
        <v>3111</v>
      </c>
      <c r="D10" s="43">
        <v>2766</v>
      </c>
      <c r="E10" s="43" t="s">
        <v>996</v>
      </c>
      <c r="F10" s="43">
        <v>705</v>
      </c>
      <c r="G10" s="43">
        <v>7</v>
      </c>
    </row>
    <row r="11" spans="1:7" ht="16.5" customHeight="1" x14ac:dyDescent="0.2">
      <c r="A11" s="43" t="s">
        <v>3110</v>
      </c>
      <c r="B11" s="43" t="s">
        <v>3109</v>
      </c>
      <c r="C11" s="43" t="s">
        <v>3108</v>
      </c>
      <c r="D11" s="43">
        <v>2170</v>
      </c>
      <c r="E11" s="43" t="s">
        <v>389</v>
      </c>
      <c r="F11" s="43">
        <v>435</v>
      </c>
      <c r="G11" s="43">
        <v>8</v>
      </c>
    </row>
    <row r="12" spans="1:7" ht="16.5" customHeight="1" x14ac:dyDescent="0.2">
      <c r="A12" s="43" t="s">
        <v>3107</v>
      </c>
      <c r="B12" s="43" t="s">
        <v>3106</v>
      </c>
      <c r="C12" s="43" t="s">
        <v>1310</v>
      </c>
      <c r="D12" s="43">
        <v>2212</v>
      </c>
      <c r="E12" s="43" t="s">
        <v>631</v>
      </c>
      <c r="F12" s="43">
        <v>523</v>
      </c>
      <c r="G12" s="43">
        <v>9</v>
      </c>
    </row>
    <row r="13" spans="1:7" ht="16.5" customHeight="1" x14ac:dyDescent="0.2">
      <c r="A13" s="43" t="s">
        <v>3105</v>
      </c>
      <c r="B13" s="43" t="s">
        <v>3104</v>
      </c>
      <c r="C13" s="43" t="s">
        <v>2878</v>
      </c>
      <c r="D13" s="43">
        <v>2150</v>
      </c>
      <c r="E13" s="43" t="s">
        <v>790</v>
      </c>
      <c r="F13" s="43">
        <v>434</v>
      </c>
      <c r="G13" s="43">
        <v>10</v>
      </c>
    </row>
    <row r="14" spans="1:7" ht="16.5" customHeight="1" x14ac:dyDescent="0.2">
      <c r="A14" s="43" t="s">
        <v>3103</v>
      </c>
      <c r="B14" s="43" t="s">
        <v>3102</v>
      </c>
      <c r="C14" s="43" t="s">
        <v>774</v>
      </c>
      <c r="D14" s="43">
        <v>2154</v>
      </c>
      <c r="E14" s="43" t="s">
        <v>773</v>
      </c>
      <c r="F14" s="43">
        <v>320</v>
      </c>
      <c r="G14" s="43">
        <v>11</v>
      </c>
    </row>
    <row r="15" spans="1:7" ht="16.5" customHeight="1" x14ac:dyDescent="0.2">
      <c r="A15" s="43" t="s">
        <v>3101</v>
      </c>
      <c r="B15" s="43" t="s">
        <v>3100</v>
      </c>
      <c r="C15" s="43" t="s">
        <v>2276</v>
      </c>
      <c r="D15" s="43">
        <v>2560</v>
      </c>
      <c r="E15" s="43" t="s">
        <v>541</v>
      </c>
      <c r="F15" s="43">
        <v>490</v>
      </c>
      <c r="G15" s="43">
        <v>12</v>
      </c>
    </row>
    <row r="16" spans="1:7" ht="16.5" customHeight="1" x14ac:dyDescent="0.2">
      <c r="A16" s="43" t="s">
        <v>3099</v>
      </c>
      <c r="B16" s="43" t="s">
        <v>3098</v>
      </c>
      <c r="C16" s="43" t="s">
        <v>1533</v>
      </c>
      <c r="D16" s="43">
        <v>2099</v>
      </c>
      <c r="E16" s="43" t="s">
        <v>355</v>
      </c>
      <c r="F16" s="43">
        <v>492</v>
      </c>
      <c r="G16" s="43">
        <v>13</v>
      </c>
    </row>
    <row r="17" spans="1:7" ht="16.5" customHeight="1" x14ac:dyDescent="0.2">
      <c r="A17" s="43" t="s">
        <v>3097</v>
      </c>
      <c r="B17" s="43" t="s">
        <v>3096</v>
      </c>
      <c r="C17" s="43" t="s">
        <v>2964</v>
      </c>
      <c r="D17" s="43">
        <v>2160</v>
      </c>
      <c r="E17" s="43" t="s">
        <v>377</v>
      </c>
      <c r="F17" s="43">
        <v>309</v>
      </c>
      <c r="G17" s="43">
        <v>14</v>
      </c>
    </row>
    <row r="18" spans="1:7" ht="16.5" customHeight="1" x14ac:dyDescent="0.2">
      <c r="A18" s="43" t="s">
        <v>3095</v>
      </c>
      <c r="B18" s="43" t="s">
        <v>3094</v>
      </c>
      <c r="C18" s="43" t="s">
        <v>1093</v>
      </c>
      <c r="D18" s="43">
        <v>2305</v>
      </c>
      <c r="E18" s="43" t="s">
        <v>344</v>
      </c>
      <c r="F18" s="43">
        <v>533</v>
      </c>
      <c r="G18" s="43">
        <v>15</v>
      </c>
    </row>
    <row r="19" spans="1:7" ht="16.5" customHeight="1" x14ac:dyDescent="0.2">
      <c r="A19" s="43" t="s">
        <v>3093</v>
      </c>
      <c r="B19" s="43" t="s">
        <v>3092</v>
      </c>
      <c r="C19" s="43" t="s">
        <v>3091</v>
      </c>
      <c r="D19" s="43">
        <v>2165</v>
      </c>
      <c r="E19" s="43" t="s">
        <v>427</v>
      </c>
      <c r="F19" s="43">
        <v>332</v>
      </c>
      <c r="G19" s="43">
        <v>16</v>
      </c>
    </row>
    <row r="20" spans="1:7" ht="16.5" customHeight="1" x14ac:dyDescent="0.2">
      <c r="A20" s="43" t="s">
        <v>3090</v>
      </c>
      <c r="B20" s="43" t="s">
        <v>3089</v>
      </c>
      <c r="C20" s="43" t="s">
        <v>2327</v>
      </c>
      <c r="D20" s="43">
        <v>2134</v>
      </c>
      <c r="E20" s="43" t="s">
        <v>2267</v>
      </c>
      <c r="F20" s="43">
        <v>294</v>
      </c>
      <c r="G20" s="43">
        <v>17</v>
      </c>
    </row>
    <row r="21" spans="1:7" ht="16.5" customHeight="1" x14ac:dyDescent="0.2">
      <c r="A21" s="43" t="s">
        <v>3088</v>
      </c>
      <c r="B21" s="43" t="s">
        <v>3087</v>
      </c>
      <c r="C21" s="43" t="s">
        <v>1452</v>
      </c>
      <c r="D21" s="43">
        <v>2560</v>
      </c>
      <c r="E21" s="43" t="s">
        <v>541</v>
      </c>
      <c r="F21" s="43">
        <v>510</v>
      </c>
      <c r="G21" s="43">
        <v>18</v>
      </c>
    </row>
    <row r="22" spans="1:7" ht="16.5" customHeight="1" x14ac:dyDescent="0.2">
      <c r="A22" s="43" t="s">
        <v>3086</v>
      </c>
      <c r="B22" s="43" t="s">
        <v>3085</v>
      </c>
      <c r="C22" s="43" t="s">
        <v>2786</v>
      </c>
      <c r="D22" s="43">
        <v>2176</v>
      </c>
      <c r="E22" s="43" t="s">
        <v>427</v>
      </c>
      <c r="F22" s="43">
        <v>385</v>
      </c>
      <c r="G22" s="43">
        <v>19</v>
      </c>
    </row>
    <row r="23" spans="1:7" ht="16.5" customHeight="1" x14ac:dyDescent="0.2">
      <c r="A23" s="43" t="s">
        <v>3084</v>
      </c>
      <c r="B23" s="43" t="s">
        <v>3083</v>
      </c>
      <c r="C23" s="43" t="s">
        <v>2319</v>
      </c>
      <c r="D23" s="43">
        <v>2557</v>
      </c>
      <c r="E23" s="43" t="s">
        <v>1194</v>
      </c>
      <c r="F23" s="43">
        <v>270</v>
      </c>
      <c r="G23" s="43">
        <v>20</v>
      </c>
    </row>
    <row r="24" spans="1:7" ht="16.5" customHeight="1" x14ac:dyDescent="0.2">
      <c r="A24" s="43" t="s">
        <v>3082</v>
      </c>
      <c r="B24" s="43" t="s">
        <v>3081</v>
      </c>
      <c r="C24" s="43" t="s">
        <v>733</v>
      </c>
      <c r="D24" s="43">
        <v>2067</v>
      </c>
      <c r="E24" s="43" t="s">
        <v>732</v>
      </c>
      <c r="F24" s="43">
        <v>313</v>
      </c>
      <c r="G24" s="43">
        <v>21</v>
      </c>
    </row>
    <row r="25" spans="1:7" ht="16.5" customHeight="1" x14ac:dyDescent="0.2">
      <c r="A25" s="43" t="s">
        <v>3080</v>
      </c>
      <c r="B25" s="43" t="s">
        <v>3079</v>
      </c>
      <c r="C25" s="43" t="s">
        <v>1503</v>
      </c>
      <c r="D25" s="43">
        <v>2217</v>
      </c>
      <c r="E25" s="43" t="s">
        <v>1156</v>
      </c>
      <c r="F25" s="43">
        <v>358</v>
      </c>
      <c r="G25" s="43">
        <v>22</v>
      </c>
    </row>
    <row r="26" spans="1:7" ht="16.5" customHeight="1" x14ac:dyDescent="0.2">
      <c r="A26" s="43" t="s">
        <v>3078</v>
      </c>
      <c r="B26" s="43" t="s">
        <v>3077</v>
      </c>
      <c r="C26" s="43" t="s">
        <v>1682</v>
      </c>
      <c r="D26" s="43">
        <v>2750</v>
      </c>
      <c r="E26" s="43" t="s">
        <v>1031</v>
      </c>
      <c r="F26" s="43">
        <v>586</v>
      </c>
      <c r="G26" s="43">
        <v>23</v>
      </c>
    </row>
    <row r="27" spans="1:7" ht="16.5" customHeight="1" x14ac:dyDescent="0.2">
      <c r="A27" s="43" t="s">
        <v>3076</v>
      </c>
      <c r="B27" s="43" t="s">
        <v>3075</v>
      </c>
      <c r="C27" s="43" t="s">
        <v>3074</v>
      </c>
      <c r="D27" s="43">
        <v>2194</v>
      </c>
      <c r="E27" s="43" t="s">
        <v>631</v>
      </c>
      <c r="F27" s="43">
        <v>263</v>
      </c>
      <c r="G27" s="43">
        <v>24</v>
      </c>
    </row>
    <row r="28" spans="1:7" ht="16.5" customHeight="1" x14ac:dyDescent="0.2">
      <c r="A28" s="43" t="s">
        <v>3073</v>
      </c>
      <c r="B28" s="43" t="s">
        <v>3072</v>
      </c>
      <c r="C28" s="43" t="s">
        <v>3071</v>
      </c>
      <c r="D28" s="43">
        <v>2164</v>
      </c>
      <c r="E28" s="43" t="s">
        <v>427</v>
      </c>
      <c r="F28" s="43">
        <v>325</v>
      </c>
      <c r="G28" s="43">
        <v>25</v>
      </c>
    </row>
    <row r="29" spans="1:7" ht="16.5" customHeight="1" x14ac:dyDescent="0.2">
      <c r="A29" s="43" t="s">
        <v>3070</v>
      </c>
      <c r="B29" s="43" t="s">
        <v>3069</v>
      </c>
      <c r="C29" s="43" t="s">
        <v>3068</v>
      </c>
      <c r="D29" s="43">
        <v>2176</v>
      </c>
      <c r="E29" s="43" t="s">
        <v>427</v>
      </c>
      <c r="F29" s="43">
        <v>363</v>
      </c>
      <c r="G29" s="43">
        <v>26</v>
      </c>
    </row>
    <row r="30" spans="1:7" ht="16.5" customHeight="1" x14ac:dyDescent="0.2">
      <c r="A30" s="43" t="s">
        <v>3067</v>
      </c>
      <c r="B30" s="43" t="s">
        <v>3066</v>
      </c>
      <c r="C30" s="43" t="s">
        <v>3065</v>
      </c>
      <c r="D30" s="43">
        <v>2760</v>
      </c>
      <c r="E30" s="43" t="s">
        <v>1031</v>
      </c>
      <c r="F30" s="43">
        <v>433</v>
      </c>
      <c r="G30" s="43">
        <v>27</v>
      </c>
    </row>
    <row r="31" spans="1:7" ht="16.5" customHeight="1" x14ac:dyDescent="0.2">
      <c r="A31" s="43" t="s">
        <v>3064</v>
      </c>
      <c r="B31" s="43" t="s">
        <v>3063</v>
      </c>
      <c r="C31" s="43" t="s">
        <v>924</v>
      </c>
      <c r="D31" s="43">
        <v>2131</v>
      </c>
      <c r="E31" s="43" t="s">
        <v>515</v>
      </c>
      <c r="F31" s="43">
        <v>388</v>
      </c>
      <c r="G31" s="43">
        <v>28</v>
      </c>
    </row>
    <row r="32" spans="1:7" ht="16.5" customHeight="1" x14ac:dyDescent="0.2">
      <c r="A32" s="43" t="s">
        <v>3062</v>
      </c>
      <c r="B32" s="43" t="s">
        <v>3061</v>
      </c>
      <c r="C32" s="43" t="s">
        <v>2927</v>
      </c>
      <c r="D32" s="43">
        <v>2148</v>
      </c>
      <c r="E32" s="43" t="s">
        <v>996</v>
      </c>
      <c r="F32" s="43">
        <v>426</v>
      </c>
      <c r="G32" s="43">
        <v>29</v>
      </c>
    </row>
    <row r="33" spans="1:7" ht="16.5" customHeight="1" x14ac:dyDescent="0.2">
      <c r="A33" s="43" t="s">
        <v>3060</v>
      </c>
      <c r="B33" s="43" t="s">
        <v>3059</v>
      </c>
      <c r="C33" s="43" t="s">
        <v>2298</v>
      </c>
      <c r="D33" s="43">
        <v>2620</v>
      </c>
      <c r="E33" s="43" t="s">
        <v>751</v>
      </c>
      <c r="F33" s="43">
        <v>309</v>
      </c>
      <c r="G33" s="43">
        <v>30</v>
      </c>
    </row>
    <row r="34" spans="1:7" ht="16.5" customHeight="1" x14ac:dyDescent="0.2">
      <c r="A34" s="43" t="s">
        <v>3058</v>
      </c>
      <c r="B34" s="43" t="s">
        <v>3057</v>
      </c>
      <c r="C34" s="43" t="s">
        <v>1319</v>
      </c>
      <c r="D34" s="43">
        <v>2032</v>
      </c>
      <c r="E34" s="43" t="s">
        <v>548</v>
      </c>
      <c r="F34" s="43">
        <v>427</v>
      </c>
      <c r="G34" s="43">
        <v>31</v>
      </c>
    </row>
    <row r="35" spans="1:7" ht="16.5" customHeight="1" x14ac:dyDescent="0.2">
      <c r="A35" s="43" t="s">
        <v>3056</v>
      </c>
      <c r="B35" s="43" t="s">
        <v>3055</v>
      </c>
      <c r="C35" s="43" t="s">
        <v>1666</v>
      </c>
      <c r="D35" s="43">
        <v>2640</v>
      </c>
      <c r="E35" s="43" t="s">
        <v>1665</v>
      </c>
      <c r="F35" s="43">
        <v>480</v>
      </c>
      <c r="G35" s="43">
        <v>32</v>
      </c>
    </row>
    <row r="36" spans="1:7" ht="16.5" customHeight="1" x14ac:dyDescent="0.2">
      <c r="A36" s="43" t="s">
        <v>3054</v>
      </c>
      <c r="B36" s="43" t="s">
        <v>3053</v>
      </c>
      <c r="C36" s="43" t="s">
        <v>3052</v>
      </c>
      <c r="D36" s="43">
        <v>2193</v>
      </c>
      <c r="E36" s="43" t="s">
        <v>631</v>
      </c>
      <c r="F36" s="43">
        <v>339</v>
      </c>
      <c r="G36" s="43">
        <v>33</v>
      </c>
    </row>
    <row r="37" spans="1:7" ht="16.5" customHeight="1" x14ac:dyDescent="0.2">
      <c r="A37" s="43" t="s">
        <v>3051</v>
      </c>
      <c r="B37" s="43" t="s">
        <v>3050</v>
      </c>
      <c r="C37" s="43" t="s">
        <v>2873</v>
      </c>
      <c r="D37" s="43">
        <v>2220</v>
      </c>
      <c r="E37" s="43" t="s">
        <v>1156</v>
      </c>
      <c r="F37" s="43">
        <v>333</v>
      </c>
      <c r="G37" s="43">
        <v>34</v>
      </c>
    </row>
    <row r="38" spans="1:7" ht="16.5" customHeight="1" x14ac:dyDescent="0.2">
      <c r="A38" s="43" t="s">
        <v>3049</v>
      </c>
      <c r="B38" s="43" t="s">
        <v>3048</v>
      </c>
      <c r="C38" s="43" t="s">
        <v>2805</v>
      </c>
      <c r="D38" s="43">
        <v>2731</v>
      </c>
      <c r="E38" s="43" t="s">
        <v>561</v>
      </c>
      <c r="F38" s="43">
        <v>308</v>
      </c>
      <c r="G38" s="43">
        <v>35</v>
      </c>
    </row>
    <row r="39" spans="1:7" ht="16.5" customHeight="1" x14ac:dyDescent="0.2">
      <c r="A39" s="43" t="s">
        <v>3047</v>
      </c>
      <c r="B39" s="43" t="s">
        <v>3046</v>
      </c>
      <c r="C39" s="43" t="s">
        <v>1666</v>
      </c>
      <c r="D39" s="43">
        <v>2640</v>
      </c>
      <c r="E39" s="43" t="s">
        <v>1665</v>
      </c>
      <c r="F39" s="43">
        <v>319</v>
      </c>
      <c r="G39" s="43">
        <v>36</v>
      </c>
    </row>
    <row r="40" spans="1:7" ht="16.5" customHeight="1" x14ac:dyDescent="0.2">
      <c r="A40" s="43" t="s">
        <v>3045</v>
      </c>
      <c r="B40" s="43" t="s">
        <v>3044</v>
      </c>
      <c r="C40" s="43" t="s">
        <v>2887</v>
      </c>
      <c r="D40" s="43">
        <v>2485</v>
      </c>
      <c r="E40" s="43" t="s">
        <v>1106</v>
      </c>
      <c r="F40" s="43">
        <v>596</v>
      </c>
      <c r="G40" s="43">
        <v>37</v>
      </c>
    </row>
    <row r="41" spans="1:7" ht="16.5" customHeight="1" x14ac:dyDescent="0.2">
      <c r="A41" s="43" t="s">
        <v>3043</v>
      </c>
      <c r="B41" s="43" t="s">
        <v>3042</v>
      </c>
      <c r="C41" s="43" t="s">
        <v>1848</v>
      </c>
      <c r="D41" s="43">
        <v>2077</v>
      </c>
      <c r="E41" s="43" t="s">
        <v>695</v>
      </c>
      <c r="F41" s="43">
        <v>397</v>
      </c>
      <c r="G41" s="43">
        <v>38</v>
      </c>
    </row>
    <row r="42" spans="1:7" ht="16.5" customHeight="1" x14ac:dyDescent="0.2">
      <c r="A42" s="43" t="s">
        <v>3041</v>
      </c>
      <c r="B42" s="43" t="s">
        <v>3040</v>
      </c>
      <c r="C42" s="43" t="s">
        <v>3039</v>
      </c>
      <c r="D42" s="43">
        <v>2261</v>
      </c>
      <c r="E42" s="43" t="s">
        <v>1006</v>
      </c>
      <c r="F42" s="43">
        <v>413</v>
      </c>
      <c r="G42" s="43">
        <v>39</v>
      </c>
    </row>
    <row r="43" spans="1:7" ht="16.5" customHeight="1" x14ac:dyDescent="0.2">
      <c r="A43" s="43" t="s">
        <v>3038</v>
      </c>
      <c r="B43" s="43" t="s">
        <v>3037</v>
      </c>
      <c r="C43" s="43" t="s">
        <v>2195</v>
      </c>
      <c r="D43" s="43">
        <v>2210</v>
      </c>
      <c r="E43" s="43" t="s">
        <v>1156</v>
      </c>
      <c r="F43" s="43">
        <v>238</v>
      </c>
      <c r="G43" s="43">
        <v>40</v>
      </c>
    </row>
    <row r="44" spans="1:7" ht="16.5" customHeight="1" x14ac:dyDescent="0.2">
      <c r="A44" s="43" t="s">
        <v>3036</v>
      </c>
      <c r="B44" s="43" t="s">
        <v>3035</v>
      </c>
      <c r="C44" s="43" t="s">
        <v>3034</v>
      </c>
      <c r="D44" s="43">
        <v>2217</v>
      </c>
      <c r="E44" s="43" t="s">
        <v>618</v>
      </c>
      <c r="F44" s="43">
        <v>237</v>
      </c>
      <c r="G44" s="43">
        <v>41</v>
      </c>
    </row>
    <row r="45" spans="1:7" ht="16.5" customHeight="1" x14ac:dyDescent="0.2">
      <c r="A45" s="43" t="s">
        <v>3033</v>
      </c>
      <c r="B45" s="43" t="s">
        <v>3032</v>
      </c>
      <c r="C45" s="43" t="s">
        <v>2005</v>
      </c>
      <c r="D45" s="43">
        <v>2227</v>
      </c>
      <c r="E45" s="43" t="s">
        <v>1024</v>
      </c>
      <c r="F45" s="43">
        <v>406</v>
      </c>
      <c r="G45" s="43">
        <v>42</v>
      </c>
    </row>
    <row r="46" spans="1:7" ht="16.5" customHeight="1" x14ac:dyDescent="0.2">
      <c r="A46" s="43" t="s">
        <v>3031</v>
      </c>
      <c r="B46" s="43" t="s">
        <v>3030</v>
      </c>
      <c r="C46" s="43" t="s">
        <v>3029</v>
      </c>
      <c r="D46" s="43">
        <v>2147</v>
      </c>
      <c r="E46" s="43" t="s">
        <v>996</v>
      </c>
      <c r="F46" s="43">
        <v>300</v>
      </c>
      <c r="G46" s="43">
        <v>43</v>
      </c>
    </row>
    <row r="47" spans="1:7" ht="16.5" customHeight="1" x14ac:dyDescent="0.2">
      <c r="A47" s="43" t="s">
        <v>3028</v>
      </c>
      <c r="B47" s="43" t="s">
        <v>3027</v>
      </c>
      <c r="C47" s="43" t="s">
        <v>667</v>
      </c>
      <c r="D47" s="43">
        <v>2114</v>
      </c>
      <c r="E47" s="43" t="s">
        <v>666</v>
      </c>
      <c r="F47" s="43">
        <v>269</v>
      </c>
      <c r="G47" s="43">
        <v>44</v>
      </c>
    </row>
    <row r="48" spans="1:7" ht="16.5" customHeight="1" x14ac:dyDescent="0.2">
      <c r="A48" s="43" t="s">
        <v>3026</v>
      </c>
      <c r="B48" s="43" t="s">
        <v>3025</v>
      </c>
      <c r="C48" s="43" t="s">
        <v>3024</v>
      </c>
      <c r="D48" s="43">
        <v>2529</v>
      </c>
      <c r="E48" s="43" t="s">
        <v>2200</v>
      </c>
      <c r="F48" s="43">
        <v>289</v>
      </c>
      <c r="G48" s="43">
        <v>45</v>
      </c>
    </row>
    <row r="49" spans="1:7" ht="16.5" customHeight="1" x14ac:dyDescent="0.2">
      <c r="A49" s="43" t="s">
        <v>3023</v>
      </c>
      <c r="B49" s="43" t="s">
        <v>3022</v>
      </c>
      <c r="C49" s="43" t="s">
        <v>3021</v>
      </c>
      <c r="D49" s="43">
        <v>2565</v>
      </c>
      <c r="E49" s="43" t="s">
        <v>541</v>
      </c>
      <c r="F49" s="43">
        <v>250</v>
      </c>
      <c r="G49" s="43">
        <v>46</v>
      </c>
    </row>
    <row r="50" spans="1:7" ht="16.5" customHeight="1" x14ac:dyDescent="0.2">
      <c r="A50" s="43" t="s">
        <v>3020</v>
      </c>
      <c r="B50" s="43" t="s">
        <v>3019</v>
      </c>
      <c r="C50" s="43" t="s">
        <v>3018</v>
      </c>
      <c r="D50" s="43">
        <v>2250</v>
      </c>
      <c r="E50" s="43" t="s">
        <v>1006</v>
      </c>
      <c r="F50" s="43">
        <v>229</v>
      </c>
      <c r="G50" s="43">
        <v>47</v>
      </c>
    </row>
    <row r="51" spans="1:7" ht="16.5" customHeight="1" x14ac:dyDescent="0.2">
      <c r="A51" s="43" t="s">
        <v>3017</v>
      </c>
      <c r="B51" s="43" t="s">
        <v>3016</v>
      </c>
      <c r="C51" s="43" t="s">
        <v>3015</v>
      </c>
      <c r="D51" s="43">
        <v>2259</v>
      </c>
      <c r="E51" s="43" t="s">
        <v>1006</v>
      </c>
      <c r="F51" s="43">
        <v>249</v>
      </c>
      <c r="G51" s="43">
        <v>48</v>
      </c>
    </row>
    <row r="52" spans="1:7" ht="16.5" customHeight="1" x14ac:dyDescent="0.2">
      <c r="A52" s="43" t="s">
        <v>3014</v>
      </c>
      <c r="B52" s="43" t="s">
        <v>3013</v>
      </c>
      <c r="C52" s="43" t="s">
        <v>1460</v>
      </c>
      <c r="D52" s="43">
        <v>2113</v>
      </c>
      <c r="E52" s="43" t="s">
        <v>666</v>
      </c>
      <c r="F52" s="43">
        <v>309</v>
      </c>
      <c r="G52" s="43">
        <v>49</v>
      </c>
    </row>
    <row r="53" spans="1:7" ht="16.5" customHeight="1" x14ac:dyDescent="0.2">
      <c r="A53" s="43" t="s">
        <v>3012</v>
      </c>
      <c r="B53" s="43" t="s">
        <v>3011</v>
      </c>
      <c r="C53" s="43" t="s">
        <v>3010</v>
      </c>
      <c r="D53" s="43">
        <v>2062</v>
      </c>
      <c r="E53" s="43" t="s">
        <v>712</v>
      </c>
      <c r="F53" s="43">
        <v>246</v>
      </c>
      <c r="G53" s="43">
        <v>50</v>
      </c>
    </row>
    <row r="54" spans="1:7" ht="16.5" customHeight="1" x14ac:dyDescent="0.2">
      <c r="A54" s="43" t="s">
        <v>3009</v>
      </c>
      <c r="B54" s="43" t="s">
        <v>3008</v>
      </c>
      <c r="C54" s="43" t="s">
        <v>3007</v>
      </c>
      <c r="D54" s="43">
        <v>2526</v>
      </c>
      <c r="E54" s="43" t="s">
        <v>393</v>
      </c>
      <c r="F54" s="43">
        <v>199</v>
      </c>
      <c r="G54" s="43">
        <v>51</v>
      </c>
    </row>
    <row r="55" spans="1:7" ht="16.5" customHeight="1" x14ac:dyDescent="0.2">
      <c r="A55" s="43" t="s">
        <v>3006</v>
      </c>
      <c r="B55" s="43" t="s">
        <v>3005</v>
      </c>
      <c r="C55" s="43" t="s">
        <v>1682</v>
      </c>
      <c r="D55" s="43">
        <v>2750</v>
      </c>
      <c r="E55" s="43" t="s">
        <v>1031</v>
      </c>
      <c r="F55" s="43">
        <v>306</v>
      </c>
      <c r="G55" s="43">
        <v>52</v>
      </c>
    </row>
    <row r="56" spans="1:7" ht="16.5" customHeight="1" x14ac:dyDescent="0.2">
      <c r="A56" s="43" t="s">
        <v>3004</v>
      </c>
      <c r="B56" s="43" t="s">
        <v>3003</v>
      </c>
      <c r="C56" s="43" t="s">
        <v>3002</v>
      </c>
      <c r="D56" s="43">
        <v>2022</v>
      </c>
      <c r="E56" s="43" t="s">
        <v>765</v>
      </c>
      <c r="F56" s="43">
        <v>249</v>
      </c>
      <c r="G56" s="43">
        <v>53</v>
      </c>
    </row>
    <row r="57" spans="1:7" ht="16.5" customHeight="1" x14ac:dyDescent="0.2">
      <c r="A57" s="43" t="s">
        <v>3001</v>
      </c>
      <c r="B57" s="43" t="s">
        <v>3000</v>
      </c>
      <c r="C57" s="43" t="s">
        <v>1007</v>
      </c>
      <c r="D57" s="43">
        <v>2250</v>
      </c>
      <c r="E57" s="43" t="s">
        <v>1006</v>
      </c>
      <c r="F57" s="43">
        <v>275</v>
      </c>
      <c r="G57" s="43">
        <v>54</v>
      </c>
    </row>
    <row r="58" spans="1:7" ht="16.5" customHeight="1" x14ac:dyDescent="0.2">
      <c r="A58" s="43" t="s">
        <v>2999</v>
      </c>
      <c r="B58" s="43" t="s">
        <v>2998</v>
      </c>
      <c r="C58" s="43" t="s">
        <v>485</v>
      </c>
      <c r="D58" s="43">
        <v>2450</v>
      </c>
      <c r="E58" s="43" t="s">
        <v>484</v>
      </c>
      <c r="F58" s="43">
        <v>177</v>
      </c>
      <c r="G58" s="43">
        <v>55</v>
      </c>
    </row>
    <row r="59" spans="1:7" ht="16.5" customHeight="1" x14ac:dyDescent="0.2">
      <c r="A59" s="43" t="s">
        <v>2997</v>
      </c>
      <c r="B59" s="43" t="s">
        <v>2996</v>
      </c>
      <c r="C59" s="43" t="s">
        <v>795</v>
      </c>
      <c r="D59" s="43">
        <v>2800</v>
      </c>
      <c r="E59" s="43" t="s">
        <v>794</v>
      </c>
      <c r="F59" s="43">
        <v>216</v>
      </c>
      <c r="G59" s="43">
        <v>56</v>
      </c>
    </row>
    <row r="60" spans="1:7" ht="16.5" customHeight="1" x14ac:dyDescent="0.2">
      <c r="A60" s="43" t="s">
        <v>2995</v>
      </c>
      <c r="B60" s="43" t="s">
        <v>2994</v>
      </c>
      <c r="C60" s="43" t="s">
        <v>2993</v>
      </c>
      <c r="D60" s="43">
        <v>2121</v>
      </c>
      <c r="E60" s="43" t="s">
        <v>790</v>
      </c>
      <c r="F60" s="43">
        <v>215</v>
      </c>
      <c r="G60" s="43">
        <v>57</v>
      </c>
    </row>
    <row r="61" spans="1:7" ht="16.5" customHeight="1" x14ac:dyDescent="0.2">
      <c r="A61" s="43" t="s">
        <v>2992</v>
      </c>
      <c r="B61" s="43" t="s">
        <v>2991</v>
      </c>
      <c r="C61" s="43" t="s">
        <v>1332</v>
      </c>
      <c r="D61" s="43">
        <v>2166</v>
      </c>
      <c r="E61" s="43" t="s">
        <v>427</v>
      </c>
      <c r="F61" s="43">
        <v>144</v>
      </c>
      <c r="G61" s="43">
        <v>58</v>
      </c>
    </row>
    <row r="62" spans="1:7" ht="16.5" customHeight="1" x14ac:dyDescent="0.2">
      <c r="A62" s="43" t="s">
        <v>2990</v>
      </c>
      <c r="B62" s="43" t="s">
        <v>2989</v>
      </c>
      <c r="C62" s="43" t="s">
        <v>2424</v>
      </c>
      <c r="D62" s="43">
        <v>2161</v>
      </c>
      <c r="E62" s="43" t="s">
        <v>377</v>
      </c>
      <c r="F62" s="43">
        <v>220</v>
      </c>
      <c r="G62" s="43">
        <v>59</v>
      </c>
    </row>
    <row r="63" spans="1:7" ht="16.5" customHeight="1" x14ac:dyDescent="0.2">
      <c r="A63" s="43" t="s">
        <v>2988</v>
      </c>
      <c r="B63" s="43" t="s">
        <v>2987</v>
      </c>
      <c r="C63" s="43" t="s">
        <v>2986</v>
      </c>
      <c r="D63" s="43">
        <v>2262</v>
      </c>
      <c r="E63" s="43" t="s">
        <v>1006</v>
      </c>
      <c r="F63" s="43">
        <v>220</v>
      </c>
      <c r="G63" s="43">
        <v>60</v>
      </c>
    </row>
    <row r="64" spans="1:7" ht="16.5" customHeight="1" x14ac:dyDescent="0.2">
      <c r="A64" s="43" t="s">
        <v>2985</v>
      </c>
      <c r="B64" s="43" t="s">
        <v>2984</v>
      </c>
      <c r="C64" s="43" t="s">
        <v>2983</v>
      </c>
      <c r="D64" s="43">
        <v>2176</v>
      </c>
      <c r="E64" s="43" t="s">
        <v>427</v>
      </c>
      <c r="F64" s="43">
        <v>150</v>
      </c>
      <c r="G64" s="43">
        <v>61</v>
      </c>
    </row>
    <row r="65" spans="1:7" ht="16.5" customHeight="1" x14ac:dyDescent="0.2">
      <c r="A65" s="43" t="s">
        <v>2982</v>
      </c>
      <c r="B65" s="43" t="s">
        <v>2981</v>
      </c>
      <c r="C65" s="43" t="s">
        <v>1704</v>
      </c>
      <c r="D65" s="43">
        <v>2830</v>
      </c>
      <c r="E65" s="43" t="s">
        <v>420</v>
      </c>
      <c r="F65" s="43">
        <v>188</v>
      </c>
      <c r="G65" s="43">
        <v>62</v>
      </c>
    </row>
    <row r="66" spans="1:7" ht="16.5" customHeight="1" x14ac:dyDescent="0.2">
      <c r="A66" s="43" t="s">
        <v>2980</v>
      </c>
      <c r="B66" s="43" t="s">
        <v>2979</v>
      </c>
      <c r="C66" s="43" t="s">
        <v>2365</v>
      </c>
      <c r="D66" s="43">
        <v>2530</v>
      </c>
      <c r="E66" s="43" t="s">
        <v>393</v>
      </c>
      <c r="F66" s="43">
        <v>202</v>
      </c>
      <c r="G66" s="43">
        <v>63</v>
      </c>
    </row>
    <row r="67" spans="1:7" ht="16.5" customHeight="1" x14ac:dyDescent="0.2">
      <c r="A67" s="43" t="s">
        <v>2978</v>
      </c>
      <c r="B67" s="43" t="s">
        <v>2977</v>
      </c>
      <c r="C67" s="43" t="s">
        <v>2100</v>
      </c>
      <c r="D67" s="43">
        <v>2500</v>
      </c>
      <c r="E67" s="43" t="s">
        <v>393</v>
      </c>
      <c r="F67" s="43">
        <v>203</v>
      </c>
      <c r="G67" s="43">
        <v>64</v>
      </c>
    </row>
    <row r="68" spans="1:7" ht="16.5" customHeight="1" x14ac:dyDescent="0.2">
      <c r="A68" s="43" t="s">
        <v>2976</v>
      </c>
      <c r="B68" s="43" t="s">
        <v>2975</v>
      </c>
      <c r="C68" s="43" t="s">
        <v>1162</v>
      </c>
      <c r="D68" s="43">
        <v>2046</v>
      </c>
      <c r="E68" s="43" t="s">
        <v>366</v>
      </c>
      <c r="F68" s="43">
        <v>243</v>
      </c>
      <c r="G68" s="43">
        <v>65</v>
      </c>
    </row>
    <row r="69" spans="1:7" ht="16.5" customHeight="1" x14ac:dyDescent="0.2">
      <c r="A69" s="43" t="s">
        <v>2974</v>
      </c>
      <c r="B69" s="43" t="s">
        <v>2973</v>
      </c>
      <c r="C69" s="43" t="s">
        <v>1489</v>
      </c>
      <c r="D69" s="43">
        <v>2285</v>
      </c>
      <c r="E69" s="43" t="s">
        <v>435</v>
      </c>
      <c r="F69" s="43">
        <v>232</v>
      </c>
      <c r="G69" s="43">
        <v>66</v>
      </c>
    </row>
    <row r="70" spans="1:7" ht="16.5" customHeight="1" x14ac:dyDescent="0.2">
      <c r="A70" s="43" t="s">
        <v>2972</v>
      </c>
      <c r="B70" s="43" t="s">
        <v>2971</v>
      </c>
      <c r="C70" s="43" t="s">
        <v>386</v>
      </c>
      <c r="D70" s="43">
        <v>2478</v>
      </c>
      <c r="E70" s="43" t="s">
        <v>385</v>
      </c>
      <c r="F70" s="43">
        <v>231</v>
      </c>
      <c r="G70" s="43">
        <v>67</v>
      </c>
    </row>
    <row r="71" spans="1:7" ht="16.5" customHeight="1" x14ac:dyDescent="0.2">
      <c r="A71" s="43" t="s">
        <v>2970</v>
      </c>
      <c r="B71" s="43" t="s">
        <v>2969</v>
      </c>
      <c r="C71" s="43" t="s">
        <v>1181</v>
      </c>
      <c r="D71" s="43">
        <v>2280</v>
      </c>
      <c r="E71" s="43" t="s">
        <v>435</v>
      </c>
      <c r="F71" s="43">
        <v>260</v>
      </c>
      <c r="G71" s="43">
        <v>68</v>
      </c>
    </row>
    <row r="72" spans="1:7" ht="16.5" customHeight="1" x14ac:dyDescent="0.2">
      <c r="A72" s="43" t="s">
        <v>2968</v>
      </c>
      <c r="B72" s="43" t="s">
        <v>2967</v>
      </c>
      <c r="C72" s="43" t="s">
        <v>2327</v>
      </c>
      <c r="D72" s="43">
        <v>2134</v>
      </c>
      <c r="E72" s="43" t="s">
        <v>2267</v>
      </c>
      <c r="F72" s="43">
        <v>94</v>
      </c>
      <c r="G72" s="43">
        <v>69</v>
      </c>
    </row>
    <row r="73" spans="1:7" ht="16.5" customHeight="1" x14ac:dyDescent="0.2">
      <c r="A73" s="43" t="s">
        <v>2966</v>
      </c>
      <c r="B73" s="43" t="s">
        <v>2965</v>
      </c>
      <c r="C73" s="43" t="s">
        <v>2964</v>
      </c>
      <c r="D73" s="43">
        <v>2160</v>
      </c>
      <c r="E73" s="43" t="s">
        <v>377</v>
      </c>
      <c r="F73" s="43">
        <v>230</v>
      </c>
      <c r="G73" s="43">
        <v>70</v>
      </c>
    </row>
    <row r="74" spans="1:7" ht="16.5" customHeight="1" x14ac:dyDescent="0.2">
      <c r="A74" s="43" t="s">
        <v>2963</v>
      </c>
      <c r="B74" s="43" t="s">
        <v>2962</v>
      </c>
      <c r="C74" s="43" t="s">
        <v>2961</v>
      </c>
      <c r="D74" s="43">
        <v>2737</v>
      </c>
      <c r="E74" s="43" t="s">
        <v>2088</v>
      </c>
      <c r="F74" s="43">
        <v>128</v>
      </c>
      <c r="G74" s="43">
        <v>71</v>
      </c>
    </row>
    <row r="75" spans="1:7" ht="16.5" customHeight="1" x14ac:dyDescent="0.2">
      <c r="A75" s="43" t="s">
        <v>2960</v>
      </c>
      <c r="B75" s="43" t="s">
        <v>2959</v>
      </c>
      <c r="C75" s="43" t="s">
        <v>2756</v>
      </c>
      <c r="D75" s="43">
        <v>2257</v>
      </c>
      <c r="E75" s="43" t="s">
        <v>1006</v>
      </c>
      <c r="F75" s="43">
        <v>234</v>
      </c>
      <c r="G75" s="43">
        <v>72</v>
      </c>
    </row>
    <row r="76" spans="1:7" ht="16.5" customHeight="1" x14ac:dyDescent="0.2">
      <c r="A76" s="43" t="s">
        <v>2958</v>
      </c>
      <c r="B76" s="43" t="s">
        <v>2957</v>
      </c>
      <c r="C76" s="43" t="s">
        <v>2956</v>
      </c>
      <c r="D76" s="43">
        <v>2207</v>
      </c>
      <c r="E76" s="43" t="s">
        <v>618</v>
      </c>
      <c r="F76" s="43">
        <v>204</v>
      </c>
      <c r="G76" s="43">
        <v>73</v>
      </c>
    </row>
    <row r="77" spans="1:7" ht="16.5" customHeight="1" x14ac:dyDescent="0.2">
      <c r="A77" s="43" t="s">
        <v>2955</v>
      </c>
      <c r="B77" s="43" t="s">
        <v>2954</v>
      </c>
      <c r="C77" s="43" t="s">
        <v>632</v>
      </c>
      <c r="D77" s="43">
        <v>2200</v>
      </c>
      <c r="E77" s="43" t="s">
        <v>631</v>
      </c>
      <c r="F77" s="43">
        <v>175</v>
      </c>
      <c r="G77" s="43">
        <v>74</v>
      </c>
    </row>
    <row r="78" spans="1:7" ht="16.5" customHeight="1" x14ac:dyDescent="0.2">
      <c r="A78" s="43" t="s">
        <v>2953</v>
      </c>
      <c r="B78" s="43" t="s">
        <v>2952</v>
      </c>
      <c r="C78" s="43" t="s">
        <v>2951</v>
      </c>
      <c r="D78" s="43">
        <v>2320</v>
      </c>
      <c r="E78" s="43" t="s">
        <v>1416</v>
      </c>
      <c r="F78" s="43">
        <v>170</v>
      </c>
      <c r="G78" s="43">
        <v>75</v>
      </c>
    </row>
    <row r="79" spans="1:7" ht="16.5" customHeight="1" x14ac:dyDescent="0.2">
      <c r="A79" s="43" t="s">
        <v>2950</v>
      </c>
      <c r="B79" s="43" t="s">
        <v>2949</v>
      </c>
      <c r="C79" s="43" t="s">
        <v>2498</v>
      </c>
      <c r="D79" s="43">
        <v>2647</v>
      </c>
      <c r="E79" s="43" t="s">
        <v>467</v>
      </c>
      <c r="F79" s="43">
        <v>198</v>
      </c>
      <c r="G79" s="43">
        <v>76</v>
      </c>
    </row>
    <row r="80" spans="1:7" ht="16.5" customHeight="1" x14ac:dyDescent="0.2">
      <c r="A80" s="43" t="s">
        <v>2948</v>
      </c>
      <c r="B80" s="43" t="s">
        <v>2947</v>
      </c>
      <c r="C80" s="43" t="s">
        <v>2946</v>
      </c>
      <c r="D80" s="43">
        <v>2162</v>
      </c>
      <c r="E80" s="43" t="s">
        <v>631</v>
      </c>
      <c r="F80" s="43">
        <v>110</v>
      </c>
      <c r="G80" s="43">
        <v>77</v>
      </c>
    </row>
    <row r="81" spans="1:7" ht="16.5" customHeight="1" x14ac:dyDescent="0.2">
      <c r="A81" s="43" t="s">
        <v>2945</v>
      </c>
      <c r="B81" s="43" t="s">
        <v>2944</v>
      </c>
      <c r="C81" s="43" t="s">
        <v>770</v>
      </c>
      <c r="D81" s="43">
        <v>2717</v>
      </c>
      <c r="E81" s="43" t="s">
        <v>769</v>
      </c>
      <c r="F81" s="43">
        <v>174</v>
      </c>
      <c r="G81" s="43">
        <v>78</v>
      </c>
    </row>
    <row r="82" spans="1:7" ht="16.5" customHeight="1" x14ac:dyDescent="0.2">
      <c r="A82" s="43" t="s">
        <v>2943</v>
      </c>
      <c r="B82" s="43" t="s">
        <v>2942</v>
      </c>
      <c r="C82" s="43" t="s">
        <v>2941</v>
      </c>
      <c r="D82" s="43">
        <v>3644</v>
      </c>
      <c r="E82" s="43" t="s">
        <v>850</v>
      </c>
      <c r="F82" s="43">
        <v>174</v>
      </c>
      <c r="G82" s="43">
        <v>79</v>
      </c>
    </row>
    <row r="83" spans="1:7" ht="16.5" customHeight="1" x14ac:dyDescent="0.2">
      <c r="A83" s="43" t="s">
        <v>2940</v>
      </c>
      <c r="B83" s="43" t="s">
        <v>2939</v>
      </c>
      <c r="C83" s="43" t="s">
        <v>901</v>
      </c>
      <c r="D83" s="43">
        <v>2756</v>
      </c>
      <c r="E83" s="43" t="s">
        <v>451</v>
      </c>
      <c r="F83" s="43">
        <v>173</v>
      </c>
      <c r="G83" s="43">
        <v>80</v>
      </c>
    </row>
    <row r="84" spans="1:7" ht="16.5" customHeight="1" x14ac:dyDescent="0.2">
      <c r="A84" s="43" t="s">
        <v>2938</v>
      </c>
      <c r="B84" s="43" t="s">
        <v>2937</v>
      </c>
      <c r="C84" s="43" t="s">
        <v>959</v>
      </c>
      <c r="D84" s="43">
        <v>2444</v>
      </c>
      <c r="E84" s="43" t="s">
        <v>958</v>
      </c>
      <c r="F84" s="43">
        <v>230</v>
      </c>
      <c r="G84" s="43">
        <v>81</v>
      </c>
    </row>
    <row r="85" spans="1:7" ht="16.5" customHeight="1" x14ac:dyDescent="0.2">
      <c r="A85" s="43" t="s">
        <v>2936</v>
      </c>
      <c r="B85" s="43" t="s">
        <v>2935</v>
      </c>
      <c r="C85" s="43" t="s">
        <v>2934</v>
      </c>
      <c r="D85" s="43">
        <v>2650</v>
      </c>
      <c r="E85" s="43" t="s">
        <v>897</v>
      </c>
      <c r="F85" s="43">
        <v>152</v>
      </c>
      <c r="G85" s="43">
        <v>82</v>
      </c>
    </row>
    <row r="86" spans="1:7" ht="16.5" customHeight="1" x14ac:dyDescent="0.2">
      <c r="A86" s="43" t="s">
        <v>2933</v>
      </c>
      <c r="B86" s="43" t="s">
        <v>2932</v>
      </c>
      <c r="C86" s="43" t="s">
        <v>959</v>
      </c>
      <c r="D86" s="43">
        <v>2444</v>
      </c>
      <c r="E86" s="43" t="s">
        <v>958</v>
      </c>
      <c r="F86" s="43">
        <v>227</v>
      </c>
      <c r="G86" s="43">
        <v>83</v>
      </c>
    </row>
    <row r="87" spans="1:7" ht="16.5" customHeight="1" x14ac:dyDescent="0.2">
      <c r="A87" s="43" t="s">
        <v>2931</v>
      </c>
      <c r="B87" s="43" t="s">
        <v>2930</v>
      </c>
      <c r="C87" s="43" t="s">
        <v>2927</v>
      </c>
      <c r="D87" s="43">
        <v>2148</v>
      </c>
      <c r="E87" s="43" t="s">
        <v>996</v>
      </c>
      <c r="F87" s="43">
        <v>240</v>
      </c>
      <c r="G87" s="43">
        <v>84</v>
      </c>
    </row>
    <row r="88" spans="1:7" ht="16.5" customHeight="1" x14ac:dyDescent="0.2">
      <c r="A88" s="43" t="s">
        <v>2929</v>
      </c>
      <c r="B88" s="43" t="s">
        <v>2928</v>
      </c>
      <c r="C88" s="43" t="s">
        <v>2927</v>
      </c>
      <c r="D88" s="43">
        <v>2148</v>
      </c>
      <c r="E88" s="43" t="s">
        <v>996</v>
      </c>
      <c r="F88" s="43">
        <v>131</v>
      </c>
      <c r="G88" s="43">
        <v>85</v>
      </c>
    </row>
    <row r="89" spans="1:7" ht="16.5" customHeight="1" x14ac:dyDescent="0.2">
      <c r="A89" s="43" t="s">
        <v>2926</v>
      </c>
      <c r="B89" s="43" t="s">
        <v>2925</v>
      </c>
      <c r="C89" s="43" t="s">
        <v>2924</v>
      </c>
      <c r="D89" s="43">
        <v>2540</v>
      </c>
      <c r="E89" s="43" t="s">
        <v>783</v>
      </c>
      <c r="F89" s="43">
        <v>153</v>
      </c>
      <c r="G89" s="43">
        <v>86</v>
      </c>
    </row>
    <row r="90" spans="1:7" ht="16.5" customHeight="1" x14ac:dyDescent="0.2">
      <c r="A90" s="43" t="s">
        <v>2923</v>
      </c>
      <c r="B90" s="43" t="s">
        <v>2922</v>
      </c>
      <c r="C90" s="43" t="s">
        <v>952</v>
      </c>
      <c r="D90" s="43">
        <v>2340</v>
      </c>
      <c r="E90" s="43" t="s">
        <v>951</v>
      </c>
      <c r="F90" s="43">
        <v>146</v>
      </c>
      <c r="G90" s="43">
        <v>87</v>
      </c>
    </row>
    <row r="91" spans="1:7" ht="16.5" customHeight="1" x14ac:dyDescent="0.2">
      <c r="A91" s="43" t="s">
        <v>2921</v>
      </c>
      <c r="B91" s="43" t="s">
        <v>2920</v>
      </c>
      <c r="C91" s="43" t="s">
        <v>2919</v>
      </c>
      <c r="D91" s="43">
        <v>2485</v>
      </c>
      <c r="E91" s="43" t="s">
        <v>1106</v>
      </c>
      <c r="F91" s="43">
        <v>224</v>
      </c>
      <c r="G91" s="43">
        <v>88</v>
      </c>
    </row>
    <row r="92" spans="1:7" ht="16.5" customHeight="1" x14ac:dyDescent="0.2">
      <c r="A92" s="43" t="s">
        <v>2918</v>
      </c>
      <c r="B92" s="43" t="s">
        <v>2917</v>
      </c>
      <c r="C92" s="43" t="s">
        <v>2018</v>
      </c>
      <c r="D92" s="43">
        <v>2428</v>
      </c>
      <c r="E92" s="43" t="s">
        <v>537</v>
      </c>
      <c r="F92" s="43">
        <v>166</v>
      </c>
      <c r="G92" s="43">
        <v>89</v>
      </c>
    </row>
    <row r="93" spans="1:7" ht="16.5" customHeight="1" x14ac:dyDescent="0.2">
      <c r="A93" s="43" t="s">
        <v>2916</v>
      </c>
      <c r="B93" s="43" t="s">
        <v>2915</v>
      </c>
      <c r="C93" s="43" t="s">
        <v>2914</v>
      </c>
      <c r="D93" s="43">
        <v>2170</v>
      </c>
      <c r="E93" s="43" t="s">
        <v>389</v>
      </c>
      <c r="F93" s="43">
        <v>170</v>
      </c>
      <c r="G93" s="43">
        <v>90</v>
      </c>
    </row>
    <row r="94" spans="1:7" ht="16.5" customHeight="1" x14ac:dyDescent="0.2">
      <c r="A94" s="43" t="s">
        <v>2913</v>
      </c>
      <c r="B94" s="43" t="s">
        <v>2912</v>
      </c>
      <c r="C94" s="43" t="s">
        <v>2911</v>
      </c>
      <c r="D94" s="43">
        <v>2196</v>
      </c>
      <c r="E94" s="43" t="s">
        <v>631</v>
      </c>
      <c r="F94" s="43">
        <v>189</v>
      </c>
      <c r="G94" s="43">
        <v>91</v>
      </c>
    </row>
    <row r="95" spans="1:7" ht="16.5" customHeight="1" x14ac:dyDescent="0.2">
      <c r="A95" s="43" t="s">
        <v>2910</v>
      </c>
      <c r="B95" s="43" t="s">
        <v>2909</v>
      </c>
      <c r="C95" s="43" t="s">
        <v>2908</v>
      </c>
      <c r="D95" s="43">
        <v>2170</v>
      </c>
      <c r="E95" s="43" t="s">
        <v>389</v>
      </c>
      <c r="F95" s="43">
        <v>175</v>
      </c>
      <c r="G95" s="43">
        <v>92</v>
      </c>
    </row>
    <row r="96" spans="1:7" ht="16.5" customHeight="1" x14ac:dyDescent="0.2">
      <c r="A96" s="43" t="s">
        <v>2907</v>
      </c>
      <c r="B96" s="43" t="s">
        <v>2906</v>
      </c>
      <c r="C96" s="43" t="s">
        <v>2333</v>
      </c>
      <c r="D96" s="43">
        <v>2528</v>
      </c>
      <c r="E96" s="43" t="s">
        <v>2200</v>
      </c>
      <c r="F96" s="43">
        <v>168</v>
      </c>
      <c r="G96" s="43">
        <v>93</v>
      </c>
    </row>
    <row r="97" spans="1:7" ht="16.5" customHeight="1" x14ac:dyDescent="0.2">
      <c r="A97" s="43" t="s">
        <v>2905</v>
      </c>
      <c r="B97" s="43" t="s">
        <v>2904</v>
      </c>
      <c r="C97" s="43" t="s">
        <v>2903</v>
      </c>
      <c r="D97" s="43">
        <v>2234</v>
      </c>
      <c r="E97" s="43" t="s">
        <v>1024</v>
      </c>
      <c r="F97" s="43">
        <v>242</v>
      </c>
      <c r="G97" s="43">
        <v>94</v>
      </c>
    </row>
    <row r="98" spans="1:7" ht="16.5" customHeight="1" x14ac:dyDescent="0.2">
      <c r="A98" s="43" t="s">
        <v>2902</v>
      </c>
      <c r="B98" s="43" t="s">
        <v>2901</v>
      </c>
      <c r="C98" s="43" t="s">
        <v>2900</v>
      </c>
      <c r="D98" s="43">
        <v>2536</v>
      </c>
      <c r="E98" s="43" t="s">
        <v>1638</v>
      </c>
      <c r="F98" s="43">
        <v>160</v>
      </c>
      <c r="G98" s="43">
        <v>95</v>
      </c>
    </row>
    <row r="99" spans="1:7" ht="16.5" customHeight="1" x14ac:dyDescent="0.2">
      <c r="A99" s="43" t="s">
        <v>2899</v>
      </c>
      <c r="B99" s="43" t="s">
        <v>2898</v>
      </c>
      <c r="C99" s="43" t="s">
        <v>719</v>
      </c>
      <c r="D99" s="43">
        <v>2103</v>
      </c>
      <c r="E99" s="43" t="s">
        <v>355</v>
      </c>
      <c r="F99" s="43">
        <v>173</v>
      </c>
      <c r="G99" s="43">
        <v>96</v>
      </c>
    </row>
    <row r="100" spans="1:7" ht="16.5" customHeight="1" x14ac:dyDescent="0.2">
      <c r="A100" s="43" t="s">
        <v>2897</v>
      </c>
      <c r="B100" s="43" t="s">
        <v>2896</v>
      </c>
      <c r="C100" s="43" t="s">
        <v>1332</v>
      </c>
      <c r="D100" s="43">
        <v>2166</v>
      </c>
      <c r="E100" s="43" t="s">
        <v>427</v>
      </c>
      <c r="F100" s="43">
        <v>156</v>
      </c>
      <c r="G100" s="43">
        <v>97</v>
      </c>
    </row>
    <row r="101" spans="1:7" ht="16.5" customHeight="1" x14ac:dyDescent="0.2">
      <c r="A101" s="43" t="s">
        <v>2895</v>
      </c>
      <c r="B101" s="43" t="s">
        <v>2894</v>
      </c>
      <c r="C101" s="43" t="s">
        <v>1304</v>
      </c>
      <c r="D101" s="43">
        <v>2304</v>
      </c>
      <c r="E101" s="43" t="s">
        <v>344</v>
      </c>
      <c r="F101" s="43">
        <v>196</v>
      </c>
      <c r="G101" s="43">
        <v>98</v>
      </c>
    </row>
    <row r="102" spans="1:7" ht="16.5" customHeight="1" x14ac:dyDescent="0.2">
      <c r="A102" s="43" t="s">
        <v>2893</v>
      </c>
      <c r="B102" s="43" t="s">
        <v>2892</v>
      </c>
      <c r="C102" s="43" t="s">
        <v>1754</v>
      </c>
      <c r="D102" s="43">
        <v>2315</v>
      </c>
      <c r="E102" s="43" t="s">
        <v>884</v>
      </c>
      <c r="F102" s="43">
        <v>151</v>
      </c>
      <c r="G102" s="43">
        <v>99</v>
      </c>
    </row>
    <row r="103" spans="1:7" ht="16.5" customHeight="1" x14ac:dyDescent="0.2">
      <c r="A103" s="43" t="s">
        <v>2891</v>
      </c>
      <c r="B103" s="43" t="s">
        <v>2890</v>
      </c>
      <c r="C103" s="43" t="s">
        <v>2097</v>
      </c>
      <c r="D103" s="43">
        <v>2323</v>
      </c>
      <c r="E103" s="43" t="s">
        <v>1416</v>
      </c>
      <c r="F103" s="43">
        <v>164</v>
      </c>
      <c r="G103" s="43">
        <v>100</v>
      </c>
    </row>
    <row r="104" spans="1:7" ht="16.5" customHeight="1" x14ac:dyDescent="0.2">
      <c r="A104" s="43" t="s">
        <v>2889</v>
      </c>
      <c r="B104" s="43" t="s">
        <v>2888</v>
      </c>
      <c r="C104" s="43" t="s">
        <v>2887</v>
      </c>
      <c r="D104" s="43">
        <v>2485</v>
      </c>
      <c r="E104" s="43" t="s">
        <v>1106</v>
      </c>
      <c r="F104" s="43">
        <v>170</v>
      </c>
      <c r="G104" s="43">
        <v>101</v>
      </c>
    </row>
    <row r="105" spans="1:7" ht="16.5" customHeight="1" x14ac:dyDescent="0.2">
      <c r="A105" s="43" t="s">
        <v>2886</v>
      </c>
      <c r="B105" s="43" t="s">
        <v>2885</v>
      </c>
      <c r="C105" s="43" t="s">
        <v>2884</v>
      </c>
      <c r="D105" s="43">
        <v>2765</v>
      </c>
      <c r="E105" s="43" t="s">
        <v>996</v>
      </c>
      <c r="F105" s="43">
        <v>133</v>
      </c>
      <c r="G105" s="43">
        <v>102</v>
      </c>
    </row>
    <row r="106" spans="1:7" ht="16.5" customHeight="1" x14ac:dyDescent="0.2">
      <c r="A106" s="43" t="s">
        <v>2883</v>
      </c>
      <c r="B106" s="43" t="s">
        <v>2882</v>
      </c>
      <c r="C106" s="43" t="s">
        <v>2881</v>
      </c>
      <c r="D106" s="43">
        <v>2287</v>
      </c>
      <c r="E106" s="43" t="s">
        <v>344</v>
      </c>
      <c r="F106" s="43">
        <v>255</v>
      </c>
      <c r="G106" s="43">
        <v>103</v>
      </c>
    </row>
    <row r="107" spans="1:7" ht="16.5" customHeight="1" x14ac:dyDescent="0.2">
      <c r="A107" s="43" t="s">
        <v>2880</v>
      </c>
      <c r="B107" s="43" t="s">
        <v>2879</v>
      </c>
      <c r="C107" s="43" t="s">
        <v>2878</v>
      </c>
      <c r="D107" s="43">
        <v>2150</v>
      </c>
      <c r="E107" s="43" t="s">
        <v>790</v>
      </c>
      <c r="F107" s="43">
        <v>149</v>
      </c>
      <c r="G107" s="43">
        <v>104</v>
      </c>
    </row>
    <row r="108" spans="1:7" ht="16.5" customHeight="1" x14ac:dyDescent="0.2">
      <c r="A108" s="43" t="s">
        <v>2877</v>
      </c>
      <c r="B108" s="43" t="s">
        <v>2876</v>
      </c>
      <c r="C108" s="43" t="s">
        <v>2805</v>
      </c>
      <c r="D108" s="43">
        <v>2731</v>
      </c>
      <c r="E108" s="43" t="s">
        <v>561</v>
      </c>
      <c r="F108" s="43">
        <v>139</v>
      </c>
      <c r="G108" s="43">
        <v>105</v>
      </c>
    </row>
    <row r="109" spans="1:7" ht="16.5" customHeight="1" x14ac:dyDescent="0.2">
      <c r="A109" s="43" t="s">
        <v>2875</v>
      </c>
      <c r="B109" s="43" t="s">
        <v>2874</v>
      </c>
      <c r="C109" s="43" t="s">
        <v>2873</v>
      </c>
      <c r="D109" s="43">
        <v>2220</v>
      </c>
      <c r="E109" s="43" t="s">
        <v>1156</v>
      </c>
      <c r="F109" s="43">
        <v>106</v>
      </c>
      <c r="G109" s="43">
        <v>106</v>
      </c>
    </row>
    <row r="110" spans="1:7" ht="16.5" customHeight="1" x14ac:dyDescent="0.2">
      <c r="A110" s="43" t="s">
        <v>2872</v>
      </c>
      <c r="B110" s="43" t="s">
        <v>2871</v>
      </c>
      <c r="C110" s="43" t="s">
        <v>2870</v>
      </c>
      <c r="D110" s="43">
        <v>2261</v>
      </c>
      <c r="E110" s="43" t="s">
        <v>1006</v>
      </c>
      <c r="F110" s="43">
        <v>161</v>
      </c>
      <c r="G110" s="43">
        <v>107</v>
      </c>
    </row>
    <row r="111" spans="1:7" ht="16.5" customHeight="1" x14ac:dyDescent="0.2">
      <c r="A111" s="43" t="s">
        <v>2869</v>
      </c>
      <c r="B111" s="43" t="s">
        <v>2868</v>
      </c>
      <c r="C111" s="43" t="s">
        <v>1274</v>
      </c>
      <c r="D111" s="43">
        <v>2580</v>
      </c>
      <c r="E111" s="43" t="s">
        <v>1273</v>
      </c>
      <c r="F111" s="43">
        <v>157</v>
      </c>
      <c r="G111" s="43">
        <v>108</v>
      </c>
    </row>
    <row r="112" spans="1:7" ht="16.5" customHeight="1" x14ac:dyDescent="0.2">
      <c r="A112" s="43" t="s">
        <v>2867</v>
      </c>
      <c r="B112" s="43" t="s">
        <v>2866</v>
      </c>
      <c r="C112" s="43" t="s">
        <v>1201</v>
      </c>
      <c r="D112" s="43">
        <v>2575</v>
      </c>
      <c r="E112" s="43" t="s">
        <v>416</v>
      </c>
      <c r="F112" s="43">
        <v>168</v>
      </c>
      <c r="G112" s="43">
        <v>109</v>
      </c>
    </row>
    <row r="113" spans="1:7" ht="16.5" customHeight="1" x14ac:dyDescent="0.2">
      <c r="A113" s="43" t="s">
        <v>2865</v>
      </c>
      <c r="B113" s="43" t="s">
        <v>2864</v>
      </c>
      <c r="C113" s="43" t="s">
        <v>2100</v>
      </c>
      <c r="D113" s="43">
        <v>2500</v>
      </c>
      <c r="E113" s="43" t="s">
        <v>393</v>
      </c>
      <c r="F113" s="43">
        <v>215</v>
      </c>
      <c r="G113" s="43">
        <v>110</v>
      </c>
    </row>
    <row r="114" spans="1:7" ht="16.5" customHeight="1" x14ac:dyDescent="0.2">
      <c r="A114" s="43" t="s">
        <v>2863</v>
      </c>
      <c r="B114" s="43" t="s">
        <v>2862</v>
      </c>
      <c r="C114" s="43" t="s">
        <v>2861</v>
      </c>
      <c r="D114" s="43">
        <v>2140</v>
      </c>
      <c r="E114" s="43" t="s">
        <v>1284</v>
      </c>
      <c r="F114" s="43">
        <v>60</v>
      </c>
      <c r="G114" s="43">
        <v>111</v>
      </c>
    </row>
    <row r="115" spans="1:7" ht="16.5" customHeight="1" x14ac:dyDescent="0.2">
      <c r="A115" s="43" t="s">
        <v>2860</v>
      </c>
      <c r="B115" s="43" t="s">
        <v>2859</v>
      </c>
      <c r="C115" s="43" t="s">
        <v>1452</v>
      </c>
      <c r="D115" s="43">
        <v>2560</v>
      </c>
      <c r="E115" s="43" t="s">
        <v>541</v>
      </c>
      <c r="F115" s="43">
        <v>192</v>
      </c>
      <c r="G115" s="43">
        <v>112</v>
      </c>
    </row>
    <row r="116" spans="1:7" ht="16.5" customHeight="1" x14ac:dyDescent="0.2">
      <c r="A116" s="43" t="s">
        <v>2858</v>
      </c>
      <c r="B116" s="43" t="s">
        <v>2857</v>
      </c>
      <c r="C116" s="43" t="s">
        <v>1975</v>
      </c>
      <c r="D116" s="43">
        <v>2263</v>
      </c>
      <c r="E116" s="43" t="s">
        <v>1006</v>
      </c>
      <c r="F116" s="43">
        <v>138</v>
      </c>
      <c r="G116" s="43">
        <v>113</v>
      </c>
    </row>
    <row r="117" spans="1:7" ht="16.5" customHeight="1" x14ac:dyDescent="0.2">
      <c r="A117" s="43" t="s">
        <v>2856</v>
      </c>
      <c r="B117" s="43" t="s">
        <v>2855</v>
      </c>
      <c r="C117" s="43" t="s">
        <v>2854</v>
      </c>
      <c r="D117" s="43">
        <v>2322</v>
      </c>
      <c r="E117" s="43" t="s">
        <v>344</v>
      </c>
      <c r="F117" s="43">
        <v>125</v>
      </c>
      <c r="G117" s="43">
        <v>114</v>
      </c>
    </row>
    <row r="118" spans="1:7" ht="16.5" customHeight="1" x14ac:dyDescent="0.2">
      <c r="A118" s="43" t="s">
        <v>2853</v>
      </c>
      <c r="B118" s="43" t="s">
        <v>2852</v>
      </c>
      <c r="C118" s="43" t="s">
        <v>2851</v>
      </c>
      <c r="D118" s="43">
        <v>2100</v>
      </c>
      <c r="E118" s="43" t="s">
        <v>355</v>
      </c>
      <c r="F118" s="43">
        <v>151</v>
      </c>
      <c r="G118" s="43">
        <v>115</v>
      </c>
    </row>
    <row r="119" spans="1:7" ht="16.5" customHeight="1" x14ac:dyDescent="0.2">
      <c r="A119" s="43" t="s">
        <v>2850</v>
      </c>
      <c r="B119" s="43" t="s">
        <v>2849</v>
      </c>
      <c r="C119" s="43" t="s">
        <v>565</v>
      </c>
      <c r="D119" s="43">
        <v>2000</v>
      </c>
      <c r="E119" s="43" t="s">
        <v>323</v>
      </c>
      <c r="F119" s="43">
        <v>120</v>
      </c>
      <c r="G119" s="43">
        <v>116</v>
      </c>
    </row>
    <row r="120" spans="1:7" ht="16.5" customHeight="1" x14ac:dyDescent="0.2">
      <c r="A120" s="43" t="s">
        <v>2848</v>
      </c>
      <c r="B120" s="43" t="s">
        <v>2847</v>
      </c>
      <c r="C120" s="43" t="s">
        <v>722</v>
      </c>
      <c r="D120" s="43">
        <v>2680</v>
      </c>
      <c r="E120" s="43" t="s">
        <v>332</v>
      </c>
      <c r="F120" s="43">
        <v>149</v>
      </c>
      <c r="G120" s="43">
        <v>117</v>
      </c>
    </row>
    <row r="121" spans="1:7" ht="16.5" customHeight="1" x14ac:dyDescent="0.2">
      <c r="A121" s="43" t="s">
        <v>2846</v>
      </c>
      <c r="B121" s="43" t="s">
        <v>2845</v>
      </c>
      <c r="C121" s="43" t="s">
        <v>1332</v>
      </c>
      <c r="D121" s="43">
        <v>2166</v>
      </c>
      <c r="E121" s="43" t="s">
        <v>427</v>
      </c>
      <c r="F121" s="43">
        <v>125</v>
      </c>
      <c r="G121" s="43">
        <v>118</v>
      </c>
    </row>
    <row r="122" spans="1:7" ht="16.5" customHeight="1" x14ac:dyDescent="0.2">
      <c r="A122" s="43" t="s">
        <v>2844</v>
      </c>
      <c r="B122" s="43" t="s">
        <v>2843</v>
      </c>
      <c r="C122" s="43" t="s">
        <v>2498</v>
      </c>
      <c r="D122" s="43">
        <v>2647</v>
      </c>
      <c r="E122" s="43" t="s">
        <v>467</v>
      </c>
      <c r="F122" s="43">
        <v>149</v>
      </c>
      <c r="G122" s="43">
        <v>119</v>
      </c>
    </row>
    <row r="123" spans="1:7" ht="16.5" customHeight="1" x14ac:dyDescent="0.2">
      <c r="A123" s="43" t="s">
        <v>2842</v>
      </c>
      <c r="B123" s="43" t="s">
        <v>2841</v>
      </c>
      <c r="C123" s="43" t="s">
        <v>674</v>
      </c>
      <c r="D123" s="43">
        <v>2283</v>
      </c>
      <c r="E123" s="43" t="s">
        <v>435</v>
      </c>
      <c r="F123" s="43">
        <v>135</v>
      </c>
      <c r="G123" s="43">
        <v>120</v>
      </c>
    </row>
    <row r="124" spans="1:7" ht="16.5" customHeight="1" x14ac:dyDescent="0.2">
      <c r="A124" s="43" t="s">
        <v>2840</v>
      </c>
      <c r="B124" s="43" t="s">
        <v>2839</v>
      </c>
      <c r="C124" s="43" t="s">
        <v>1845</v>
      </c>
      <c r="D124" s="43">
        <v>2646</v>
      </c>
      <c r="E124" s="43" t="s">
        <v>467</v>
      </c>
      <c r="F124" s="43">
        <v>147</v>
      </c>
      <c r="G124" s="43">
        <v>121</v>
      </c>
    </row>
    <row r="125" spans="1:7" ht="16.5" customHeight="1" x14ac:dyDescent="0.2">
      <c r="A125" s="43" t="s">
        <v>2838</v>
      </c>
      <c r="B125" s="43" t="s">
        <v>2837</v>
      </c>
      <c r="C125" s="43" t="s">
        <v>1808</v>
      </c>
      <c r="D125" s="43">
        <v>2325</v>
      </c>
      <c r="E125" s="43" t="s">
        <v>670</v>
      </c>
      <c r="F125" s="43">
        <v>120</v>
      </c>
      <c r="G125" s="43">
        <v>122</v>
      </c>
    </row>
    <row r="126" spans="1:7" ht="16.5" customHeight="1" x14ac:dyDescent="0.2">
      <c r="A126" s="43" t="s">
        <v>2836</v>
      </c>
      <c r="B126" s="43" t="s">
        <v>2835</v>
      </c>
      <c r="C126" s="43" t="s">
        <v>1235</v>
      </c>
      <c r="D126" s="43">
        <v>2208</v>
      </c>
      <c r="E126" s="43" t="s">
        <v>618</v>
      </c>
      <c r="F126" s="43">
        <v>138</v>
      </c>
      <c r="G126" s="43">
        <v>123</v>
      </c>
    </row>
    <row r="127" spans="1:7" ht="16.5" customHeight="1" x14ac:dyDescent="0.2">
      <c r="A127" s="43" t="s">
        <v>2834</v>
      </c>
      <c r="B127" s="43" t="s">
        <v>2833</v>
      </c>
      <c r="C127" s="43" t="s">
        <v>2560</v>
      </c>
      <c r="D127" s="43">
        <v>2261</v>
      </c>
      <c r="E127" s="43" t="s">
        <v>1006</v>
      </c>
      <c r="F127" s="43">
        <v>146</v>
      </c>
      <c r="G127" s="43">
        <v>124</v>
      </c>
    </row>
    <row r="128" spans="1:7" ht="16.5" customHeight="1" x14ac:dyDescent="0.2">
      <c r="A128" s="43" t="s">
        <v>2832</v>
      </c>
      <c r="B128" s="43" t="s">
        <v>2831</v>
      </c>
      <c r="C128" s="43" t="s">
        <v>2830</v>
      </c>
      <c r="D128" s="43">
        <v>2460</v>
      </c>
      <c r="E128" s="43" t="s">
        <v>495</v>
      </c>
      <c r="F128" s="43">
        <v>128</v>
      </c>
      <c r="G128" s="43">
        <v>125</v>
      </c>
    </row>
    <row r="129" spans="1:7" ht="16.5" customHeight="1" x14ac:dyDescent="0.2">
      <c r="A129" s="43" t="s">
        <v>2829</v>
      </c>
      <c r="B129" s="43" t="s">
        <v>2828</v>
      </c>
      <c r="C129" s="43" t="s">
        <v>2456</v>
      </c>
      <c r="D129" s="43">
        <v>2035</v>
      </c>
      <c r="E129" s="43" t="s">
        <v>548</v>
      </c>
      <c r="F129" s="43">
        <v>164</v>
      </c>
      <c r="G129" s="43">
        <v>126</v>
      </c>
    </row>
    <row r="130" spans="1:7" ht="16.5" customHeight="1" x14ac:dyDescent="0.2">
      <c r="A130" s="43" t="s">
        <v>2827</v>
      </c>
      <c r="B130" s="43" t="s">
        <v>2826</v>
      </c>
      <c r="C130" s="43" t="s">
        <v>927</v>
      </c>
      <c r="D130" s="43">
        <v>2753</v>
      </c>
      <c r="E130" s="43" t="s">
        <v>451</v>
      </c>
      <c r="F130" s="43">
        <v>108</v>
      </c>
      <c r="G130" s="43">
        <v>127</v>
      </c>
    </row>
    <row r="131" spans="1:7" ht="16.5" customHeight="1" x14ac:dyDescent="0.2">
      <c r="A131" s="43" t="s">
        <v>2825</v>
      </c>
      <c r="B131" s="43" t="s">
        <v>2824</v>
      </c>
      <c r="C131" s="43" t="s">
        <v>736</v>
      </c>
      <c r="D131" s="43">
        <v>2732</v>
      </c>
      <c r="E131" s="43" t="s">
        <v>561</v>
      </c>
      <c r="F131" s="43">
        <v>125</v>
      </c>
      <c r="G131" s="43">
        <v>128</v>
      </c>
    </row>
    <row r="132" spans="1:7" ht="16.5" customHeight="1" x14ac:dyDescent="0.2">
      <c r="A132" s="43" t="s">
        <v>2823</v>
      </c>
      <c r="B132" s="43" t="s">
        <v>2822</v>
      </c>
      <c r="C132" s="43" t="s">
        <v>647</v>
      </c>
      <c r="D132" s="43">
        <v>2795</v>
      </c>
      <c r="E132" s="43" t="s">
        <v>646</v>
      </c>
      <c r="F132" s="43">
        <v>122</v>
      </c>
      <c r="G132" s="43">
        <v>129</v>
      </c>
    </row>
    <row r="133" spans="1:7" ht="16.5" customHeight="1" x14ac:dyDescent="0.2">
      <c r="A133" s="43" t="s">
        <v>2821</v>
      </c>
      <c r="B133" s="43" t="s">
        <v>2820</v>
      </c>
      <c r="C133" s="43" t="s">
        <v>1032</v>
      </c>
      <c r="D133" s="43">
        <v>2760</v>
      </c>
      <c r="E133" s="43" t="s">
        <v>1031</v>
      </c>
      <c r="F133" s="43">
        <v>131</v>
      </c>
      <c r="G133" s="43">
        <v>130</v>
      </c>
    </row>
    <row r="134" spans="1:7" ht="16.5" customHeight="1" x14ac:dyDescent="0.2">
      <c r="A134" s="43" t="s">
        <v>2819</v>
      </c>
      <c r="B134" s="43" t="s">
        <v>2818</v>
      </c>
      <c r="C134" s="43" t="s">
        <v>2483</v>
      </c>
      <c r="D134" s="43">
        <v>2486</v>
      </c>
      <c r="E134" s="43" t="s">
        <v>1106</v>
      </c>
      <c r="F134" s="43">
        <v>196</v>
      </c>
      <c r="G134" s="43">
        <v>131</v>
      </c>
    </row>
    <row r="135" spans="1:7" ht="16.5" customHeight="1" x14ac:dyDescent="0.2">
      <c r="A135" s="43" t="s">
        <v>2817</v>
      </c>
      <c r="B135" s="43" t="s">
        <v>2816</v>
      </c>
      <c r="C135" s="43" t="s">
        <v>2815</v>
      </c>
      <c r="D135" s="43">
        <v>2536</v>
      </c>
      <c r="E135" s="43" t="s">
        <v>1638</v>
      </c>
      <c r="F135" s="43">
        <v>161</v>
      </c>
      <c r="G135" s="43">
        <v>132</v>
      </c>
    </row>
    <row r="136" spans="1:7" ht="16.5" customHeight="1" x14ac:dyDescent="0.2">
      <c r="A136" s="43" t="s">
        <v>2814</v>
      </c>
      <c r="B136" s="43" t="s">
        <v>2813</v>
      </c>
      <c r="C136" s="43" t="s">
        <v>1285</v>
      </c>
      <c r="D136" s="43">
        <v>2135</v>
      </c>
      <c r="E136" s="43" t="s">
        <v>2267</v>
      </c>
      <c r="F136" s="43">
        <v>50</v>
      </c>
      <c r="G136" s="43">
        <v>133</v>
      </c>
    </row>
    <row r="137" spans="1:7" ht="16.5" customHeight="1" x14ac:dyDescent="0.2">
      <c r="A137" s="43" t="s">
        <v>2812</v>
      </c>
      <c r="B137" s="43" t="s">
        <v>2811</v>
      </c>
      <c r="C137" s="43" t="s">
        <v>1162</v>
      </c>
      <c r="D137" s="43">
        <v>2046</v>
      </c>
      <c r="E137" s="43" t="s">
        <v>366</v>
      </c>
      <c r="F137" s="43">
        <v>147</v>
      </c>
      <c r="G137" s="43">
        <v>134</v>
      </c>
    </row>
    <row r="138" spans="1:7" ht="16.5" customHeight="1" x14ac:dyDescent="0.2">
      <c r="A138" s="43" t="s">
        <v>2810</v>
      </c>
      <c r="B138" s="43" t="s">
        <v>2809</v>
      </c>
      <c r="C138" s="43" t="s">
        <v>2808</v>
      </c>
      <c r="D138" s="43">
        <v>2049</v>
      </c>
      <c r="E138" s="43" t="s">
        <v>515</v>
      </c>
      <c r="F138" s="43">
        <v>181</v>
      </c>
      <c r="G138" s="43">
        <v>135</v>
      </c>
    </row>
    <row r="139" spans="1:7" ht="16.5" customHeight="1" x14ac:dyDescent="0.2">
      <c r="A139" s="43" t="s">
        <v>2807</v>
      </c>
      <c r="B139" s="43" t="s">
        <v>2806</v>
      </c>
      <c r="C139" s="43" t="s">
        <v>2805</v>
      </c>
      <c r="D139" s="43">
        <v>2731</v>
      </c>
      <c r="E139" s="43" t="s">
        <v>561</v>
      </c>
      <c r="F139" s="43">
        <v>155</v>
      </c>
      <c r="G139" s="43">
        <v>136</v>
      </c>
    </row>
    <row r="140" spans="1:7" ht="16.5" customHeight="1" x14ac:dyDescent="0.2">
      <c r="A140" s="43" t="s">
        <v>2804</v>
      </c>
      <c r="B140" s="43" t="s">
        <v>2803</v>
      </c>
      <c r="C140" s="43" t="s">
        <v>1032</v>
      </c>
      <c r="D140" s="43">
        <v>2760</v>
      </c>
      <c r="E140" s="43" t="s">
        <v>1031</v>
      </c>
      <c r="F140" s="43">
        <v>189</v>
      </c>
      <c r="G140" s="43">
        <v>137</v>
      </c>
    </row>
    <row r="141" spans="1:7" ht="16.5" customHeight="1" x14ac:dyDescent="0.2">
      <c r="A141" s="43" t="s">
        <v>2802</v>
      </c>
      <c r="B141" s="43" t="s">
        <v>2801</v>
      </c>
      <c r="C141" s="43" t="s">
        <v>1039</v>
      </c>
      <c r="D141" s="43">
        <v>2519</v>
      </c>
      <c r="E141" s="43" t="s">
        <v>393</v>
      </c>
      <c r="F141" s="43">
        <v>140</v>
      </c>
      <c r="G141" s="43">
        <v>138</v>
      </c>
    </row>
    <row r="142" spans="1:7" ht="16.5" customHeight="1" x14ac:dyDescent="0.2">
      <c r="A142" s="43" t="s">
        <v>2800</v>
      </c>
      <c r="B142" s="43" t="s">
        <v>2799</v>
      </c>
      <c r="C142" s="43" t="s">
        <v>1393</v>
      </c>
      <c r="D142" s="43">
        <v>2430</v>
      </c>
      <c r="E142" s="43" t="s">
        <v>537</v>
      </c>
      <c r="F142" s="43">
        <v>80</v>
      </c>
      <c r="G142" s="43">
        <v>139</v>
      </c>
    </row>
    <row r="143" spans="1:7" ht="16.5" customHeight="1" x14ac:dyDescent="0.2">
      <c r="A143" s="43" t="s">
        <v>2798</v>
      </c>
      <c r="B143" s="43" t="s">
        <v>2797</v>
      </c>
      <c r="C143" s="43" t="s">
        <v>2164</v>
      </c>
      <c r="D143" s="43">
        <v>2539</v>
      </c>
      <c r="E143" s="43" t="s">
        <v>783</v>
      </c>
      <c r="F143" s="43">
        <v>96</v>
      </c>
      <c r="G143" s="43">
        <v>140</v>
      </c>
    </row>
    <row r="144" spans="1:7" ht="16.5" customHeight="1" x14ac:dyDescent="0.2">
      <c r="A144" s="43" t="s">
        <v>2796</v>
      </c>
      <c r="B144" s="43" t="s">
        <v>2795</v>
      </c>
      <c r="C144" s="43" t="s">
        <v>1553</v>
      </c>
      <c r="D144" s="43">
        <v>2230</v>
      </c>
      <c r="E144" s="43" t="s">
        <v>1024</v>
      </c>
      <c r="F144" s="43">
        <v>114</v>
      </c>
      <c r="G144" s="43">
        <v>141</v>
      </c>
    </row>
    <row r="145" spans="1:7" ht="16.5" customHeight="1" x14ac:dyDescent="0.2">
      <c r="A145" s="43" t="s">
        <v>2794</v>
      </c>
      <c r="B145" s="43" t="s">
        <v>2793</v>
      </c>
      <c r="C145" s="43" t="s">
        <v>1915</v>
      </c>
      <c r="D145" s="43">
        <v>2470</v>
      </c>
      <c r="E145" s="43" t="s">
        <v>401</v>
      </c>
      <c r="F145" s="43">
        <v>100</v>
      </c>
      <c r="G145" s="43">
        <v>142</v>
      </c>
    </row>
    <row r="146" spans="1:7" ht="16.5" customHeight="1" x14ac:dyDescent="0.2">
      <c r="A146" s="43" t="s">
        <v>2792</v>
      </c>
      <c r="B146" s="43" t="s">
        <v>2791</v>
      </c>
      <c r="C146" s="43" t="s">
        <v>2345</v>
      </c>
      <c r="D146" s="43">
        <v>2290</v>
      </c>
      <c r="E146" s="43" t="s">
        <v>435</v>
      </c>
      <c r="F146" s="43">
        <v>126</v>
      </c>
      <c r="G146" s="43">
        <v>143</v>
      </c>
    </row>
    <row r="147" spans="1:7" ht="16.5" customHeight="1" x14ac:dyDescent="0.2">
      <c r="A147" s="43" t="s">
        <v>2790</v>
      </c>
      <c r="B147" s="43" t="s">
        <v>2789</v>
      </c>
      <c r="C147" s="43" t="s">
        <v>959</v>
      </c>
      <c r="D147" s="43">
        <v>2444</v>
      </c>
      <c r="E147" s="43" t="s">
        <v>958</v>
      </c>
      <c r="F147" s="43">
        <v>141</v>
      </c>
      <c r="G147" s="43">
        <v>144</v>
      </c>
    </row>
    <row r="148" spans="1:7" ht="16.5" customHeight="1" x14ac:dyDescent="0.2">
      <c r="A148" s="43" t="s">
        <v>2788</v>
      </c>
      <c r="B148" s="43" t="s">
        <v>2787</v>
      </c>
      <c r="C148" s="43" t="s">
        <v>2786</v>
      </c>
      <c r="D148" s="43">
        <v>2176</v>
      </c>
      <c r="E148" s="43" t="s">
        <v>427</v>
      </c>
      <c r="F148" s="43">
        <v>54</v>
      </c>
      <c r="G148" s="43">
        <v>145</v>
      </c>
    </row>
    <row r="149" spans="1:7" ht="16.5" customHeight="1" x14ac:dyDescent="0.2">
      <c r="A149" s="43" t="s">
        <v>2785</v>
      </c>
      <c r="B149" s="43" t="s">
        <v>2784</v>
      </c>
      <c r="C149" s="43" t="s">
        <v>1429</v>
      </c>
      <c r="D149" s="43">
        <v>2850</v>
      </c>
      <c r="E149" s="43" t="s">
        <v>1124</v>
      </c>
      <c r="F149" s="43">
        <v>101</v>
      </c>
      <c r="G149" s="43">
        <v>146</v>
      </c>
    </row>
    <row r="150" spans="1:7" ht="16.5" customHeight="1" x14ac:dyDescent="0.2">
      <c r="A150" s="43" t="s">
        <v>2783</v>
      </c>
      <c r="B150" s="43" t="s">
        <v>2782</v>
      </c>
      <c r="C150" s="43" t="s">
        <v>722</v>
      </c>
      <c r="D150" s="43">
        <v>2680</v>
      </c>
      <c r="E150" s="43" t="s">
        <v>332</v>
      </c>
      <c r="F150" s="43">
        <v>97</v>
      </c>
      <c r="G150" s="43">
        <v>147</v>
      </c>
    </row>
    <row r="151" spans="1:7" ht="16.5" customHeight="1" x14ac:dyDescent="0.2">
      <c r="A151" s="43" t="s">
        <v>2781</v>
      </c>
      <c r="B151" s="43" t="s">
        <v>2780</v>
      </c>
      <c r="C151" s="43" t="s">
        <v>1650</v>
      </c>
      <c r="D151" s="43">
        <v>2440</v>
      </c>
      <c r="E151" s="43" t="s">
        <v>455</v>
      </c>
      <c r="F151" s="43">
        <v>91</v>
      </c>
      <c r="G151" s="43">
        <v>148</v>
      </c>
    </row>
    <row r="152" spans="1:7" ht="16.5" customHeight="1" x14ac:dyDescent="0.2">
      <c r="A152" s="43" t="s">
        <v>2779</v>
      </c>
      <c r="B152" s="43" t="s">
        <v>2778</v>
      </c>
      <c r="C152" s="43" t="s">
        <v>2777</v>
      </c>
      <c r="D152" s="43">
        <v>2142</v>
      </c>
      <c r="E152" s="43" t="s">
        <v>377</v>
      </c>
      <c r="F152" s="43">
        <v>133</v>
      </c>
      <c r="G152" s="43">
        <v>149</v>
      </c>
    </row>
    <row r="153" spans="1:7" ht="16.5" customHeight="1" x14ac:dyDescent="0.2">
      <c r="A153" s="43" t="s">
        <v>2776</v>
      </c>
      <c r="B153" s="43" t="s">
        <v>2775</v>
      </c>
      <c r="C153" s="43" t="s">
        <v>2774</v>
      </c>
      <c r="D153" s="43">
        <v>2200</v>
      </c>
      <c r="E153" s="43" t="s">
        <v>631</v>
      </c>
      <c r="F153" s="43">
        <v>167</v>
      </c>
      <c r="G153" s="43">
        <v>150</v>
      </c>
    </row>
    <row r="154" spans="1:7" ht="16.5" customHeight="1" x14ac:dyDescent="0.2">
      <c r="A154" s="43" t="s">
        <v>2773</v>
      </c>
      <c r="B154" s="43" t="s">
        <v>2772</v>
      </c>
      <c r="C154" s="43" t="s">
        <v>2771</v>
      </c>
      <c r="D154" s="43">
        <v>2302</v>
      </c>
      <c r="E154" s="43" t="s">
        <v>344</v>
      </c>
      <c r="F154" s="43">
        <v>132</v>
      </c>
      <c r="G154" s="43">
        <v>151</v>
      </c>
    </row>
    <row r="155" spans="1:7" ht="16.5" customHeight="1" x14ac:dyDescent="0.2">
      <c r="A155" s="43" t="s">
        <v>2770</v>
      </c>
      <c r="B155" s="43" t="s">
        <v>2769</v>
      </c>
      <c r="C155" s="43" t="s">
        <v>2768</v>
      </c>
      <c r="D155" s="43">
        <v>2263</v>
      </c>
      <c r="E155" s="43" t="s">
        <v>1006</v>
      </c>
      <c r="F155" s="43">
        <v>128</v>
      </c>
      <c r="G155" s="43">
        <v>152</v>
      </c>
    </row>
    <row r="156" spans="1:7" ht="16.5" customHeight="1" x14ac:dyDescent="0.2">
      <c r="A156" s="43" t="s">
        <v>2767</v>
      </c>
      <c r="B156" s="43" t="s">
        <v>2766</v>
      </c>
      <c r="C156" s="43" t="s">
        <v>2765</v>
      </c>
      <c r="D156" s="43">
        <v>2540</v>
      </c>
      <c r="E156" s="43" t="s">
        <v>783</v>
      </c>
      <c r="F156" s="43">
        <v>87</v>
      </c>
      <c r="G156" s="43">
        <v>153</v>
      </c>
    </row>
    <row r="157" spans="1:7" ht="16.5" customHeight="1" x14ac:dyDescent="0.2">
      <c r="A157" s="43" t="s">
        <v>2764</v>
      </c>
      <c r="B157" s="43" t="s">
        <v>2763</v>
      </c>
      <c r="C157" s="43" t="s">
        <v>2762</v>
      </c>
      <c r="D157" s="43">
        <v>2541</v>
      </c>
      <c r="E157" s="43" t="s">
        <v>783</v>
      </c>
      <c r="F157" s="43">
        <v>160</v>
      </c>
      <c r="G157" s="43">
        <v>154</v>
      </c>
    </row>
    <row r="158" spans="1:7" ht="16.5" customHeight="1" x14ac:dyDescent="0.2">
      <c r="A158" s="43" t="s">
        <v>2761</v>
      </c>
      <c r="B158" s="43" t="s">
        <v>2760</v>
      </c>
      <c r="C158" s="43" t="s">
        <v>2759</v>
      </c>
      <c r="D158" s="43">
        <v>2077</v>
      </c>
      <c r="E158" s="43" t="s">
        <v>695</v>
      </c>
      <c r="F158" s="43">
        <v>144</v>
      </c>
      <c r="G158" s="43">
        <v>155</v>
      </c>
    </row>
    <row r="159" spans="1:7" ht="16.5" customHeight="1" x14ac:dyDescent="0.2">
      <c r="A159" s="43" t="s">
        <v>2758</v>
      </c>
      <c r="B159" s="43" t="s">
        <v>2757</v>
      </c>
      <c r="C159" s="43" t="s">
        <v>2756</v>
      </c>
      <c r="D159" s="43">
        <v>2257</v>
      </c>
      <c r="E159" s="43" t="s">
        <v>1006</v>
      </c>
      <c r="F159" s="43">
        <v>124</v>
      </c>
      <c r="G159" s="43">
        <v>156</v>
      </c>
    </row>
    <row r="160" spans="1:7" ht="16.5" customHeight="1" x14ac:dyDescent="0.2">
      <c r="A160" s="43" t="s">
        <v>2755</v>
      </c>
      <c r="B160" s="43" t="s">
        <v>2754</v>
      </c>
      <c r="C160" s="43" t="s">
        <v>2753</v>
      </c>
      <c r="D160" s="43">
        <v>2222</v>
      </c>
      <c r="E160" s="43" t="s">
        <v>1156</v>
      </c>
      <c r="F160" s="43">
        <v>100</v>
      </c>
      <c r="G160" s="43">
        <v>157</v>
      </c>
    </row>
    <row r="161" spans="1:7" ht="16.5" customHeight="1" x14ac:dyDescent="0.2">
      <c r="A161" s="43" t="s">
        <v>2752</v>
      </c>
      <c r="B161" s="43" t="s">
        <v>2751</v>
      </c>
      <c r="C161" s="43" t="s">
        <v>2750</v>
      </c>
      <c r="D161" s="43">
        <v>2096</v>
      </c>
      <c r="E161" s="43" t="s">
        <v>355</v>
      </c>
      <c r="F161" s="43">
        <v>171</v>
      </c>
      <c r="G161" s="43">
        <v>158</v>
      </c>
    </row>
    <row r="162" spans="1:7" ht="16.5" customHeight="1" x14ac:dyDescent="0.2">
      <c r="A162" s="43" t="s">
        <v>2749</v>
      </c>
      <c r="B162" s="43" t="s">
        <v>2748</v>
      </c>
      <c r="C162" s="43" t="s">
        <v>2747</v>
      </c>
      <c r="D162" s="43">
        <v>2092</v>
      </c>
      <c r="E162" s="43" t="s">
        <v>355</v>
      </c>
      <c r="F162" s="43">
        <v>118</v>
      </c>
      <c r="G162" s="43">
        <v>159</v>
      </c>
    </row>
    <row r="163" spans="1:7" ht="16.5" customHeight="1" x14ac:dyDescent="0.2">
      <c r="A163" s="43" t="s">
        <v>2746</v>
      </c>
      <c r="B163" s="43" t="s">
        <v>2745</v>
      </c>
      <c r="C163" s="43" t="s">
        <v>2704</v>
      </c>
      <c r="D163" s="43">
        <v>2548</v>
      </c>
      <c r="E163" s="43" t="s">
        <v>808</v>
      </c>
      <c r="F163" s="43">
        <v>122</v>
      </c>
      <c r="G163" s="43">
        <v>160</v>
      </c>
    </row>
    <row r="164" spans="1:7" ht="16.5" customHeight="1" x14ac:dyDescent="0.2">
      <c r="A164" s="43" t="s">
        <v>2744</v>
      </c>
      <c r="B164" s="43" t="s">
        <v>2743</v>
      </c>
      <c r="C164" s="43" t="s">
        <v>2742</v>
      </c>
      <c r="D164" s="43">
        <v>2770</v>
      </c>
      <c r="E164" s="43" t="s">
        <v>996</v>
      </c>
      <c r="F164" s="43">
        <v>143</v>
      </c>
      <c r="G164" s="43">
        <v>161</v>
      </c>
    </row>
    <row r="165" spans="1:7" ht="16.5" customHeight="1" x14ac:dyDescent="0.2">
      <c r="A165" s="43" t="s">
        <v>2741</v>
      </c>
      <c r="B165" s="43" t="s">
        <v>2740</v>
      </c>
      <c r="C165" s="43" t="s">
        <v>647</v>
      </c>
      <c r="D165" s="43">
        <v>2795</v>
      </c>
      <c r="E165" s="43" t="s">
        <v>646</v>
      </c>
      <c r="F165" s="43">
        <v>123</v>
      </c>
      <c r="G165" s="43">
        <v>162</v>
      </c>
    </row>
    <row r="166" spans="1:7" ht="16.5" customHeight="1" x14ac:dyDescent="0.2">
      <c r="A166" s="43" t="s">
        <v>2739</v>
      </c>
      <c r="B166" s="43" t="s">
        <v>2738</v>
      </c>
      <c r="C166" s="43" t="s">
        <v>2377</v>
      </c>
      <c r="D166" s="43">
        <v>2790</v>
      </c>
      <c r="E166" s="43" t="s">
        <v>459</v>
      </c>
      <c r="F166" s="43">
        <v>150</v>
      </c>
      <c r="G166" s="43">
        <v>163</v>
      </c>
    </row>
    <row r="167" spans="1:7" ht="16.5" customHeight="1" x14ac:dyDescent="0.2">
      <c r="A167" s="43" t="s">
        <v>2737</v>
      </c>
      <c r="B167" s="43" t="s">
        <v>2736</v>
      </c>
      <c r="C167" s="43" t="s">
        <v>859</v>
      </c>
      <c r="D167" s="43">
        <v>2195</v>
      </c>
      <c r="E167" s="43" t="s">
        <v>631</v>
      </c>
      <c r="F167" s="43">
        <v>94</v>
      </c>
      <c r="G167" s="43">
        <v>164</v>
      </c>
    </row>
    <row r="168" spans="1:7" ht="16.5" customHeight="1" x14ac:dyDescent="0.2">
      <c r="A168" s="43" t="s">
        <v>2735</v>
      </c>
      <c r="B168" s="43" t="s">
        <v>2734</v>
      </c>
      <c r="C168" s="43" t="s">
        <v>2733</v>
      </c>
      <c r="D168" s="43">
        <v>2650</v>
      </c>
      <c r="E168" s="43" t="s">
        <v>897</v>
      </c>
      <c r="F168" s="43">
        <v>101</v>
      </c>
      <c r="G168" s="43">
        <v>165</v>
      </c>
    </row>
    <row r="169" spans="1:7" ht="16.5" customHeight="1" x14ac:dyDescent="0.2">
      <c r="A169" s="43" t="s">
        <v>2732</v>
      </c>
      <c r="B169" s="43" t="s">
        <v>2731</v>
      </c>
      <c r="C169" s="43" t="s">
        <v>2730</v>
      </c>
      <c r="D169" s="43">
        <v>2229</v>
      </c>
      <c r="E169" s="43" t="s">
        <v>1024</v>
      </c>
      <c r="F169" s="43">
        <v>75</v>
      </c>
      <c r="G169" s="43">
        <v>166</v>
      </c>
    </row>
    <row r="170" spans="1:7" ht="16.5" customHeight="1" x14ac:dyDescent="0.2">
      <c r="A170" s="43" t="s">
        <v>2729</v>
      </c>
      <c r="B170" s="43" t="s">
        <v>2728</v>
      </c>
      <c r="C170" s="43" t="s">
        <v>1390</v>
      </c>
      <c r="D170" s="43">
        <v>2146</v>
      </c>
      <c r="E170" s="43" t="s">
        <v>790</v>
      </c>
      <c r="F170" s="43">
        <v>82</v>
      </c>
      <c r="G170" s="43">
        <v>167</v>
      </c>
    </row>
    <row r="171" spans="1:7" ht="16.5" customHeight="1" x14ac:dyDescent="0.2">
      <c r="A171" s="43" t="s">
        <v>2727</v>
      </c>
      <c r="B171" s="43" t="s">
        <v>2726</v>
      </c>
      <c r="C171" s="43" t="s">
        <v>2725</v>
      </c>
      <c r="D171" s="43">
        <v>2317</v>
      </c>
      <c r="E171" s="43" t="s">
        <v>884</v>
      </c>
      <c r="F171" s="43">
        <v>110</v>
      </c>
      <c r="G171" s="43">
        <v>168</v>
      </c>
    </row>
    <row r="172" spans="1:7" ht="16.5" customHeight="1" x14ac:dyDescent="0.2">
      <c r="A172" s="43" t="s">
        <v>2724</v>
      </c>
      <c r="B172" s="43" t="s">
        <v>2723</v>
      </c>
      <c r="C172" s="43" t="s">
        <v>1274</v>
      </c>
      <c r="D172" s="43">
        <v>2580</v>
      </c>
      <c r="E172" s="43" t="s">
        <v>1273</v>
      </c>
      <c r="F172" s="43">
        <v>145</v>
      </c>
      <c r="G172" s="43">
        <v>169</v>
      </c>
    </row>
    <row r="173" spans="1:7" ht="16.5" customHeight="1" x14ac:dyDescent="0.2">
      <c r="A173" s="43" t="s">
        <v>2722</v>
      </c>
      <c r="B173" s="43" t="s">
        <v>2721</v>
      </c>
      <c r="C173" s="43" t="s">
        <v>2720</v>
      </c>
      <c r="D173" s="43">
        <v>2207</v>
      </c>
      <c r="E173" s="43" t="s">
        <v>618</v>
      </c>
      <c r="F173" s="43">
        <v>101</v>
      </c>
      <c r="G173" s="43">
        <v>170</v>
      </c>
    </row>
    <row r="174" spans="1:7" ht="16.5" customHeight="1" x14ac:dyDescent="0.2">
      <c r="A174" s="43" t="s">
        <v>2719</v>
      </c>
      <c r="B174" s="43" t="s">
        <v>2718</v>
      </c>
      <c r="C174" s="43" t="s">
        <v>2717</v>
      </c>
      <c r="D174" s="43">
        <v>2179</v>
      </c>
      <c r="E174" s="43" t="s">
        <v>389</v>
      </c>
      <c r="F174" s="43">
        <v>43</v>
      </c>
      <c r="G174" s="43">
        <v>171</v>
      </c>
    </row>
    <row r="175" spans="1:7" ht="16.5" customHeight="1" x14ac:dyDescent="0.2">
      <c r="A175" s="43" t="s">
        <v>2716</v>
      </c>
      <c r="B175" s="43" t="s">
        <v>2715</v>
      </c>
      <c r="C175" s="43" t="s">
        <v>709</v>
      </c>
      <c r="D175" s="43">
        <v>2350</v>
      </c>
      <c r="E175" s="43" t="s">
        <v>708</v>
      </c>
      <c r="F175" s="43">
        <v>93</v>
      </c>
      <c r="G175" s="43">
        <v>172</v>
      </c>
    </row>
    <row r="176" spans="1:7" ht="16.5" customHeight="1" x14ac:dyDescent="0.2">
      <c r="A176" s="43" t="s">
        <v>2714</v>
      </c>
      <c r="B176" s="43" t="s">
        <v>2713</v>
      </c>
      <c r="C176" s="43" t="s">
        <v>2712</v>
      </c>
      <c r="D176" s="43">
        <v>2506</v>
      </c>
      <c r="E176" s="43" t="s">
        <v>393</v>
      </c>
      <c r="F176" s="43">
        <v>131</v>
      </c>
      <c r="G176" s="43">
        <v>173</v>
      </c>
    </row>
    <row r="177" spans="1:7" ht="16.5" customHeight="1" x14ac:dyDescent="0.2">
      <c r="A177" s="43" t="s">
        <v>2711</v>
      </c>
      <c r="B177" s="43" t="s">
        <v>2710</v>
      </c>
      <c r="C177" s="43" t="s">
        <v>2709</v>
      </c>
      <c r="D177" s="43">
        <v>2529</v>
      </c>
      <c r="E177" s="43" t="s">
        <v>2200</v>
      </c>
      <c r="F177" s="43">
        <v>123</v>
      </c>
      <c r="G177" s="43">
        <v>174</v>
      </c>
    </row>
    <row r="178" spans="1:7" ht="16.5" customHeight="1" x14ac:dyDescent="0.2">
      <c r="A178" s="43" t="s">
        <v>2708</v>
      </c>
      <c r="B178" s="43" t="s">
        <v>2707</v>
      </c>
      <c r="C178" s="43" t="s">
        <v>565</v>
      </c>
      <c r="D178" s="43">
        <v>2000</v>
      </c>
      <c r="E178" s="43" t="s">
        <v>323</v>
      </c>
      <c r="F178" s="43">
        <v>117</v>
      </c>
      <c r="G178" s="43">
        <v>175</v>
      </c>
    </row>
    <row r="179" spans="1:7" ht="16.5" customHeight="1" x14ac:dyDescent="0.2">
      <c r="A179" s="43" t="s">
        <v>2706</v>
      </c>
      <c r="B179" s="43" t="s">
        <v>2705</v>
      </c>
      <c r="C179" s="43" t="s">
        <v>2704</v>
      </c>
      <c r="D179" s="43">
        <v>2548</v>
      </c>
      <c r="E179" s="43" t="s">
        <v>808</v>
      </c>
      <c r="F179" s="43">
        <v>106</v>
      </c>
      <c r="G179" s="43">
        <v>176</v>
      </c>
    </row>
    <row r="180" spans="1:7" ht="16.5" customHeight="1" x14ac:dyDescent="0.2">
      <c r="A180" s="43" t="s">
        <v>2703</v>
      </c>
      <c r="B180" s="43" t="s">
        <v>2702</v>
      </c>
      <c r="C180" s="43" t="s">
        <v>1130</v>
      </c>
      <c r="D180" s="43">
        <v>2486</v>
      </c>
      <c r="E180" s="43" t="s">
        <v>1106</v>
      </c>
      <c r="F180" s="43">
        <v>100</v>
      </c>
      <c r="G180" s="43">
        <v>177</v>
      </c>
    </row>
    <row r="181" spans="1:7" ht="16.5" customHeight="1" x14ac:dyDescent="0.2">
      <c r="A181" s="43" t="s">
        <v>2701</v>
      </c>
      <c r="B181" s="43" t="s">
        <v>2700</v>
      </c>
      <c r="C181" s="43" t="s">
        <v>1523</v>
      </c>
      <c r="D181" s="43">
        <v>2333</v>
      </c>
      <c r="E181" s="43" t="s">
        <v>804</v>
      </c>
      <c r="F181" s="43">
        <v>61</v>
      </c>
      <c r="G181" s="43">
        <v>178</v>
      </c>
    </row>
    <row r="182" spans="1:7" ht="16.5" customHeight="1" x14ac:dyDescent="0.2">
      <c r="A182" s="43" t="s">
        <v>2699</v>
      </c>
      <c r="B182" s="43" t="s">
        <v>2698</v>
      </c>
      <c r="C182" s="43" t="s">
        <v>1909</v>
      </c>
      <c r="D182" s="43">
        <v>2111</v>
      </c>
      <c r="E182" s="43" t="s">
        <v>666</v>
      </c>
      <c r="F182" s="43">
        <v>125</v>
      </c>
      <c r="G182" s="43">
        <v>179</v>
      </c>
    </row>
    <row r="183" spans="1:7" ht="16.5" customHeight="1" x14ac:dyDescent="0.2">
      <c r="A183" s="43" t="s">
        <v>2697</v>
      </c>
      <c r="B183" s="43" t="s">
        <v>2696</v>
      </c>
      <c r="C183" s="43" t="s">
        <v>2695</v>
      </c>
      <c r="D183" s="43">
        <v>2443</v>
      </c>
      <c r="E183" s="43" t="s">
        <v>958</v>
      </c>
      <c r="F183" s="43">
        <v>94</v>
      </c>
      <c r="G183" s="43">
        <v>180</v>
      </c>
    </row>
    <row r="184" spans="1:7" ht="16.5" customHeight="1" x14ac:dyDescent="0.2">
      <c r="A184" s="43" t="s">
        <v>2694</v>
      </c>
      <c r="B184" s="43" t="s">
        <v>2693</v>
      </c>
      <c r="C184" s="43" t="s">
        <v>1301</v>
      </c>
      <c r="D184" s="43">
        <v>2213</v>
      </c>
      <c r="E184" s="43" t="s">
        <v>631</v>
      </c>
      <c r="F184" s="43">
        <v>88</v>
      </c>
      <c r="G184" s="43">
        <v>181</v>
      </c>
    </row>
    <row r="185" spans="1:7" ht="16.5" customHeight="1" x14ac:dyDescent="0.2">
      <c r="A185" s="43" t="s">
        <v>2692</v>
      </c>
      <c r="B185" s="43" t="s">
        <v>2691</v>
      </c>
      <c r="C185" s="43" t="s">
        <v>2690</v>
      </c>
      <c r="D185" s="43">
        <v>2327</v>
      </c>
      <c r="E185" s="43" t="s">
        <v>670</v>
      </c>
      <c r="F185" s="43">
        <v>79</v>
      </c>
      <c r="G185" s="43">
        <v>182</v>
      </c>
    </row>
    <row r="186" spans="1:7" ht="16.5" customHeight="1" x14ac:dyDescent="0.2">
      <c r="A186" s="43" t="s">
        <v>2689</v>
      </c>
      <c r="B186" s="43" t="s">
        <v>2688</v>
      </c>
      <c r="C186" s="43" t="s">
        <v>2687</v>
      </c>
      <c r="D186" s="43">
        <v>2170</v>
      </c>
      <c r="E186" s="43" t="s">
        <v>389</v>
      </c>
      <c r="F186" s="43">
        <v>82</v>
      </c>
      <c r="G186" s="43">
        <v>183</v>
      </c>
    </row>
    <row r="187" spans="1:7" ht="16.5" customHeight="1" x14ac:dyDescent="0.2">
      <c r="A187" s="43" t="s">
        <v>2686</v>
      </c>
      <c r="B187" s="43" t="s">
        <v>2685</v>
      </c>
      <c r="C187" s="43" t="s">
        <v>602</v>
      </c>
      <c r="D187" s="43">
        <v>2880</v>
      </c>
      <c r="E187" s="43" t="s">
        <v>601</v>
      </c>
      <c r="F187" s="43">
        <v>118</v>
      </c>
      <c r="G187" s="43">
        <v>184</v>
      </c>
    </row>
    <row r="188" spans="1:7" ht="16.5" customHeight="1" x14ac:dyDescent="0.2">
      <c r="A188" s="43" t="s">
        <v>2684</v>
      </c>
      <c r="B188" s="43" t="s">
        <v>2683</v>
      </c>
      <c r="C188" s="43" t="s">
        <v>1076</v>
      </c>
      <c r="D188" s="43">
        <v>2594</v>
      </c>
      <c r="E188" s="43" t="s">
        <v>653</v>
      </c>
      <c r="F188" s="43">
        <v>80</v>
      </c>
      <c r="G188" s="43">
        <v>185</v>
      </c>
    </row>
    <row r="189" spans="1:7" ht="16.5" customHeight="1" x14ac:dyDescent="0.2">
      <c r="A189" s="43" t="s">
        <v>2682</v>
      </c>
      <c r="B189" s="43" t="s">
        <v>2681</v>
      </c>
      <c r="C189" s="43" t="s">
        <v>1912</v>
      </c>
      <c r="D189" s="43">
        <v>2400</v>
      </c>
      <c r="E189" s="43" t="s">
        <v>1631</v>
      </c>
      <c r="F189" s="43">
        <v>85</v>
      </c>
      <c r="G189" s="43">
        <v>186</v>
      </c>
    </row>
    <row r="190" spans="1:7" ht="16.5" customHeight="1" x14ac:dyDescent="0.2">
      <c r="A190" s="43" t="s">
        <v>2680</v>
      </c>
      <c r="B190" s="43" t="s">
        <v>2679</v>
      </c>
      <c r="C190" s="43" t="s">
        <v>602</v>
      </c>
      <c r="D190" s="43">
        <v>2880</v>
      </c>
      <c r="E190" s="43" t="s">
        <v>601</v>
      </c>
      <c r="F190" s="43">
        <v>103</v>
      </c>
      <c r="G190" s="43">
        <v>187</v>
      </c>
    </row>
    <row r="191" spans="1:7" ht="16.5" customHeight="1" x14ac:dyDescent="0.2">
      <c r="A191" s="43" t="s">
        <v>2678</v>
      </c>
      <c r="B191" s="43" t="s">
        <v>2677</v>
      </c>
      <c r="C191" s="43" t="s">
        <v>1723</v>
      </c>
      <c r="D191" s="43">
        <v>2539</v>
      </c>
      <c r="E191" s="43" t="s">
        <v>783</v>
      </c>
      <c r="F191" s="43">
        <v>145</v>
      </c>
      <c r="G191" s="43">
        <v>188</v>
      </c>
    </row>
    <row r="192" spans="1:7" ht="16.5" customHeight="1" x14ac:dyDescent="0.2">
      <c r="A192" s="43" t="s">
        <v>2676</v>
      </c>
      <c r="B192" s="43" t="s">
        <v>2675</v>
      </c>
      <c r="C192" s="43" t="s">
        <v>588</v>
      </c>
      <c r="D192" s="43">
        <v>2452</v>
      </c>
      <c r="E192" s="43" t="s">
        <v>484</v>
      </c>
      <c r="F192" s="43">
        <v>95</v>
      </c>
      <c r="G192" s="43">
        <v>189</v>
      </c>
    </row>
    <row r="193" spans="1:7" ht="16.5" customHeight="1" x14ac:dyDescent="0.2">
      <c r="A193" s="43" t="s">
        <v>2674</v>
      </c>
      <c r="B193" s="43" t="s">
        <v>2673</v>
      </c>
      <c r="C193" s="43" t="s">
        <v>2672</v>
      </c>
      <c r="D193" s="43">
        <v>2834</v>
      </c>
      <c r="E193" s="43" t="s">
        <v>1526</v>
      </c>
      <c r="F193" s="43">
        <v>91</v>
      </c>
      <c r="G193" s="43">
        <v>190</v>
      </c>
    </row>
    <row r="194" spans="1:7" ht="16.5" customHeight="1" x14ac:dyDescent="0.2">
      <c r="A194" s="43" t="s">
        <v>2671</v>
      </c>
      <c r="B194" s="43" t="s">
        <v>2670</v>
      </c>
      <c r="C194" s="43" t="s">
        <v>2669</v>
      </c>
      <c r="D194" s="43">
        <v>2262</v>
      </c>
      <c r="E194" s="43" t="s">
        <v>1006</v>
      </c>
      <c r="F194" s="43">
        <v>100</v>
      </c>
      <c r="G194" s="43">
        <v>191</v>
      </c>
    </row>
    <row r="195" spans="1:7" ht="16.5" customHeight="1" x14ac:dyDescent="0.2">
      <c r="A195" s="43" t="s">
        <v>2668</v>
      </c>
      <c r="B195" s="43" t="s">
        <v>2667</v>
      </c>
      <c r="C195" s="43" t="s">
        <v>1955</v>
      </c>
      <c r="D195" s="43">
        <v>2541</v>
      </c>
      <c r="E195" s="43" t="s">
        <v>783</v>
      </c>
      <c r="F195" s="43">
        <v>92</v>
      </c>
      <c r="G195" s="43">
        <v>192</v>
      </c>
    </row>
    <row r="196" spans="1:7" ht="16.5" customHeight="1" x14ac:dyDescent="0.2">
      <c r="A196" s="43" t="s">
        <v>2666</v>
      </c>
      <c r="B196" s="43" t="s">
        <v>2665</v>
      </c>
      <c r="C196" s="43" t="s">
        <v>2664</v>
      </c>
      <c r="D196" s="43">
        <v>2117</v>
      </c>
      <c r="E196" s="43" t="s">
        <v>790</v>
      </c>
      <c r="F196" s="43">
        <v>69</v>
      </c>
      <c r="G196" s="43">
        <v>193</v>
      </c>
    </row>
    <row r="197" spans="1:7" ht="16.5" customHeight="1" x14ac:dyDescent="0.2">
      <c r="A197" s="43" t="s">
        <v>2663</v>
      </c>
      <c r="B197" s="43" t="s">
        <v>2662</v>
      </c>
      <c r="C197" s="43" t="s">
        <v>1523</v>
      </c>
      <c r="D197" s="43">
        <v>2333</v>
      </c>
      <c r="E197" s="43" t="s">
        <v>804</v>
      </c>
      <c r="F197" s="43">
        <v>88</v>
      </c>
      <c r="G197" s="43">
        <v>194</v>
      </c>
    </row>
    <row r="198" spans="1:7" ht="16.5" customHeight="1" x14ac:dyDescent="0.2">
      <c r="A198" s="43" t="s">
        <v>2661</v>
      </c>
      <c r="B198" s="43" t="s">
        <v>2660</v>
      </c>
      <c r="C198" s="43" t="s">
        <v>2659</v>
      </c>
      <c r="D198" s="43">
        <v>2126</v>
      </c>
      <c r="E198" s="43" t="s">
        <v>695</v>
      </c>
      <c r="F198" s="43">
        <v>151</v>
      </c>
      <c r="G198" s="43">
        <v>195</v>
      </c>
    </row>
    <row r="199" spans="1:7" ht="16.5" customHeight="1" x14ac:dyDescent="0.2">
      <c r="A199" s="43" t="s">
        <v>2658</v>
      </c>
      <c r="B199" s="43" t="s">
        <v>2657</v>
      </c>
      <c r="C199" s="43" t="s">
        <v>2120</v>
      </c>
      <c r="D199" s="43">
        <v>2464</v>
      </c>
      <c r="E199" s="43" t="s">
        <v>495</v>
      </c>
      <c r="F199" s="43">
        <v>74</v>
      </c>
      <c r="G199" s="43">
        <v>196</v>
      </c>
    </row>
    <row r="200" spans="1:7" ht="16.5" customHeight="1" x14ac:dyDescent="0.2">
      <c r="A200" s="43" t="s">
        <v>2656</v>
      </c>
      <c r="B200" s="43" t="s">
        <v>2655</v>
      </c>
      <c r="C200" s="43" t="s">
        <v>565</v>
      </c>
      <c r="D200" s="43">
        <v>2000</v>
      </c>
      <c r="E200" s="43" t="s">
        <v>323</v>
      </c>
      <c r="F200" s="43">
        <v>100</v>
      </c>
      <c r="G200" s="43">
        <v>197</v>
      </c>
    </row>
    <row r="201" spans="1:7" ht="16.5" customHeight="1" x14ac:dyDescent="0.2">
      <c r="A201" s="43" t="s">
        <v>2654</v>
      </c>
      <c r="B201" s="43" t="s">
        <v>2653</v>
      </c>
      <c r="C201" s="43" t="s">
        <v>337</v>
      </c>
      <c r="D201" s="43">
        <v>2630</v>
      </c>
      <c r="E201" s="43" t="s">
        <v>336</v>
      </c>
      <c r="F201" s="43">
        <v>66</v>
      </c>
      <c r="G201" s="43">
        <v>198</v>
      </c>
    </row>
    <row r="202" spans="1:7" ht="16.5" customHeight="1" x14ac:dyDescent="0.2">
      <c r="A202" s="43" t="s">
        <v>2652</v>
      </c>
      <c r="B202" s="43" t="s">
        <v>2651</v>
      </c>
      <c r="C202" s="43" t="s">
        <v>1947</v>
      </c>
      <c r="D202" s="43">
        <v>2546</v>
      </c>
      <c r="E202" s="43" t="s">
        <v>1638</v>
      </c>
      <c r="F202" s="43">
        <v>94</v>
      </c>
      <c r="G202" s="43">
        <v>199</v>
      </c>
    </row>
    <row r="203" spans="1:7" ht="16.5" customHeight="1" x14ac:dyDescent="0.2">
      <c r="A203" s="43" t="s">
        <v>2650</v>
      </c>
      <c r="B203" s="43" t="s">
        <v>2649</v>
      </c>
      <c r="C203" s="43" t="s">
        <v>386</v>
      </c>
      <c r="D203" s="43">
        <v>2478</v>
      </c>
      <c r="E203" s="43" t="s">
        <v>385</v>
      </c>
      <c r="F203" s="43">
        <v>80</v>
      </c>
      <c r="G203" s="43">
        <v>200</v>
      </c>
    </row>
    <row r="204" spans="1:7" ht="16.5" customHeight="1" x14ac:dyDescent="0.2">
      <c r="A204" s="43" t="s">
        <v>2648</v>
      </c>
      <c r="B204" s="43" t="s">
        <v>2647</v>
      </c>
      <c r="C204" s="43" t="s">
        <v>2646</v>
      </c>
      <c r="D204" s="43">
        <v>2216</v>
      </c>
      <c r="E204" s="43" t="s">
        <v>618</v>
      </c>
      <c r="F204" s="43">
        <v>97</v>
      </c>
      <c r="G204" s="43">
        <v>201</v>
      </c>
    </row>
    <row r="205" spans="1:7" ht="16.5" customHeight="1" x14ac:dyDescent="0.2">
      <c r="A205" s="43" t="s">
        <v>2645</v>
      </c>
      <c r="B205" s="43" t="s">
        <v>2644</v>
      </c>
      <c r="C205" s="43" t="s">
        <v>378</v>
      </c>
      <c r="D205" s="43">
        <v>2144</v>
      </c>
      <c r="E205" s="43" t="s">
        <v>377</v>
      </c>
      <c r="F205" s="43">
        <v>65</v>
      </c>
      <c r="G205" s="43">
        <v>202</v>
      </c>
    </row>
    <row r="206" spans="1:7" ht="16.5" customHeight="1" x14ac:dyDescent="0.2">
      <c r="A206" s="43" t="s">
        <v>2643</v>
      </c>
      <c r="B206" s="43" t="s">
        <v>2642</v>
      </c>
      <c r="C206" s="43" t="s">
        <v>1704</v>
      </c>
      <c r="D206" s="43">
        <v>2830</v>
      </c>
      <c r="E206" s="43" t="s">
        <v>420</v>
      </c>
      <c r="F206" s="43">
        <v>71</v>
      </c>
      <c r="G206" s="43">
        <v>203</v>
      </c>
    </row>
    <row r="207" spans="1:7" ht="16.5" customHeight="1" x14ac:dyDescent="0.2">
      <c r="A207" s="43" t="s">
        <v>2641</v>
      </c>
      <c r="B207" s="43" t="s">
        <v>2640</v>
      </c>
      <c r="C207" s="43" t="s">
        <v>912</v>
      </c>
      <c r="D207" s="43">
        <v>2153</v>
      </c>
      <c r="E207" s="43" t="s">
        <v>773</v>
      </c>
      <c r="F207" s="43">
        <v>144</v>
      </c>
      <c r="G207" s="43">
        <v>204</v>
      </c>
    </row>
    <row r="208" spans="1:7" ht="16.5" customHeight="1" x14ac:dyDescent="0.2">
      <c r="A208" s="43" t="s">
        <v>2639</v>
      </c>
      <c r="B208" s="43" t="s">
        <v>2638</v>
      </c>
      <c r="C208" s="43" t="s">
        <v>674</v>
      </c>
      <c r="D208" s="43">
        <v>2283</v>
      </c>
      <c r="E208" s="43" t="s">
        <v>435</v>
      </c>
      <c r="F208" s="43">
        <v>85</v>
      </c>
      <c r="G208" s="43">
        <v>205</v>
      </c>
    </row>
    <row r="209" spans="1:7" ht="16.5" customHeight="1" x14ac:dyDescent="0.2">
      <c r="A209" s="43" t="s">
        <v>2637</v>
      </c>
      <c r="B209" s="43" t="s">
        <v>2636</v>
      </c>
      <c r="C209" s="43" t="s">
        <v>1818</v>
      </c>
      <c r="D209" s="43">
        <v>2517</v>
      </c>
      <c r="E209" s="43" t="s">
        <v>393</v>
      </c>
      <c r="F209" s="43">
        <v>101</v>
      </c>
      <c r="G209" s="43">
        <v>206</v>
      </c>
    </row>
    <row r="210" spans="1:7" ht="16.5" customHeight="1" x14ac:dyDescent="0.2">
      <c r="A210" s="43" t="s">
        <v>2635</v>
      </c>
      <c r="B210" s="43" t="s">
        <v>2634</v>
      </c>
      <c r="C210" s="43" t="s">
        <v>2633</v>
      </c>
      <c r="D210" s="43">
        <v>2143</v>
      </c>
      <c r="E210" s="43" t="s">
        <v>631</v>
      </c>
      <c r="F210" s="43">
        <v>125</v>
      </c>
      <c r="G210" s="43">
        <v>207</v>
      </c>
    </row>
    <row r="211" spans="1:7" ht="16.5" customHeight="1" x14ac:dyDescent="0.2">
      <c r="A211" s="43" t="s">
        <v>2632</v>
      </c>
      <c r="B211" s="43" t="s">
        <v>2631</v>
      </c>
      <c r="C211" s="43" t="s">
        <v>924</v>
      </c>
      <c r="D211" s="43">
        <v>2131</v>
      </c>
      <c r="E211" s="43" t="s">
        <v>515</v>
      </c>
      <c r="F211" s="43">
        <v>93</v>
      </c>
      <c r="G211" s="43">
        <v>208</v>
      </c>
    </row>
    <row r="212" spans="1:7" ht="16.5" customHeight="1" x14ac:dyDescent="0.2">
      <c r="A212" s="43" t="s">
        <v>2630</v>
      </c>
      <c r="B212" s="43" t="s">
        <v>2629</v>
      </c>
      <c r="C212" s="43" t="s">
        <v>2628</v>
      </c>
      <c r="D212" s="43">
        <v>2734</v>
      </c>
      <c r="E212" s="43" t="s">
        <v>561</v>
      </c>
      <c r="F212" s="43">
        <v>91</v>
      </c>
      <c r="G212" s="43">
        <v>209</v>
      </c>
    </row>
    <row r="213" spans="1:7" ht="16.5" customHeight="1" x14ac:dyDescent="0.2">
      <c r="A213" s="43" t="s">
        <v>2627</v>
      </c>
      <c r="B213" s="43" t="s">
        <v>2626</v>
      </c>
      <c r="C213" s="43" t="s">
        <v>2625</v>
      </c>
      <c r="D213" s="43">
        <v>2251</v>
      </c>
      <c r="E213" s="43" t="s">
        <v>1006</v>
      </c>
      <c r="F213" s="43">
        <v>100</v>
      </c>
      <c r="G213" s="43">
        <v>210</v>
      </c>
    </row>
    <row r="214" spans="1:7" ht="16.5" customHeight="1" x14ac:dyDescent="0.2">
      <c r="A214" s="43" t="s">
        <v>2624</v>
      </c>
      <c r="B214" s="43" t="s">
        <v>2623</v>
      </c>
      <c r="C214" s="43" t="s">
        <v>1399</v>
      </c>
      <c r="D214" s="43">
        <v>2705</v>
      </c>
      <c r="E214" s="43" t="s">
        <v>511</v>
      </c>
      <c r="F214" s="43">
        <v>65</v>
      </c>
      <c r="G214" s="43">
        <v>211</v>
      </c>
    </row>
    <row r="215" spans="1:7" ht="16.5" customHeight="1" x14ac:dyDescent="0.2">
      <c r="A215" s="43" t="s">
        <v>2622</v>
      </c>
      <c r="B215" s="43" t="s">
        <v>2621</v>
      </c>
      <c r="C215" s="43" t="s">
        <v>2620</v>
      </c>
      <c r="D215" s="43">
        <v>2232</v>
      </c>
      <c r="E215" s="43" t="s">
        <v>1024</v>
      </c>
      <c r="F215" s="43">
        <v>65</v>
      </c>
      <c r="G215" s="43">
        <v>212</v>
      </c>
    </row>
    <row r="216" spans="1:7" ht="16.5" customHeight="1" x14ac:dyDescent="0.2">
      <c r="A216" s="43" t="s">
        <v>2619</v>
      </c>
      <c r="B216" s="43" t="s">
        <v>2618</v>
      </c>
      <c r="C216" s="43" t="s">
        <v>1011</v>
      </c>
      <c r="D216" s="43">
        <v>2330</v>
      </c>
      <c r="E216" s="43" t="s">
        <v>1010</v>
      </c>
      <c r="F216" s="43">
        <v>79</v>
      </c>
      <c r="G216" s="43">
        <v>213</v>
      </c>
    </row>
    <row r="217" spans="1:7" ht="16.5" customHeight="1" x14ac:dyDescent="0.2">
      <c r="A217" s="43" t="s">
        <v>2617</v>
      </c>
      <c r="B217" s="43" t="s">
        <v>2616</v>
      </c>
      <c r="C217" s="43" t="s">
        <v>2357</v>
      </c>
      <c r="D217" s="43">
        <v>2428</v>
      </c>
      <c r="E217" s="43" t="s">
        <v>537</v>
      </c>
      <c r="F217" s="43">
        <v>80</v>
      </c>
      <c r="G217" s="43">
        <v>214</v>
      </c>
    </row>
    <row r="218" spans="1:7" ht="16.5" customHeight="1" x14ac:dyDescent="0.2">
      <c r="A218" s="43" t="s">
        <v>2615</v>
      </c>
      <c r="B218" s="43" t="s">
        <v>2614</v>
      </c>
      <c r="C218" s="43" t="s">
        <v>2214</v>
      </c>
      <c r="D218" s="43">
        <v>2456</v>
      </c>
      <c r="E218" s="43" t="s">
        <v>484</v>
      </c>
      <c r="F218" s="43">
        <v>61</v>
      </c>
      <c r="G218" s="43">
        <v>215</v>
      </c>
    </row>
    <row r="219" spans="1:7" ht="16.5" customHeight="1" x14ac:dyDescent="0.2">
      <c r="A219" s="43" t="s">
        <v>2613</v>
      </c>
      <c r="B219" s="43" t="s">
        <v>2612</v>
      </c>
      <c r="C219" s="43" t="s">
        <v>1888</v>
      </c>
      <c r="D219" s="43">
        <v>2219</v>
      </c>
      <c r="E219" s="43" t="s">
        <v>1156</v>
      </c>
      <c r="F219" s="43">
        <v>110</v>
      </c>
      <c r="G219" s="43">
        <v>216</v>
      </c>
    </row>
    <row r="220" spans="1:7" ht="16.5" customHeight="1" x14ac:dyDescent="0.2">
      <c r="A220" s="43" t="s">
        <v>2611</v>
      </c>
      <c r="B220" s="43" t="s">
        <v>2610</v>
      </c>
      <c r="C220" s="43" t="s">
        <v>352</v>
      </c>
      <c r="D220" s="43">
        <v>2360</v>
      </c>
      <c r="E220" s="43" t="s">
        <v>351</v>
      </c>
      <c r="F220" s="43">
        <v>64</v>
      </c>
      <c r="G220" s="43">
        <v>217</v>
      </c>
    </row>
    <row r="221" spans="1:7" ht="16.5" customHeight="1" x14ac:dyDescent="0.2">
      <c r="A221" s="43" t="s">
        <v>2609</v>
      </c>
      <c r="B221" s="43" t="s">
        <v>2608</v>
      </c>
      <c r="C221" s="43" t="s">
        <v>2607</v>
      </c>
      <c r="D221" s="43">
        <v>2087</v>
      </c>
      <c r="E221" s="43" t="s">
        <v>355</v>
      </c>
      <c r="F221" s="43">
        <v>96</v>
      </c>
      <c r="G221" s="43">
        <v>218</v>
      </c>
    </row>
    <row r="222" spans="1:7" ht="16.5" customHeight="1" x14ac:dyDescent="0.2">
      <c r="A222" s="43" t="s">
        <v>2606</v>
      </c>
      <c r="B222" s="43" t="s">
        <v>2605</v>
      </c>
      <c r="C222" s="43" t="s">
        <v>1116</v>
      </c>
      <c r="D222" s="43">
        <v>2794</v>
      </c>
      <c r="E222" s="43" t="s">
        <v>533</v>
      </c>
      <c r="F222" s="43">
        <v>50</v>
      </c>
      <c r="G222" s="43">
        <v>219</v>
      </c>
    </row>
    <row r="223" spans="1:7" ht="16.5" customHeight="1" x14ac:dyDescent="0.2">
      <c r="A223" s="43" t="s">
        <v>2604</v>
      </c>
      <c r="B223" s="43" t="s">
        <v>2603</v>
      </c>
      <c r="C223" s="43" t="s">
        <v>924</v>
      </c>
      <c r="D223" s="43">
        <v>2131</v>
      </c>
      <c r="E223" s="43" t="s">
        <v>515</v>
      </c>
      <c r="F223" s="43">
        <v>104</v>
      </c>
      <c r="G223" s="43">
        <v>220</v>
      </c>
    </row>
    <row r="224" spans="1:7" ht="16.5" customHeight="1" x14ac:dyDescent="0.2">
      <c r="A224" s="43" t="s">
        <v>2602</v>
      </c>
      <c r="B224" s="43" t="s">
        <v>2601</v>
      </c>
      <c r="C224" s="43" t="s">
        <v>2600</v>
      </c>
      <c r="D224" s="43">
        <v>2256</v>
      </c>
      <c r="E224" s="43" t="s">
        <v>1006</v>
      </c>
      <c r="F224" s="43">
        <v>101</v>
      </c>
      <c r="G224" s="43">
        <v>221</v>
      </c>
    </row>
    <row r="225" spans="1:7" ht="16.5" customHeight="1" x14ac:dyDescent="0.2">
      <c r="A225" s="43" t="s">
        <v>2599</v>
      </c>
      <c r="B225" s="43" t="s">
        <v>2598</v>
      </c>
      <c r="C225" s="43" t="s">
        <v>1014</v>
      </c>
      <c r="D225" s="43">
        <v>2480</v>
      </c>
      <c r="E225" s="43" t="s">
        <v>405</v>
      </c>
      <c r="F225" s="43">
        <v>62</v>
      </c>
      <c r="G225" s="43">
        <v>222</v>
      </c>
    </row>
    <row r="226" spans="1:7" ht="16.5" customHeight="1" x14ac:dyDescent="0.2">
      <c r="A226" s="43" t="s">
        <v>2597</v>
      </c>
      <c r="B226" s="43" t="s">
        <v>2596</v>
      </c>
      <c r="C226" s="43" t="s">
        <v>1304</v>
      </c>
      <c r="D226" s="43">
        <v>2304</v>
      </c>
      <c r="E226" s="43" t="s">
        <v>344</v>
      </c>
      <c r="F226" s="43">
        <v>129</v>
      </c>
      <c r="G226" s="43">
        <v>223</v>
      </c>
    </row>
    <row r="227" spans="1:7" ht="16.5" customHeight="1" x14ac:dyDescent="0.2">
      <c r="A227" s="43" t="s">
        <v>2595</v>
      </c>
      <c r="B227" s="43" t="s">
        <v>2594</v>
      </c>
      <c r="C227" s="43" t="s">
        <v>2593</v>
      </c>
      <c r="D227" s="43">
        <v>2780</v>
      </c>
      <c r="E227" s="43" t="s">
        <v>904</v>
      </c>
      <c r="F227" s="43">
        <v>94</v>
      </c>
      <c r="G227" s="43">
        <v>224</v>
      </c>
    </row>
    <row r="228" spans="1:7" ht="16.5" customHeight="1" x14ac:dyDescent="0.2">
      <c r="A228" s="43" t="s">
        <v>2592</v>
      </c>
      <c r="B228" s="43" t="s">
        <v>2591</v>
      </c>
      <c r="C228" s="43" t="s">
        <v>681</v>
      </c>
      <c r="D228" s="43">
        <v>2337</v>
      </c>
      <c r="E228" s="43" t="s">
        <v>680</v>
      </c>
      <c r="F228" s="43">
        <v>48</v>
      </c>
      <c r="G228" s="43">
        <v>225</v>
      </c>
    </row>
    <row r="229" spans="1:7" ht="16.5" customHeight="1" x14ac:dyDescent="0.2">
      <c r="A229" s="43" t="s">
        <v>2590</v>
      </c>
      <c r="B229" s="43" t="s">
        <v>2589</v>
      </c>
      <c r="C229" s="43" t="s">
        <v>1082</v>
      </c>
      <c r="D229" s="43">
        <v>2481</v>
      </c>
      <c r="E229" s="43" t="s">
        <v>359</v>
      </c>
      <c r="F229" s="43">
        <v>74</v>
      </c>
      <c r="G229" s="43">
        <v>226</v>
      </c>
    </row>
    <row r="230" spans="1:7" ht="16.5" customHeight="1" x14ac:dyDescent="0.2">
      <c r="A230" s="43" t="s">
        <v>2588</v>
      </c>
      <c r="B230" s="43" t="s">
        <v>2587</v>
      </c>
      <c r="C230" s="43" t="s">
        <v>2100</v>
      </c>
      <c r="D230" s="43">
        <v>2500</v>
      </c>
      <c r="E230" s="43" t="s">
        <v>393</v>
      </c>
      <c r="F230" s="43">
        <v>80</v>
      </c>
      <c r="G230" s="43">
        <v>227</v>
      </c>
    </row>
    <row r="231" spans="1:7" ht="16.5" customHeight="1" x14ac:dyDescent="0.2">
      <c r="A231" s="43" t="s">
        <v>2586</v>
      </c>
      <c r="B231" s="43" t="s">
        <v>2585</v>
      </c>
      <c r="C231" s="43" t="s">
        <v>2112</v>
      </c>
      <c r="D231" s="43">
        <v>2281</v>
      </c>
      <c r="E231" s="43" t="s">
        <v>435</v>
      </c>
      <c r="F231" s="43">
        <v>79</v>
      </c>
      <c r="G231" s="43">
        <v>228</v>
      </c>
    </row>
    <row r="232" spans="1:7" ht="16.5" customHeight="1" x14ac:dyDescent="0.2">
      <c r="A232" s="43" t="s">
        <v>2584</v>
      </c>
      <c r="B232" s="43" t="s">
        <v>2583</v>
      </c>
      <c r="C232" s="43" t="s">
        <v>2582</v>
      </c>
      <c r="D232" s="43">
        <v>2519</v>
      </c>
      <c r="E232" s="43" t="s">
        <v>393</v>
      </c>
      <c r="F232" s="43">
        <v>77</v>
      </c>
      <c r="G232" s="43">
        <v>229</v>
      </c>
    </row>
    <row r="233" spans="1:7" ht="16.5" customHeight="1" x14ac:dyDescent="0.2">
      <c r="A233" s="43" t="s">
        <v>2581</v>
      </c>
      <c r="B233" s="43" t="s">
        <v>2580</v>
      </c>
      <c r="C233" s="43" t="s">
        <v>1645</v>
      </c>
      <c r="D233" s="43">
        <v>2533</v>
      </c>
      <c r="E233" s="43" t="s">
        <v>972</v>
      </c>
      <c r="F233" s="43">
        <v>61</v>
      </c>
      <c r="G233" s="43">
        <v>230</v>
      </c>
    </row>
    <row r="234" spans="1:7" ht="16.5" customHeight="1" x14ac:dyDescent="0.2">
      <c r="A234" s="43" t="s">
        <v>2579</v>
      </c>
      <c r="B234" s="43" t="s">
        <v>2578</v>
      </c>
      <c r="C234" s="43" t="s">
        <v>685</v>
      </c>
      <c r="D234" s="43">
        <v>2710</v>
      </c>
      <c r="E234" s="43" t="s">
        <v>684</v>
      </c>
      <c r="F234" s="43">
        <v>101</v>
      </c>
      <c r="G234" s="43">
        <v>231</v>
      </c>
    </row>
    <row r="235" spans="1:7" ht="16.5" customHeight="1" x14ac:dyDescent="0.2">
      <c r="A235" s="43" t="s">
        <v>2577</v>
      </c>
      <c r="B235" s="43" t="s">
        <v>2576</v>
      </c>
      <c r="C235" s="43" t="s">
        <v>1489</v>
      </c>
      <c r="D235" s="43">
        <v>2285</v>
      </c>
      <c r="E235" s="43" t="s">
        <v>435</v>
      </c>
      <c r="F235" s="43">
        <v>107</v>
      </c>
      <c r="G235" s="43">
        <v>232</v>
      </c>
    </row>
    <row r="236" spans="1:7" ht="16.5" customHeight="1" x14ac:dyDescent="0.2">
      <c r="A236" s="43" t="s">
        <v>2575</v>
      </c>
      <c r="B236" s="43" t="s">
        <v>2574</v>
      </c>
      <c r="C236" s="43" t="s">
        <v>709</v>
      </c>
      <c r="D236" s="43">
        <v>2350</v>
      </c>
      <c r="E236" s="43" t="s">
        <v>708</v>
      </c>
      <c r="F236" s="43">
        <v>62</v>
      </c>
      <c r="G236" s="43">
        <v>233</v>
      </c>
    </row>
    <row r="237" spans="1:7" ht="16.5" customHeight="1" x14ac:dyDescent="0.2">
      <c r="A237" s="43" t="s">
        <v>2573</v>
      </c>
      <c r="B237" s="43" t="s">
        <v>2572</v>
      </c>
      <c r="C237" s="43" t="s">
        <v>492</v>
      </c>
      <c r="D237" s="43">
        <v>2870</v>
      </c>
      <c r="E237" s="43" t="s">
        <v>491</v>
      </c>
      <c r="F237" s="43">
        <v>73</v>
      </c>
      <c r="G237" s="43">
        <v>234</v>
      </c>
    </row>
    <row r="238" spans="1:7" ht="16.5" customHeight="1" x14ac:dyDescent="0.2">
      <c r="A238" s="43" t="s">
        <v>2571</v>
      </c>
      <c r="B238" s="43" t="s">
        <v>2570</v>
      </c>
      <c r="C238" s="43" t="s">
        <v>1808</v>
      </c>
      <c r="D238" s="43">
        <v>2325</v>
      </c>
      <c r="E238" s="43" t="s">
        <v>670</v>
      </c>
      <c r="F238" s="43">
        <v>101</v>
      </c>
      <c r="G238" s="43">
        <v>235</v>
      </c>
    </row>
    <row r="239" spans="1:7" ht="16.5" customHeight="1" x14ac:dyDescent="0.2">
      <c r="A239" s="43" t="s">
        <v>2569</v>
      </c>
      <c r="B239" s="43" t="s">
        <v>2568</v>
      </c>
      <c r="C239" s="43" t="s">
        <v>2284</v>
      </c>
      <c r="D239" s="43">
        <v>2340</v>
      </c>
      <c r="E239" s="43" t="s">
        <v>951</v>
      </c>
      <c r="F239" s="43">
        <v>58</v>
      </c>
      <c r="G239" s="43">
        <v>236</v>
      </c>
    </row>
    <row r="240" spans="1:7" ht="16.5" customHeight="1" x14ac:dyDescent="0.2">
      <c r="A240" s="43" t="s">
        <v>2567</v>
      </c>
      <c r="B240" s="43" t="s">
        <v>2566</v>
      </c>
      <c r="C240" s="43" t="s">
        <v>677</v>
      </c>
      <c r="D240" s="43">
        <v>2284</v>
      </c>
      <c r="E240" s="43" t="s">
        <v>435</v>
      </c>
      <c r="F240" s="43">
        <v>94</v>
      </c>
      <c r="G240" s="43">
        <v>237</v>
      </c>
    </row>
    <row r="241" spans="1:7" ht="16.5" customHeight="1" x14ac:dyDescent="0.2">
      <c r="A241" s="43" t="s">
        <v>2565</v>
      </c>
      <c r="B241" s="43" t="s">
        <v>2564</v>
      </c>
      <c r="C241" s="43" t="s">
        <v>2563</v>
      </c>
      <c r="D241" s="43">
        <v>2264</v>
      </c>
      <c r="E241" s="43" t="s">
        <v>435</v>
      </c>
      <c r="F241" s="43">
        <v>57</v>
      </c>
      <c r="G241" s="43">
        <v>238</v>
      </c>
    </row>
    <row r="242" spans="1:7" ht="16.5" customHeight="1" x14ac:dyDescent="0.2">
      <c r="A242" s="43" t="s">
        <v>2562</v>
      </c>
      <c r="B242" s="43" t="s">
        <v>2561</v>
      </c>
      <c r="C242" s="43" t="s">
        <v>2560</v>
      </c>
      <c r="D242" s="43">
        <v>2261</v>
      </c>
      <c r="E242" s="43" t="s">
        <v>1006</v>
      </c>
      <c r="F242" s="43">
        <v>91</v>
      </c>
      <c r="G242" s="43">
        <v>239</v>
      </c>
    </row>
    <row r="243" spans="1:7" ht="16.5" customHeight="1" x14ac:dyDescent="0.2">
      <c r="A243" s="43" t="s">
        <v>2559</v>
      </c>
      <c r="B243" s="43" t="s">
        <v>2558</v>
      </c>
      <c r="C243" s="43" t="s">
        <v>2557</v>
      </c>
      <c r="D243" s="43">
        <v>2260</v>
      </c>
      <c r="E243" s="43" t="s">
        <v>1006</v>
      </c>
      <c r="F243" s="43">
        <v>92</v>
      </c>
      <c r="G243" s="43">
        <v>240</v>
      </c>
    </row>
    <row r="244" spans="1:7" ht="16.5" customHeight="1" x14ac:dyDescent="0.2">
      <c r="A244" s="43" t="s">
        <v>2556</v>
      </c>
      <c r="B244" s="43" t="s">
        <v>2555</v>
      </c>
      <c r="C244" s="43" t="s">
        <v>2554</v>
      </c>
      <c r="D244" s="43">
        <v>2232</v>
      </c>
      <c r="E244" s="43" t="s">
        <v>1024</v>
      </c>
      <c r="F244" s="43">
        <v>78</v>
      </c>
      <c r="G244" s="43">
        <v>241</v>
      </c>
    </row>
    <row r="245" spans="1:7" ht="16.5" customHeight="1" x14ac:dyDescent="0.2">
      <c r="A245" s="43" t="s">
        <v>2553</v>
      </c>
      <c r="B245" s="43" t="s">
        <v>2552</v>
      </c>
      <c r="C245" s="43" t="s">
        <v>1358</v>
      </c>
      <c r="D245" s="43">
        <v>2448</v>
      </c>
      <c r="E245" s="43" t="s">
        <v>635</v>
      </c>
      <c r="F245" s="43">
        <v>80</v>
      </c>
      <c r="G245" s="43">
        <v>242</v>
      </c>
    </row>
    <row r="246" spans="1:7" ht="16.5" customHeight="1" x14ac:dyDescent="0.2">
      <c r="A246" s="43" t="s">
        <v>2551</v>
      </c>
      <c r="B246" s="43" t="s">
        <v>2550</v>
      </c>
      <c r="C246" s="43" t="s">
        <v>2549</v>
      </c>
      <c r="D246" s="43">
        <v>2537</v>
      </c>
      <c r="E246" s="43" t="s">
        <v>1638</v>
      </c>
      <c r="F246" s="43">
        <v>105</v>
      </c>
      <c r="G246" s="43">
        <v>243</v>
      </c>
    </row>
    <row r="247" spans="1:7" ht="16.5" customHeight="1" x14ac:dyDescent="0.2">
      <c r="A247" s="43" t="s">
        <v>2548</v>
      </c>
      <c r="B247" s="43" t="s">
        <v>599</v>
      </c>
      <c r="C247" s="43" t="s">
        <v>598</v>
      </c>
      <c r="D247" s="43">
        <v>2380</v>
      </c>
      <c r="E247" s="43" t="s">
        <v>597</v>
      </c>
      <c r="F247" s="43">
        <v>64</v>
      </c>
      <c r="G247" s="43">
        <v>244</v>
      </c>
    </row>
    <row r="248" spans="1:7" ht="16.5" customHeight="1" x14ac:dyDescent="0.2">
      <c r="A248" s="43" t="s">
        <v>2547</v>
      </c>
      <c r="B248" s="43" t="s">
        <v>2546</v>
      </c>
      <c r="C248" s="43" t="s">
        <v>2330</v>
      </c>
      <c r="D248" s="43">
        <v>2540</v>
      </c>
      <c r="E248" s="43" t="s">
        <v>783</v>
      </c>
      <c r="F248" s="43">
        <v>80</v>
      </c>
      <c r="G248" s="43">
        <v>245</v>
      </c>
    </row>
    <row r="249" spans="1:7" ht="16.5" customHeight="1" x14ac:dyDescent="0.2">
      <c r="A249" s="43" t="s">
        <v>2545</v>
      </c>
      <c r="B249" s="43" t="s">
        <v>2544</v>
      </c>
      <c r="C249" s="43" t="s">
        <v>955</v>
      </c>
      <c r="D249" s="43">
        <v>2582</v>
      </c>
      <c r="E249" s="43" t="s">
        <v>529</v>
      </c>
      <c r="F249" s="43">
        <v>94</v>
      </c>
      <c r="G249" s="43">
        <v>246</v>
      </c>
    </row>
    <row r="250" spans="1:7" ht="16.5" customHeight="1" x14ac:dyDescent="0.2">
      <c r="A250" s="43" t="s">
        <v>2543</v>
      </c>
      <c r="B250" s="43" t="s">
        <v>2542</v>
      </c>
      <c r="C250" s="43" t="s">
        <v>2541</v>
      </c>
      <c r="D250" s="43">
        <v>2228</v>
      </c>
      <c r="E250" s="43" t="s">
        <v>1024</v>
      </c>
      <c r="F250" s="43">
        <v>68</v>
      </c>
      <c r="G250" s="43">
        <v>247</v>
      </c>
    </row>
    <row r="251" spans="1:7" ht="16.5" customHeight="1" x14ac:dyDescent="0.2">
      <c r="A251" s="43" t="s">
        <v>2540</v>
      </c>
      <c r="B251" s="43" t="s">
        <v>2539</v>
      </c>
      <c r="C251" s="43" t="s">
        <v>378</v>
      </c>
      <c r="D251" s="43">
        <v>2144</v>
      </c>
      <c r="E251" s="43" t="s">
        <v>377</v>
      </c>
      <c r="F251" s="43">
        <v>53</v>
      </c>
      <c r="G251" s="43">
        <v>248</v>
      </c>
    </row>
    <row r="252" spans="1:7" ht="16.5" customHeight="1" x14ac:dyDescent="0.2">
      <c r="A252" s="43" t="s">
        <v>2538</v>
      </c>
      <c r="B252" s="43" t="s">
        <v>2537</v>
      </c>
      <c r="C252" s="43" t="s">
        <v>2536</v>
      </c>
      <c r="D252" s="43">
        <v>2251</v>
      </c>
      <c r="E252" s="43" t="s">
        <v>1006</v>
      </c>
      <c r="F252" s="43">
        <v>101</v>
      </c>
      <c r="G252" s="43">
        <v>249</v>
      </c>
    </row>
    <row r="253" spans="1:7" ht="16.5" customHeight="1" x14ac:dyDescent="0.2">
      <c r="A253" s="43" t="s">
        <v>2535</v>
      </c>
      <c r="B253" s="43" t="s">
        <v>2534</v>
      </c>
      <c r="C253" s="43" t="s">
        <v>1598</v>
      </c>
      <c r="D253" s="43">
        <v>2324</v>
      </c>
      <c r="E253" s="43" t="s">
        <v>884</v>
      </c>
      <c r="F253" s="43">
        <v>86</v>
      </c>
      <c r="G253" s="43">
        <v>250</v>
      </c>
    </row>
    <row r="254" spans="1:7" ht="16.5" customHeight="1" x14ac:dyDescent="0.2">
      <c r="A254" s="43" t="s">
        <v>2533</v>
      </c>
      <c r="B254" s="43" t="s">
        <v>2532</v>
      </c>
      <c r="C254" s="43" t="s">
        <v>2298</v>
      </c>
      <c r="D254" s="43">
        <v>2620</v>
      </c>
      <c r="E254" s="43" t="s">
        <v>751</v>
      </c>
      <c r="F254" s="43">
        <v>101</v>
      </c>
      <c r="G254" s="43">
        <v>251</v>
      </c>
    </row>
    <row r="255" spans="1:7" ht="16.5" customHeight="1" x14ac:dyDescent="0.2">
      <c r="A255" s="43" t="s">
        <v>2531</v>
      </c>
      <c r="B255" s="43" t="s">
        <v>2530</v>
      </c>
      <c r="C255" s="43" t="s">
        <v>556</v>
      </c>
      <c r="D255" s="43">
        <v>2088</v>
      </c>
      <c r="E255" s="43" t="s">
        <v>555</v>
      </c>
      <c r="F255" s="43">
        <v>66</v>
      </c>
      <c r="G255" s="43">
        <v>252</v>
      </c>
    </row>
    <row r="256" spans="1:7" ht="16.5" customHeight="1" x14ac:dyDescent="0.2">
      <c r="A256" s="43" t="s">
        <v>2529</v>
      </c>
      <c r="B256" s="43" t="s">
        <v>2528</v>
      </c>
      <c r="C256" s="43" t="s">
        <v>2527</v>
      </c>
      <c r="D256" s="43">
        <v>2747</v>
      </c>
      <c r="E256" s="43" t="s">
        <v>1031</v>
      </c>
      <c r="F256" s="43">
        <v>43</v>
      </c>
      <c r="G256" s="43">
        <v>253</v>
      </c>
    </row>
    <row r="257" spans="1:7" ht="16.5" customHeight="1" x14ac:dyDescent="0.2">
      <c r="A257" s="43" t="s">
        <v>2526</v>
      </c>
      <c r="B257" s="43" t="s">
        <v>2525</v>
      </c>
      <c r="C257" s="43" t="s">
        <v>2524</v>
      </c>
      <c r="D257" s="43">
        <v>2206</v>
      </c>
      <c r="E257" s="43" t="s">
        <v>631</v>
      </c>
      <c r="F257" s="43">
        <v>74</v>
      </c>
      <c r="G257" s="43">
        <v>254</v>
      </c>
    </row>
    <row r="258" spans="1:7" ht="16.5" customHeight="1" x14ac:dyDescent="0.2">
      <c r="A258" s="43" t="s">
        <v>2523</v>
      </c>
      <c r="B258" s="43" t="s">
        <v>2522</v>
      </c>
      <c r="C258" s="43" t="s">
        <v>2521</v>
      </c>
      <c r="D258" s="43">
        <v>2463</v>
      </c>
      <c r="E258" s="43" t="s">
        <v>495</v>
      </c>
      <c r="F258" s="43">
        <v>50</v>
      </c>
      <c r="G258" s="43">
        <v>255</v>
      </c>
    </row>
    <row r="259" spans="1:7" ht="16.5" customHeight="1" x14ac:dyDescent="0.2">
      <c r="A259" s="43" t="s">
        <v>2520</v>
      </c>
      <c r="B259" s="43" t="s">
        <v>2519</v>
      </c>
      <c r="C259" s="43" t="s">
        <v>1714</v>
      </c>
      <c r="D259" s="43">
        <v>2259</v>
      </c>
      <c r="E259" s="43" t="s">
        <v>1006</v>
      </c>
      <c r="F259" s="43">
        <v>87</v>
      </c>
      <c r="G259" s="43">
        <v>256</v>
      </c>
    </row>
    <row r="260" spans="1:7" ht="16.5" customHeight="1" x14ac:dyDescent="0.2">
      <c r="A260" s="43" t="s">
        <v>2518</v>
      </c>
      <c r="B260" s="43" t="s">
        <v>2517</v>
      </c>
      <c r="C260" s="43" t="s">
        <v>2516</v>
      </c>
      <c r="D260" s="43">
        <v>2229</v>
      </c>
      <c r="E260" s="43" t="s">
        <v>1024</v>
      </c>
      <c r="F260" s="43">
        <v>68</v>
      </c>
      <c r="G260" s="43">
        <v>257</v>
      </c>
    </row>
    <row r="261" spans="1:7" ht="16.5" customHeight="1" x14ac:dyDescent="0.2">
      <c r="A261" s="43" t="s">
        <v>2515</v>
      </c>
      <c r="B261" s="43" t="s">
        <v>2514</v>
      </c>
      <c r="C261" s="43" t="s">
        <v>1805</v>
      </c>
      <c r="D261" s="43">
        <v>2540</v>
      </c>
      <c r="E261" s="43" t="s">
        <v>783</v>
      </c>
      <c r="F261" s="43">
        <v>84</v>
      </c>
      <c r="G261" s="43">
        <v>258</v>
      </c>
    </row>
    <row r="262" spans="1:7" ht="16.5" customHeight="1" x14ac:dyDescent="0.2">
      <c r="A262" s="43" t="s">
        <v>2513</v>
      </c>
      <c r="B262" s="43" t="s">
        <v>2512</v>
      </c>
      <c r="C262" s="43" t="s">
        <v>2511</v>
      </c>
      <c r="D262" s="43">
        <v>2574</v>
      </c>
      <c r="E262" s="43" t="s">
        <v>908</v>
      </c>
      <c r="F262" s="43">
        <v>70</v>
      </c>
      <c r="G262" s="43">
        <v>259</v>
      </c>
    </row>
    <row r="263" spans="1:7" ht="16.5" customHeight="1" x14ac:dyDescent="0.2">
      <c r="A263" s="43" t="s">
        <v>2510</v>
      </c>
      <c r="B263" s="43" t="s">
        <v>2509</v>
      </c>
      <c r="C263" s="43" t="s">
        <v>1372</v>
      </c>
      <c r="D263" s="43">
        <v>2217</v>
      </c>
      <c r="E263" s="43" t="s">
        <v>1156</v>
      </c>
      <c r="F263" s="43">
        <v>60</v>
      </c>
      <c r="G263" s="43">
        <v>260</v>
      </c>
    </row>
    <row r="264" spans="1:7" ht="16.5" customHeight="1" x14ac:dyDescent="0.2">
      <c r="A264" s="43" t="s">
        <v>2508</v>
      </c>
      <c r="B264" s="43" t="s">
        <v>2507</v>
      </c>
      <c r="C264" s="43" t="s">
        <v>2506</v>
      </c>
      <c r="D264" s="43">
        <v>2540</v>
      </c>
      <c r="E264" s="43" t="s">
        <v>783</v>
      </c>
      <c r="F264" s="43">
        <v>80</v>
      </c>
      <c r="G264" s="43">
        <v>261</v>
      </c>
    </row>
    <row r="265" spans="1:7" ht="16.5" customHeight="1" x14ac:dyDescent="0.2">
      <c r="A265" s="43" t="s">
        <v>2505</v>
      </c>
      <c r="B265" s="43" t="s">
        <v>2504</v>
      </c>
      <c r="C265" s="43" t="s">
        <v>2503</v>
      </c>
      <c r="D265" s="43">
        <v>2223</v>
      </c>
      <c r="E265" s="43" t="s">
        <v>1156</v>
      </c>
      <c r="F265" s="43">
        <v>51</v>
      </c>
      <c r="G265" s="43">
        <v>262</v>
      </c>
    </row>
    <row r="266" spans="1:7" ht="16.5" customHeight="1" x14ac:dyDescent="0.2">
      <c r="A266" s="43" t="s">
        <v>2502</v>
      </c>
      <c r="B266" s="43" t="s">
        <v>2501</v>
      </c>
      <c r="C266" s="43" t="s">
        <v>1018</v>
      </c>
      <c r="D266" s="43">
        <v>2871</v>
      </c>
      <c r="E266" s="43" t="s">
        <v>1017</v>
      </c>
      <c r="F266" s="43">
        <v>65</v>
      </c>
      <c r="G266" s="43">
        <v>263</v>
      </c>
    </row>
    <row r="267" spans="1:7" ht="16.5" customHeight="1" x14ac:dyDescent="0.2">
      <c r="A267" s="43" t="s">
        <v>2500</v>
      </c>
      <c r="B267" s="43" t="s">
        <v>2499</v>
      </c>
      <c r="C267" s="43" t="s">
        <v>2498</v>
      </c>
      <c r="D267" s="43">
        <v>2647</v>
      </c>
      <c r="E267" s="43" t="s">
        <v>467</v>
      </c>
      <c r="F267" s="43">
        <v>120</v>
      </c>
      <c r="G267" s="43">
        <v>264</v>
      </c>
    </row>
    <row r="268" spans="1:7" ht="16.5" customHeight="1" x14ac:dyDescent="0.2">
      <c r="A268" s="43" t="s">
        <v>2497</v>
      </c>
      <c r="B268" s="43" t="s">
        <v>2496</v>
      </c>
      <c r="C268" s="43" t="s">
        <v>2495</v>
      </c>
      <c r="D268" s="43">
        <v>2190</v>
      </c>
      <c r="E268" s="43" t="s">
        <v>631</v>
      </c>
      <c r="F268" s="43">
        <v>67</v>
      </c>
      <c r="G268" s="43">
        <v>265</v>
      </c>
    </row>
    <row r="269" spans="1:7" ht="16.5" customHeight="1" x14ac:dyDescent="0.2">
      <c r="A269" s="43" t="s">
        <v>2494</v>
      </c>
      <c r="B269" s="43" t="s">
        <v>2493</v>
      </c>
      <c r="C269" s="43" t="s">
        <v>2492</v>
      </c>
      <c r="D269" s="43">
        <v>2528</v>
      </c>
      <c r="E269" s="43" t="s">
        <v>393</v>
      </c>
      <c r="F269" s="43">
        <v>55</v>
      </c>
      <c r="G269" s="43">
        <v>266</v>
      </c>
    </row>
    <row r="270" spans="1:7" ht="16.5" customHeight="1" x14ac:dyDescent="0.2">
      <c r="A270" s="43" t="s">
        <v>2491</v>
      </c>
      <c r="B270" s="43" t="s">
        <v>2490</v>
      </c>
      <c r="C270" s="43" t="s">
        <v>2489</v>
      </c>
      <c r="D270" s="43">
        <v>2567</v>
      </c>
      <c r="E270" s="43" t="s">
        <v>1194</v>
      </c>
      <c r="F270" s="43">
        <v>61</v>
      </c>
      <c r="G270" s="43">
        <v>267</v>
      </c>
    </row>
    <row r="271" spans="1:7" ht="16.5" customHeight="1" x14ac:dyDescent="0.2">
      <c r="A271" s="43" t="s">
        <v>2488</v>
      </c>
      <c r="B271" s="43" t="s">
        <v>2487</v>
      </c>
      <c r="C271" s="43" t="s">
        <v>2486</v>
      </c>
      <c r="D271" s="43">
        <v>2431</v>
      </c>
      <c r="E271" s="43" t="s">
        <v>455</v>
      </c>
      <c r="F271" s="43">
        <v>72</v>
      </c>
      <c r="G271" s="43">
        <v>268</v>
      </c>
    </row>
    <row r="272" spans="1:7" ht="16.5" customHeight="1" x14ac:dyDescent="0.2">
      <c r="A272" s="43" t="s">
        <v>2485</v>
      </c>
      <c r="B272" s="43" t="s">
        <v>2484</v>
      </c>
      <c r="C272" s="43" t="s">
        <v>2483</v>
      </c>
      <c r="D272" s="43">
        <v>2486</v>
      </c>
      <c r="E272" s="43" t="s">
        <v>1106</v>
      </c>
      <c r="F272" s="43">
        <v>102</v>
      </c>
      <c r="G272" s="43">
        <v>269</v>
      </c>
    </row>
    <row r="273" spans="1:7" ht="16.5" customHeight="1" x14ac:dyDescent="0.2">
      <c r="A273" s="43" t="s">
        <v>2482</v>
      </c>
      <c r="B273" s="43" t="s">
        <v>2481</v>
      </c>
      <c r="C273" s="43" t="s">
        <v>1477</v>
      </c>
      <c r="D273" s="43">
        <v>2484</v>
      </c>
      <c r="E273" s="43" t="s">
        <v>1106</v>
      </c>
      <c r="F273" s="43">
        <v>70</v>
      </c>
      <c r="G273" s="43">
        <v>270</v>
      </c>
    </row>
    <row r="274" spans="1:7" ht="16.5" customHeight="1" x14ac:dyDescent="0.2">
      <c r="A274" s="43" t="s">
        <v>2480</v>
      </c>
      <c r="B274" s="43" t="s">
        <v>2479</v>
      </c>
      <c r="C274" s="43" t="s">
        <v>2478</v>
      </c>
      <c r="D274" s="43">
        <v>2443</v>
      </c>
      <c r="E274" s="43" t="s">
        <v>958</v>
      </c>
      <c r="F274" s="43">
        <v>66</v>
      </c>
      <c r="G274" s="43">
        <v>271</v>
      </c>
    </row>
    <row r="275" spans="1:7" ht="16.5" customHeight="1" x14ac:dyDescent="0.2">
      <c r="A275" s="43" t="s">
        <v>2477</v>
      </c>
      <c r="B275" s="43" t="s">
        <v>2476</v>
      </c>
      <c r="C275" s="43" t="s">
        <v>841</v>
      </c>
      <c r="D275" s="43">
        <v>2291</v>
      </c>
      <c r="E275" s="43" t="s">
        <v>344</v>
      </c>
      <c r="F275" s="43">
        <v>89</v>
      </c>
      <c r="G275" s="43">
        <v>272</v>
      </c>
    </row>
    <row r="276" spans="1:7" ht="16.5" customHeight="1" x14ac:dyDescent="0.2">
      <c r="A276" s="43" t="s">
        <v>2475</v>
      </c>
      <c r="B276" s="43" t="s">
        <v>2474</v>
      </c>
      <c r="C276" s="43" t="s">
        <v>2228</v>
      </c>
      <c r="D276" s="43">
        <v>2747</v>
      </c>
      <c r="E276" s="43" t="s">
        <v>1031</v>
      </c>
      <c r="F276" s="43">
        <v>84</v>
      </c>
      <c r="G276" s="43">
        <v>273</v>
      </c>
    </row>
    <row r="277" spans="1:7" ht="16.5" customHeight="1" x14ac:dyDescent="0.2">
      <c r="A277" s="43" t="s">
        <v>2473</v>
      </c>
      <c r="B277" s="43" t="s">
        <v>2472</v>
      </c>
      <c r="C277" s="43" t="s">
        <v>1047</v>
      </c>
      <c r="D277" s="43">
        <v>2390</v>
      </c>
      <c r="E277" s="43" t="s">
        <v>499</v>
      </c>
      <c r="F277" s="43">
        <v>66</v>
      </c>
      <c r="G277" s="43">
        <v>274</v>
      </c>
    </row>
    <row r="278" spans="1:7" ht="16.5" customHeight="1" x14ac:dyDescent="0.2">
      <c r="A278" s="43" t="s">
        <v>2471</v>
      </c>
      <c r="B278" s="43" t="s">
        <v>2470</v>
      </c>
      <c r="C278" s="43" t="s">
        <v>2469</v>
      </c>
      <c r="D278" s="43">
        <v>2535</v>
      </c>
      <c r="E278" s="43" t="s">
        <v>783</v>
      </c>
      <c r="F278" s="43">
        <v>71</v>
      </c>
      <c r="G278" s="43">
        <v>275</v>
      </c>
    </row>
    <row r="279" spans="1:7" ht="16.5" customHeight="1" x14ac:dyDescent="0.2">
      <c r="A279" s="43" t="s">
        <v>2468</v>
      </c>
      <c r="B279" s="43" t="s">
        <v>2467</v>
      </c>
      <c r="C279" s="43" t="s">
        <v>2466</v>
      </c>
      <c r="D279" s="43">
        <v>2714</v>
      </c>
      <c r="E279" s="43" t="s">
        <v>850</v>
      </c>
      <c r="F279" s="43">
        <v>80</v>
      </c>
      <c r="G279" s="43">
        <v>276</v>
      </c>
    </row>
    <row r="280" spans="1:7" ht="16.5" customHeight="1" x14ac:dyDescent="0.2">
      <c r="A280" s="43" t="s">
        <v>2465</v>
      </c>
      <c r="B280" s="43" t="s">
        <v>2464</v>
      </c>
      <c r="C280" s="43" t="s">
        <v>1673</v>
      </c>
      <c r="D280" s="43">
        <v>2835</v>
      </c>
      <c r="E280" s="43" t="s">
        <v>1672</v>
      </c>
      <c r="F280" s="43">
        <v>40</v>
      </c>
      <c r="G280" s="43">
        <v>277</v>
      </c>
    </row>
    <row r="281" spans="1:7" ht="16.5" customHeight="1" x14ac:dyDescent="0.2">
      <c r="A281" s="43" t="s">
        <v>2463</v>
      </c>
      <c r="B281" s="43" t="s">
        <v>2462</v>
      </c>
      <c r="C281" s="43" t="s">
        <v>2461</v>
      </c>
      <c r="D281" s="43">
        <v>2551</v>
      </c>
      <c r="E281" s="43" t="s">
        <v>808</v>
      </c>
      <c r="F281" s="43">
        <v>60</v>
      </c>
      <c r="G281" s="43">
        <v>278</v>
      </c>
    </row>
    <row r="282" spans="1:7" ht="16.5" customHeight="1" x14ac:dyDescent="0.2">
      <c r="A282" s="43" t="s">
        <v>2460</v>
      </c>
      <c r="B282" s="43" t="s">
        <v>2459</v>
      </c>
      <c r="C282" s="43" t="s">
        <v>2018</v>
      </c>
      <c r="D282" s="43">
        <v>2428</v>
      </c>
      <c r="E282" s="43" t="s">
        <v>537</v>
      </c>
      <c r="F282" s="43">
        <v>80</v>
      </c>
      <c r="G282" s="43">
        <v>279</v>
      </c>
    </row>
    <row r="283" spans="1:7" ht="16.5" customHeight="1" x14ac:dyDescent="0.2">
      <c r="A283" s="43" t="s">
        <v>2458</v>
      </c>
      <c r="B283" s="43" t="s">
        <v>2457</v>
      </c>
      <c r="C283" s="43" t="s">
        <v>2456</v>
      </c>
      <c r="D283" s="43">
        <v>2035</v>
      </c>
      <c r="E283" s="43" t="s">
        <v>548</v>
      </c>
      <c r="F283" s="43">
        <v>62</v>
      </c>
      <c r="G283" s="43">
        <v>280</v>
      </c>
    </row>
    <row r="284" spans="1:7" ht="16.5" customHeight="1" x14ac:dyDescent="0.2">
      <c r="A284" s="43" t="s">
        <v>2455</v>
      </c>
      <c r="B284" s="43" t="s">
        <v>2454</v>
      </c>
      <c r="C284" s="43" t="s">
        <v>2453</v>
      </c>
      <c r="D284" s="43">
        <v>2330</v>
      </c>
      <c r="E284" s="43" t="s">
        <v>1010</v>
      </c>
      <c r="F284" s="43">
        <v>70</v>
      </c>
      <c r="G284" s="43">
        <v>281</v>
      </c>
    </row>
    <row r="285" spans="1:7" ht="16.5" customHeight="1" x14ac:dyDescent="0.2">
      <c r="A285" s="43" t="s">
        <v>2452</v>
      </c>
      <c r="B285" s="43" t="s">
        <v>2451</v>
      </c>
      <c r="C285" s="43" t="s">
        <v>1443</v>
      </c>
      <c r="D285" s="43">
        <v>2777</v>
      </c>
      <c r="E285" s="43" t="s">
        <v>904</v>
      </c>
      <c r="F285" s="43">
        <v>84</v>
      </c>
      <c r="G285" s="43">
        <v>282</v>
      </c>
    </row>
    <row r="286" spans="1:7" ht="16.5" customHeight="1" x14ac:dyDescent="0.2">
      <c r="A286" s="43" t="s">
        <v>2450</v>
      </c>
      <c r="B286" s="43" t="s">
        <v>2449</v>
      </c>
      <c r="C286" s="43" t="s">
        <v>485</v>
      </c>
      <c r="D286" s="43">
        <v>2450</v>
      </c>
      <c r="E286" s="43" t="s">
        <v>484</v>
      </c>
      <c r="F286" s="43">
        <v>66</v>
      </c>
      <c r="G286" s="43">
        <v>283</v>
      </c>
    </row>
    <row r="287" spans="1:7" ht="16.5" customHeight="1" x14ac:dyDescent="0.2">
      <c r="A287" s="43" t="s">
        <v>2448</v>
      </c>
      <c r="B287" s="43" t="s">
        <v>2447</v>
      </c>
      <c r="C287" s="43" t="s">
        <v>2446</v>
      </c>
      <c r="D287" s="43">
        <v>2036</v>
      </c>
      <c r="E287" s="43" t="s">
        <v>548</v>
      </c>
      <c r="F287" s="43">
        <v>82</v>
      </c>
      <c r="G287" s="43">
        <v>284</v>
      </c>
    </row>
    <row r="288" spans="1:7" ht="16.5" customHeight="1" x14ac:dyDescent="0.2">
      <c r="A288" s="43" t="s">
        <v>2445</v>
      </c>
      <c r="B288" s="43" t="s">
        <v>2444</v>
      </c>
      <c r="C288" s="43" t="s">
        <v>1446</v>
      </c>
      <c r="D288" s="43">
        <v>2518</v>
      </c>
      <c r="E288" s="43" t="s">
        <v>393</v>
      </c>
      <c r="F288" s="43">
        <v>67</v>
      </c>
      <c r="G288" s="43">
        <v>285</v>
      </c>
    </row>
    <row r="289" spans="1:7" ht="16.5" customHeight="1" x14ac:dyDescent="0.2">
      <c r="A289" s="43" t="s">
        <v>2443</v>
      </c>
      <c r="B289" s="43" t="s">
        <v>2442</v>
      </c>
      <c r="C289" s="43" t="s">
        <v>477</v>
      </c>
      <c r="D289" s="43">
        <v>2820</v>
      </c>
      <c r="E289" s="43" t="s">
        <v>420</v>
      </c>
      <c r="F289" s="43">
        <v>52</v>
      </c>
      <c r="G289" s="43">
        <v>286</v>
      </c>
    </row>
    <row r="290" spans="1:7" ht="16.5" customHeight="1" x14ac:dyDescent="0.2">
      <c r="A290" s="43" t="s">
        <v>2441</v>
      </c>
      <c r="B290" s="43" t="s">
        <v>2440</v>
      </c>
      <c r="C290" s="43" t="s">
        <v>1100</v>
      </c>
      <c r="D290" s="43">
        <v>2370</v>
      </c>
      <c r="E290" s="43" t="s">
        <v>1099</v>
      </c>
      <c r="F290" s="43">
        <v>62</v>
      </c>
      <c r="G290" s="43">
        <v>287</v>
      </c>
    </row>
    <row r="291" spans="1:7" ht="16.5" customHeight="1" x14ac:dyDescent="0.2">
      <c r="A291" s="43" t="s">
        <v>2439</v>
      </c>
      <c r="B291" s="43" t="s">
        <v>2438</v>
      </c>
      <c r="C291" s="43" t="s">
        <v>2437</v>
      </c>
      <c r="D291" s="43">
        <v>2487</v>
      </c>
      <c r="E291" s="43" t="s">
        <v>1106</v>
      </c>
      <c r="F291" s="43">
        <v>57</v>
      </c>
      <c r="G291" s="43">
        <v>288</v>
      </c>
    </row>
    <row r="292" spans="1:7" ht="16.5" customHeight="1" x14ac:dyDescent="0.2">
      <c r="A292" s="43" t="s">
        <v>2436</v>
      </c>
      <c r="B292" s="43" t="s">
        <v>2435</v>
      </c>
      <c r="C292" s="43" t="s">
        <v>2316</v>
      </c>
      <c r="D292" s="43">
        <v>2233</v>
      </c>
      <c r="E292" s="43" t="s">
        <v>1024</v>
      </c>
      <c r="F292" s="43">
        <v>87</v>
      </c>
      <c r="G292" s="43">
        <v>289</v>
      </c>
    </row>
    <row r="293" spans="1:7" ht="16.5" customHeight="1" x14ac:dyDescent="0.2">
      <c r="A293" s="43" t="s">
        <v>2434</v>
      </c>
      <c r="B293" s="43" t="s">
        <v>2433</v>
      </c>
      <c r="C293" s="43" t="s">
        <v>2432</v>
      </c>
      <c r="D293" s="43">
        <v>2221</v>
      </c>
      <c r="E293" s="43" t="s">
        <v>1156</v>
      </c>
      <c r="F293" s="43">
        <v>83</v>
      </c>
      <c r="G293" s="43">
        <v>290</v>
      </c>
    </row>
    <row r="294" spans="1:7" ht="16.5" customHeight="1" x14ac:dyDescent="0.2">
      <c r="A294" s="43" t="s">
        <v>2431</v>
      </c>
      <c r="B294" s="43" t="s">
        <v>2430</v>
      </c>
      <c r="C294" s="43" t="s">
        <v>2429</v>
      </c>
      <c r="D294" s="43">
        <v>2262</v>
      </c>
      <c r="E294" s="43" t="s">
        <v>1006</v>
      </c>
      <c r="F294" s="43">
        <v>56</v>
      </c>
      <c r="G294" s="43">
        <v>291</v>
      </c>
    </row>
    <row r="295" spans="1:7" ht="16.5" customHeight="1" x14ac:dyDescent="0.2">
      <c r="A295" s="43" t="s">
        <v>2428</v>
      </c>
      <c r="B295" s="43" t="s">
        <v>2427</v>
      </c>
      <c r="C295" s="43" t="s">
        <v>2037</v>
      </c>
      <c r="D295" s="43">
        <v>2446</v>
      </c>
      <c r="E295" s="43" t="s">
        <v>958</v>
      </c>
      <c r="F295" s="43">
        <v>83</v>
      </c>
      <c r="G295" s="43">
        <v>292</v>
      </c>
    </row>
    <row r="296" spans="1:7" ht="16.5" customHeight="1" x14ac:dyDescent="0.2">
      <c r="A296" s="43" t="s">
        <v>2426</v>
      </c>
      <c r="B296" s="43" t="s">
        <v>2425</v>
      </c>
      <c r="C296" s="43" t="s">
        <v>2424</v>
      </c>
      <c r="D296" s="43">
        <v>2161</v>
      </c>
      <c r="E296" s="43" t="s">
        <v>377</v>
      </c>
      <c r="F296" s="43">
        <v>53</v>
      </c>
      <c r="G296" s="43">
        <v>293</v>
      </c>
    </row>
    <row r="297" spans="1:7" ht="16.5" customHeight="1" x14ac:dyDescent="0.2">
      <c r="A297" s="43" t="s">
        <v>2423</v>
      </c>
      <c r="B297" s="43" t="s">
        <v>2422</v>
      </c>
      <c r="C297" s="43" t="s">
        <v>2100</v>
      </c>
      <c r="D297" s="43">
        <v>2500</v>
      </c>
      <c r="E297" s="43" t="s">
        <v>393</v>
      </c>
      <c r="F297" s="43">
        <v>65</v>
      </c>
      <c r="G297" s="43">
        <v>294</v>
      </c>
    </row>
    <row r="298" spans="1:7" ht="16.5" customHeight="1" x14ac:dyDescent="0.2">
      <c r="A298" s="43" t="s">
        <v>2421</v>
      </c>
      <c r="B298" s="43" t="s">
        <v>2420</v>
      </c>
      <c r="C298" s="43" t="s">
        <v>2419</v>
      </c>
      <c r="D298" s="43">
        <v>2165</v>
      </c>
      <c r="E298" s="43" t="s">
        <v>427</v>
      </c>
      <c r="F298" s="43">
        <v>34</v>
      </c>
      <c r="G298" s="43">
        <v>295</v>
      </c>
    </row>
    <row r="299" spans="1:7" ht="16.5" customHeight="1" x14ac:dyDescent="0.2">
      <c r="A299" s="43" t="s">
        <v>2418</v>
      </c>
      <c r="B299" s="43" t="s">
        <v>2417</v>
      </c>
      <c r="C299" s="43" t="s">
        <v>417</v>
      </c>
      <c r="D299" s="43">
        <v>2577</v>
      </c>
      <c r="E299" s="43" t="s">
        <v>416</v>
      </c>
      <c r="F299" s="43">
        <v>79</v>
      </c>
      <c r="G299" s="43">
        <v>296</v>
      </c>
    </row>
    <row r="300" spans="1:7" ht="16.5" customHeight="1" x14ac:dyDescent="0.2">
      <c r="A300" s="43" t="s">
        <v>2416</v>
      </c>
      <c r="B300" s="43" t="s">
        <v>2415</v>
      </c>
      <c r="C300" s="43" t="s">
        <v>722</v>
      </c>
      <c r="D300" s="43">
        <v>2680</v>
      </c>
      <c r="E300" s="43" t="s">
        <v>332</v>
      </c>
      <c r="F300" s="43">
        <v>40</v>
      </c>
      <c r="G300" s="43">
        <v>297</v>
      </c>
    </row>
    <row r="301" spans="1:7" ht="16.5" customHeight="1" x14ac:dyDescent="0.2">
      <c r="A301" s="43" t="s">
        <v>2414</v>
      </c>
      <c r="B301" s="43" t="s">
        <v>2413</v>
      </c>
      <c r="C301" s="43" t="s">
        <v>356</v>
      </c>
      <c r="D301" s="43">
        <v>2107</v>
      </c>
      <c r="E301" s="43" t="s">
        <v>355</v>
      </c>
      <c r="F301" s="43">
        <v>53</v>
      </c>
      <c r="G301" s="43">
        <v>298</v>
      </c>
    </row>
    <row r="302" spans="1:7" ht="16.5" customHeight="1" x14ac:dyDescent="0.2">
      <c r="A302" s="43" t="s">
        <v>2412</v>
      </c>
      <c r="B302" s="43" t="s">
        <v>2411</v>
      </c>
      <c r="C302" s="43" t="s">
        <v>2410</v>
      </c>
      <c r="D302" s="43">
        <v>2334</v>
      </c>
      <c r="E302" s="43" t="s">
        <v>670</v>
      </c>
      <c r="F302" s="43">
        <v>69</v>
      </c>
      <c r="G302" s="43">
        <v>299</v>
      </c>
    </row>
    <row r="303" spans="1:7" ht="16.5" customHeight="1" x14ac:dyDescent="0.2">
      <c r="A303" s="43" t="s">
        <v>2409</v>
      </c>
      <c r="B303" s="43" t="s">
        <v>2408</v>
      </c>
      <c r="C303" s="43" t="s">
        <v>2407</v>
      </c>
      <c r="D303" s="43">
        <v>2754</v>
      </c>
      <c r="E303" s="43" t="s">
        <v>451</v>
      </c>
      <c r="F303" s="43">
        <v>80</v>
      </c>
      <c r="G303" s="43">
        <v>300</v>
      </c>
    </row>
    <row r="304" spans="1:7" ht="16.5" customHeight="1" x14ac:dyDescent="0.2">
      <c r="A304" s="43" t="s">
        <v>2406</v>
      </c>
      <c r="B304" s="43" t="s">
        <v>2405</v>
      </c>
      <c r="C304" s="43" t="s">
        <v>572</v>
      </c>
      <c r="D304" s="43">
        <v>2093</v>
      </c>
      <c r="E304" s="43" t="s">
        <v>355</v>
      </c>
      <c r="F304" s="43">
        <v>47</v>
      </c>
      <c r="G304" s="43">
        <v>301</v>
      </c>
    </row>
    <row r="305" spans="1:7" ht="16.5" customHeight="1" x14ac:dyDescent="0.2">
      <c r="A305" s="43" t="s">
        <v>2404</v>
      </c>
      <c r="B305" s="43" t="s">
        <v>2403</v>
      </c>
      <c r="C305" s="43" t="s">
        <v>2402</v>
      </c>
      <c r="D305" s="43">
        <v>2250</v>
      </c>
      <c r="E305" s="43" t="s">
        <v>1006</v>
      </c>
      <c r="F305" s="43">
        <v>81</v>
      </c>
      <c r="G305" s="43">
        <v>302</v>
      </c>
    </row>
    <row r="306" spans="1:7" ht="16.5" customHeight="1" x14ac:dyDescent="0.2">
      <c r="A306" s="43" t="s">
        <v>2401</v>
      </c>
      <c r="B306" s="43" t="s">
        <v>2400</v>
      </c>
      <c r="C306" s="43" t="s">
        <v>2399</v>
      </c>
      <c r="D306" s="43">
        <v>2259</v>
      </c>
      <c r="E306" s="43" t="s">
        <v>1006</v>
      </c>
      <c r="F306" s="43">
        <v>65</v>
      </c>
      <c r="G306" s="43">
        <v>303</v>
      </c>
    </row>
    <row r="307" spans="1:7" ht="16.5" customHeight="1" x14ac:dyDescent="0.2">
      <c r="A307" s="43" t="s">
        <v>2398</v>
      </c>
      <c r="B307" s="43" t="s">
        <v>2397</v>
      </c>
      <c r="C307" s="43" t="s">
        <v>367</v>
      </c>
      <c r="D307" s="43">
        <v>2137</v>
      </c>
      <c r="E307" s="43" t="s">
        <v>366</v>
      </c>
      <c r="F307" s="43">
        <v>47</v>
      </c>
      <c r="G307" s="43">
        <v>304</v>
      </c>
    </row>
    <row r="308" spans="1:7" ht="16.5" customHeight="1" x14ac:dyDescent="0.2">
      <c r="A308" s="43" t="s">
        <v>2396</v>
      </c>
      <c r="B308" s="43" t="s">
        <v>2395</v>
      </c>
      <c r="C308" s="43" t="s">
        <v>1116</v>
      </c>
      <c r="D308" s="43">
        <v>2794</v>
      </c>
      <c r="E308" s="43" t="s">
        <v>533</v>
      </c>
      <c r="F308" s="43">
        <v>59</v>
      </c>
      <c r="G308" s="43">
        <v>305</v>
      </c>
    </row>
    <row r="309" spans="1:7" ht="16.5" customHeight="1" x14ac:dyDescent="0.2">
      <c r="A309" s="43" t="s">
        <v>2394</v>
      </c>
      <c r="B309" s="43" t="s">
        <v>2393</v>
      </c>
      <c r="C309" s="43" t="s">
        <v>623</v>
      </c>
      <c r="D309" s="43">
        <v>2700</v>
      </c>
      <c r="E309" s="43" t="s">
        <v>622</v>
      </c>
      <c r="F309" s="43">
        <v>49</v>
      </c>
      <c r="G309" s="43">
        <v>306</v>
      </c>
    </row>
    <row r="310" spans="1:7" ht="16.5" customHeight="1" x14ac:dyDescent="0.2">
      <c r="A310" s="43" t="s">
        <v>2392</v>
      </c>
      <c r="B310" s="43" t="s">
        <v>2391</v>
      </c>
      <c r="C310" s="43" t="s">
        <v>436</v>
      </c>
      <c r="D310" s="43">
        <v>2267</v>
      </c>
      <c r="E310" s="43" t="s">
        <v>435</v>
      </c>
      <c r="F310" s="43">
        <v>65</v>
      </c>
      <c r="G310" s="43">
        <v>307</v>
      </c>
    </row>
    <row r="311" spans="1:7" ht="16.5" customHeight="1" x14ac:dyDescent="0.2">
      <c r="A311" s="43" t="s">
        <v>2390</v>
      </c>
      <c r="B311" s="43" t="s">
        <v>2389</v>
      </c>
      <c r="C311" s="43" t="s">
        <v>912</v>
      </c>
      <c r="D311" s="43">
        <v>2153</v>
      </c>
      <c r="E311" s="43" t="s">
        <v>773</v>
      </c>
      <c r="F311" s="43">
        <v>49</v>
      </c>
      <c r="G311" s="43">
        <v>308</v>
      </c>
    </row>
    <row r="312" spans="1:7" ht="16.5" customHeight="1" x14ac:dyDescent="0.2">
      <c r="A312" s="43" t="s">
        <v>2388</v>
      </c>
      <c r="B312" s="43" t="s">
        <v>2387</v>
      </c>
      <c r="C312" s="43" t="s">
        <v>2386</v>
      </c>
      <c r="D312" s="43">
        <v>2319</v>
      </c>
      <c r="E312" s="43" t="s">
        <v>884</v>
      </c>
      <c r="F312" s="43">
        <v>69</v>
      </c>
      <c r="G312" s="43">
        <v>309</v>
      </c>
    </row>
    <row r="313" spans="1:7" ht="16.5" customHeight="1" x14ac:dyDescent="0.2">
      <c r="A313" s="43" t="s">
        <v>2385</v>
      </c>
      <c r="B313" s="43" t="s">
        <v>2384</v>
      </c>
      <c r="C313" s="43" t="s">
        <v>2383</v>
      </c>
      <c r="D313" s="43">
        <v>2322</v>
      </c>
      <c r="E313" s="43" t="s">
        <v>344</v>
      </c>
      <c r="F313" s="43">
        <v>80</v>
      </c>
      <c r="G313" s="43">
        <v>310</v>
      </c>
    </row>
    <row r="314" spans="1:7" ht="16.5" customHeight="1" x14ac:dyDescent="0.2">
      <c r="A314" s="43" t="s">
        <v>2382</v>
      </c>
      <c r="B314" s="43" t="s">
        <v>2381</v>
      </c>
      <c r="C314" s="43" t="s">
        <v>2380</v>
      </c>
      <c r="D314" s="43">
        <v>2112</v>
      </c>
      <c r="E314" s="43" t="s">
        <v>666</v>
      </c>
      <c r="F314" s="43">
        <v>87</v>
      </c>
      <c r="G314" s="43">
        <v>311</v>
      </c>
    </row>
    <row r="315" spans="1:7" ht="16.5" customHeight="1" x14ac:dyDescent="0.2">
      <c r="A315" s="43" t="s">
        <v>2379</v>
      </c>
      <c r="B315" s="43" t="s">
        <v>2378</v>
      </c>
      <c r="C315" s="43" t="s">
        <v>2377</v>
      </c>
      <c r="D315" s="43">
        <v>2790</v>
      </c>
      <c r="E315" s="43" t="s">
        <v>459</v>
      </c>
      <c r="F315" s="43">
        <v>47</v>
      </c>
      <c r="G315" s="43">
        <v>312</v>
      </c>
    </row>
    <row r="316" spans="1:7" ht="16.5" customHeight="1" x14ac:dyDescent="0.2">
      <c r="A316" s="43" t="s">
        <v>2376</v>
      </c>
      <c r="B316" s="43" t="s">
        <v>2375</v>
      </c>
      <c r="C316" s="43" t="s">
        <v>2374</v>
      </c>
      <c r="D316" s="43">
        <v>2257</v>
      </c>
      <c r="E316" s="43" t="s">
        <v>1006</v>
      </c>
      <c r="F316" s="43">
        <v>57</v>
      </c>
      <c r="G316" s="43">
        <v>313</v>
      </c>
    </row>
    <row r="317" spans="1:7" ht="16.5" customHeight="1" x14ac:dyDescent="0.2">
      <c r="A317" s="43" t="s">
        <v>2373</v>
      </c>
      <c r="B317" s="43" t="s">
        <v>2372</v>
      </c>
      <c r="C317" s="43" t="s">
        <v>1693</v>
      </c>
      <c r="D317" s="43">
        <v>2455</v>
      </c>
      <c r="E317" s="43" t="s">
        <v>1190</v>
      </c>
      <c r="F317" s="43">
        <v>53</v>
      </c>
      <c r="G317" s="43">
        <v>314</v>
      </c>
    </row>
    <row r="318" spans="1:7" ht="16.5" customHeight="1" x14ac:dyDescent="0.2">
      <c r="A318" s="43" t="s">
        <v>2371</v>
      </c>
      <c r="B318" s="43" t="s">
        <v>2370</v>
      </c>
      <c r="C318" s="43" t="s">
        <v>360</v>
      </c>
      <c r="D318" s="43">
        <v>2482</v>
      </c>
      <c r="E318" s="43" t="s">
        <v>359</v>
      </c>
      <c r="F318" s="43">
        <v>59</v>
      </c>
      <c r="G318" s="43">
        <v>315</v>
      </c>
    </row>
    <row r="319" spans="1:7" ht="16.5" customHeight="1" x14ac:dyDescent="0.2">
      <c r="A319" s="43" t="s">
        <v>2369</v>
      </c>
      <c r="B319" s="43" t="s">
        <v>2368</v>
      </c>
      <c r="C319" s="43" t="s">
        <v>1270</v>
      </c>
      <c r="D319" s="43">
        <v>2590</v>
      </c>
      <c r="E319" s="43" t="s">
        <v>611</v>
      </c>
      <c r="F319" s="43">
        <v>42</v>
      </c>
      <c r="G319" s="43">
        <v>316</v>
      </c>
    </row>
    <row r="320" spans="1:7" ht="16.5" customHeight="1" x14ac:dyDescent="0.2">
      <c r="A320" s="43" t="s">
        <v>2367</v>
      </c>
      <c r="B320" s="43" t="s">
        <v>2366</v>
      </c>
      <c r="C320" s="43" t="s">
        <v>2365</v>
      </c>
      <c r="D320" s="43">
        <v>2530</v>
      </c>
      <c r="E320" s="43" t="s">
        <v>393</v>
      </c>
      <c r="F320" s="43">
        <v>41</v>
      </c>
      <c r="G320" s="43">
        <v>317</v>
      </c>
    </row>
    <row r="321" spans="1:7" ht="16.5" customHeight="1" x14ac:dyDescent="0.2">
      <c r="A321" s="43" t="s">
        <v>2364</v>
      </c>
      <c r="B321" s="43" t="s">
        <v>2363</v>
      </c>
      <c r="C321" s="43" t="s">
        <v>2141</v>
      </c>
      <c r="D321" s="43">
        <v>2473</v>
      </c>
      <c r="E321" s="43" t="s">
        <v>401</v>
      </c>
      <c r="F321" s="43">
        <v>56</v>
      </c>
      <c r="G321" s="43">
        <v>318</v>
      </c>
    </row>
    <row r="322" spans="1:7" ht="16.5" customHeight="1" x14ac:dyDescent="0.2">
      <c r="A322" s="43" t="s">
        <v>2362</v>
      </c>
      <c r="B322" s="43" t="s">
        <v>2361</v>
      </c>
      <c r="C322" s="43" t="s">
        <v>2360</v>
      </c>
      <c r="D322" s="43">
        <v>2258</v>
      </c>
      <c r="E322" s="43" t="s">
        <v>1006</v>
      </c>
      <c r="F322" s="43">
        <v>77</v>
      </c>
      <c r="G322" s="43">
        <v>319</v>
      </c>
    </row>
    <row r="323" spans="1:7" ht="16.5" customHeight="1" x14ac:dyDescent="0.2">
      <c r="A323" s="43" t="s">
        <v>2359</v>
      </c>
      <c r="B323" s="43" t="s">
        <v>2358</v>
      </c>
      <c r="C323" s="43" t="s">
        <v>2357</v>
      </c>
      <c r="D323" s="43">
        <v>2428</v>
      </c>
      <c r="E323" s="43" t="s">
        <v>537</v>
      </c>
      <c r="F323" s="43">
        <v>56</v>
      </c>
      <c r="G323" s="43">
        <v>320</v>
      </c>
    </row>
    <row r="324" spans="1:7" ht="16.5" customHeight="1" x14ac:dyDescent="0.2">
      <c r="A324" s="43" t="s">
        <v>2356</v>
      </c>
      <c r="B324" s="43" t="s">
        <v>2355</v>
      </c>
      <c r="C324" s="43" t="s">
        <v>2354</v>
      </c>
      <c r="D324" s="43">
        <v>2640</v>
      </c>
      <c r="E324" s="43" t="s">
        <v>1665</v>
      </c>
      <c r="F324" s="43">
        <v>51</v>
      </c>
      <c r="G324" s="43">
        <v>321</v>
      </c>
    </row>
    <row r="325" spans="1:7" ht="16.5" customHeight="1" x14ac:dyDescent="0.2">
      <c r="A325" s="43" t="s">
        <v>2353</v>
      </c>
      <c r="B325" s="43" t="s">
        <v>2352</v>
      </c>
      <c r="C325" s="43" t="s">
        <v>1069</v>
      </c>
      <c r="D325" s="43">
        <v>2031</v>
      </c>
      <c r="E325" s="43" t="s">
        <v>548</v>
      </c>
      <c r="F325" s="43">
        <v>63</v>
      </c>
      <c r="G325" s="43">
        <v>322</v>
      </c>
    </row>
    <row r="326" spans="1:7" ht="16.5" customHeight="1" x14ac:dyDescent="0.2">
      <c r="A326" s="43" t="s">
        <v>2351</v>
      </c>
      <c r="B326" s="43" t="s">
        <v>2350</v>
      </c>
      <c r="C326" s="43" t="s">
        <v>901</v>
      </c>
      <c r="D326" s="43">
        <v>2756</v>
      </c>
      <c r="E326" s="43" t="s">
        <v>451</v>
      </c>
      <c r="F326" s="43">
        <v>65</v>
      </c>
      <c r="G326" s="43">
        <v>323</v>
      </c>
    </row>
    <row r="327" spans="1:7" ht="16.5" customHeight="1" x14ac:dyDescent="0.2">
      <c r="A327" s="43" t="s">
        <v>2349</v>
      </c>
      <c r="B327" s="43" t="s">
        <v>2348</v>
      </c>
      <c r="C327" s="43" t="s">
        <v>1011</v>
      </c>
      <c r="D327" s="43">
        <v>2330</v>
      </c>
      <c r="E327" s="43" t="s">
        <v>1010</v>
      </c>
      <c r="F327" s="43">
        <v>55</v>
      </c>
      <c r="G327" s="43">
        <v>324</v>
      </c>
    </row>
    <row r="328" spans="1:7" ht="16.5" customHeight="1" x14ac:dyDescent="0.2">
      <c r="A328" s="43" t="s">
        <v>2347</v>
      </c>
      <c r="B328" s="43" t="s">
        <v>2346</v>
      </c>
      <c r="C328" s="43" t="s">
        <v>2345</v>
      </c>
      <c r="D328" s="43">
        <v>2290</v>
      </c>
      <c r="E328" s="43" t="s">
        <v>435</v>
      </c>
      <c r="F328" s="43">
        <v>74</v>
      </c>
      <c r="G328" s="43">
        <v>325</v>
      </c>
    </row>
    <row r="329" spans="1:7" ht="16.5" customHeight="1" x14ac:dyDescent="0.2">
      <c r="A329" s="43" t="s">
        <v>2344</v>
      </c>
      <c r="B329" s="43" t="s">
        <v>2343</v>
      </c>
      <c r="C329" s="43" t="s">
        <v>1754</v>
      </c>
      <c r="D329" s="43">
        <v>2315</v>
      </c>
      <c r="E329" s="43" t="s">
        <v>884</v>
      </c>
      <c r="F329" s="43">
        <v>76</v>
      </c>
      <c r="G329" s="43">
        <v>326</v>
      </c>
    </row>
    <row r="330" spans="1:7" ht="16.5" customHeight="1" x14ac:dyDescent="0.2">
      <c r="A330" s="43" t="s">
        <v>2342</v>
      </c>
      <c r="B330" s="43" t="s">
        <v>2341</v>
      </c>
      <c r="C330" s="43" t="s">
        <v>1295</v>
      </c>
      <c r="D330" s="43">
        <v>2829</v>
      </c>
      <c r="E330" s="43" t="s">
        <v>1294</v>
      </c>
      <c r="F330" s="43">
        <v>32</v>
      </c>
      <c r="G330" s="43">
        <v>327</v>
      </c>
    </row>
    <row r="331" spans="1:7" ht="16.5" customHeight="1" x14ac:dyDescent="0.2">
      <c r="A331" s="43" t="s">
        <v>2340</v>
      </c>
      <c r="B331" s="43" t="s">
        <v>2339</v>
      </c>
      <c r="C331" s="43" t="s">
        <v>1195</v>
      </c>
      <c r="D331" s="43">
        <v>2570</v>
      </c>
      <c r="E331" s="43" t="s">
        <v>1194</v>
      </c>
      <c r="F331" s="43">
        <v>50</v>
      </c>
      <c r="G331" s="43">
        <v>328</v>
      </c>
    </row>
    <row r="332" spans="1:7" ht="16.5" customHeight="1" x14ac:dyDescent="0.2">
      <c r="A332" s="43" t="s">
        <v>2338</v>
      </c>
      <c r="B332" s="43" t="s">
        <v>2337</v>
      </c>
      <c r="C332" s="43" t="s">
        <v>2336</v>
      </c>
      <c r="D332" s="43">
        <v>2722</v>
      </c>
      <c r="E332" s="43" t="s">
        <v>611</v>
      </c>
      <c r="F332" s="43">
        <v>53</v>
      </c>
      <c r="G332" s="43">
        <v>329</v>
      </c>
    </row>
    <row r="333" spans="1:7" ht="16.5" customHeight="1" x14ac:dyDescent="0.2">
      <c r="A333" s="43" t="s">
        <v>2335</v>
      </c>
      <c r="B333" s="43" t="s">
        <v>2334</v>
      </c>
      <c r="C333" s="43" t="s">
        <v>2333</v>
      </c>
      <c r="D333" s="43">
        <v>2528</v>
      </c>
      <c r="E333" s="43" t="s">
        <v>2200</v>
      </c>
      <c r="F333" s="43">
        <v>59</v>
      </c>
      <c r="G333" s="43">
        <v>330</v>
      </c>
    </row>
    <row r="334" spans="1:7" ht="16.5" customHeight="1" x14ac:dyDescent="0.2">
      <c r="A334" s="43" t="s">
        <v>2332</v>
      </c>
      <c r="B334" s="43" t="s">
        <v>2331</v>
      </c>
      <c r="C334" s="43" t="s">
        <v>2330</v>
      </c>
      <c r="D334" s="43">
        <v>2540</v>
      </c>
      <c r="E334" s="43" t="s">
        <v>783</v>
      </c>
      <c r="F334" s="43">
        <v>43</v>
      </c>
      <c r="G334" s="43">
        <v>331</v>
      </c>
    </row>
    <row r="335" spans="1:7" ht="16.5" customHeight="1" x14ac:dyDescent="0.2">
      <c r="A335" s="43" t="s">
        <v>2329</v>
      </c>
      <c r="B335" s="43" t="s">
        <v>2328</v>
      </c>
      <c r="C335" s="43" t="s">
        <v>2327</v>
      </c>
      <c r="D335" s="43">
        <v>2134</v>
      </c>
      <c r="E335" s="43" t="s">
        <v>2267</v>
      </c>
      <c r="F335" s="43">
        <v>28</v>
      </c>
      <c r="G335" s="43">
        <v>332</v>
      </c>
    </row>
    <row r="336" spans="1:7" ht="16.5" customHeight="1" x14ac:dyDescent="0.2">
      <c r="A336" s="43" t="s">
        <v>2326</v>
      </c>
      <c r="B336" s="43" t="s">
        <v>2325</v>
      </c>
      <c r="C336" s="43" t="s">
        <v>2324</v>
      </c>
      <c r="D336" s="43">
        <v>2178</v>
      </c>
      <c r="E336" s="43" t="s">
        <v>389</v>
      </c>
      <c r="F336" s="43">
        <v>100</v>
      </c>
      <c r="G336" s="43">
        <v>333</v>
      </c>
    </row>
    <row r="337" spans="1:7" ht="16.5" customHeight="1" x14ac:dyDescent="0.2">
      <c r="A337" s="43" t="s">
        <v>2323</v>
      </c>
      <c r="B337" s="43" t="s">
        <v>2322</v>
      </c>
      <c r="C337" s="43" t="s">
        <v>2201</v>
      </c>
      <c r="D337" s="43">
        <v>2527</v>
      </c>
      <c r="E337" s="43" t="s">
        <v>2200</v>
      </c>
      <c r="F337" s="43">
        <v>55</v>
      </c>
      <c r="G337" s="43">
        <v>334</v>
      </c>
    </row>
    <row r="338" spans="1:7" ht="16.5" customHeight="1" x14ac:dyDescent="0.2">
      <c r="A338" s="43" t="s">
        <v>2321</v>
      </c>
      <c r="B338" s="43" t="s">
        <v>2320</v>
      </c>
      <c r="C338" s="43" t="s">
        <v>2319</v>
      </c>
      <c r="D338" s="43">
        <v>2557</v>
      </c>
      <c r="E338" s="43" t="s">
        <v>1194</v>
      </c>
      <c r="F338" s="43">
        <v>58</v>
      </c>
      <c r="G338" s="43">
        <v>335</v>
      </c>
    </row>
    <row r="339" spans="1:7" ht="16.5" customHeight="1" x14ac:dyDescent="0.2">
      <c r="A339" s="43" t="s">
        <v>2318</v>
      </c>
      <c r="B339" s="43" t="s">
        <v>2317</v>
      </c>
      <c r="C339" s="43" t="s">
        <v>2316</v>
      </c>
      <c r="D339" s="43">
        <v>2233</v>
      </c>
      <c r="E339" s="43" t="s">
        <v>1024</v>
      </c>
      <c r="F339" s="43">
        <v>61</v>
      </c>
      <c r="G339" s="43">
        <v>336</v>
      </c>
    </row>
    <row r="340" spans="1:7" ht="16.5" customHeight="1" x14ac:dyDescent="0.2">
      <c r="A340" s="43" t="s">
        <v>2315</v>
      </c>
      <c r="B340" s="43" t="s">
        <v>2314</v>
      </c>
      <c r="C340" s="43" t="s">
        <v>2034</v>
      </c>
      <c r="D340" s="43">
        <v>2537</v>
      </c>
      <c r="E340" s="43" t="s">
        <v>1638</v>
      </c>
      <c r="F340" s="43">
        <v>36</v>
      </c>
      <c r="G340" s="43">
        <v>337</v>
      </c>
    </row>
    <row r="341" spans="1:7" ht="16.5" customHeight="1" x14ac:dyDescent="0.2">
      <c r="A341" s="43" t="s">
        <v>2313</v>
      </c>
      <c r="B341" s="43" t="s">
        <v>2312</v>
      </c>
      <c r="C341" s="43" t="s">
        <v>2311</v>
      </c>
      <c r="D341" s="43">
        <v>2502</v>
      </c>
      <c r="E341" s="43" t="s">
        <v>393</v>
      </c>
      <c r="F341" s="43">
        <v>87</v>
      </c>
      <c r="G341" s="43">
        <v>338</v>
      </c>
    </row>
    <row r="342" spans="1:7" ht="16.5" customHeight="1" x14ac:dyDescent="0.2">
      <c r="A342" s="43" t="s">
        <v>2310</v>
      </c>
      <c r="B342" s="43" t="s">
        <v>2309</v>
      </c>
      <c r="C342" s="43" t="s">
        <v>2308</v>
      </c>
      <c r="D342" s="43">
        <v>2259</v>
      </c>
      <c r="E342" s="43" t="s">
        <v>1006</v>
      </c>
      <c r="F342" s="43">
        <v>37</v>
      </c>
      <c r="G342" s="43">
        <v>339</v>
      </c>
    </row>
    <row r="343" spans="1:7" ht="16.5" customHeight="1" x14ac:dyDescent="0.2">
      <c r="A343" s="43" t="s">
        <v>2307</v>
      </c>
      <c r="B343" s="43" t="s">
        <v>2306</v>
      </c>
      <c r="C343" s="43" t="s">
        <v>2305</v>
      </c>
      <c r="D343" s="43">
        <v>2430</v>
      </c>
      <c r="E343" s="43" t="s">
        <v>537</v>
      </c>
      <c r="F343" s="43">
        <v>55</v>
      </c>
      <c r="G343" s="43">
        <v>340</v>
      </c>
    </row>
    <row r="344" spans="1:7" ht="16.5" customHeight="1" x14ac:dyDescent="0.2">
      <c r="A344" s="43" t="s">
        <v>2304</v>
      </c>
      <c r="B344" s="43" t="s">
        <v>2303</v>
      </c>
      <c r="C344" s="43" t="s">
        <v>598</v>
      </c>
      <c r="D344" s="43">
        <v>2380</v>
      </c>
      <c r="E344" s="43" t="s">
        <v>597</v>
      </c>
      <c r="F344" s="43">
        <v>41</v>
      </c>
      <c r="G344" s="43">
        <v>341</v>
      </c>
    </row>
    <row r="345" spans="1:7" ht="16.5" customHeight="1" x14ac:dyDescent="0.2">
      <c r="A345" s="43" t="s">
        <v>2302</v>
      </c>
      <c r="B345" s="43" t="s">
        <v>2301</v>
      </c>
      <c r="C345" s="43" t="s">
        <v>632</v>
      </c>
      <c r="D345" s="43">
        <v>2200</v>
      </c>
      <c r="E345" s="43" t="s">
        <v>631</v>
      </c>
      <c r="F345" s="43">
        <v>30</v>
      </c>
      <c r="G345" s="43">
        <v>342</v>
      </c>
    </row>
    <row r="346" spans="1:7" ht="16.5" customHeight="1" x14ac:dyDescent="0.2">
      <c r="A346" s="43" t="s">
        <v>2300</v>
      </c>
      <c r="B346" s="43" t="s">
        <v>2299</v>
      </c>
      <c r="C346" s="43" t="s">
        <v>2298</v>
      </c>
      <c r="D346" s="43">
        <v>2620</v>
      </c>
      <c r="E346" s="43" t="s">
        <v>751</v>
      </c>
      <c r="F346" s="43">
        <v>74</v>
      </c>
      <c r="G346" s="43">
        <v>343</v>
      </c>
    </row>
    <row r="347" spans="1:7" ht="16.5" customHeight="1" x14ac:dyDescent="0.2">
      <c r="A347" s="43" t="s">
        <v>2297</v>
      </c>
      <c r="B347" s="43" t="s">
        <v>2296</v>
      </c>
      <c r="C347" s="43" t="s">
        <v>2295</v>
      </c>
      <c r="D347" s="43">
        <v>2047</v>
      </c>
      <c r="E347" s="43" t="s">
        <v>366</v>
      </c>
      <c r="F347" s="43">
        <v>43</v>
      </c>
      <c r="G347" s="43">
        <v>344</v>
      </c>
    </row>
    <row r="348" spans="1:7" ht="16.5" customHeight="1" x14ac:dyDescent="0.2">
      <c r="A348" s="43" t="s">
        <v>2294</v>
      </c>
      <c r="B348" s="43" t="s">
        <v>2293</v>
      </c>
      <c r="C348" s="43" t="s">
        <v>2292</v>
      </c>
      <c r="D348" s="43">
        <v>2736</v>
      </c>
      <c r="E348" s="43" t="s">
        <v>561</v>
      </c>
      <c r="F348" s="43">
        <v>44</v>
      </c>
      <c r="G348" s="43">
        <v>345</v>
      </c>
    </row>
    <row r="349" spans="1:7" ht="16.5" customHeight="1" x14ac:dyDescent="0.2">
      <c r="A349" s="43" t="s">
        <v>2291</v>
      </c>
      <c r="B349" s="43" t="s">
        <v>2290</v>
      </c>
      <c r="C349" s="43" t="s">
        <v>2289</v>
      </c>
      <c r="D349" s="43">
        <v>2550</v>
      </c>
      <c r="E349" s="43" t="s">
        <v>808</v>
      </c>
      <c r="F349" s="43">
        <v>33</v>
      </c>
      <c r="G349" s="43">
        <v>346</v>
      </c>
    </row>
    <row r="350" spans="1:7" ht="16.5" customHeight="1" x14ac:dyDescent="0.2">
      <c r="A350" s="43" t="s">
        <v>2288</v>
      </c>
      <c r="B350" s="43" t="s">
        <v>2287</v>
      </c>
      <c r="C350" s="43" t="s">
        <v>1975</v>
      </c>
      <c r="D350" s="43">
        <v>2263</v>
      </c>
      <c r="E350" s="43" t="s">
        <v>1006</v>
      </c>
      <c r="F350" s="43">
        <v>45</v>
      </c>
      <c r="G350" s="43">
        <v>347</v>
      </c>
    </row>
    <row r="351" spans="1:7" ht="16.5" customHeight="1" x14ac:dyDescent="0.2">
      <c r="A351" s="43" t="s">
        <v>2286</v>
      </c>
      <c r="B351" s="43" t="s">
        <v>2285</v>
      </c>
      <c r="C351" s="43" t="s">
        <v>2284</v>
      </c>
      <c r="D351" s="43">
        <v>2340</v>
      </c>
      <c r="E351" s="43" t="s">
        <v>951</v>
      </c>
      <c r="F351" s="43">
        <v>60</v>
      </c>
      <c r="G351" s="43">
        <v>348</v>
      </c>
    </row>
    <row r="352" spans="1:7" ht="16.5" customHeight="1" x14ac:dyDescent="0.2">
      <c r="A352" s="43" t="s">
        <v>2283</v>
      </c>
      <c r="B352" s="43" t="s">
        <v>2282</v>
      </c>
      <c r="C352" s="43" t="s">
        <v>2281</v>
      </c>
      <c r="D352" s="43">
        <v>2750</v>
      </c>
      <c r="E352" s="43" t="s">
        <v>1031</v>
      </c>
      <c r="F352" s="43">
        <v>46</v>
      </c>
      <c r="G352" s="43">
        <v>349</v>
      </c>
    </row>
    <row r="353" spans="1:7" ht="16.5" customHeight="1" x14ac:dyDescent="0.2">
      <c r="A353" s="43" t="s">
        <v>2280</v>
      </c>
      <c r="B353" s="43" t="s">
        <v>2279</v>
      </c>
      <c r="C353" s="43" t="s">
        <v>885</v>
      </c>
      <c r="D353" s="43">
        <v>2319</v>
      </c>
      <c r="E353" s="43" t="s">
        <v>884</v>
      </c>
      <c r="F353" s="43">
        <v>35</v>
      </c>
      <c r="G353" s="43">
        <v>350</v>
      </c>
    </row>
    <row r="354" spans="1:7" ht="16.5" customHeight="1" x14ac:dyDescent="0.2">
      <c r="A354" s="43" t="s">
        <v>2278</v>
      </c>
      <c r="B354" s="43" t="s">
        <v>2277</v>
      </c>
      <c r="C354" s="43" t="s">
        <v>2276</v>
      </c>
      <c r="D354" s="43">
        <v>2560</v>
      </c>
      <c r="E354" s="43" t="s">
        <v>541</v>
      </c>
      <c r="F354" s="43">
        <v>54</v>
      </c>
      <c r="G354" s="43">
        <v>351</v>
      </c>
    </row>
    <row r="355" spans="1:7" ht="16.5" customHeight="1" x14ac:dyDescent="0.2">
      <c r="A355" s="43" t="s">
        <v>2275</v>
      </c>
      <c r="B355" s="43" t="s">
        <v>2274</v>
      </c>
      <c r="C355" s="43" t="s">
        <v>1925</v>
      </c>
      <c r="D355" s="43">
        <v>2223</v>
      </c>
      <c r="E355" s="43" t="s">
        <v>1156</v>
      </c>
      <c r="F355" s="43">
        <v>76</v>
      </c>
      <c r="G355" s="43">
        <v>352</v>
      </c>
    </row>
    <row r="356" spans="1:7" ht="16.5" customHeight="1" x14ac:dyDescent="0.2">
      <c r="A356" s="43" t="s">
        <v>2273</v>
      </c>
      <c r="B356" s="43" t="s">
        <v>2272</v>
      </c>
      <c r="C356" s="43" t="s">
        <v>1420</v>
      </c>
      <c r="D356" s="43">
        <v>2666</v>
      </c>
      <c r="E356" s="43" t="s">
        <v>831</v>
      </c>
      <c r="F356" s="43">
        <v>49</v>
      </c>
      <c r="G356" s="43">
        <v>353</v>
      </c>
    </row>
    <row r="357" spans="1:7" ht="16.5" customHeight="1" x14ac:dyDescent="0.2">
      <c r="A357" s="43" t="s">
        <v>2271</v>
      </c>
      <c r="B357" s="43" t="s">
        <v>2270</v>
      </c>
      <c r="C357" s="43" t="s">
        <v>729</v>
      </c>
      <c r="D357" s="43">
        <v>2066</v>
      </c>
      <c r="E357" s="43" t="s">
        <v>728</v>
      </c>
      <c r="F357" s="43">
        <v>47</v>
      </c>
      <c r="G357" s="43">
        <v>354</v>
      </c>
    </row>
    <row r="358" spans="1:7" ht="16.5" customHeight="1" x14ac:dyDescent="0.2">
      <c r="A358" s="43" t="s">
        <v>2269</v>
      </c>
      <c r="B358" s="43" t="s">
        <v>2268</v>
      </c>
      <c r="C358" s="43" t="s">
        <v>1987</v>
      </c>
      <c r="D358" s="43">
        <v>2133</v>
      </c>
      <c r="E358" s="43" t="s">
        <v>2267</v>
      </c>
      <c r="F358" s="43">
        <v>32</v>
      </c>
      <c r="G358" s="43">
        <v>355</v>
      </c>
    </row>
    <row r="359" spans="1:7" ht="16.5" customHeight="1" x14ac:dyDescent="0.2">
      <c r="A359" s="43" t="s">
        <v>2266</v>
      </c>
      <c r="B359" s="43" t="s">
        <v>2265</v>
      </c>
      <c r="C359" s="43" t="s">
        <v>1153</v>
      </c>
      <c r="D359" s="43">
        <v>2460</v>
      </c>
      <c r="E359" s="43" t="s">
        <v>495</v>
      </c>
      <c r="F359" s="43">
        <v>61</v>
      </c>
      <c r="G359" s="43">
        <v>356</v>
      </c>
    </row>
    <row r="360" spans="1:7" ht="16.5" customHeight="1" x14ac:dyDescent="0.2">
      <c r="A360" s="43" t="s">
        <v>2264</v>
      </c>
      <c r="B360" s="43" t="s">
        <v>2263</v>
      </c>
      <c r="C360" s="43" t="s">
        <v>2262</v>
      </c>
      <c r="D360" s="43">
        <v>2324</v>
      </c>
      <c r="E360" s="43" t="s">
        <v>537</v>
      </c>
      <c r="F360" s="43">
        <v>49</v>
      </c>
      <c r="G360" s="43">
        <v>357</v>
      </c>
    </row>
    <row r="361" spans="1:7" ht="16.5" customHeight="1" x14ac:dyDescent="0.2">
      <c r="A361" s="43" t="s">
        <v>2261</v>
      </c>
      <c r="B361" s="43" t="s">
        <v>2260</v>
      </c>
      <c r="C361" s="43" t="s">
        <v>2259</v>
      </c>
      <c r="D361" s="43">
        <v>2118</v>
      </c>
      <c r="E361" s="43" t="s">
        <v>790</v>
      </c>
      <c r="F361" s="43">
        <v>72</v>
      </c>
      <c r="G361" s="43">
        <v>358</v>
      </c>
    </row>
    <row r="362" spans="1:7" ht="16.5" customHeight="1" x14ac:dyDescent="0.2">
      <c r="A362" s="43" t="s">
        <v>2258</v>
      </c>
      <c r="B362" s="43" t="s">
        <v>2257</v>
      </c>
      <c r="C362" s="43" t="s">
        <v>915</v>
      </c>
      <c r="D362" s="43">
        <v>2525</v>
      </c>
      <c r="E362" s="43" t="s">
        <v>393</v>
      </c>
      <c r="F362" s="43">
        <v>60</v>
      </c>
      <c r="G362" s="43">
        <v>359</v>
      </c>
    </row>
    <row r="363" spans="1:7" ht="16.5" customHeight="1" x14ac:dyDescent="0.2">
      <c r="A363" s="43" t="s">
        <v>2256</v>
      </c>
      <c r="B363" s="43" t="s">
        <v>2255</v>
      </c>
      <c r="C363" s="43" t="s">
        <v>1172</v>
      </c>
      <c r="D363" s="43">
        <v>2343</v>
      </c>
      <c r="E363" s="43" t="s">
        <v>519</v>
      </c>
      <c r="F363" s="43">
        <v>36</v>
      </c>
      <c r="G363" s="43">
        <v>360</v>
      </c>
    </row>
    <row r="364" spans="1:7" ht="16.5" customHeight="1" x14ac:dyDescent="0.2">
      <c r="A364" s="43" t="s">
        <v>2254</v>
      </c>
      <c r="B364" s="43" t="s">
        <v>2253</v>
      </c>
      <c r="C364" s="43" t="s">
        <v>2252</v>
      </c>
      <c r="D364" s="43">
        <v>2488</v>
      </c>
      <c r="E364" s="43" t="s">
        <v>1106</v>
      </c>
      <c r="F364" s="43">
        <v>45</v>
      </c>
      <c r="G364" s="43">
        <v>361</v>
      </c>
    </row>
    <row r="365" spans="1:7" ht="16.5" customHeight="1" x14ac:dyDescent="0.2">
      <c r="A365" s="43" t="s">
        <v>2251</v>
      </c>
      <c r="B365" s="43" t="s">
        <v>2250</v>
      </c>
      <c r="C365" s="43" t="s">
        <v>2249</v>
      </c>
      <c r="D365" s="43">
        <v>2534</v>
      </c>
      <c r="E365" s="43" t="s">
        <v>972</v>
      </c>
      <c r="F365" s="43">
        <v>40</v>
      </c>
      <c r="G365" s="43">
        <v>362</v>
      </c>
    </row>
    <row r="366" spans="1:7" ht="16.5" customHeight="1" x14ac:dyDescent="0.2">
      <c r="A366" s="43" t="s">
        <v>2248</v>
      </c>
      <c r="B366" s="43" t="s">
        <v>2247</v>
      </c>
      <c r="C366" s="43" t="s">
        <v>2246</v>
      </c>
      <c r="D366" s="43">
        <v>2281</v>
      </c>
      <c r="E366" s="43" t="s">
        <v>435</v>
      </c>
      <c r="F366" s="43">
        <v>61</v>
      </c>
      <c r="G366" s="43">
        <v>363</v>
      </c>
    </row>
    <row r="367" spans="1:7" ht="16.5" customHeight="1" x14ac:dyDescent="0.2">
      <c r="A367" s="43" t="s">
        <v>2245</v>
      </c>
      <c r="B367" s="43" t="s">
        <v>2244</v>
      </c>
      <c r="C367" s="43" t="s">
        <v>2243</v>
      </c>
      <c r="D367" s="43">
        <v>2326</v>
      </c>
      <c r="E367" s="43" t="s">
        <v>670</v>
      </c>
      <c r="F367" s="43">
        <v>50</v>
      </c>
      <c r="G367" s="43">
        <v>364</v>
      </c>
    </row>
    <row r="368" spans="1:7" ht="16.5" customHeight="1" x14ac:dyDescent="0.2">
      <c r="A368" s="43" t="s">
        <v>2242</v>
      </c>
      <c r="B368" s="43" t="s">
        <v>2241</v>
      </c>
      <c r="C368" s="43" t="s">
        <v>1288</v>
      </c>
      <c r="D368" s="43">
        <v>2447</v>
      </c>
      <c r="E368" s="43" t="s">
        <v>635</v>
      </c>
      <c r="F368" s="43">
        <v>40</v>
      </c>
      <c r="G368" s="43">
        <v>365</v>
      </c>
    </row>
    <row r="369" spans="1:7" ht="16.5" customHeight="1" x14ac:dyDescent="0.2">
      <c r="A369" s="43" t="s">
        <v>2240</v>
      </c>
      <c r="B369" s="43" t="s">
        <v>2239</v>
      </c>
      <c r="C369" s="43" t="s">
        <v>891</v>
      </c>
      <c r="D369" s="43">
        <v>2821</v>
      </c>
      <c r="E369" s="43" t="s">
        <v>688</v>
      </c>
      <c r="F369" s="43">
        <v>45</v>
      </c>
      <c r="G369" s="43">
        <v>366</v>
      </c>
    </row>
    <row r="370" spans="1:7" ht="16.5" customHeight="1" x14ac:dyDescent="0.2">
      <c r="A370" s="43" t="s">
        <v>2238</v>
      </c>
      <c r="B370" s="43" t="s">
        <v>2237</v>
      </c>
      <c r="C370" s="43" t="s">
        <v>2236</v>
      </c>
      <c r="D370" s="43">
        <v>2324</v>
      </c>
      <c r="E370" s="43" t="s">
        <v>884</v>
      </c>
      <c r="F370" s="43">
        <v>42</v>
      </c>
      <c r="G370" s="43">
        <v>367</v>
      </c>
    </row>
    <row r="371" spans="1:7" ht="16.5" customHeight="1" x14ac:dyDescent="0.2">
      <c r="A371" s="43" t="s">
        <v>2235</v>
      </c>
      <c r="B371" s="43" t="s">
        <v>2234</v>
      </c>
      <c r="C371" s="43" t="s">
        <v>2233</v>
      </c>
      <c r="D371" s="43">
        <v>2440</v>
      </c>
      <c r="E371" s="43" t="s">
        <v>455</v>
      </c>
      <c r="F371" s="43">
        <v>46</v>
      </c>
      <c r="G371" s="43">
        <v>368</v>
      </c>
    </row>
    <row r="372" spans="1:7" ht="16.5" customHeight="1" x14ac:dyDescent="0.2">
      <c r="A372" s="43" t="s">
        <v>2232</v>
      </c>
      <c r="B372" s="43" t="s">
        <v>2231</v>
      </c>
      <c r="C372" s="43" t="s">
        <v>413</v>
      </c>
      <c r="D372" s="43">
        <v>2671</v>
      </c>
      <c r="E372" s="43" t="s">
        <v>324</v>
      </c>
      <c r="F372" s="43">
        <v>51</v>
      </c>
      <c r="G372" s="43">
        <v>369</v>
      </c>
    </row>
    <row r="373" spans="1:7" ht="16.5" customHeight="1" x14ac:dyDescent="0.2">
      <c r="A373" s="43" t="s">
        <v>2230</v>
      </c>
      <c r="B373" s="43" t="s">
        <v>2229</v>
      </c>
      <c r="C373" s="43" t="s">
        <v>2228</v>
      </c>
      <c r="D373" s="43">
        <v>2747</v>
      </c>
      <c r="E373" s="43" t="s">
        <v>1031</v>
      </c>
      <c r="F373" s="43">
        <v>44</v>
      </c>
      <c r="G373" s="43">
        <v>370</v>
      </c>
    </row>
    <row r="374" spans="1:7" ht="16.5" customHeight="1" x14ac:dyDescent="0.2">
      <c r="A374" s="43" t="s">
        <v>2227</v>
      </c>
      <c r="B374" s="43" t="s">
        <v>2226</v>
      </c>
      <c r="C374" s="43" t="s">
        <v>2225</v>
      </c>
      <c r="D374" s="43">
        <v>2205</v>
      </c>
      <c r="E374" s="43" t="s">
        <v>618</v>
      </c>
      <c r="F374" s="43">
        <v>40</v>
      </c>
      <c r="G374" s="43">
        <v>371</v>
      </c>
    </row>
    <row r="375" spans="1:7" ht="16.5" customHeight="1" x14ac:dyDescent="0.2">
      <c r="A375" s="43" t="s">
        <v>2224</v>
      </c>
      <c r="B375" s="43" t="s">
        <v>2223</v>
      </c>
      <c r="C375" s="43" t="s">
        <v>602</v>
      </c>
      <c r="D375" s="43">
        <v>2880</v>
      </c>
      <c r="E375" s="43" t="s">
        <v>601</v>
      </c>
      <c r="F375" s="43">
        <v>36</v>
      </c>
      <c r="G375" s="43">
        <v>372</v>
      </c>
    </row>
    <row r="376" spans="1:7" ht="16.5" customHeight="1" x14ac:dyDescent="0.2">
      <c r="A376" s="43" t="s">
        <v>2222</v>
      </c>
      <c r="B376" s="43" t="s">
        <v>2221</v>
      </c>
      <c r="C376" s="43" t="s">
        <v>538</v>
      </c>
      <c r="D376" s="43">
        <v>2422</v>
      </c>
      <c r="E376" s="43" t="s">
        <v>537</v>
      </c>
      <c r="F376" s="43">
        <v>28</v>
      </c>
      <c r="G376" s="43">
        <v>373</v>
      </c>
    </row>
    <row r="377" spans="1:7" ht="16.5" customHeight="1" x14ac:dyDescent="0.2">
      <c r="A377" s="43" t="s">
        <v>2220</v>
      </c>
      <c r="B377" s="43" t="s">
        <v>2219</v>
      </c>
      <c r="C377" s="43" t="s">
        <v>492</v>
      </c>
      <c r="D377" s="43">
        <v>2870</v>
      </c>
      <c r="E377" s="43" t="s">
        <v>491</v>
      </c>
      <c r="F377" s="43">
        <v>53</v>
      </c>
      <c r="G377" s="43">
        <v>374</v>
      </c>
    </row>
    <row r="378" spans="1:7" ht="16.5" customHeight="1" x14ac:dyDescent="0.2">
      <c r="A378" s="43" t="s">
        <v>2218</v>
      </c>
      <c r="B378" s="43" t="s">
        <v>2217</v>
      </c>
      <c r="C378" s="43" t="s">
        <v>1361</v>
      </c>
      <c r="D378" s="43">
        <v>2295</v>
      </c>
      <c r="E378" s="43" t="s">
        <v>344</v>
      </c>
      <c r="F378" s="43">
        <v>44</v>
      </c>
      <c r="G378" s="43">
        <v>375</v>
      </c>
    </row>
    <row r="379" spans="1:7" ht="16.5" customHeight="1" x14ac:dyDescent="0.2">
      <c r="A379" s="43" t="s">
        <v>2216</v>
      </c>
      <c r="B379" s="43" t="s">
        <v>2215</v>
      </c>
      <c r="C379" s="43" t="s">
        <v>2214</v>
      </c>
      <c r="D379" s="43">
        <v>2456</v>
      </c>
      <c r="E379" s="43" t="s">
        <v>484</v>
      </c>
      <c r="F379" s="43">
        <v>57</v>
      </c>
      <c r="G379" s="43">
        <v>376</v>
      </c>
    </row>
    <row r="380" spans="1:7" ht="16.5" customHeight="1" x14ac:dyDescent="0.2">
      <c r="A380" s="43" t="s">
        <v>2213</v>
      </c>
      <c r="B380" s="43" t="s">
        <v>2212</v>
      </c>
      <c r="C380" s="43" t="s">
        <v>2211</v>
      </c>
      <c r="D380" s="43">
        <v>2489</v>
      </c>
      <c r="E380" s="43" t="s">
        <v>1106</v>
      </c>
      <c r="F380" s="43">
        <v>41</v>
      </c>
      <c r="G380" s="43">
        <v>377</v>
      </c>
    </row>
    <row r="381" spans="1:7" ht="16.5" customHeight="1" x14ac:dyDescent="0.2">
      <c r="A381" s="43" t="s">
        <v>2210</v>
      </c>
      <c r="B381" s="43" t="s">
        <v>2209</v>
      </c>
      <c r="C381" s="43" t="s">
        <v>1564</v>
      </c>
      <c r="D381" s="43">
        <v>2211</v>
      </c>
      <c r="E381" s="43" t="s">
        <v>631</v>
      </c>
      <c r="F381" s="43">
        <v>51</v>
      </c>
      <c r="G381" s="43">
        <v>378</v>
      </c>
    </row>
    <row r="382" spans="1:7" ht="16.5" customHeight="1" x14ac:dyDescent="0.2">
      <c r="A382" s="43" t="s">
        <v>2208</v>
      </c>
      <c r="B382" s="43" t="s">
        <v>2207</v>
      </c>
      <c r="C382" s="43" t="s">
        <v>1853</v>
      </c>
      <c r="D382" s="43">
        <v>2832</v>
      </c>
      <c r="E382" s="43" t="s">
        <v>1526</v>
      </c>
      <c r="F382" s="43">
        <v>36</v>
      </c>
      <c r="G382" s="43">
        <v>379</v>
      </c>
    </row>
    <row r="383" spans="1:7" ht="16.5" customHeight="1" x14ac:dyDescent="0.2">
      <c r="A383" s="43" t="s">
        <v>2206</v>
      </c>
      <c r="B383" s="43" t="s">
        <v>2205</v>
      </c>
      <c r="C383" s="43" t="s">
        <v>2204</v>
      </c>
      <c r="D383" s="43">
        <v>2518</v>
      </c>
      <c r="E383" s="43" t="s">
        <v>393</v>
      </c>
      <c r="F383" s="43">
        <v>42</v>
      </c>
      <c r="G383" s="43">
        <v>380</v>
      </c>
    </row>
    <row r="384" spans="1:7" ht="16.5" customHeight="1" x14ac:dyDescent="0.2">
      <c r="A384" s="43" t="s">
        <v>2203</v>
      </c>
      <c r="B384" s="43" t="s">
        <v>2202</v>
      </c>
      <c r="C384" s="43" t="s">
        <v>2201</v>
      </c>
      <c r="D384" s="43">
        <v>2527</v>
      </c>
      <c r="E384" s="43" t="s">
        <v>2200</v>
      </c>
      <c r="F384" s="43">
        <v>53</v>
      </c>
      <c r="G384" s="43">
        <v>381</v>
      </c>
    </row>
    <row r="385" spans="1:7" ht="16.5" customHeight="1" x14ac:dyDescent="0.2">
      <c r="A385" s="43" t="s">
        <v>2199</v>
      </c>
      <c r="B385" s="43" t="s">
        <v>2198</v>
      </c>
      <c r="C385" s="43" t="s">
        <v>930</v>
      </c>
      <c r="D385" s="43">
        <v>2713</v>
      </c>
      <c r="E385" s="43" t="s">
        <v>850</v>
      </c>
      <c r="F385" s="43">
        <v>41</v>
      </c>
      <c r="G385" s="43">
        <v>382</v>
      </c>
    </row>
    <row r="386" spans="1:7" ht="16.5" customHeight="1" x14ac:dyDescent="0.2">
      <c r="A386" s="43" t="s">
        <v>2197</v>
      </c>
      <c r="B386" s="43" t="s">
        <v>2196</v>
      </c>
      <c r="C386" s="43" t="s">
        <v>2195</v>
      </c>
      <c r="D386" s="43">
        <v>2210</v>
      </c>
      <c r="E386" s="43" t="s">
        <v>1156</v>
      </c>
      <c r="F386" s="43">
        <v>30</v>
      </c>
      <c r="G386" s="43">
        <v>383</v>
      </c>
    </row>
    <row r="387" spans="1:7" ht="16.5" customHeight="1" x14ac:dyDescent="0.2">
      <c r="A387" s="43" t="s">
        <v>2194</v>
      </c>
      <c r="B387" s="43" t="s">
        <v>2193</v>
      </c>
      <c r="C387" s="43" t="s">
        <v>2192</v>
      </c>
      <c r="D387" s="43">
        <v>2427</v>
      </c>
      <c r="E387" s="43" t="s">
        <v>537</v>
      </c>
      <c r="F387" s="43">
        <v>42</v>
      </c>
      <c r="G387" s="43">
        <v>384</v>
      </c>
    </row>
    <row r="388" spans="1:7" ht="16.5" customHeight="1" x14ac:dyDescent="0.2">
      <c r="A388" s="43" t="s">
        <v>2191</v>
      </c>
      <c r="B388" s="43" t="s">
        <v>2190</v>
      </c>
      <c r="C388" s="43" t="s">
        <v>777</v>
      </c>
      <c r="D388" s="43">
        <v>2097</v>
      </c>
      <c r="E388" s="43" t="s">
        <v>355</v>
      </c>
      <c r="F388" s="43">
        <v>42</v>
      </c>
      <c r="G388" s="43">
        <v>385</v>
      </c>
    </row>
    <row r="389" spans="1:7" ht="16.5" customHeight="1" x14ac:dyDescent="0.2">
      <c r="A389" s="43" t="s">
        <v>2189</v>
      </c>
      <c r="B389" s="43" t="s">
        <v>2188</v>
      </c>
      <c r="C389" s="43" t="s">
        <v>2187</v>
      </c>
      <c r="D389" s="43">
        <v>2643</v>
      </c>
      <c r="E389" s="43" t="s">
        <v>467</v>
      </c>
      <c r="F389" s="43">
        <v>52</v>
      </c>
      <c r="G389" s="43">
        <v>386</v>
      </c>
    </row>
    <row r="390" spans="1:7" ht="16.5" customHeight="1" x14ac:dyDescent="0.2">
      <c r="A390" s="43" t="s">
        <v>2186</v>
      </c>
      <c r="B390" s="43" t="s">
        <v>2185</v>
      </c>
      <c r="C390" s="43" t="s">
        <v>2184</v>
      </c>
      <c r="D390" s="43">
        <v>2143</v>
      </c>
      <c r="E390" s="43" t="s">
        <v>377</v>
      </c>
      <c r="F390" s="43">
        <v>74</v>
      </c>
      <c r="G390" s="43">
        <v>387</v>
      </c>
    </row>
    <row r="391" spans="1:7" ht="16.5" customHeight="1" x14ac:dyDescent="0.2">
      <c r="A391" s="43" t="s">
        <v>2183</v>
      </c>
      <c r="B391" s="43" t="s">
        <v>2182</v>
      </c>
      <c r="C391" s="43" t="s">
        <v>2181</v>
      </c>
      <c r="D391" s="43">
        <v>2840</v>
      </c>
      <c r="E391" s="43" t="s">
        <v>2180</v>
      </c>
      <c r="F391" s="43">
        <v>30</v>
      </c>
      <c r="G391" s="43">
        <v>388</v>
      </c>
    </row>
    <row r="392" spans="1:7" ht="16.5" customHeight="1" x14ac:dyDescent="0.2">
      <c r="A392" s="43" t="s">
        <v>2179</v>
      </c>
      <c r="B392" s="43" t="s">
        <v>2178</v>
      </c>
      <c r="C392" s="43" t="s">
        <v>2177</v>
      </c>
      <c r="D392" s="43">
        <v>2190</v>
      </c>
      <c r="E392" s="43" t="s">
        <v>631</v>
      </c>
      <c r="F392" s="43">
        <v>66</v>
      </c>
      <c r="G392" s="43">
        <v>389</v>
      </c>
    </row>
    <row r="393" spans="1:7" ht="16.5" customHeight="1" x14ac:dyDescent="0.2">
      <c r="A393" s="43" t="s">
        <v>2176</v>
      </c>
      <c r="B393" s="43" t="s">
        <v>2175</v>
      </c>
      <c r="C393" s="43" t="s">
        <v>2174</v>
      </c>
      <c r="D393" s="43">
        <v>2286</v>
      </c>
      <c r="E393" s="43" t="s">
        <v>435</v>
      </c>
      <c r="F393" s="43">
        <v>49</v>
      </c>
      <c r="G393" s="43">
        <v>390</v>
      </c>
    </row>
    <row r="394" spans="1:7" ht="16.5" customHeight="1" x14ac:dyDescent="0.2">
      <c r="A394" s="43" t="s">
        <v>2173</v>
      </c>
      <c r="B394" s="43" t="s">
        <v>2172</v>
      </c>
      <c r="C394" s="43" t="s">
        <v>2171</v>
      </c>
      <c r="D394" s="43">
        <v>2046</v>
      </c>
      <c r="E394" s="43" t="s">
        <v>366</v>
      </c>
      <c r="F394" s="43">
        <v>38</v>
      </c>
      <c r="G394" s="43">
        <v>391</v>
      </c>
    </row>
    <row r="395" spans="1:7" ht="16.5" customHeight="1" x14ac:dyDescent="0.2">
      <c r="A395" s="43" t="s">
        <v>2170</v>
      </c>
      <c r="B395" s="43" t="s">
        <v>2169</v>
      </c>
      <c r="C395" s="43" t="s">
        <v>352</v>
      </c>
      <c r="D395" s="43">
        <v>2360</v>
      </c>
      <c r="E395" s="43" t="s">
        <v>351</v>
      </c>
      <c r="F395" s="43">
        <v>33</v>
      </c>
      <c r="G395" s="43">
        <v>392</v>
      </c>
    </row>
    <row r="396" spans="1:7" ht="16.5" customHeight="1" x14ac:dyDescent="0.2">
      <c r="A396" s="43" t="s">
        <v>2168</v>
      </c>
      <c r="B396" s="43" t="s">
        <v>2167</v>
      </c>
      <c r="C396" s="43" t="s">
        <v>448</v>
      </c>
      <c r="D396" s="43">
        <v>2663</v>
      </c>
      <c r="E396" s="43" t="s">
        <v>447</v>
      </c>
      <c r="F396" s="43">
        <v>42</v>
      </c>
      <c r="G396" s="43">
        <v>393</v>
      </c>
    </row>
    <row r="397" spans="1:7" ht="16.5" customHeight="1" x14ac:dyDescent="0.2">
      <c r="A397" s="43" t="s">
        <v>2166</v>
      </c>
      <c r="B397" s="43" t="s">
        <v>2165</v>
      </c>
      <c r="C397" s="43" t="s">
        <v>2164</v>
      </c>
      <c r="D397" s="43">
        <v>2539</v>
      </c>
      <c r="E397" s="43" t="s">
        <v>783</v>
      </c>
      <c r="F397" s="43">
        <v>62</v>
      </c>
      <c r="G397" s="43">
        <v>394</v>
      </c>
    </row>
    <row r="398" spans="1:7" ht="16.5" customHeight="1" x14ac:dyDescent="0.2">
      <c r="A398" s="43" t="s">
        <v>2163</v>
      </c>
      <c r="B398" s="43" t="s">
        <v>2162</v>
      </c>
      <c r="C398" s="43" t="s">
        <v>2161</v>
      </c>
      <c r="D398" s="43">
        <v>2773</v>
      </c>
      <c r="E398" s="43" t="s">
        <v>904</v>
      </c>
      <c r="F398" s="43">
        <v>53</v>
      </c>
      <c r="G398" s="43">
        <v>395</v>
      </c>
    </row>
    <row r="399" spans="1:7" ht="16.5" customHeight="1" x14ac:dyDescent="0.2">
      <c r="A399" s="43" t="s">
        <v>2160</v>
      </c>
      <c r="B399" s="43" t="s">
        <v>2159</v>
      </c>
      <c r="C399" s="43" t="s">
        <v>2158</v>
      </c>
      <c r="D399" s="43">
        <v>2259</v>
      </c>
      <c r="E399" s="43" t="s">
        <v>1006</v>
      </c>
      <c r="F399" s="43">
        <v>18</v>
      </c>
      <c r="G399" s="43">
        <v>396</v>
      </c>
    </row>
    <row r="400" spans="1:7" ht="16.5" customHeight="1" x14ac:dyDescent="0.2">
      <c r="A400" s="43" t="s">
        <v>2157</v>
      </c>
      <c r="B400" s="43" t="s">
        <v>2156</v>
      </c>
      <c r="C400" s="43" t="s">
        <v>1274</v>
      </c>
      <c r="D400" s="43">
        <v>2580</v>
      </c>
      <c r="E400" s="43" t="s">
        <v>1273</v>
      </c>
      <c r="F400" s="43">
        <v>31</v>
      </c>
      <c r="G400" s="43">
        <v>397</v>
      </c>
    </row>
    <row r="401" spans="1:7" ht="16.5" customHeight="1" x14ac:dyDescent="0.2">
      <c r="A401" s="43" t="s">
        <v>2155</v>
      </c>
      <c r="B401" s="43" t="s">
        <v>2154</v>
      </c>
      <c r="C401" s="43" t="s">
        <v>2153</v>
      </c>
      <c r="D401" s="43">
        <v>2440</v>
      </c>
      <c r="E401" s="43" t="s">
        <v>455</v>
      </c>
      <c r="F401" s="43">
        <v>49</v>
      </c>
      <c r="G401" s="43">
        <v>398</v>
      </c>
    </row>
    <row r="402" spans="1:7" ht="16.5" customHeight="1" x14ac:dyDescent="0.2">
      <c r="A402" s="43" t="s">
        <v>2152</v>
      </c>
      <c r="B402" s="43" t="s">
        <v>2151</v>
      </c>
      <c r="C402" s="43" t="s">
        <v>2150</v>
      </c>
      <c r="D402" s="43">
        <v>2508</v>
      </c>
      <c r="E402" s="43" t="s">
        <v>393</v>
      </c>
      <c r="F402" s="43">
        <v>49</v>
      </c>
      <c r="G402" s="43">
        <v>399</v>
      </c>
    </row>
    <row r="403" spans="1:7" ht="16.5" customHeight="1" x14ac:dyDescent="0.2">
      <c r="A403" s="43" t="s">
        <v>2149</v>
      </c>
      <c r="B403" s="43" t="s">
        <v>2148</v>
      </c>
      <c r="C403" s="43" t="s">
        <v>2147</v>
      </c>
      <c r="D403" s="43">
        <v>2020</v>
      </c>
      <c r="E403" s="43" t="s">
        <v>618</v>
      </c>
      <c r="F403" s="43">
        <v>44</v>
      </c>
      <c r="G403" s="43">
        <v>400</v>
      </c>
    </row>
    <row r="404" spans="1:7" ht="16.5" customHeight="1" x14ac:dyDescent="0.2">
      <c r="A404" s="43" t="s">
        <v>2146</v>
      </c>
      <c r="B404" s="43" t="s">
        <v>2145</v>
      </c>
      <c r="C404" s="43" t="s">
        <v>2144</v>
      </c>
      <c r="D404" s="43">
        <v>2292</v>
      </c>
      <c r="E404" s="43" t="s">
        <v>344</v>
      </c>
      <c r="F404" s="43">
        <v>31</v>
      </c>
      <c r="G404" s="43">
        <v>401</v>
      </c>
    </row>
    <row r="405" spans="1:7" ht="16.5" customHeight="1" x14ac:dyDescent="0.2">
      <c r="A405" s="43" t="s">
        <v>2143</v>
      </c>
      <c r="B405" s="43" t="s">
        <v>2142</v>
      </c>
      <c r="C405" s="43" t="s">
        <v>2141</v>
      </c>
      <c r="D405" s="43">
        <v>2473</v>
      </c>
      <c r="E405" s="43" t="s">
        <v>401</v>
      </c>
      <c r="F405" s="43">
        <v>46</v>
      </c>
      <c r="G405" s="43">
        <v>402</v>
      </c>
    </row>
    <row r="406" spans="1:7" ht="16.5" customHeight="1" x14ac:dyDescent="0.2">
      <c r="A406" s="43" t="s">
        <v>2140</v>
      </c>
      <c r="B406" s="43" t="s">
        <v>2139</v>
      </c>
      <c r="C406" s="43" t="s">
        <v>2138</v>
      </c>
      <c r="D406" s="43">
        <v>2152</v>
      </c>
      <c r="E406" s="43" t="s">
        <v>790</v>
      </c>
      <c r="F406" s="43">
        <v>45</v>
      </c>
      <c r="G406" s="43">
        <v>403</v>
      </c>
    </row>
    <row r="407" spans="1:7" ht="16.5" customHeight="1" x14ac:dyDescent="0.2">
      <c r="A407" s="43" t="s">
        <v>2137</v>
      </c>
      <c r="B407" s="43" t="s">
        <v>2136</v>
      </c>
      <c r="C407" s="43" t="s">
        <v>966</v>
      </c>
      <c r="D407" s="43">
        <v>2827</v>
      </c>
      <c r="E407" s="43" t="s">
        <v>965</v>
      </c>
      <c r="F407" s="43">
        <v>38</v>
      </c>
      <c r="G407" s="43">
        <v>404</v>
      </c>
    </row>
    <row r="408" spans="1:7" ht="16.5" customHeight="1" x14ac:dyDescent="0.2">
      <c r="A408" s="43" t="s">
        <v>2135</v>
      </c>
      <c r="B408" s="43" t="s">
        <v>2134</v>
      </c>
      <c r="C408" s="43" t="s">
        <v>1553</v>
      </c>
      <c r="D408" s="43">
        <v>2230</v>
      </c>
      <c r="E408" s="43" t="s">
        <v>1024</v>
      </c>
      <c r="F408" s="43">
        <v>48</v>
      </c>
      <c r="G408" s="43">
        <v>405</v>
      </c>
    </row>
    <row r="409" spans="1:7" ht="16.5" customHeight="1" x14ac:dyDescent="0.2">
      <c r="A409" s="43" t="s">
        <v>2133</v>
      </c>
      <c r="B409" s="43" t="s">
        <v>2132</v>
      </c>
      <c r="C409" s="43" t="s">
        <v>2131</v>
      </c>
      <c r="D409" s="43">
        <v>2548</v>
      </c>
      <c r="E409" s="43" t="s">
        <v>808</v>
      </c>
      <c r="F409" s="43">
        <v>41</v>
      </c>
      <c r="G409" s="43">
        <v>406</v>
      </c>
    </row>
    <row r="410" spans="1:7" ht="16.5" customHeight="1" x14ac:dyDescent="0.2">
      <c r="A410" s="43" t="s">
        <v>2130</v>
      </c>
      <c r="B410" s="43" t="s">
        <v>2129</v>
      </c>
      <c r="C410" s="43" t="s">
        <v>2128</v>
      </c>
      <c r="D410" s="43">
        <v>2546</v>
      </c>
      <c r="E410" s="43" t="s">
        <v>808</v>
      </c>
      <c r="F410" s="43">
        <v>43</v>
      </c>
      <c r="G410" s="43">
        <v>407</v>
      </c>
    </row>
    <row r="411" spans="1:7" ht="16.5" customHeight="1" x14ac:dyDescent="0.2">
      <c r="A411" s="43" t="s">
        <v>2127</v>
      </c>
      <c r="B411" s="43" t="s">
        <v>2126</v>
      </c>
      <c r="C411" s="43" t="s">
        <v>2125</v>
      </c>
      <c r="D411" s="43">
        <v>2159</v>
      </c>
      <c r="E411" s="43" t="s">
        <v>695</v>
      </c>
      <c r="F411" s="43">
        <v>47</v>
      </c>
      <c r="G411" s="43">
        <v>408</v>
      </c>
    </row>
    <row r="412" spans="1:7" ht="16.5" customHeight="1" x14ac:dyDescent="0.2">
      <c r="A412" s="43" t="s">
        <v>2124</v>
      </c>
      <c r="B412" s="43" t="s">
        <v>2123</v>
      </c>
      <c r="C412" s="43" t="s">
        <v>1376</v>
      </c>
      <c r="D412" s="43">
        <v>2372</v>
      </c>
      <c r="E412" s="43" t="s">
        <v>1375</v>
      </c>
      <c r="F412" s="43">
        <v>33</v>
      </c>
      <c r="G412" s="43">
        <v>409</v>
      </c>
    </row>
    <row r="413" spans="1:7" ht="16.5" customHeight="1" x14ac:dyDescent="0.2">
      <c r="A413" s="43" t="s">
        <v>2122</v>
      </c>
      <c r="B413" s="43" t="s">
        <v>2121</v>
      </c>
      <c r="C413" s="43" t="s">
        <v>2120</v>
      </c>
      <c r="D413" s="43">
        <v>2464</v>
      </c>
      <c r="E413" s="43" t="s">
        <v>495</v>
      </c>
      <c r="F413" s="43">
        <v>47</v>
      </c>
      <c r="G413" s="43">
        <v>410</v>
      </c>
    </row>
    <row r="414" spans="1:7" ht="16.5" customHeight="1" x14ac:dyDescent="0.2">
      <c r="A414" s="43" t="s">
        <v>2119</v>
      </c>
      <c r="B414" s="43" t="s">
        <v>2118</v>
      </c>
      <c r="C414" s="43" t="s">
        <v>2117</v>
      </c>
      <c r="D414" s="43">
        <v>2536</v>
      </c>
      <c r="E414" s="43" t="s">
        <v>1638</v>
      </c>
      <c r="F414" s="43">
        <v>56</v>
      </c>
      <c r="G414" s="43">
        <v>411</v>
      </c>
    </row>
    <row r="415" spans="1:7" ht="16.5" customHeight="1" x14ac:dyDescent="0.2">
      <c r="A415" s="43" t="s">
        <v>2116</v>
      </c>
      <c r="B415" s="43" t="s">
        <v>2115</v>
      </c>
      <c r="C415" s="43" t="s">
        <v>428</v>
      </c>
      <c r="D415" s="43">
        <v>2176</v>
      </c>
      <c r="E415" s="43" t="s">
        <v>427</v>
      </c>
      <c r="F415" s="43">
        <v>48</v>
      </c>
      <c r="G415" s="43">
        <v>412</v>
      </c>
    </row>
    <row r="416" spans="1:7" ht="16.5" customHeight="1" x14ac:dyDescent="0.2">
      <c r="A416" s="43" t="s">
        <v>2114</v>
      </c>
      <c r="B416" s="43" t="s">
        <v>2113</v>
      </c>
      <c r="C416" s="43" t="s">
        <v>2112</v>
      </c>
      <c r="D416" s="43">
        <v>2281</v>
      </c>
      <c r="E416" s="43" t="s">
        <v>435</v>
      </c>
      <c r="F416" s="43">
        <v>32</v>
      </c>
      <c r="G416" s="43">
        <v>413</v>
      </c>
    </row>
    <row r="417" spans="1:7" ht="16.5" customHeight="1" x14ac:dyDescent="0.2">
      <c r="A417" s="43" t="s">
        <v>2111</v>
      </c>
      <c r="B417" s="43" t="s">
        <v>2110</v>
      </c>
      <c r="C417" s="43" t="s">
        <v>2109</v>
      </c>
      <c r="D417" s="43">
        <v>2340</v>
      </c>
      <c r="E417" s="43" t="s">
        <v>951</v>
      </c>
      <c r="F417" s="43">
        <v>32</v>
      </c>
      <c r="G417" s="43">
        <v>414</v>
      </c>
    </row>
    <row r="418" spans="1:7" ht="16.5" customHeight="1" x14ac:dyDescent="0.2">
      <c r="A418" s="43" t="s">
        <v>2108</v>
      </c>
      <c r="B418" s="43" t="s">
        <v>2107</v>
      </c>
      <c r="C418" s="43" t="s">
        <v>2100</v>
      </c>
      <c r="D418" s="43">
        <v>2500</v>
      </c>
      <c r="E418" s="43" t="s">
        <v>393</v>
      </c>
      <c r="F418" s="43">
        <v>57</v>
      </c>
      <c r="G418" s="43">
        <v>415</v>
      </c>
    </row>
    <row r="419" spans="1:7" ht="16.5" customHeight="1" x14ac:dyDescent="0.2">
      <c r="A419" s="43" t="s">
        <v>2106</v>
      </c>
      <c r="B419" s="43" t="s">
        <v>2105</v>
      </c>
      <c r="C419" s="43" t="s">
        <v>1704</v>
      </c>
      <c r="D419" s="43">
        <v>2830</v>
      </c>
      <c r="E419" s="43" t="s">
        <v>420</v>
      </c>
      <c r="F419" s="43">
        <v>39</v>
      </c>
      <c r="G419" s="43">
        <v>416</v>
      </c>
    </row>
    <row r="420" spans="1:7" ht="16.5" customHeight="1" x14ac:dyDescent="0.2">
      <c r="A420" s="43" t="s">
        <v>2104</v>
      </c>
      <c r="B420" s="43" t="s">
        <v>2103</v>
      </c>
      <c r="C420" s="43" t="s">
        <v>1187</v>
      </c>
      <c r="D420" s="43">
        <v>2877</v>
      </c>
      <c r="E420" s="43" t="s">
        <v>370</v>
      </c>
      <c r="F420" s="43">
        <v>36</v>
      </c>
      <c r="G420" s="43">
        <v>417</v>
      </c>
    </row>
    <row r="421" spans="1:7" ht="16.5" customHeight="1" x14ac:dyDescent="0.2">
      <c r="A421" s="43" t="s">
        <v>2102</v>
      </c>
      <c r="B421" s="43" t="s">
        <v>2101</v>
      </c>
      <c r="C421" s="43" t="s">
        <v>2100</v>
      </c>
      <c r="D421" s="43">
        <v>2500</v>
      </c>
      <c r="E421" s="43" t="s">
        <v>393</v>
      </c>
      <c r="F421" s="43">
        <v>53</v>
      </c>
      <c r="G421" s="43">
        <v>418</v>
      </c>
    </row>
    <row r="422" spans="1:7" ht="16.5" customHeight="1" x14ac:dyDescent="0.2">
      <c r="A422" s="43" t="s">
        <v>2099</v>
      </c>
      <c r="B422" s="43" t="s">
        <v>2098</v>
      </c>
      <c r="C422" s="43" t="s">
        <v>2097</v>
      </c>
      <c r="D422" s="43">
        <v>2323</v>
      </c>
      <c r="E422" s="43" t="s">
        <v>1416</v>
      </c>
      <c r="F422" s="43">
        <v>40</v>
      </c>
      <c r="G422" s="43">
        <v>419</v>
      </c>
    </row>
    <row r="423" spans="1:7" ht="16.5" customHeight="1" x14ac:dyDescent="0.2">
      <c r="A423" s="43" t="s">
        <v>2096</v>
      </c>
      <c r="B423" s="43" t="s">
        <v>2095</v>
      </c>
      <c r="C423" s="43" t="s">
        <v>1714</v>
      </c>
      <c r="D423" s="43">
        <v>2259</v>
      </c>
      <c r="E423" s="43" t="s">
        <v>1006</v>
      </c>
      <c r="F423" s="43">
        <v>47</v>
      </c>
      <c r="G423" s="43">
        <v>420</v>
      </c>
    </row>
    <row r="424" spans="1:7" ht="16.5" customHeight="1" x14ac:dyDescent="0.2">
      <c r="A424" s="43" t="s">
        <v>2094</v>
      </c>
      <c r="B424" s="43" t="s">
        <v>2093</v>
      </c>
      <c r="C424" s="43" t="s">
        <v>2092</v>
      </c>
      <c r="D424" s="43">
        <v>2324</v>
      </c>
      <c r="E424" s="43" t="s">
        <v>537</v>
      </c>
      <c r="F424" s="43">
        <v>40</v>
      </c>
      <c r="G424" s="43">
        <v>421</v>
      </c>
    </row>
    <row r="425" spans="1:7" ht="16.5" customHeight="1" x14ac:dyDescent="0.2">
      <c r="A425" s="43" t="s">
        <v>2091</v>
      </c>
      <c r="B425" s="43" t="s">
        <v>2090</v>
      </c>
      <c r="C425" s="43" t="s">
        <v>2089</v>
      </c>
      <c r="D425" s="43">
        <v>2715</v>
      </c>
      <c r="E425" s="43" t="s">
        <v>2088</v>
      </c>
      <c r="F425" s="43">
        <v>34</v>
      </c>
      <c r="G425" s="43">
        <v>422</v>
      </c>
    </row>
    <row r="426" spans="1:7" ht="16.5" customHeight="1" x14ac:dyDescent="0.2">
      <c r="A426" s="43" t="s">
        <v>2087</v>
      </c>
      <c r="B426" s="43" t="s">
        <v>2086</v>
      </c>
      <c r="C426" s="43" t="s">
        <v>2085</v>
      </c>
      <c r="D426" s="43">
        <v>2290</v>
      </c>
      <c r="E426" s="43" t="s">
        <v>435</v>
      </c>
      <c r="F426" s="43">
        <v>52</v>
      </c>
      <c r="G426" s="43">
        <v>423</v>
      </c>
    </row>
    <row r="427" spans="1:7" ht="16.5" customHeight="1" x14ac:dyDescent="0.2">
      <c r="A427" s="43" t="s">
        <v>2084</v>
      </c>
      <c r="B427" s="43" t="s">
        <v>2083</v>
      </c>
      <c r="C427" s="43" t="s">
        <v>2082</v>
      </c>
      <c r="D427" s="43">
        <v>2537</v>
      </c>
      <c r="E427" s="43" t="s">
        <v>1638</v>
      </c>
      <c r="F427" s="43">
        <v>30</v>
      </c>
      <c r="G427" s="43">
        <v>424</v>
      </c>
    </row>
    <row r="428" spans="1:7" ht="16.5" customHeight="1" x14ac:dyDescent="0.2">
      <c r="A428" s="43" t="s">
        <v>2081</v>
      </c>
      <c r="B428" s="43" t="s">
        <v>2080</v>
      </c>
      <c r="C428" s="43" t="s">
        <v>2079</v>
      </c>
      <c r="D428" s="43">
        <v>2627</v>
      </c>
      <c r="E428" s="43" t="s">
        <v>336</v>
      </c>
      <c r="F428" s="43">
        <v>39</v>
      </c>
      <c r="G428" s="43">
        <v>425</v>
      </c>
    </row>
    <row r="429" spans="1:7" ht="16.5" customHeight="1" x14ac:dyDescent="0.2">
      <c r="A429" s="43" t="s">
        <v>2078</v>
      </c>
      <c r="B429" s="43" t="s">
        <v>2077</v>
      </c>
      <c r="C429" s="43" t="s">
        <v>2076</v>
      </c>
      <c r="D429" s="43">
        <v>2210</v>
      </c>
      <c r="E429" s="43" t="s">
        <v>1156</v>
      </c>
      <c r="F429" s="43">
        <v>37</v>
      </c>
      <c r="G429" s="43">
        <v>426</v>
      </c>
    </row>
    <row r="430" spans="1:7" ht="16.5" customHeight="1" x14ac:dyDescent="0.2">
      <c r="A430" s="43" t="s">
        <v>2075</v>
      </c>
      <c r="B430" s="43" t="s">
        <v>2074</v>
      </c>
      <c r="C430" s="43" t="s">
        <v>2073</v>
      </c>
      <c r="D430" s="43">
        <v>2839</v>
      </c>
      <c r="E430" s="43" t="s">
        <v>2072</v>
      </c>
      <c r="F430" s="43">
        <v>12</v>
      </c>
      <c r="G430" s="43">
        <v>427</v>
      </c>
    </row>
    <row r="431" spans="1:7" ht="16.5" customHeight="1" x14ac:dyDescent="0.2">
      <c r="A431" s="43" t="s">
        <v>2071</v>
      </c>
      <c r="B431" s="43" t="s">
        <v>2070</v>
      </c>
      <c r="C431" s="43" t="s">
        <v>2069</v>
      </c>
      <c r="D431" s="43">
        <v>2117</v>
      </c>
      <c r="E431" s="43" t="s">
        <v>790</v>
      </c>
      <c r="F431" s="43">
        <v>36</v>
      </c>
      <c r="G431" s="43">
        <v>428</v>
      </c>
    </row>
    <row r="432" spans="1:7" ht="16.5" customHeight="1" x14ac:dyDescent="0.2">
      <c r="A432" s="43" t="s">
        <v>2068</v>
      </c>
      <c r="B432" s="43" t="s">
        <v>2067</v>
      </c>
      <c r="C432" s="43" t="s">
        <v>1198</v>
      </c>
      <c r="D432" s="43">
        <v>2036</v>
      </c>
      <c r="E432" s="43" t="s">
        <v>548</v>
      </c>
      <c r="F432" s="43">
        <v>46</v>
      </c>
      <c r="G432" s="43">
        <v>429</v>
      </c>
    </row>
    <row r="433" spans="1:7" ht="16.5" customHeight="1" x14ac:dyDescent="0.2">
      <c r="A433" s="43" t="s">
        <v>2066</v>
      </c>
      <c r="B433" s="43" t="s">
        <v>2065</v>
      </c>
      <c r="C433" s="43" t="s">
        <v>2064</v>
      </c>
      <c r="D433" s="43">
        <v>2122</v>
      </c>
      <c r="E433" s="43" t="s">
        <v>666</v>
      </c>
      <c r="F433" s="43">
        <v>19</v>
      </c>
      <c r="G433" s="43">
        <v>430</v>
      </c>
    </row>
    <row r="434" spans="1:7" ht="16.5" customHeight="1" x14ac:dyDescent="0.2">
      <c r="A434" s="43" t="s">
        <v>2063</v>
      </c>
      <c r="B434" s="43" t="s">
        <v>2062</v>
      </c>
      <c r="C434" s="43" t="s">
        <v>990</v>
      </c>
      <c r="D434" s="43">
        <v>2429</v>
      </c>
      <c r="E434" s="43" t="s">
        <v>537</v>
      </c>
      <c r="F434" s="43">
        <v>50</v>
      </c>
      <c r="G434" s="43">
        <v>431</v>
      </c>
    </row>
    <row r="435" spans="1:7" ht="16.5" customHeight="1" x14ac:dyDescent="0.2">
      <c r="A435" s="43" t="s">
        <v>2061</v>
      </c>
      <c r="B435" s="43" t="s">
        <v>2060</v>
      </c>
      <c r="C435" s="43" t="s">
        <v>1682</v>
      </c>
      <c r="D435" s="43">
        <v>2750</v>
      </c>
      <c r="E435" s="43" t="s">
        <v>1031</v>
      </c>
      <c r="F435" s="43">
        <v>39</v>
      </c>
      <c r="G435" s="43">
        <v>432</v>
      </c>
    </row>
    <row r="436" spans="1:7" ht="16.5" customHeight="1" x14ac:dyDescent="0.2">
      <c r="A436" s="43" t="s">
        <v>2059</v>
      </c>
      <c r="B436" s="43" t="s">
        <v>2058</v>
      </c>
      <c r="C436" s="43" t="s">
        <v>2057</v>
      </c>
      <c r="D436" s="43">
        <v>2533</v>
      </c>
      <c r="E436" s="43" t="s">
        <v>972</v>
      </c>
      <c r="F436" s="43">
        <v>40</v>
      </c>
      <c r="G436" s="43">
        <v>433</v>
      </c>
    </row>
    <row r="437" spans="1:7" ht="16.5" customHeight="1" x14ac:dyDescent="0.2">
      <c r="A437" s="43" t="s">
        <v>2056</v>
      </c>
      <c r="B437" s="43" t="s">
        <v>2055</v>
      </c>
      <c r="C437" s="43" t="s">
        <v>2054</v>
      </c>
      <c r="D437" s="43">
        <v>2306</v>
      </c>
      <c r="E437" s="43" t="s">
        <v>435</v>
      </c>
      <c r="F437" s="43">
        <v>56</v>
      </c>
      <c r="G437" s="43">
        <v>434</v>
      </c>
    </row>
    <row r="438" spans="1:7" ht="16.5" customHeight="1" x14ac:dyDescent="0.2">
      <c r="A438" s="43" t="s">
        <v>2053</v>
      </c>
      <c r="B438" s="43" t="s">
        <v>2052</v>
      </c>
      <c r="C438" s="43" t="s">
        <v>2051</v>
      </c>
      <c r="D438" s="43">
        <v>2750</v>
      </c>
      <c r="E438" s="43" t="s">
        <v>1031</v>
      </c>
      <c r="F438" s="43">
        <v>30</v>
      </c>
      <c r="G438" s="43">
        <v>435</v>
      </c>
    </row>
    <row r="439" spans="1:7" ht="16.5" customHeight="1" x14ac:dyDescent="0.2">
      <c r="A439" s="43" t="s">
        <v>2050</v>
      </c>
      <c r="B439" s="43" t="s">
        <v>2049</v>
      </c>
      <c r="C439" s="43" t="s">
        <v>1326</v>
      </c>
      <c r="D439" s="43">
        <v>2824</v>
      </c>
      <c r="E439" s="43" t="s">
        <v>1325</v>
      </c>
      <c r="F439" s="43">
        <v>30</v>
      </c>
      <c r="G439" s="43">
        <v>436</v>
      </c>
    </row>
    <row r="440" spans="1:7" ht="16.5" customHeight="1" x14ac:dyDescent="0.2">
      <c r="A440" s="43" t="s">
        <v>2048</v>
      </c>
      <c r="B440" s="43" t="s">
        <v>2047</v>
      </c>
      <c r="C440" s="43" t="s">
        <v>2046</v>
      </c>
      <c r="D440" s="43">
        <v>2132</v>
      </c>
      <c r="E440" s="43" t="s">
        <v>515</v>
      </c>
      <c r="F440" s="43">
        <v>33</v>
      </c>
      <c r="G440" s="43">
        <v>437</v>
      </c>
    </row>
    <row r="441" spans="1:7" ht="16.5" customHeight="1" x14ac:dyDescent="0.2">
      <c r="A441" s="43" t="s">
        <v>2045</v>
      </c>
      <c r="B441" s="43" t="s">
        <v>2044</v>
      </c>
      <c r="C441" s="43" t="s">
        <v>2043</v>
      </c>
      <c r="D441" s="43">
        <v>2620</v>
      </c>
      <c r="E441" s="43" t="s">
        <v>751</v>
      </c>
      <c r="F441" s="43">
        <v>67</v>
      </c>
      <c r="G441" s="43">
        <v>438</v>
      </c>
    </row>
    <row r="442" spans="1:7" ht="16.5" customHeight="1" x14ac:dyDescent="0.2">
      <c r="A442" s="43" t="s">
        <v>2042</v>
      </c>
      <c r="B442" s="43" t="s">
        <v>2041</v>
      </c>
      <c r="C442" s="43" t="s">
        <v>2040</v>
      </c>
      <c r="D442" s="43">
        <v>2142</v>
      </c>
      <c r="E442" s="43" t="s">
        <v>790</v>
      </c>
      <c r="F442" s="43">
        <v>44</v>
      </c>
      <c r="G442" s="43">
        <v>439</v>
      </c>
    </row>
    <row r="443" spans="1:7" ht="16.5" customHeight="1" x14ac:dyDescent="0.2">
      <c r="A443" s="43" t="s">
        <v>2039</v>
      </c>
      <c r="B443" s="43" t="s">
        <v>2038</v>
      </c>
      <c r="C443" s="43" t="s">
        <v>2037</v>
      </c>
      <c r="D443" s="43">
        <v>2446</v>
      </c>
      <c r="E443" s="43" t="s">
        <v>958</v>
      </c>
      <c r="F443" s="43">
        <v>31</v>
      </c>
      <c r="G443" s="43">
        <v>440</v>
      </c>
    </row>
    <row r="444" spans="1:7" ht="16.5" customHeight="1" x14ac:dyDescent="0.2">
      <c r="A444" s="43" t="s">
        <v>2036</v>
      </c>
      <c r="B444" s="43" t="s">
        <v>2035</v>
      </c>
      <c r="C444" s="43" t="s">
        <v>2034</v>
      </c>
      <c r="D444" s="43">
        <v>2537</v>
      </c>
      <c r="E444" s="43" t="s">
        <v>1638</v>
      </c>
      <c r="F444" s="43">
        <v>47</v>
      </c>
      <c r="G444" s="43">
        <v>441</v>
      </c>
    </row>
    <row r="445" spans="1:7" ht="16.5" customHeight="1" x14ac:dyDescent="0.2">
      <c r="A445" s="43" t="s">
        <v>2033</v>
      </c>
      <c r="B445" s="43" t="s">
        <v>2032</v>
      </c>
      <c r="C445" s="43" t="s">
        <v>2031</v>
      </c>
      <c r="D445" s="43">
        <v>2196</v>
      </c>
      <c r="E445" s="43" t="s">
        <v>631</v>
      </c>
      <c r="F445" s="43">
        <v>39</v>
      </c>
      <c r="G445" s="43">
        <v>442</v>
      </c>
    </row>
    <row r="446" spans="1:7" ht="16.5" customHeight="1" x14ac:dyDescent="0.2">
      <c r="A446" s="43" t="s">
        <v>2030</v>
      </c>
      <c r="B446" s="43" t="s">
        <v>2029</v>
      </c>
      <c r="C446" s="43" t="s">
        <v>2028</v>
      </c>
      <c r="D446" s="43">
        <v>2428</v>
      </c>
      <c r="E446" s="43" t="s">
        <v>537</v>
      </c>
      <c r="F446" s="43">
        <v>28</v>
      </c>
      <c r="G446" s="43">
        <v>443</v>
      </c>
    </row>
    <row r="447" spans="1:7" ht="16.5" customHeight="1" x14ac:dyDescent="0.2">
      <c r="A447" s="43" t="s">
        <v>2027</v>
      </c>
      <c r="B447" s="43" t="s">
        <v>2026</v>
      </c>
      <c r="C447" s="43" t="s">
        <v>817</v>
      </c>
      <c r="D447" s="43">
        <v>2466</v>
      </c>
      <c r="E447" s="43" t="s">
        <v>495</v>
      </c>
      <c r="F447" s="43">
        <v>30</v>
      </c>
      <c r="G447" s="43">
        <v>444</v>
      </c>
    </row>
    <row r="448" spans="1:7" ht="16.5" customHeight="1" x14ac:dyDescent="0.2">
      <c r="A448" s="43" t="s">
        <v>2025</v>
      </c>
      <c r="B448" s="43" t="s">
        <v>2024</v>
      </c>
      <c r="C448" s="43" t="s">
        <v>2023</v>
      </c>
      <c r="D448" s="43">
        <v>2085</v>
      </c>
      <c r="E448" s="43" t="s">
        <v>355</v>
      </c>
      <c r="F448" s="43">
        <v>45</v>
      </c>
      <c r="G448" s="43">
        <v>445</v>
      </c>
    </row>
    <row r="449" spans="1:7" ht="16.5" customHeight="1" x14ac:dyDescent="0.2">
      <c r="A449" s="43" t="s">
        <v>2022</v>
      </c>
      <c r="B449" s="43" t="s">
        <v>2021</v>
      </c>
      <c r="C449" s="43" t="s">
        <v>1423</v>
      </c>
      <c r="D449" s="43">
        <v>2720</v>
      </c>
      <c r="E449" s="43" t="s">
        <v>397</v>
      </c>
      <c r="F449" s="43">
        <v>48</v>
      </c>
      <c r="G449" s="43">
        <v>446</v>
      </c>
    </row>
    <row r="450" spans="1:7" ht="16.5" customHeight="1" x14ac:dyDescent="0.2">
      <c r="A450" s="43" t="s">
        <v>2020</v>
      </c>
      <c r="B450" s="43" t="s">
        <v>2019</v>
      </c>
      <c r="C450" s="43" t="s">
        <v>2018</v>
      </c>
      <c r="D450" s="43">
        <v>2428</v>
      </c>
      <c r="E450" s="43" t="s">
        <v>537</v>
      </c>
      <c r="F450" s="43">
        <v>38</v>
      </c>
      <c r="G450" s="43">
        <v>447</v>
      </c>
    </row>
    <row r="451" spans="1:7" ht="16.5" customHeight="1" x14ac:dyDescent="0.2">
      <c r="A451" s="43" t="s">
        <v>2017</v>
      </c>
      <c r="B451" s="43" t="s">
        <v>2016</v>
      </c>
      <c r="C451" s="43" t="s">
        <v>2015</v>
      </c>
      <c r="D451" s="43">
        <v>2540</v>
      </c>
      <c r="E451" s="43" t="s">
        <v>783</v>
      </c>
      <c r="F451" s="43">
        <v>40</v>
      </c>
      <c r="G451" s="43">
        <v>448</v>
      </c>
    </row>
    <row r="452" spans="1:7" ht="16.5" customHeight="1" x14ac:dyDescent="0.2">
      <c r="A452" s="43" t="s">
        <v>2014</v>
      </c>
      <c r="B452" s="43" t="s">
        <v>2013</v>
      </c>
      <c r="C452" s="43" t="s">
        <v>722</v>
      </c>
      <c r="D452" s="43">
        <v>2680</v>
      </c>
      <c r="E452" s="43" t="s">
        <v>332</v>
      </c>
      <c r="F452" s="43">
        <v>39</v>
      </c>
      <c r="G452" s="43">
        <v>449</v>
      </c>
    </row>
    <row r="453" spans="1:7" ht="16.5" customHeight="1" x14ac:dyDescent="0.2">
      <c r="A453" s="43" t="s">
        <v>2012</v>
      </c>
      <c r="B453" s="43" t="s">
        <v>2011</v>
      </c>
      <c r="C453" s="43" t="s">
        <v>1322</v>
      </c>
      <c r="D453" s="43">
        <v>2346</v>
      </c>
      <c r="E453" s="43" t="s">
        <v>951</v>
      </c>
      <c r="F453" s="43">
        <v>26</v>
      </c>
      <c r="G453" s="43">
        <v>450</v>
      </c>
    </row>
    <row r="454" spans="1:7" ht="16.5" customHeight="1" x14ac:dyDescent="0.2">
      <c r="A454" s="43" t="s">
        <v>2010</v>
      </c>
      <c r="B454" s="43" t="s">
        <v>2009</v>
      </c>
      <c r="C454" s="43" t="s">
        <v>2008</v>
      </c>
      <c r="D454" s="43">
        <v>2230</v>
      </c>
      <c r="E454" s="43" t="s">
        <v>1024</v>
      </c>
      <c r="F454" s="43">
        <v>25</v>
      </c>
      <c r="G454" s="43">
        <v>451</v>
      </c>
    </row>
    <row r="455" spans="1:7" ht="16.5" customHeight="1" x14ac:dyDescent="0.2">
      <c r="A455" s="43" t="s">
        <v>2007</v>
      </c>
      <c r="B455" s="43" t="s">
        <v>2006</v>
      </c>
      <c r="C455" s="43" t="s">
        <v>2005</v>
      </c>
      <c r="D455" s="43">
        <v>2227</v>
      </c>
      <c r="E455" s="43" t="s">
        <v>1024</v>
      </c>
      <c r="F455" s="43">
        <v>48</v>
      </c>
      <c r="G455" s="43">
        <v>452</v>
      </c>
    </row>
    <row r="456" spans="1:7" ht="16.5" customHeight="1" x14ac:dyDescent="0.2">
      <c r="A456" s="43" t="s">
        <v>2004</v>
      </c>
      <c r="B456" s="43" t="s">
        <v>2003</v>
      </c>
      <c r="C456" s="43" t="s">
        <v>2002</v>
      </c>
      <c r="D456" s="43">
        <v>2752</v>
      </c>
      <c r="E456" s="43" t="s">
        <v>908</v>
      </c>
      <c r="F456" s="43">
        <v>30</v>
      </c>
      <c r="G456" s="43">
        <v>453</v>
      </c>
    </row>
    <row r="457" spans="1:7" ht="16.5" customHeight="1" x14ac:dyDescent="0.2">
      <c r="A457" s="43" t="s">
        <v>2001</v>
      </c>
      <c r="B457" s="43" t="s">
        <v>2000</v>
      </c>
      <c r="C457" s="43" t="s">
        <v>1999</v>
      </c>
      <c r="D457" s="43">
        <v>2157</v>
      </c>
      <c r="E457" s="43" t="s">
        <v>773</v>
      </c>
      <c r="F457" s="43">
        <v>41</v>
      </c>
      <c r="G457" s="43">
        <v>454</v>
      </c>
    </row>
    <row r="458" spans="1:7" ht="16.5" customHeight="1" x14ac:dyDescent="0.2">
      <c r="A458" s="43" t="s">
        <v>1998</v>
      </c>
      <c r="B458" s="43" t="s">
        <v>1997</v>
      </c>
      <c r="C458" s="43" t="s">
        <v>1996</v>
      </c>
      <c r="D458" s="43">
        <v>2320</v>
      </c>
      <c r="E458" s="43" t="s">
        <v>1416</v>
      </c>
      <c r="F458" s="43">
        <v>47</v>
      </c>
      <c r="G458" s="43">
        <v>455</v>
      </c>
    </row>
    <row r="459" spans="1:7" ht="16.5" customHeight="1" x14ac:dyDescent="0.2">
      <c r="A459" s="43" t="s">
        <v>1995</v>
      </c>
      <c r="B459" s="43" t="s">
        <v>1994</v>
      </c>
      <c r="C459" s="43" t="s">
        <v>1477</v>
      </c>
      <c r="D459" s="43">
        <v>2484</v>
      </c>
      <c r="E459" s="43" t="s">
        <v>1106</v>
      </c>
      <c r="F459" s="43">
        <v>22</v>
      </c>
      <c r="G459" s="43">
        <v>456</v>
      </c>
    </row>
    <row r="460" spans="1:7" ht="16.5" customHeight="1" x14ac:dyDescent="0.2">
      <c r="A460" s="43" t="s">
        <v>1993</v>
      </c>
      <c r="B460" s="43" t="s">
        <v>1992</v>
      </c>
      <c r="C460" s="43" t="s">
        <v>825</v>
      </c>
      <c r="D460" s="43">
        <v>2787</v>
      </c>
      <c r="E460" s="43" t="s">
        <v>480</v>
      </c>
      <c r="F460" s="43">
        <v>38</v>
      </c>
      <c r="G460" s="43">
        <v>457</v>
      </c>
    </row>
    <row r="461" spans="1:7" ht="16.5" customHeight="1" x14ac:dyDescent="0.2">
      <c r="A461" s="43" t="s">
        <v>1991</v>
      </c>
      <c r="B461" s="43" t="s">
        <v>1990</v>
      </c>
      <c r="C461" s="43" t="s">
        <v>1355</v>
      </c>
      <c r="D461" s="43">
        <v>2216</v>
      </c>
      <c r="E461" s="43" t="s">
        <v>618</v>
      </c>
      <c r="F461" s="43">
        <v>39</v>
      </c>
      <c r="G461" s="43">
        <v>458</v>
      </c>
    </row>
    <row r="462" spans="1:7" ht="16.5" customHeight="1" x14ac:dyDescent="0.2">
      <c r="A462" s="43" t="s">
        <v>1989</v>
      </c>
      <c r="B462" s="43" t="s">
        <v>1988</v>
      </c>
      <c r="C462" s="43" t="s">
        <v>1987</v>
      </c>
      <c r="D462" s="43">
        <v>2133</v>
      </c>
      <c r="E462" s="43" t="s">
        <v>631</v>
      </c>
      <c r="F462" s="43">
        <v>25</v>
      </c>
      <c r="G462" s="43">
        <v>459</v>
      </c>
    </row>
    <row r="463" spans="1:7" ht="16.5" customHeight="1" x14ac:dyDescent="0.2">
      <c r="A463" s="43" t="s">
        <v>1986</v>
      </c>
      <c r="B463" s="43" t="s">
        <v>1985</v>
      </c>
      <c r="C463" s="43" t="s">
        <v>1984</v>
      </c>
      <c r="D463" s="43">
        <v>2540</v>
      </c>
      <c r="E463" s="43" t="s">
        <v>783</v>
      </c>
      <c r="F463" s="43">
        <v>33</v>
      </c>
      <c r="G463" s="43">
        <v>460</v>
      </c>
    </row>
    <row r="464" spans="1:7" ht="16.5" customHeight="1" x14ac:dyDescent="0.2">
      <c r="A464" s="43" t="s">
        <v>1983</v>
      </c>
      <c r="B464" s="43" t="s">
        <v>1982</v>
      </c>
      <c r="C464" s="43" t="s">
        <v>1981</v>
      </c>
      <c r="D464" s="43">
        <v>2177</v>
      </c>
      <c r="E464" s="43" t="s">
        <v>427</v>
      </c>
      <c r="F464" s="43">
        <v>30</v>
      </c>
      <c r="G464" s="43">
        <v>461</v>
      </c>
    </row>
    <row r="465" spans="1:7" ht="16.5" customHeight="1" x14ac:dyDescent="0.2">
      <c r="A465" s="43" t="s">
        <v>1980</v>
      </c>
      <c r="B465" s="43" t="s">
        <v>1979</v>
      </c>
      <c r="C465" s="43" t="s">
        <v>1978</v>
      </c>
      <c r="D465" s="43">
        <v>2710</v>
      </c>
      <c r="E465" s="43" t="s">
        <v>561</v>
      </c>
      <c r="F465" s="43">
        <v>41</v>
      </c>
      <c r="G465" s="43">
        <v>462</v>
      </c>
    </row>
    <row r="466" spans="1:7" ht="16.5" customHeight="1" x14ac:dyDescent="0.2">
      <c r="A466" s="43" t="s">
        <v>1977</v>
      </c>
      <c r="B466" s="43" t="s">
        <v>1976</v>
      </c>
      <c r="C466" s="43" t="s">
        <v>1975</v>
      </c>
      <c r="D466" s="43">
        <v>2263</v>
      </c>
      <c r="E466" s="43" t="s">
        <v>1006</v>
      </c>
      <c r="F466" s="43">
        <v>34</v>
      </c>
      <c r="G466" s="43">
        <v>463</v>
      </c>
    </row>
    <row r="467" spans="1:7" ht="16.5" customHeight="1" x14ac:dyDescent="0.2">
      <c r="A467" s="43" t="s">
        <v>1974</v>
      </c>
      <c r="B467" s="43" t="s">
        <v>1973</v>
      </c>
      <c r="C467" s="43" t="s">
        <v>748</v>
      </c>
      <c r="D467" s="43">
        <v>2404</v>
      </c>
      <c r="E467" s="43" t="s">
        <v>340</v>
      </c>
      <c r="F467" s="43">
        <v>21</v>
      </c>
      <c r="G467" s="43">
        <v>464</v>
      </c>
    </row>
    <row r="468" spans="1:7" ht="16.5" customHeight="1" x14ac:dyDescent="0.2">
      <c r="A468" s="43" t="s">
        <v>1972</v>
      </c>
      <c r="B468" s="43" t="s">
        <v>1971</v>
      </c>
      <c r="C468" s="43" t="s">
        <v>1970</v>
      </c>
      <c r="D468" s="43">
        <v>2428</v>
      </c>
      <c r="E468" s="43" t="s">
        <v>537</v>
      </c>
      <c r="F468" s="43">
        <v>21</v>
      </c>
      <c r="G468" s="43">
        <v>465</v>
      </c>
    </row>
    <row r="469" spans="1:7" ht="16.5" customHeight="1" x14ac:dyDescent="0.2">
      <c r="A469" s="43" t="s">
        <v>1969</v>
      </c>
      <c r="B469" s="43" t="s">
        <v>1968</v>
      </c>
      <c r="C469" s="43" t="s">
        <v>681</v>
      </c>
      <c r="D469" s="43">
        <v>2337</v>
      </c>
      <c r="E469" s="43" t="s">
        <v>680</v>
      </c>
      <c r="F469" s="43">
        <v>31</v>
      </c>
      <c r="G469" s="43">
        <v>466</v>
      </c>
    </row>
    <row r="470" spans="1:7" ht="16.5" customHeight="1" x14ac:dyDescent="0.2">
      <c r="A470" s="43" t="s">
        <v>1967</v>
      </c>
      <c r="B470" s="43" t="s">
        <v>1966</v>
      </c>
      <c r="C470" s="43" t="s">
        <v>1335</v>
      </c>
      <c r="D470" s="43">
        <v>2550</v>
      </c>
      <c r="E470" s="43" t="s">
        <v>808</v>
      </c>
      <c r="F470" s="43">
        <v>42</v>
      </c>
      <c r="G470" s="43">
        <v>467</v>
      </c>
    </row>
    <row r="471" spans="1:7" ht="16.5" customHeight="1" x14ac:dyDescent="0.2">
      <c r="A471" s="43" t="s">
        <v>1965</v>
      </c>
      <c r="B471" s="43" t="s">
        <v>1964</v>
      </c>
      <c r="C471" s="43" t="s">
        <v>460</v>
      </c>
      <c r="D471" s="43">
        <v>2847</v>
      </c>
      <c r="E471" s="43" t="s">
        <v>459</v>
      </c>
      <c r="F471" s="43">
        <v>16</v>
      </c>
      <c r="G471" s="43">
        <v>468</v>
      </c>
    </row>
    <row r="472" spans="1:7" ht="16.5" customHeight="1" x14ac:dyDescent="0.2">
      <c r="A472" s="43" t="s">
        <v>1963</v>
      </c>
      <c r="B472" s="43" t="s">
        <v>1962</v>
      </c>
      <c r="C472" s="43" t="s">
        <v>1961</v>
      </c>
      <c r="D472" s="43">
        <v>2516</v>
      </c>
      <c r="E472" s="43" t="s">
        <v>393</v>
      </c>
      <c r="F472" s="43">
        <v>34</v>
      </c>
      <c r="G472" s="43">
        <v>469</v>
      </c>
    </row>
    <row r="473" spans="1:7" ht="16.5" customHeight="1" x14ac:dyDescent="0.2">
      <c r="A473" s="43" t="s">
        <v>1960</v>
      </c>
      <c r="B473" s="43" t="s">
        <v>1959</v>
      </c>
      <c r="C473" s="43" t="s">
        <v>1958</v>
      </c>
      <c r="D473" s="43">
        <v>2483</v>
      </c>
      <c r="E473" s="43" t="s">
        <v>359</v>
      </c>
      <c r="F473" s="43">
        <v>30</v>
      </c>
      <c r="G473" s="43">
        <v>470</v>
      </c>
    </row>
    <row r="474" spans="1:7" ht="16.5" customHeight="1" x14ac:dyDescent="0.2">
      <c r="A474" s="43" t="s">
        <v>1957</v>
      </c>
      <c r="B474" s="43" t="s">
        <v>1956</v>
      </c>
      <c r="C474" s="43" t="s">
        <v>1955</v>
      </c>
      <c r="D474" s="43">
        <v>2541</v>
      </c>
      <c r="E474" s="43" t="s">
        <v>783</v>
      </c>
      <c r="F474" s="43">
        <v>32</v>
      </c>
      <c r="G474" s="43">
        <v>471</v>
      </c>
    </row>
    <row r="475" spans="1:7" ht="16.5" customHeight="1" x14ac:dyDescent="0.2">
      <c r="A475" s="43" t="s">
        <v>1954</v>
      </c>
      <c r="B475" s="43" t="s">
        <v>1953</v>
      </c>
      <c r="C475" s="43" t="s">
        <v>1952</v>
      </c>
      <c r="D475" s="43">
        <v>2478</v>
      </c>
      <c r="E475" s="43" t="s">
        <v>385</v>
      </c>
      <c r="F475" s="43">
        <v>26</v>
      </c>
      <c r="G475" s="43">
        <v>472</v>
      </c>
    </row>
    <row r="476" spans="1:7" ht="16.5" customHeight="1" x14ac:dyDescent="0.2">
      <c r="A476" s="43" t="s">
        <v>1951</v>
      </c>
      <c r="B476" s="43" t="s">
        <v>1950</v>
      </c>
      <c r="C476" s="43" t="s">
        <v>1227</v>
      </c>
      <c r="D476" s="43">
        <v>2500</v>
      </c>
      <c r="E476" s="43" t="s">
        <v>393</v>
      </c>
      <c r="F476" s="43">
        <v>25</v>
      </c>
      <c r="G476" s="43">
        <v>473</v>
      </c>
    </row>
    <row r="477" spans="1:7" ht="16.5" customHeight="1" x14ac:dyDescent="0.2">
      <c r="A477" s="43" t="s">
        <v>1949</v>
      </c>
      <c r="B477" s="43" t="s">
        <v>1948</v>
      </c>
      <c r="C477" s="43" t="s">
        <v>1947</v>
      </c>
      <c r="D477" s="43">
        <v>2546</v>
      </c>
      <c r="E477" s="43" t="s">
        <v>1638</v>
      </c>
      <c r="F477" s="43">
        <v>44</v>
      </c>
      <c r="G477" s="43">
        <v>474</v>
      </c>
    </row>
    <row r="478" spans="1:7" ht="16.5" customHeight="1" x14ac:dyDescent="0.2">
      <c r="A478" s="43" t="s">
        <v>1946</v>
      </c>
      <c r="B478" s="43" t="s">
        <v>1945</v>
      </c>
      <c r="C478" s="43" t="s">
        <v>1944</v>
      </c>
      <c r="D478" s="43">
        <v>2706</v>
      </c>
      <c r="E478" s="43" t="s">
        <v>568</v>
      </c>
      <c r="F478" s="43">
        <v>21</v>
      </c>
      <c r="G478" s="43">
        <v>475</v>
      </c>
    </row>
    <row r="479" spans="1:7" ht="16.5" customHeight="1" x14ac:dyDescent="0.2">
      <c r="A479" s="43" t="s">
        <v>1943</v>
      </c>
      <c r="B479" s="43" t="s">
        <v>1942</v>
      </c>
      <c r="C479" s="43" t="s">
        <v>1941</v>
      </c>
      <c r="D479" s="43">
        <v>2845</v>
      </c>
      <c r="E479" s="43" t="s">
        <v>459</v>
      </c>
      <c r="F479" s="43">
        <v>16</v>
      </c>
      <c r="G479" s="43">
        <v>476</v>
      </c>
    </row>
    <row r="480" spans="1:7" ht="16.5" customHeight="1" x14ac:dyDescent="0.2">
      <c r="A480" s="43" t="s">
        <v>1940</v>
      </c>
      <c r="B480" s="43" t="s">
        <v>1939</v>
      </c>
      <c r="C480" s="43" t="s">
        <v>1042</v>
      </c>
      <c r="D480" s="43">
        <v>2804</v>
      </c>
      <c r="E480" s="43" t="s">
        <v>381</v>
      </c>
      <c r="F480" s="43">
        <v>17</v>
      </c>
      <c r="G480" s="43">
        <v>477</v>
      </c>
    </row>
    <row r="481" spans="1:7" ht="16.5" customHeight="1" x14ac:dyDescent="0.2">
      <c r="A481" s="43" t="s">
        <v>1938</v>
      </c>
      <c r="B481" s="43" t="s">
        <v>1937</v>
      </c>
      <c r="C481" s="43" t="s">
        <v>367</v>
      </c>
      <c r="D481" s="43">
        <v>2137</v>
      </c>
      <c r="E481" s="43" t="s">
        <v>366</v>
      </c>
      <c r="F481" s="43">
        <v>34</v>
      </c>
      <c r="G481" s="43">
        <v>478</v>
      </c>
    </row>
    <row r="482" spans="1:7" ht="16.5" customHeight="1" x14ac:dyDescent="0.2">
      <c r="A482" s="43" t="s">
        <v>1936</v>
      </c>
      <c r="B482" s="43" t="s">
        <v>1935</v>
      </c>
      <c r="C482" s="43" t="s">
        <v>1622</v>
      </c>
      <c r="D482" s="43">
        <v>2852</v>
      </c>
      <c r="E482" s="43" t="s">
        <v>1124</v>
      </c>
      <c r="F482" s="43">
        <v>17</v>
      </c>
      <c r="G482" s="43">
        <v>479</v>
      </c>
    </row>
    <row r="483" spans="1:7" ht="16.5" customHeight="1" x14ac:dyDescent="0.2">
      <c r="A483" s="43" t="s">
        <v>1934</v>
      </c>
      <c r="B483" s="43" t="s">
        <v>1933</v>
      </c>
      <c r="C483" s="43" t="s">
        <v>933</v>
      </c>
      <c r="D483" s="43">
        <v>2357</v>
      </c>
      <c r="E483" s="43" t="s">
        <v>503</v>
      </c>
      <c r="F483" s="43">
        <v>25</v>
      </c>
      <c r="G483" s="43">
        <v>480</v>
      </c>
    </row>
    <row r="484" spans="1:7" ht="16.5" customHeight="1" x14ac:dyDescent="0.2">
      <c r="A484" s="43" t="s">
        <v>1932</v>
      </c>
      <c r="B484" s="43" t="s">
        <v>1931</v>
      </c>
      <c r="C484" s="43" t="s">
        <v>1332</v>
      </c>
      <c r="D484" s="43">
        <v>2166</v>
      </c>
      <c r="E484" s="43" t="s">
        <v>427</v>
      </c>
      <c r="F484" s="43">
        <v>29</v>
      </c>
      <c r="G484" s="43">
        <v>481</v>
      </c>
    </row>
    <row r="485" spans="1:7" ht="16.5" customHeight="1" x14ac:dyDescent="0.2">
      <c r="A485" s="43" t="s">
        <v>1930</v>
      </c>
      <c r="B485" s="43" t="s">
        <v>1929</v>
      </c>
      <c r="C485" s="43" t="s">
        <v>1928</v>
      </c>
      <c r="D485" s="43">
        <v>2365</v>
      </c>
      <c r="E485" s="43" t="s">
        <v>708</v>
      </c>
      <c r="F485" s="43">
        <v>25</v>
      </c>
      <c r="G485" s="43">
        <v>482</v>
      </c>
    </row>
    <row r="486" spans="1:7" ht="16.5" customHeight="1" x14ac:dyDescent="0.2">
      <c r="A486" s="43" t="s">
        <v>1927</v>
      </c>
      <c r="B486" s="43" t="s">
        <v>1926</v>
      </c>
      <c r="C486" s="43" t="s">
        <v>1925</v>
      </c>
      <c r="D486" s="43">
        <v>2223</v>
      </c>
      <c r="E486" s="43" t="s">
        <v>1156</v>
      </c>
      <c r="F486" s="43">
        <v>36</v>
      </c>
      <c r="G486" s="43">
        <v>483</v>
      </c>
    </row>
    <row r="487" spans="1:7" ht="16.5" customHeight="1" x14ac:dyDescent="0.2">
      <c r="A487" s="43" t="s">
        <v>1924</v>
      </c>
      <c r="B487" s="43" t="s">
        <v>1923</v>
      </c>
      <c r="C487" s="43" t="s">
        <v>1922</v>
      </c>
      <c r="D487" s="43">
        <v>2280</v>
      </c>
      <c r="E487" s="43" t="s">
        <v>435</v>
      </c>
      <c r="F487" s="43">
        <v>37</v>
      </c>
      <c r="G487" s="43">
        <v>484</v>
      </c>
    </row>
    <row r="488" spans="1:7" ht="16.5" customHeight="1" x14ac:dyDescent="0.2">
      <c r="A488" s="43" t="s">
        <v>1921</v>
      </c>
      <c r="B488" s="43" t="s">
        <v>1920</v>
      </c>
      <c r="C488" s="43" t="s">
        <v>602</v>
      </c>
      <c r="D488" s="43">
        <v>2880</v>
      </c>
      <c r="E488" s="43" t="s">
        <v>601</v>
      </c>
      <c r="F488" s="43">
        <v>23</v>
      </c>
      <c r="G488" s="43">
        <v>485</v>
      </c>
    </row>
    <row r="489" spans="1:7" ht="16.5" customHeight="1" x14ac:dyDescent="0.2">
      <c r="A489" s="43" t="s">
        <v>1919</v>
      </c>
      <c r="B489" s="43" t="s">
        <v>1918</v>
      </c>
      <c r="C489" s="43" t="s">
        <v>520</v>
      </c>
      <c r="D489" s="43">
        <v>2341</v>
      </c>
      <c r="E489" s="43" t="s">
        <v>519</v>
      </c>
      <c r="F489" s="43">
        <v>22</v>
      </c>
      <c r="G489" s="43">
        <v>486</v>
      </c>
    </row>
    <row r="490" spans="1:7" ht="16.5" customHeight="1" x14ac:dyDescent="0.2">
      <c r="A490" s="43" t="s">
        <v>1917</v>
      </c>
      <c r="B490" s="43" t="s">
        <v>1916</v>
      </c>
      <c r="C490" s="43" t="s">
        <v>1915</v>
      </c>
      <c r="D490" s="43">
        <v>2470</v>
      </c>
      <c r="E490" s="43" t="s">
        <v>401</v>
      </c>
      <c r="F490" s="43">
        <v>27</v>
      </c>
      <c r="G490" s="43">
        <v>487</v>
      </c>
    </row>
    <row r="491" spans="1:7" ht="16.5" customHeight="1" x14ac:dyDescent="0.2">
      <c r="A491" s="43" t="s">
        <v>1914</v>
      </c>
      <c r="B491" s="43" t="s">
        <v>1913</v>
      </c>
      <c r="C491" s="43" t="s">
        <v>1912</v>
      </c>
      <c r="D491" s="43">
        <v>2400</v>
      </c>
      <c r="E491" s="43" t="s">
        <v>1631</v>
      </c>
      <c r="F491" s="43">
        <v>30</v>
      </c>
      <c r="G491" s="43">
        <v>488</v>
      </c>
    </row>
    <row r="492" spans="1:7" ht="16.5" customHeight="1" x14ac:dyDescent="0.2">
      <c r="A492" s="43" t="s">
        <v>1911</v>
      </c>
      <c r="B492" s="43" t="s">
        <v>1910</v>
      </c>
      <c r="C492" s="43" t="s">
        <v>1909</v>
      </c>
      <c r="D492" s="43">
        <v>2111</v>
      </c>
      <c r="E492" s="43" t="s">
        <v>666</v>
      </c>
      <c r="F492" s="43">
        <v>39</v>
      </c>
      <c r="G492" s="43">
        <v>489</v>
      </c>
    </row>
    <row r="493" spans="1:7" ht="16.5" customHeight="1" x14ac:dyDescent="0.2">
      <c r="A493" s="43" t="s">
        <v>1908</v>
      </c>
      <c r="B493" s="43" t="s">
        <v>1907</v>
      </c>
      <c r="C493" s="43" t="s">
        <v>1906</v>
      </c>
      <c r="D493" s="43">
        <v>2352</v>
      </c>
      <c r="E493" s="43" t="s">
        <v>951</v>
      </c>
      <c r="F493" s="43">
        <v>21</v>
      </c>
      <c r="G493" s="43">
        <v>490</v>
      </c>
    </row>
    <row r="494" spans="1:7" ht="16.5" customHeight="1" x14ac:dyDescent="0.2">
      <c r="A494" s="43" t="s">
        <v>1905</v>
      </c>
      <c r="B494" s="43" t="s">
        <v>1904</v>
      </c>
      <c r="C494" s="43" t="s">
        <v>1903</v>
      </c>
      <c r="D494" s="43">
        <v>2315</v>
      </c>
      <c r="E494" s="43" t="s">
        <v>884</v>
      </c>
      <c r="F494" s="43">
        <v>40</v>
      </c>
      <c r="G494" s="43">
        <v>491</v>
      </c>
    </row>
    <row r="495" spans="1:7" ht="16.5" customHeight="1" x14ac:dyDescent="0.2">
      <c r="A495" s="43" t="s">
        <v>1902</v>
      </c>
      <c r="B495" s="43" t="s">
        <v>1901</v>
      </c>
      <c r="C495" s="43" t="s">
        <v>1900</v>
      </c>
      <c r="D495" s="43">
        <v>2644</v>
      </c>
      <c r="E495" s="43" t="s">
        <v>642</v>
      </c>
      <c r="F495" s="43">
        <v>20</v>
      </c>
      <c r="G495" s="43">
        <v>492</v>
      </c>
    </row>
    <row r="496" spans="1:7" ht="16.5" customHeight="1" x14ac:dyDescent="0.2">
      <c r="A496" s="43" t="s">
        <v>1899</v>
      </c>
      <c r="B496" s="43" t="s">
        <v>1898</v>
      </c>
      <c r="C496" s="43" t="s">
        <v>1682</v>
      </c>
      <c r="D496" s="43">
        <v>2750</v>
      </c>
      <c r="E496" s="43" t="s">
        <v>1031</v>
      </c>
      <c r="F496" s="43">
        <v>25</v>
      </c>
      <c r="G496" s="43">
        <v>493</v>
      </c>
    </row>
    <row r="497" spans="1:7" ht="16.5" customHeight="1" x14ac:dyDescent="0.2">
      <c r="A497" s="43" t="s">
        <v>1897</v>
      </c>
      <c r="B497" s="43" t="s">
        <v>1896</v>
      </c>
      <c r="C497" s="43" t="s">
        <v>436</v>
      </c>
      <c r="D497" s="43">
        <v>2267</v>
      </c>
      <c r="E497" s="43" t="s">
        <v>435</v>
      </c>
      <c r="F497" s="43">
        <v>29</v>
      </c>
      <c r="G497" s="43">
        <v>494</v>
      </c>
    </row>
    <row r="498" spans="1:7" ht="16.5" customHeight="1" x14ac:dyDescent="0.2">
      <c r="A498" s="43" t="s">
        <v>1895</v>
      </c>
      <c r="B498" s="43" t="s">
        <v>1894</v>
      </c>
      <c r="C498" s="43" t="s">
        <v>671</v>
      </c>
      <c r="D498" s="43">
        <v>2325</v>
      </c>
      <c r="E498" s="43" t="s">
        <v>670</v>
      </c>
      <c r="F498" s="43">
        <v>28</v>
      </c>
      <c r="G498" s="43">
        <v>495</v>
      </c>
    </row>
    <row r="499" spans="1:7" ht="16.5" customHeight="1" x14ac:dyDescent="0.2">
      <c r="A499" s="43" t="s">
        <v>1893</v>
      </c>
      <c r="B499" s="43" t="s">
        <v>1892</v>
      </c>
      <c r="C499" s="43" t="s">
        <v>1891</v>
      </c>
      <c r="D499" s="43">
        <v>2036</v>
      </c>
      <c r="E499" s="43" t="s">
        <v>618</v>
      </c>
      <c r="F499" s="43">
        <v>18</v>
      </c>
      <c r="G499" s="43">
        <v>496</v>
      </c>
    </row>
    <row r="500" spans="1:7" ht="16.5" customHeight="1" x14ac:dyDescent="0.2">
      <c r="A500" s="43" t="s">
        <v>1890</v>
      </c>
      <c r="B500" s="43" t="s">
        <v>1889</v>
      </c>
      <c r="C500" s="43" t="s">
        <v>1888</v>
      </c>
      <c r="D500" s="43">
        <v>2219</v>
      </c>
      <c r="E500" s="43" t="s">
        <v>618</v>
      </c>
      <c r="F500" s="43">
        <v>27</v>
      </c>
      <c r="G500" s="43">
        <v>497</v>
      </c>
    </row>
    <row r="501" spans="1:7" ht="16.5" customHeight="1" x14ac:dyDescent="0.2">
      <c r="A501" s="43" t="s">
        <v>1887</v>
      </c>
      <c r="B501" s="43" t="s">
        <v>1886</v>
      </c>
      <c r="C501" s="43" t="s">
        <v>1885</v>
      </c>
      <c r="D501" s="43">
        <v>2081</v>
      </c>
      <c r="E501" s="43" t="s">
        <v>695</v>
      </c>
      <c r="F501" s="43">
        <v>36</v>
      </c>
      <c r="G501" s="43">
        <v>498</v>
      </c>
    </row>
    <row r="502" spans="1:7" ht="16.5" customHeight="1" x14ac:dyDescent="0.2">
      <c r="A502" s="43" t="s">
        <v>1884</v>
      </c>
      <c r="B502" s="43" t="s">
        <v>1883</v>
      </c>
      <c r="C502" s="43" t="s">
        <v>1882</v>
      </c>
      <c r="D502" s="43">
        <v>2745</v>
      </c>
      <c r="E502" s="43" t="s">
        <v>389</v>
      </c>
      <c r="F502" s="43">
        <v>46</v>
      </c>
      <c r="G502" s="43">
        <v>499</v>
      </c>
    </row>
    <row r="503" spans="1:7" ht="16.5" customHeight="1" x14ac:dyDescent="0.2">
      <c r="A503" s="43" t="s">
        <v>1881</v>
      </c>
      <c r="B503" s="43" t="s">
        <v>1880</v>
      </c>
      <c r="C503" s="43" t="s">
        <v>1393</v>
      </c>
      <c r="D503" s="43">
        <v>2430</v>
      </c>
      <c r="E503" s="43" t="s">
        <v>537</v>
      </c>
      <c r="F503" s="43">
        <v>38</v>
      </c>
      <c r="G503" s="43">
        <v>500</v>
      </c>
    </row>
    <row r="504" spans="1:7" ht="16.5" customHeight="1" x14ac:dyDescent="0.2">
      <c r="A504" s="43" t="s">
        <v>1879</v>
      </c>
      <c r="B504" s="43" t="s">
        <v>1878</v>
      </c>
      <c r="C504" s="43" t="s">
        <v>987</v>
      </c>
      <c r="D504" s="43">
        <v>2358</v>
      </c>
      <c r="E504" s="43" t="s">
        <v>507</v>
      </c>
      <c r="F504" s="43">
        <v>22</v>
      </c>
      <c r="G504" s="43">
        <v>501</v>
      </c>
    </row>
    <row r="505" spans="1:7" ht="16.5" customHeight="1" x14ac:dyDescent="0.2">
      <c r="A505" s="43" t="s">
        <v>1877</v>
      </c>
      <c r="B505" s="43" t="s">
        <v>1876</v>
      </c>
      <c r="C505" s="43" t="s">
        <v>1218</v>
      </c>
      <c r="D505" s="43">
        <v>2280</v>
      </c>
      <c r="E505" s="43" t="s">
        <v>435</v>
      </c>
      <c r="F505" s="43">
        <v>28</v>
      </c>
      <c r="G505" s="43">
        <v>502</v>
      </c>
    </row>
    <row r="506" spans="1:7" ht="16.5" customHeight="1" x14ac:dyDescent="0.2">
      <c r="A506" s="43" t="s">
        <v>1875</v>
      </c>
      <c r="B506" s="43" t="s">
        <v>1874</v>
      </c>
      <c r="C506" s="43" t="s">
        <v>1873</v>
      </c>
      <c r="D506" s="43">
        <v>2290</v>
      </c>
      <c r="E506" s="43" t="s">
        <v>435</v>
      </c>
      <c r="F506" s="43">
        <v>31</v>
      </c>
      <c r="G506" s="43">
        <v>503</v>
      </c>
    </row>
    <row r="507" spans="1:7" ht="16.5" customHeight="1" x14ac:dyDescent="0.2">
      <c r="A507" s="43" t="s">
        <v>1872</v>
      </c>
      <c r="B507" s="43" t="s">
        <v>1871</v>
      </c>
      <c r="C507" s="43" t="s">
        <v>1224</v>
      </c>
      <c r="D507" s="43">
        <v>2095</v>
      </c>
      <c r="E507" s="43" t="s">
        <v>355</v>
      </c>
      <c r="F507" s="43">
        <v>34</v>
      </c>
      <c r="G507" s="43">
        <v>504</v>
      </c>
    </row>
    <row r="508" spans="1:7" ht="16.5" customHeight="1" x14ac:dyDescent="0.2">
      <c r="A508" s="43" t="s">
        <v>1870</v>
      </c>
      <c r="B508" s="43" t="s">
        <v>1869</v>
      </c>
      <c r="C508" s="43" t="s">
        <v>1868</v>
      </c>
      <c r="D508" s="43">
        <v>2260</v>
      </c>
      <c r="E508" s="43" t="s">
        <v>1006</v>
      </c>
      <c r="F508" s="43">
        <v>30</v>
      </c>
      <c r="G508" s="43">
        <v>505</v>
      </c>
    </row>
    <row r="509" spans="1:7" ht="16.5" customHeight="1" x14ac:dyDescent="0.2">
      <c r="A509" s="43" t="s">
        <v>1867</v>
      </c>
      <c r="B509" s="43" t="s">
        <v>1866</v>
      </c>
      <c r="C509" s="43" t="s">
        <v>1865</v>
      </c>
      <c r="D509" s="43">
        <v>2518</v>
      </c>
      <c r="E509" s="43" t="s">
        <v>393</v>
      </c>
      <c r="F509" s="43">
        <v>34</v>
      </c>
      <c r="G509" s="43">
        <v>506</v>
      </c>
    </row>
    <row r="510" spans="1:7" ht="16.5" customHeight="1" x14ac:dyDescent="0.2">
      <c r="A510" s="43" t="s">
        <v>1864</v>
      </c>
      <c r="B510" s="43" t="s">
        <v>1863</v>
      </c>
      <c r="C510" s="43" t="s">
        <v>1358</v>
      </c>
      <c r="D510" s="43">
        <v>2448</v>
      </c>
      <c r="E510" s="43" t="s">
        <v>635</v>
      </c>
      <c r="F510" s="43">
        <v>37</v>
      </c>
      <c r="G510" s="43">
        <v>507</v>
      </c>
    </row>
    <row r="511" spans="1:7" ht="16.5" customHeight="1" x14ac:dyDescent="0.2">
      <c r="A511" s="43" t="s">
        <v>1862</v>
      </c>
      <c r="B511" s="43" t="s">
        <v>1861</v>
      </c>
      <c r="C511" s="43" t="s">
        <v>1090</v>
      </c>
      <c r="D511" s="43">
        <v>2230</v>
      </c>
      <c r="E511" s="43" t="s">
        <v>1024</v>
      </c>
      <c r="F511" s="43">
        <v>16</v>
      </c>
      <c r="G511" s="43">
        <v>508</v>
      </c>
    </row>
    <row r="512" spans="1:7" ht="16.5" customHeight="1" x14ac:dyDescent="0.2">
      <c r="A512" s="43" t="s">
        <v>1860</v>
      </c>
      <c r="B512" s="43" t="s">
        <v>1859</v>
      </c>
      <c r="C512" s="43" t="s">
        <v>1073</v>
      </c>
      <c r="D512" s="43">
        <v>2825</v>
      </c>
      <c r="E512" s="43" t="s">
        <v>1072</v>
      </c>
      <c r="F512" s="43">
        <v>24</v>
      </c>
      <c r="G512" s="43">
        <v>509</v>
      </c>
    </row>
    <row r="513" spans="1:7" ht="16.5" customHeight="1" x14ac:dyDescent="0.2">
      <c r="A513" s="43" t="s">
        <v>1858</v>
      </c>
      <c r="B513" s="43" t="s">
        <v>1857</v>
      </c>
      <c r="C513" s="43" t="s">
        <v>1856</v>
      </c>
      <c r="D513" s="43">
        <v>2382</v>
      </c>
      <c r="E513" s="43" t="s">
        <v>499</v>
      </c>
      <c r="F513" s="43">
        <v>14</v>
      </c>
      <c r="G513" s="43">
        <v>510</v>
      </c>
    </row>
    <row r="514" spans="1:7" ht="16.5" customHeight="1" x14ac:dyDescent="0.2">
      <c r="A514" s="43" t="s">
        <v>1855</v>
      </c>
      <c r="B514" s="43" t="s">
        <v>1854</v>
      </c>
      <c r="C514" s="43" t="s">
        <v>1853</v>
      </c>
      <c r="D514" s="43">
        <v>2832</v>
      </c>
      <c r="E514" s="43" t="s">
        <v>1526</v>
      </c>
      <c r="F514" s="43">
        <v>24</v>
      </c>
      <c r="G514" s="43">
        <v>511</v>
      </c>
    </row>
    <row r="515" spans="1:7" ht="16.5" customHeight="1" x14ac:dyDescent="0.2">
      <c r="A515" s="43" t="s">
        <v>1852</v>
      </c>
      <c r="B515" s="43" t="s">
        <v>1851</v>
      </c>
      <c r="C515" s="43" t="s">
        <v>1704</v>
      </c>
      <c r="D515" s="43">
        <v>2830</v>
      </c>
      <c r="E515" s="43" t="s">
        <v>420</v>
      </c>
      <c r="F515" s="43">
        <v>21</v>
      </c>
      <c r="G515" s="43">
        <v>512</v>
      </c>
    </row>
    <row r="516" spans="1:7" ht="16.5" customHeight="1" x14ac:dyDescent="0.2">
      <c r="A516" s="43" t="s">
        <v>1850</v>
      </c>
      <c r="B516" s="43" t="s">
        <v>1849</v>
      </c>
      <c r="C516" s="43" t="s">
        <v>1848</v>
      </c>
      <c r="D516" s="43">
        <v>2077</v>
      </c>
      <c r="E516" s="43" t="s">
        <v>695</v>
      </c>
      <c r="F516" s="43">
        <v>40</v>
      </c>
      <c r="G516" s="43">
        <v>513</v>
      </c>
    </row>
    <row r="517" spans="1:7" ht="16.5" customHeight="1" x14ac:dyDescent="0.2">
      <c r="A517" s="43" t="s">
        <v>1847</v>
      </c>
      <c r="B517" s="43" t="s">
        <v>1846</v>
      </c>
      <c r="C517" s="43" t="s">
        <v>1845</v>
      </c>
      <c r="D517" s="43">
        <v>2646</v>
      </c>
      <c r="E517" s="43" t="s">
        <v>467</v>
      </c>
      <c r="F517" s="43">
        <v>41</v>
      </c>
      <c r="G517" s="43">
        <v>514</v>
      </c>
    </row>
    <row r="518" spans="1:7" ht="16.5" customHeight="1" x14ac:dyDescent="0.2">
      <c r="A518" s="43" t="s">
        <v>1844</v>
      </c>
      <c r="B518" s="43" t="s">
        <v>1843</v>
      </c>
      <c r="C518" s="43" t="s">
        <v>1842</v>
      </c>
      <c r="D518" s="43">
        <v>2730</v>
      </c>
      <c r="E518" s="43" t="s">
        <v>397</v>
      </c>
      <c r="F518" s="43">
        <v>28</v>
      </c>
      <c r="G518" s="43">
        <v>515</v>
      </c>
    </row>
    <row r="519" spans="1:7" ht="16.5" customHeight="1" x14ac:dyDescent="0.2">
      <c r="A519" s="43" t="s">
        <v>1841</v>
      </c>
      <c r="B519" s="43" t="s">
        <v>1840</v>
      </c>
      <c r="C519" s="43" t="s">
        <v>1393</v>
      </c>
      <c r="D519" s="43">
        <v>2430</v>
      </c>
      <c r="E519" s="43" t="s">
        <v>537</v>
      </c>
      <c r="F519" s="43">
        <v>39</v>
      </c>
      <c r="G519" s="43">
        <v>516</v>
      </c>
    </row>
    <row r="520" spans="1:7" ht="16.5" customHeight="1" x14ac:dyDescent="0.2">
      <c r="A520" s="43" t="s">
        <v>1839</v>
      </c>
      <c r="B520" s="43" t="s">
        <v>1838</v>
      </c>
      <c r="C520" s="43" t="s">
        <v>1837</v>
      </c>
      <c r="D520" s="43">
        <v>2539</v>
      </c>
      <c r="E520" s="43" t="s">
        <v>783</v>
      </c>
      <c r="F520" s="43">
        <v>22</v>
      </c>
      <c r="G520" s="43">
        <v>517</v>
      </c>
    </row>
    <row r="521" spans="1:7" ht="16.5" customHeight="1" x14ac:dyDescent="0.2">
      <c r="A521" s="43" t="s">
        <v>1836</v>
      </c>
      <c r="B521" s="43" t="s">
        <v>1835</v>
      </c>
      <c r="C521" s="43" t="s">
        <v>1834</v>
      </c>
      <c r="D521" s="43">
        <v>2340</v>
      </c>
      <c r="E521" s="43" t="s">
        <v>951</v>
      </c>
      <c r="F521" s="43">
        <v>22</v>
      </c>
      <c r="G521" s="43">
        <v>518</v>
      </c>
    </row>
    <row r="522" spans="1:7" ht="16.5" customHeight="1" x14ac:dyDescent="0.2">
      <c r="A522" s="43" t="s">
        <v>1833</v>
      </c>
      <c r="B522" s="43" t="s">
        <v>1832</v>
      </c>
      <c r="C522" s="43" t="s">
        <v>1831</v>
      </c>
      <c r="D522" s="43">
        <v>2836</v>
      </c>
      <c r="E522" s="43" t="s">
        <v>1165</v>
      </c>
      <c r="F522" s="43">
        <v>20</v>
      </c>
      <c r="G522" s="43">
        <v>519</v>
      </c>
    </row>
    <row r="523" spans="1:7" ht="16.5" customHeight="1" x14ac:dyDescent="0.2">
      <c r="A523" s="43" t="s">
        <v>1830</v>
      </c>
      <c r="B523" s="43" t="s">
        <v>1829</v>
      </c>
      <c r="C523" s="43" t="s">
        <v>1628</v>
      </c>
      <c r="D523" s="43">
        <v>2480</v>
      </c>
      <c r="E523" s="43" t="s">
        <v>405</v>
      </c>
      <c r="F523" s="43">
        <v>24</v>
      </c>
      <c r="G523" s="43">
        <v>520</v>
      </c>
    </row>
    <row r="524" spans="1:7" ht="16.5" customHeight="1" x14ac:dyDescent="0.2">
      <c r="A524" s="43" t="s">
        <v>1828</v>
      </c>
      <c r="B524" s="43" t="s">
        <v>1827</v>
      </c>
      <c r="C524" s="43" t="s">
        <v>1826</v>
      </c>
      <c r="D524" s="43">
        <v>2326</v>
      </c>
      <c r="E524" s="43" t="s">
        <v>670</v>
      </c>
      <c r="F524" s="43">
        <v>24</v>
      </c>
      <c r="G524" s="43">
        <v>521</v>
      </c>
    </row>
    <row r="525" spans="1:7" ht="16.5" customHeight="1" x14ac:dyDescent="0.2">
      <c r="A525" s="43" t="s">
        <v>1825</v>
      </c>
      <c r="B525" s="43" t="s">
        <v>1824</v>
      </c>
      <c r="C525" s="43" t="s">
        <v>444</v>
      </c>
      <c r="D525" s="43">
        <v>2583</v>
      </c>
      <c r="E525" s="43" t="s">
        <v>443</v>
      </c>
      <c r="F525" s="43">
        <v>25</v>
      </c>
      <c r="G525" s="43">
        <v>522</v>
      </c>
    </row>
    <row r="526" spans="1:7" ht="16.5" customHeight="1" x14ac:dyDescent="0.2">
      <c r="A526" s="43" t="s">
        <v>1823</v>
      </c>
      <c r="B526" s="43" t="s">
        <v>1822</v>
      </c>
      <c r="C526" s="43" t="s">
        <v>1821</v>
      </c>
      <c r="D526" s="43">
        <v>2060</v>
      </c>
      <c r="E526" s="43" t="s">
        <v>712</v>
      </c>
      <c r="F526" s="43">
        <v>35</v>
      </c>
      <c r="G526" s="43">
        <v>523</v>
      </c>
    </row>
    <row r="527" spans="1:7" ht="16.5" customHeight="1" x14ac:dyDescent="0.2">
      <c r="A527" s="43" t="s">
        <v>1820</v>
      </c>
      <c r="B527" s="43" t="s">
        <v>1819</v>
      </c>
      <c r="C527" s="43" t="s">
        <v>1818</v>
      </c>
      <c r="D527" s="43">
        <v>2517</v>
      </c>
      <c r="E527" s="43" t="s">
        <v>393</v>
      </c>
      <c r="F527" s="43">
        <v>16</v>
      </c>
      <c r="G527" s="43">
        <v>524</v>
      </c>
    </row>
    <row r="528" spans="1:7" ht="16.5" customHeight="1" x14ac:dyDescent="0.2">
      <c r="A528" s="43" t="s">
        <v>1817</v>
      </c>
      <c r="B528" s="43" t="s">
        <v>1816</v>
      </c>
      <c r="C528" s="43" t="s">
        <v>1815</v>
      </c>
      <c r="D528" s="43">
        <v>2108</v>
      </c>
      <c r="E528" s="43" t="s">
        <v>355</v>
      </c>
      <c r="F528" s="43">
        <v>38</v>
      </c>
      <c r="G528" s="43">
        <v>525</v>
      </c>
    </row>
    <row r="529" spans="1:7" ht="16.5" customHeight="1" x14ac:dyDescent="0.2">
      <c r="A529" s="43" t="s">
        <v>1814</v>
      </c>
      <c r="B529" s="43" t="s">
        <v>1813</v>
      </c>
      <c r="C529" s="43" t="s">
        <v>1410</v>
      </c>
      <c r="D529" s="43">
        <v>2711</v>
      </c>
      <c r="E529" s="43" t="s">
        <v>1409</v>
      </c>
      <c r="F529" s="43">
        <v>27</v>
      </c>
      <c r="G529" s="43">
        <v>526</v>
      </c>
    </row>
    <row r="530" spans="1:7" ht="16.5" customHeight="1" x14ac:dyDescent="0.2">
      <c r="A530" s="43" t="s">
        <v>1812</v>
      </c>
      <c r="B530" s="43" t="s">
        <v>1811</v>
      </c>
      <c r="C530" s="43" t="s">
        <v>959</v>
      </c>
      <c r="D530" s="43">
        <v>2444</v>
      </c>
      <c r="E530" s="43" t="s">
        <v>958</v>
      </c>
      <c r="F530" s="43">
        <v>32</v>
      </c>
      <c r="G530" s="43">
        <v>527</v>
      </c>
    </row>
    <row r="531" spans="1:7" ht="16.5" customHeight="1" x14ac:dyDescent="0.2">
      <c r="A531" s="43" t="s">
        <v>1810</v>
      </c>
      <c r="B531" s="43" t="s">
        <v>1809</v>
      </c>
      <c r="C531" s="43" t="s">
        <v>1808</v>
      </c>
      <c r="D531" s="43">
        <v>2325</v>
      </c>
      <c r="E531" s="43" t="s">
        <v>670</v>
      </c>
      <c r="F531" s="43">
        <v>30</v>
      </c>
      <c r="G531" s="43">
        <v>528</v>
      </c>
    </row>
    <row r="532" spans="1:7" ht="16.5" customHeight="1" x14ac:dyDescent="0.2">
      <c r="A532" s="43" t="s">
        <v>1807</v>
      </c>
      <c r="B532" s="43" t="s">
        <v>1806</v>
      </c>
      <c r="C532" s="43" t="s">
        <v>1805</v>
      </c>
      <c r="D532" s="43">
        <v>2540</v>
      </c>
      <c r="E532" s="43" t="s">
        <v>783</v>
      </c>
      <c r="F532" s="43">
        <v>32</v>
      </c>
      <c r="G532" s="43">
        <v>529</v>
      </c>
    </row>
    <row r="533" spans="1:7" ht="16.5" customHeight="1" x14ac:dyDescent="0.2">
      <c r="A533" s="43" t="s">
        <v>1804</v>
      </c>
      <c r="B533" s="43" t="s">
        <v>1803</v>
      </c>
      <c r="C533" s="43" t="s">
        <v>1802</v>
      </c>
      <c r="D533" s="43">
        <v>2632</v>
      </c>
      <c r="E533" s="43" t="s">
        <v>336</v>
      </c>
      <c r="F533" s="43">
        <v>20</v>
      </c>
      <c r="G533" s="43">
        <v>530</v>
      </c>
    </row>
    <row r="534" spans="1:7" ht="16.5" customHeight="1" x14ac:dyDescent="0.2">
      <c r="A534" s="43" t="s">
        <v>1801</v>
      </c>
      <c r="B534" s="43" t="s">
        <v>1800</v>
      </c>
      <c r="C534" s="43" t="s">
        <v>795</v>
      </c>
      <c r="D534" s="43">
        <v>2800</v>
      </c>
      <c r="E534" s="43" t="s">
        <v>794</v>
      </c>
      <c r="F534" s="43">
        <v>21</v>
      </c>
      <c r="G534" s="43">
        <v>531</v>
      </c>
    </row>
    <row r="535" spans="1:7" ht="16.5" customHeight="1" x14ac:dyDescent="0.2">
      <c r="A535" s="43" t="s">
        <v>1799</v>
      </c>
      <c r="B535" s="43" t="s">
        <v>1798</v>
      </c>
      <c r="C535" s="43" t="s">
        <v>1797</v>
      </c>
      <c r="D535" s="43">
        <v>2231</v>
      </c>
      <c r="E535" s="43" t="s">
        <v>1024</v>
      </c>
      <c r="F535" s="43">
        <v>20</v>
      </c>
      <c r="G535" s="43">
        <v>532</v>
      </c>
    </row>
    <row r="536" spans="1:7" ht="16.5" customHeight="1" x14ac:dyDescent="0.2">
      <c r="A536" s="43" t="s">
        <v>1796</v>
      </c>
      <c r="B536" s="43" t="s">
        <v>1795</v>
      </c>
      <c r="C536" s="43" t="s">
        <v>758</v>
      </c>
      <c r="D536" s="43">
        <v>2869</v>
      </c>
      <c r="E536" s="43" t="s">
        <v>491</v>
      </c>
      <c r="F536" s="43">
        <v>18</v>
      </c>
      <c r="G536" s="43">
        <v>533</v>
      </c>
    </row>
    <row r="537" spans="1:7" ht="16.5" customHeight="1" x14ac:dyDescent="0.2">
      <c r="A537" s="43" t="s">
        <v>1794</v>
      </c>
      <c r="B537" s="43" t="s">
        <v>1793</v>
      </c>
      <c r="C537" s="43" t="s">
        <v>424</v>
      </c>
      <c r="D537" s="43">
        <v>2653</v>
      </c>
      <c r="E537" s="43" t="s">
        <v>397</v>
      </c>
      <c r="F537" s="43">
        <v>15</v>
      </c>
      <c r="G537" s="43">
        <v>534</v>
      </c>
    </row>
    <row r="538" spans="1:7" ht="16.5" customHeight="1" x14ac:dyDescent="0.2">
      <c r="A538" s="43" t="s">
        <v>1792</v>
      </c>
      <c r="B538" s="43" t="s">
        <v>1791</v>
      </c>
      <c r="C538" s="43" t="s">
        <v>1790</v>
      </c>
      <c r="D538" s="43">
        <v>2430</v>
      </c>
      <c r="E538" s="43" t="s">
        <v>537</v>
      </c>
      <c r="F538" s="43">
        <v>29</v>
      </c>
      <c r="G538" s="43">
        <v>535</v>
      </c>
    </row>
    <row r="539" spans="1:7" ht="16.5" customHeight="1" x14ac:dyDescent="0.2">
      <c r="A539" s="43" t="s">
        <v>1789</v>
      </c>
      <c r="B539" s="43" t="s">
        <v>1788</v>
      </c>
      <c r="C539" s="43" t="s">
        <v>588</v>
      </c>
      <c r="D539" s="43">
        <v>2452</v>
      </c>
      <c r="E539" s="43" t="s">
        <v>484</v>
      </c>
      <c r="F539" s="43">
        <v>30</v>
      </c>
      <c r="G539" s="43">
        <v>536</v>
      </c>
    </row>
    <row r="540" spans="1:7" ht="16.5" customHeight="1" x14ac:dyDescent="0.2">
      <c r="A540" s="43" t="s">
        <v>1787</v>
      </c>
      <c r="B540" s="43" t="s">
        <v>1786</v>
      </c>
      <c r="C540" s="43" t="s">
        <v>909</v>
      </c>
      <c r="D540" s="43">
        <v>2571</v>
      </c>
      <c r="E540" s="43" t="s">
        <v>908</v>
      </c>
      <c r="F540" s="43">
        <v>50</v>
      </c>
      <c r="G540" s="43">
        <v>537</v>
      </c>
    </row>
    <row r="541" spans="1:7" ht="16.5" customHeight="1" x14ac:dyDescent="0.2">
      <c r="A541" s="43" t="s">
        <v>1785</v>
      </c>
      <c r="B541" s="43" t="s">
        <v>1784</v>
      </c>
      <c r="C541" s="43" t="s">
        <v>1783</v>
      </c>
      <c r="D541" s="43">
        <v>2441</v>
      </c>
      <c r="E541" s="43" t="s">
        <v>455</v>
      </c>
      <c r="F541" s="43">
        <v>23</v>
      </c>
      <c r="G541" s="43">
        <v>538</v>
      </c>
    </row>
    <row r="542" spans="1:7" ht="16.5" customHeight="1" x14ac:dyDescent="0.2">
      <c r="A542" s="43" t="s">
        <v>1782</v>
      </c>
      <c r="B542" s="43" t="s">
        <v>1781</v>
      </c>
      <c r="C542" s="43" t="s">
        <v>1780</v>
      </c>
      <c r="D542" s="43">
        <v>2263</v>
      </c>
      <c r="E542" s="43" t="s">
        <v>1006</v>
      </c>
      <c r="F542" s="43">
        <v>34</v>
      </c>
      <c r="G542" s="43">
        <v>539</v>
      </c>
    </row>
    <row r="543" spans="1:7" ht="16.5" customHeight="1" x14ac:dyDescent="0.2">
      <c r="A543" s="43" t="s">
        <v>1779</v>
      </c>
      <c r="B543" s="43" t="s">
        <v>1778</v>
      </c>
      <c r="C543" s="43" t="s">
        <v>1777</v>
      </c>
      <c r="D543" s="43">
        <v>2205</v>
      </c>
      <c r="E543" s="43" t="s">
        <v>618</v>
      </c>
      <c r="F543" s="43">
        <v>32</v>
      </c>
      <c r="G543" s="43">
        <v>540</v>
      </c>
    </row>
    <row r="544" spans="1:7" ht="16.5" customHeight="1" x14ac:dyDescent="0.2">
      <c r="A544" s="43" t="s">
        <v>1776</v>
      </c>
      <c r="B544" s="43" t="s">
        <v>1775</v>
      </c>
      <c r="C544" s="43" t="s">
        <v>952</v>
      </c>
      <c r="D544" s="43">
        <v>2340</v>
      </c>
      <c r="E544" s="43" t="s">
        <v>951</v>
      </c>
      <c r="F544" s="43">
        <v>30</v>
      </c>
      <c r="G544" s="43">
        <v>541</v>
      </c>
    </row>
    <row r="545" spans="1:7" ht="16.5" customHeight="1" x14ac:dyDescent="0.2">
      <c r="A545" s="43" t="s">
        <v>1774</v>
      </c>
      <c r="B545" s="43" t="s">
        <v>1773</v>
      </c>
      <c r="C545" s="43" t="s">
        <v>1232</v>
      </c>
      <c r="D545" s="43">
        <v>2329</v>
      </c>
      <c r="E545" s="43" t="s">
        <v>680</v>
      </c>
      <c r="F545" s="43">
        <v>22</v>
      </c>
      <c r="G545" s="43">
        <v>542</v>
      </c>
    </row>
    <row r="546" spans="1:7" ht="16.5" customHeight="1" x14ac:dyDescent="0.2">
      <c r="A546" s="43" t="s">
        <v>1772</v>
      </c>
      <c r="B546" s="43" t="s">
        <v>1771</v>
      </c>
      <c r="C546" s="43" t="s">
        <v>500</v>
      </c>
      <c r="D546" s="43">
        <v>2388</v>
      </c>
      <c r="E546" s="43" t="s">
        <v>499</v>
      </c>
      <c r="F546" s="43">
        <v>24</v>
      </c>
      <c r="G546" s="43">
        <v>543</v>
      </c>
    </row>
    <row r="547" spans="1:7" ht="16.5" customHeight="1" x14ac:dyDescent="0.2">
      <c r="A547" s="43" t="s">
        <v>1770</v>
      </c>
      <c r="B547" s="43" t="s">
        <v>1769</v>
      </c>
      <c r="C547" s="43" t="s">
        <v>1768</v>
      </c>
      <c r="D547" s="43">
        <v>2622</v>
      </c>
      <c r="E547" s="43" t="s">
        <v>751</v>
      </c>
      <c r="F547" s="43">
        <v>23</v>
      </c>
      <c r="G547" s="43">
        <v>544</v>
      </c>
    </row>
    <row r="548" spans="1:7" ht="16.5" customHeight="1" x14ac:dyDescent="0.2">
      <c r="A548" s="43" t="s">
        <v>1767</v>
      </c>
      <c r="B548" s="43" t="s">
        <v>1766</v>
      </c>
      <c r="C548" s="43" t="s">
        <v>1021</v>
      </c>
      <c r="D548" s="43">
        <v>2336</v>
      </c>
      <c r="E548" s="43" t="s">
        <v>680</v>
      </c>
      <c r="F548" s="43">
        <v>12</v>
      </c>
      <c r="G548" s="43">
        <v>545</v>
      </c>
    </row>
    <row r="549" spans="1:7" ht="16.5" customHeight="1" x14ac:dyDescent="0.2">
      <c r="A549" s="43" t="s">
        <v>1765</v>
      </c>
      <c r="B549" s="43" t="s">
        <v>1764</v>
      </c>
      <c r="C549" s="43" t="s">
        <v>1763</v>
      </c>
      <c r="D549" s="43">
        <v>2454</v>
      </c>
      <c r="E549" s="43" t="s">
        <v>1190</v>
      </c>
      <c r="F549" s="43">
        <v>25</v>
      </c>
      <c r="G549" s="43">
        <v>546</v>
      </c>
    </row>
    <row r="550" spans="1:7" ht="16.5" customHeight="1" x14ac:dyDescent="0.2">
      <c r="A550" s="43" t="s">
        <v>1762</v>
      </c>
      <c r="B550" s="43" t="s">
        <v>1761</v>
      </c>
      <c r="C550" s="43" t="s">
        <v>1760</v>
      </c>
      <c r="D550" s="43">
        <v>2540</v>
      </c>
      <c r="E550" s="43" t="s">
        <v>783</v>
      </c>
      <c r="F550" s="43">
        <v>23</v>
      </c>
      <c r="G550" s="43">
        <v>547</v>
      </c>
    </row>
    <row r="551" spans="1:7" ht="16.5" customHeight="1" x14ac:dyDescent="0.2">
      <c r="A551" s="43" t="s">
        <v>1759</v>
      </c>
      <c r="B551" s="43" t="s">
        <v>1758</v>
      </c>
      <c r="C551" s="43" t="s">
        <v>1757</v>
      </c>
      <c r="D551" s="43">
        <v>2250</v>
      </c>
      <c r="E551" s="43" t="s">
        <v>1006</v>
      </c>
      <c r="F551" s="43">
        <v>14</v>
      </c>
      <c r="G551" s="43">
        <v>548</v>
      </c>
    </row>
    <row r="552" spans="1:7" ht="16.5" customHeight="1" x14ac:dyDescent="0.2">
      <c r="A552" s="43" t="s">
        <v>1756</v>
      </c>
      <c r="B552" s="43" t="s">
        <v>1755</v>
      </c>
      <c r="C552" s="43" t="s">
        <v>1754</v>
      </c>
      <c r="D552" s="43">
        <v>2315</v>
      </c>
      <c r="E552" s="43" t="s">
        <v>884</v>
      </c>
      <c r="F552" s="43">
        <v>31</v>
      </c>
      <c r="G552" s="43">
        <v>549</v>
      </c>
    </row>
    <row r="553" spans="1:7" ht="16.5" customHeight="1" x14ac:dyDescent="0.2">
      <c r="A553" s="43" t="s">
        <v>1753</v>
      </c>
      <c r="B553" s="43" t="s">
        <v>1752</v>
      </c>
      <c r="C553" s="43" t="s">
        <v>542</v>
      </c>
      <c r="D553" s="43">
        <v>2563</v>
      </c>
      <c r="E553" s="43" t="s">
        <v>541</v>
      </c>
      <c r="F553" s="43">
        <v>39</v>
      </c>
      <c r="G553" s="43">
        <v>550</v>
      </c>
    </row>
    <row r="554" spans="1:7" ht="16.5" customHeight="1" x14ac:dyDescent="0.2">
      <c r="A554" s="43" t="s">
        <v>1751</v>
      </c>
      <c r="B554" s="43" t="s">
        <v>1750</v>
      </c>
      <c r="C554" s="43" t="s">
        <v>1749</v>
      </c>
      <c r="D554" s="43">
        <v>2261</v>
      </c>
      <c r="E554" s="43" t="s">
        <v>1006</v>
      </c>
      <c r="F554" s="43">
        <v>28</v>
      </c>
      <c r="G554" s="43">
        <v>551</v>
      </c>
    </row>
    <row r="555" spans="1:7" ht="16.5" customHeight="1" x14ac:dyDescent="0.2">
      <c r="A555" s="43" t="s">
        <v>1748</v>
      </c>
      <c r="B555" s="43" t="s">
        <v>1747</v>
      </c>
      <c r="C555" s="43" t="s">
        <v>1406</v>
      </c>
      <c r="D555" s="43">
        <v>2587</v>
      </c>
      <c r="E555" s="43" t="s">
        <v>653</v>
      </c>
      <c r="F555" s="43">
        <v>13</v>
      </c>
      <c r="G555" s="43">
        <v>552</v>
      </c>
    </row>
    <row r="556" spans="1:7" ht="16.5" customHeight="1" x14ac:dyDescent="0.2">
      <c r="A556" s="43" t="s">
        <v>1746</v>
      </c>
      <c r="B556" s="43" t="s">
        <v>1745</v>
      </c>
      <c r="C556" s="43" t="s">
        <v>1744</v>
      </c>
      <c r="D556" s="43">
        <v>2445</v>
      </c>
      <c r="E556" s="43" t="s">
        <v>958</v>
      </c>
      <c r="F556" s="43">
        <v>30</v>
      </c>
      <c r="G556" s="43">
        <v>553</v>
      </c>
    </row>
    <row r="557" spans="1:7" ht="16.5" customHeight="1" x14ac:dyDescent="0.2">
      <c r="A557" s="43" t="s">
        <v>1743</v>
      </c>
      <c r="B557" s="43" t="s">
        <v>1742</v>
      </c>
      <c r="C557" s="43" t="s">
        <v>1741</v>
      </c>
      <c r="D557" s="43">
        <v>2546</v>
      </c>
      <c r="E557" s="43" t="s">
        <v>1638</v>
      </c>
      <c r="F557" s="43">
        <v>17</v>
      </c>
      <c r="G557" s="43">
        <v>554</v>
      </c>
    </row>
    <row r="558" spans="1:7" ht="16.5" customHeight="1" x14ac:dyDescent="0.2">
      <c r="A558" s="43" t="s">
        <v>1740</v>
      </c>
      <c r="B558" s="43" t="s">
        <v>1739</v>
      </c>
      <c r="C558" s="43" t="s">
        <v>1738</v>
      </c>
      <c r="D558" s="43">
        <v>2233</v>
      </c>
      <c r="E558" s="43" t="s">
        <v>1024</v>
      </c>
      <c r="F558" s="43">
        <v>34</v>
      </c>
      <c r="G558" s="43">
        <v>555</v>
      </c>
    </row>
    <row r="559" spans="1:7" ht="16.5" customHeight="1" x14ac:dyDescent="0.2">
      <c r="A559" s="43" t="s">
        <v>1737</v>
      </c>
      <c r="B559" s="43" t="s">
        <v>1736</v>
      </c>
      <c r="C559" s="43" t="s">
        <v>1735</v>
      </c>
      <c r="D559" s="43">
        <v>2849</v>
      </c>
      <c r="E559" s="43" t="s">
        <v>1124</v>
      </c>
      <c r="F559" s="43">
        <v>15</v>
      </c>
      <c r="G559" s="43">
        <v>556</v>
      </c>
    </row>
    <row r="560" spans="1:7" ht="16.5" customHeight="1" x14ac:dyDescent="0.2">
      <c r="A560" s="43" t="s">
        <v>1734</v>
      </c>
      <c r="B560" s="43" t="s">
        <v>1733</v>
      </c>
      <c r="C560" s="43" t="s">
        <v>787</v>
      </c>
      <c r="D560" s="43">
        <v>2034</v>
      </c>
      <c r="E560" s="43" t="s">
        <v>548</v>
      </c>
      <c r="F560" s="43">
        <v>22</v>
      </c>
      <c r="G560" s="43">
        <v>557</v>
      </c>
    </row>
    <row r="561" spans="1:7" ht="16.5" customHeight="1" x14ac:dyDescent="0.2">
      <c r="A561" s="43" t="s">
        <v>1732</v>
      </c>
      <c r="B561" s="43" t="s">
        <v>1731</v>
      </c>
      <c r="C561" s="43" t="s">
        <v>1393</v>
      </c>
      <c r="D561" s="43">
        <v>2430</v>
      </c>
      <c r="E561" s="43" t="s">
        <v>537</v>
      </c>
      <c r="F561" s="43">
        <v>37</v>
      </c>
      <c r="G561" s="43">
        <v>558</v>
      </c>
    </row>
    <row r="562" spans="1:7" ht="16.5" customHeight="1" x14ac:dyDescent="0.2">
      <c r="A562" s="43" t="s">
        <v>1730</v>
      </c>
      <c r="B562" s="43" t="s">
        <v>1729</v>
      </c>
      <c r="C562" s="43" t="s">
        <v>1619</v>
      </c>
      <c r="D562" s="43">
        <v>2756</v>
      </c>
      <c r="E562" s="43" t="s">
        <v>451</v>
      </c>
      <c r="F562" s="43">
        <v>30</v>
      </c>
      <c r="G562" s="43">
        <v>559</v>
      </c>
    </row>
    <row r="563" spans="1:7" ht="16.5" customHeight="1" x14ac:dyDescent="0.2">
      <c r="A563" s="43" t="s">
        <v>1728</v>
      </c>
      <c r="B563" s="43" t="s">
        <v>1727</v>
      </c>
      <c r="C563" s="43" t="s">
        <v>1726</v>
      </c>
      <c r="D563" s="43">
        <v>2120</v>
      </c>
      <c r="E563" s="43" t="s">
        <v>695</v>
      </c>
      <c r="F563" s="43">
        <v>30</v>
      </c>
      <c r="G563" s="43">
        <v>560</v>
      </c>
    </row>
    <row r="564" spans="1:7" ht="16.5" customHeight="1" x14ac:dyDescent="0.2">
      <c r="A564" s="43" t="s">
        <v>1725</v>
      </c>
      <c r="B564" s="43" t="s">
        <v>1724</v>
      </c>
      <c r="C564" s="43" t="s">
        <v>1723</v>
      </c>
      <c r="D564" s="43">
        <v>2539</v>
      </c>
      <c r="E564" s="43" t="s">
        <v>783</v>
      </c>
      <c r="F564" s="43">
        <v>28</v>
      </c>
      <c r="G564" s="43">
        <v>561</v>
      </c>
    </row>
    <row r="565" spans="1:7" ht="16.5" customHeight="1" x14ac:dyDescent="0.2">
      <c r="A565" s="43" t="s">
        <v>1722</v>
      </c>
      <c r="B565" s="43" t="s">
        <v>1721</v>
      </c>
      <c r="C565" s="43" t="s">
        <v>1720</v>
      </c>
      <c r="D565" s="43">
        <v>2745</v>
      </c>
      <c r="E565" s="43" t="s">
        <v>1031</v>
      </c>
      <c r="F565" s="43">
        <v>32</v>
      </c>
      <c r="G565" s="43">
        <v>562</v>
      </c>
    </row>
    <row r="566" spans="1:7" ht="16.5" customHeight="1" x14ac:dyDescent="0.2">
      <c r="A566" s="43" t="s">
        <v>1719</v>
      </c>
      <c r="B566" s="43" t="s">
        <v>1718</v>
      </c>
      <c r="C566" s="43" t="s">
        <v>1717</v>
      </c>
      <c r="D566" s="43">
        <v>2480</v>
      </c>
      <c r="E566" s="43" t="s">
        <v>405</v>
      </c>
      <c r="F566" s="43">
        <v>13</v>
      </c>
      <c r="G566" s="43">
        <v>563</v>
      </c>
    </row>
    <row r="567" spans="1:7" ht="16.5" customHeight="1" x14ac:dyDescent="0.2">
      <c r="A567" s="43" t="s">
        <v>1716</v>
      </c>
      <c r="B567" s="43" t="s">
        <v>1715</v>
      </c>
      <c r="C567" s="43" t="s">
        <v>1714</v>
      </c>
      <c r="D567" s="43">
        <v>2259</v>
      </c>
      <c r="E567" s="43" t="s">
        <v>1006</v>
      </c>
      <c r="F567" s="43">
        <v>31</v>
      </c>
      <c r="G567" s="43">
        <v>564</v>
      </c>
    </row>
    <row r="568" spans="1:7" ht="16.5" customHeight="1" x14ac:dyDescent="0.2">
      <c r="A568" s="43" t="s">
        <v>1713</v>
      </c>
      <c r="B568" s="43" t="s">
        <v>1712</v>
      </c>
      <c r="C568" s="43" t="s">
        <v>1711</v>
      </c>
      <c r="D568" s="43">
        <v>2145</v>
      </c>
      <c r="E568" s="43" t="s">
        <v>377</v>
      </c>
      <c r="F568" s="43">
        <v>27</v>
      </c>
      <c r="G568" s="43">
        <v>565</v>
      </c>
    </row>
    <row r="569" spans="1:7" ht="16.5" customHeight="1" x14ac:dyDescent="0.2">
      <c r="A569" s="43" t="s">
        <v>1710</v>
      </c>
      <c r="B569" s="43" t="s">
        <v>1709</v>
      </c>
      <c r="C569" s="43" t="s">
        <v>787</v>
      </c>
      <c r="D569" s="43">
        <v>2034</v>
      </c>
      <c r="E569" s="43" t="s">
        <v>548</v>
      </c>
      <c r="F569" s="43">
        <v>46</v>
      </c>
      <c r="G569" s="43">
        <v>566</v>
      </c>
    </row>
    <row r="570" spans="1:7" ht="16.5" customHeight="1" x14ac:dyDescent="0.2">
      <c r="A570" s="43" t="s">
        <v>1708</v>
      </c>
      <c r="B570" s="43" t="s">
        <v>1707</v>
      </c>
      <c r="C570" s="43" t="s">
        <v>1358</v>
      </c>
      <c r="D570" s="43">
        <v>2448</v>
      </c>
      <c r="E570" s="43" t="s">
        <v>635</v>
      </c>
      <c r="F570" s="43">
        <v>15</v>
      </c>
      <c r="G570" s="43">
        <v>567</v>
      </c>
    </row>
    <row r="571" spans="1:7" ht="16.5" customHeight="1" x14ac:dyDescent="0.2">
      <c r="A571" s="43" t="s">
        <v>1706</v>
      </c>
      <c r="B571" s="43" t="s">
        <v>1705</v>
      </c>
      <c r="C571" s="43" t="s">
        <v>1704</v>
      </c>
      <c r="D571" s="43">
        <v>2830</v>
      </c>
      <c r="E571" s="43" t="s">
        <v>420</v>
      </c>
      <c r="F571" s="43">
        <v>20</v>
      </c>
      <c r="G571" s="43">
        <v>568</v>
      </c>
    </row>
    <row r="572" spans="1:7" ht="16.5" customHeight="1" x14ac:dyDescent="0.2">
      <c r="A572" s="43" t="s">
        <v>1703</v>
      </c>
      <c r="B572" s="43" t="s">
        <v>1702</v>
      </c>
      <c r="C572" s="43" t="s">
        <v>1701</v>
      </c>
      <c r="D572" s="43">
        <v>2477</v>
      </c>
      <c r="E572" s="43" t="s">
        <v>385</v>
      </c>
      <c r="F572" s="43">
        <v>17</v>
      </c>
      <c r="G572" s="43">
        <v>569</v>
      </c>
    </row>
    <row r="573" spans="1:7" ht="16.5" customHeight="1" x14ac:dyDescent="0.2">
      <c r="A573" s="43" t="s">
        <v>1700</v>
      </c>
      <c r="B573" s="43" t="s">
        <v>1699</v>
      </c>
      <c r="C573" s="43" t="s">
        <v>716</v>
      </c>
      <c r="D573" s="43">
        <v>2656</v>
      </c>
      <c r="E573" s="43" t="s">
        <v>431</v>
      </c>
      <c r="F573" s="43">
        <v>18</v>
      </c>
      <c r="G573" s="43">
        <v>570</v>
      </c>
    </row>
    <row r="574" spans="1:7" ht="16.5" customHeight="1" x14ac:dyDescent="0.2">
      <c r="A574" s="43" t="s">
        <v>1698</v>
      </c>
      <c r="B574" s="43" t="s">
        <v>1697</v>
      </c>
      <c r="C574" s="43" t="s">
        <v>1696</v>
      </c>
      <c r="D574" s="43">
        <v>2703</v>
      </c>
      <c r="E574" s="43" t="s">
        <v>511</v>
      </c>
      <c r="F574" s="43">
        <v>14</v>
      </c>
      <c r="G574" s="43">
        <v>571</v>
      </c>
    </row>
    <row r="575" spans="1:7" ht="16.5" customHeight="1" x14ac:dyDescent="0.2">
      <c r="A575" s="43" t="s">
        <v>1695</v>
      </c>
      <c r="B575" s="43" t="s">
        <v>1694</v>
      </c>
      <c r="C575" s="43" t="s">
        <v>1693</v>
      </c>
      <c r="D575" s="43">
        <v>2455</v>
      </c>
      <c r="E575" s="43" t="s">
        <v>1190</v>
      </c>
      <c r="F575" s="43">
        <v>26</v>
      </c>
      <c r="G575" s="43">
        <v>572</v>
      </c>
    </row>
    <row r="576" spans="1:7" ht="16.5" customHeight="1" x14ac:dyDescent="0.2">
      <c r="A576" s="43" t="s">
        <v>1692</v>
      </c>
      <c r="B576" s="43" t="s">
        <v>1691</v>
      </c>
      <c r="C576" s="43" t="s">
        <v>1690</v>
      </c>
      <c r="D576" s="43">
        <v>2478</v>
      </c>
      <c r="E576" s="43" t="s">
        <v>385</v>
      </c>
      <c r="F576" s="43">
        <v>22</v>
      </c>
      <c r="G576" s="43">
        <v>573</v>
      </c>
    </row>
    <row r="577" spans="1:7" ht="16.5" customHeight="1" x14ac:dyDescent="0.2">
      <c r="A577" s="43" t="s">
        <v>1689</v>
      </c>
      <c r="B577" s="43" t="s">
        <v>1688</v>
      </c>
      <c r="C577" s="43" t="s">
        <v>1073</v>
      </c>
      <c r="D577" s="43">
        <v>2825</v>
      </c>
      <c r="E577" s="43" t="s">
        <v>1072</v>
      </c>
      <c r="F577" s="43">
        <v>13</v>
      </c>
      <c r="G577" s="43">
        <v>574</v>
      </c>
    </row>
    <row r="578" spans="1:7" ht="16.5" customHeight="1" x14ac:dyDescent="0.2">
      <c r="A578" s="43" t="s">
        <v>1687</v>
      </c>
      <c r="B578" s="43" t="s">
        <v>1686</v>
      </c>
      <c r="C578" s="43" t="s">
        <v>1685</v>
      </c>
      <c r="D578" s="43">
        <v>2141</v>
      </c>
      <c r="E578" s="43" t="s">
        <v>377</v>
      </c>
      <c r="F578" s="43">
        <v>25</v>
      </c>
      <c r="G578" s="43">
        <v>575</v>
      </c>
    </row>
    <row r="579" spans="1:7" ht="16.5" customHeight="1" x14ac:dyDescent="0.2">
      <c r="A579" s="43" t="s">
        <v>1684</v>
      </c>
      <c r="B579" s="43" t="s">
        <v>1683</v>
      </c>
      <c r="C579" s="43" t="s">
        <v>1682</v>
      </c>
      <c r="D579" s="43">
        <v>2750</v>
      </c>
      <c r="E579" s="43" t="s">
        <v>1031</v>
      </c>
      <c r="F579" s="43">
        <v>26</v>
      </c>
      <c r="G579" s="43">
        <v>576</v>
      </c>
    </row>
    <row r="580" spans="1:7" ht="16.5" customHeight="1" x14ac:dyDescent="0.2">
      <c r="A580" s="43" t="s">
        <v>1681</v>
      </c>
      <c r="B580" s="43" t="s">
        <v>1680</v>
      </c>
      <c r="C580" s="43" t="s">
        <v>1679</v>
      </c>
      <c r="D580" s="43">
        <v>2586</v>
      </c>
      <c r="E580" s="43" t="s">
        <v>653</v>
      </c>
      <c r="F580" s="43">
        <v>14</v>
      </c>
      <c r="G580" s="43">
        <v>577</v>
      </c>
    </row>
    <row r="581" spans="1:7" ht="16.5" customHeight="1" x14ac:dyDescent="0.2">
      <c r="A581" s="43" t="s">
        <v>1678</v>
      </c>
      <c r="B581" s="43" t="s">
        <v>1677</v>
      </c>
      <c r="C581" s="43" t="s">
        <v>1676</v>
      </c>
      <c r="D581" s="43">
        <v>2284</v>
      </c>
      <c r="E581" s="43" t="s">
        <v>435</v>
      </c>
      <c r="F581" s="43">
        <v>19</v>
      </c>
      <c r="G581" s="43">
        <v>578</v>
      </c>
    </row>
    <row r="582" spans="1:7" ht="16.5" customHeight="1" x14ac:dyDescent="0.2">
      <c r="A582" s="43" t="s">
        <v>1675</v>
      </c>
      <c r="B582" s="43" t="s">
        <v>1674</v>
      </c>
      <c r="C582" s="43" t="s">
        <v>1673</v>
      </c>
      <c r="D582" s="43">
        <v>2835</v>
      </c>
      <c r="E582" s="43" t="s">
        <v>1672</v>
      </c>
      <c r="F582" s="43">
        <v>25</v>
      </c>
      <c r="G582" s="43">
        <v>579</v>
      </c>
    </row>
    <row r="583" spans="1:7" ht="16.5" customHeight="1" x14ac:dyDescent="0.2">
      <c r="A583" s="43" t="s">
        <v>1671</v>
      </c>
      <c r="B583" s="43" t="s">
        <v>1670</v>
      </c>
      <c r="C583" s="43" t="s">
        <v>1669</v>
      </c>
      <c r="D583" s="43">
        <v>2783</v>
      </c>
      <c r="E583" s="43" t="s">
        <v>904</v>
      </c>
      <c r="F583" s="43">
        <v>18</v>
      </c>
      <c r="G583" s="43">
        <v>580</v>
      </c>
    </row>
    <row r="584" spans="1:7" ht="16.5" customHeight="1" x14ac:dyDescent="0.2">
      <c r="A584" s="43" t="s">
        <v>1668</v>
      </c>
      <c r="B584" s="43" t="s">
        <v>1667</v>
      </c>
      <c r="C584" s="43" t="s">
        <v>1666</v>
      </c>
      <c r="D584" s="43">
        <v>2640</v>
      </c>
      <c r="E584" s="43" t="s">
        <v>1665</v>
      </c>
      <c r="F584" s="43">
        <v>37</v>
      </c>
      <c r="G584" s="43">
        <v>581</v>
      </c>
    </row>
    <row r="585" spans="1:7" ht="16.5" customHeight="1" x14ac:dyDescent="0.2">
      <c r="A585" s="43" t="s">
        <v>1664</v>
      </c>
      <c r="B585" s="43" t="s">
        <v>1663</v>
      </c>
      <c r="C585" s="43" t="s">
        <v>1662</v>
      </c>
      <c r="D585" s="43">
        <v>2285</v>
      </c>
      <c r="E585" s="43" t="s">
        <v>435</v>
      </c>
      <c r="F585" s="43">
        <v>38</v>
      </c>
      <c r="G585" s="43">
        <v>582</v>
      </c>
    </row>
    <row r="586" spans="1:7" ht="16.5" customHeight="1" x14ac:dyDescent="0.2">
      <c r="A586" s="43" t="s">
        <v>1661</v>
      </c>
      <c r="B586" s="43" t="s">
        <v>1660</v>
      </c>
      <c r="C586" s="43" t="s">
        <v>1659</v>
      </c>
      <c r="D586" s="43">
        <v>2206</v>
      </c>
      <c r="E586" s="43" t="s">
        <v>631</v>
      </c>
      <c r="F586" s="43">
        <v>12</v>
      </c>
      <c r="G586" s="43">
        <v>583</v>
      </c>
    </row>
    <row r="587" spans="1:7" ht="16.5" customHeight="1" x14ac:dyDescent="0.2">
      <c r="A587" s="43" t="s">
        <v>1658</v>
      </c>
      <c r="B587" s="43" t="s">
        <v>1657</v>
      </c>
      <c r="C587" s="43" t="s">
        <v>1656</v>
      </c>
      <c r="D587" s="43">
        <v>2675</v>
      </c>
      <c r="E587" s="43" t="s">
        <v>868</v>
      </c>
      <c r="F587" s="43">
        <v>13</v>
      </c>
      <c r="G587" s="43">
        <v>584</v>
      </c>
    </row>
    <row r="588" spans="1:7" ht="16.5" customHeight="1" x14ac:dyDescent="0.2">
      <c r="A588" s="43" t="s">
        <v>1655</v>
      </c>
      <c r="B588" s="43" t="s">
        <v>1654</v>
      </c>
      <c r="C588" s="43" t="s">
        <v>1653</v>
      </c>
      <c r="D588" s="43">
        <v>2515</v>
      </c>
      <c r="E588" s="43" t="s">
        <v>393</v>
      </c>
      <c r="F588" s="43">
        <v>48</v>
      </c>
      <c r="G588" s="43">
        <v>585</v>
      </c>
    </row>
    <row r="589" spans="1:7" ht="16.5" customHeight="1" x14ac:dyDescent="0.2">
      <c r="A589" s="43" t="s">
        <v>1652</v>
      </c>
      <c r="B589" s="43" t="s">
        <v>1651</v>
      </c>
      <c r="C589" s="43" t="s">
        <v>1650</v>
      </c>
      <c r="D589" s="43">
        <v>2440</v>
      </c>
      <c r="E589" s="43" t="s">
        <v>455</v>
      </c>
      <c r="F589" s="43">
        <v>20</v>
      </c>
      <c r="G589" s="43">
        <v>586</v>
      </c>
    </row>
    <row r="590" spans="1:7" ht="16.5" customHeight="1" x14ac:dyDescent="0.2">
      <c r="A590" s="43" t="s">
        <v>1649</v>
      </c>
      <c r="B590" s="43" t="s">
        <v>1648</v>
      </c>
      <c r="C590" s="43" t="s">
        <v>1055</v>
      </c>
      <c r="D590" s="43">
        <v>2420</v>
      </c>
      <c r="E590" s="43" t="s">
        <v>1054</v>
      </c>
      <c r="F590" s="43">
        <v>21</v>
      </c>
      <c r="G590" s="43">
        <v>587</v>
      </c>
    </row>
    <row r="591" spans="1:7" ht="16.5" customHeight="1" x14ac:dyDescent="0.2">
      <c r="A591" s="43" t="s">
        <v>1647</v>
      </c>
      <c r="B591" s="43" t="s">
        <v>1646</v>
      </c>
      <c r="C591" s="43" t="s">
        <v>1645</v>
      </c>
      <c r="D591" s="43">
        <v>2533</v>
      </c>
      <c r="E591" s="43" t="s">
        <v>972</v>
      </c>
      <c r="F591" s="43">
        <v>26</v>
      </c>
      <c r="G591" s="43">
        <v>588</v>
      </c>
    </row>
    <row r="592" spans="1:7" ht="16.5" customHeight="1" x14ac:dyDescent="0.2">
      <c r="A592" s="43" t="s">
        <v>1644</v>
      </c>
      <c r="B592" s="43" t="s">
        <v>1643</v>
      </c>
      <c r="C592" s="43" t="s">
        <v>1642</v>
      </c>
      <c r="D592" s="43">
        <v>2199</v>
      </c>
      <c r="E592" s="43" t="s">
        <v>631</v>
      </c>
      <c r="F592" s="43">
        <v>25</v>
      </c>
      <c r="G592" s="43">
        <v>589</v>
      </c>
    </row>
    <row r="593" spans="1:7" ht="16.5" customHeight="1" x14ac:dyDescent="0.2">
      <c r="A593" s="43" t="s">
        <v>1641</v>
      </c>
      <c r="B593" s="43" t="s">
        <v>1640</v>
      </c>
      <c r="C593" s="43" t="s">
        <v>1639</v>
      </c>
      <c r="D593" s="43">
        <v>2545</v>
      </c>
      <c r="E593" s="43" t="s">
        <v>1638</v>
      </c>
      <c r="F593" s="43">
        <v>14</v>
      </c>
      <c r="G593" s="43">
        <v>590</v>
      </c>
    </row>
    <row r="594" spans="1:7" ht="16.5" customHeight="1" x14ac:dyDescent="0.2">
      <c r="A594" s="43" t="s">
        <v>1637</v>
      </c>
      <c r="B594" s="43" t="s">
        <v>1636</v>
      </c>
      <c r="C594" s="43" t="s">
        <v>1635</v>
      </c>
      <c r="D594" s="43">
        <v>2540</v>
      </c>
      <c r="E594" s="43" t="s">
        <v>783</v>
      </c>
      <c r="F594" s="43">
        <v>24</v>
      </c>
      <c r="G594" s="43">
        <v>591</v>
      </c>
    </row>
    <row r="595" spans="1:7" ht="16.5" customHeight="1" x14ac:dyDescent="0.2">
      <c r="A595" s="43" t="s">
        <v>1634</v>
      </c>
      <c r="B595" s="43" t="s">
        <v>1633</v>
      </c>
      <c r="C595" s="43" t="s">
        <v>1632</v>
      </c>
      <c r="D595" s="43">
        <v>2409</v>
      </c>
      <c r="E595" s="43" t="s">
        <v>1631</v>
      </c>
      <c r="F595" s="43">
        <v>20</v>
      </c>
      <c r="G595" s="43">
        <v>592</v>
      </c>
    </row>
    <row r="596" spans="1:7" ht="16.5" customHeight="1" x14ac:dyDescent="0.2">
      <c r="A596" s="43" t="s">
        <v>1630</v>
      </c>
      <c r="B596" s="43" t="s">
        <v>1629</v>
      </c>
      <c r="C596" s="43" t="s">
        <v>1628</v>
      </c>
      <c r="D596" s="43">
        <v>2480</v>
      </c>
      <c r="E596" s="43" t="s">
        <v>405</v>
      </c>
      <c r="F596" s="43">
        <v>13</v>
      </c>
      <c r="G596" s="43">
        <v>593</v>
      </c>
    </row>
    <row r="597" spans="1:7" ht="16.5" customHeight="1" x14ac:dyDescent="0.2">
      <c r="A597" s="43" t="s">
        <v>1627</v>
      </c>
      <c r="B597" s="43" t="s">
        <v>1626</v>
      </c>
      <c r="C597" s="43" t="s">
        <v>1625</v>
      </c>
      <c r="D597" s="43">
        <v>2560</v>
      </c>
      <c r="E597" s="43" t="s">
        <v>541</v>
      </c>
      <c r="F597" s="43">
        <v>20</v>
      </c>
      <c r="G597" s="43">
        <v>594</v>
      </c>
    </row>
    <row r="598" spans="1:7" ht="16.5" customHeight="1" x14ac:dyDescent="0.2">
      <c r="A598" s="43" t="s">
        <v>1624</v>
      </c>
      <c r="B598" s="43" t="s">
        <v>1623</v>
      </c>
      <c r="C598" s="43" t="s">
        <v>1622</v>
      </c>
      <c r="D598" s="43">
        <v>2852</v>
      </c>
      <c r="E598" s="43" t="s">
        <v>1124</v>
      </c>
      <c r="F598" s="43">
        <v>17</v>
      </c>
      <c r="G598" s="43">
        <v>595</v>
      </c>
    </row>
    <row r="599" spans="1:7" ht="16.5" customHeight="1" x14ac:dyDescent="0.2">
      <c r="A599" s="43" t="s">
        <v>1621</v>
      </c>
      <c r="B599" s="43" t="s">
        <v>1620</v>
      </c>
      <c r="C599" s="43" t="s">
        <v>1619</v>
      </c>
      <c r="D599" s="43">
        <v>2756</v>
      </c>
      <c r="E599" s="43" t="s">
        <v>451</v>
      </c>
      <c r="F599" s="43">
        <v>36</v>
      </c>
      <c r="G599" s="43">
        <v>596</v>
      </c>
    </row>
    <row r="600" spans="1:7" ht="16.5" customHeight="1" x14ac:dyDescent="0.2">
      <c r="A600" s="43" t="s">
        <v>1618</v>
      </c>
      <c r="B600" s="43" t="s">
        <v>1617</v>
      </c>
      <c r="C600" s="43" t="s">
        <v>1082</v>
      </c>
      <c r="D600" s="43">
        <v>2481</v>
      </c>
      <c r="E600" s="43" t="s">
        <v>359</v>
      </c>
      <c r="F600" s="43">
        <v>19</v>
      </c>
      <c r="G600" s="43">
        <v>597</v>
      </c>
    </row>
    <row r="601" spans="1:7" ht="16.5" customHeight="1" x14ac:dyDescent="0.2">
      <c r="A601" s="43" t="s">
        <v>1616</v>
      </c>
      <c r="B601" s="43" t="s">
        <v>1615</v>
      </c>
      <c r="C601" s="43" t="s">
        <v>1614</v>
      </c>
      <c r="D601" s="43">
        <v>2806</v>
      </c>
      <c r="E601" s="43" t="s">
        <v>381</v>
      </c>
      <c r="F601" s="43">
        <v>4</v>
      </c>
      <c r="G601" s="43">
        <v>598</v>
      </c>
    </row>
    <row r="602" spans="1:7" ht="16.5" customHeight="1" x14ac:dyDescent="0.2">
      <c r="A602" s="43" t="s">
        <v>1613</v>
      </c>
      <c r="B602" s="43" t="s">
        <v>1612</v>
      </c>
      <c r="C602" s="43" t="s">
        <v>1611</v>
      </c>
      <c r="D602" s="43">
        <v>2570</v>
      </c>
      <c r="E602" s="43" t="s">
        <v>908</v>
      </c>
      <c r="F602" s="43">
        <v>14</v>
      </c>
      <c r="G602" s="43">
        <v>599</v>
      </c>
    </row>
    <row r="603" spans="1:7" ht="16.5" customHeight="1" x14ac:dyDescent="0.2">
      <c r="A603" s="43" t="s">
        <v>1610</v>
      </c>
      <c r="B603" s="43" t="s">
        <v>1609</v>
      </c>
      <c r="C603" s="43" t="s">
        <v>1338</v>
      </c>
      <c r="D603" s="43">
        <v>2620</v>
      </c>
      <c r="E603" s="43" t="s">
        <v>751</v>
      </c>
      <c r="F603" s="43">
        <v>34</v>
      </c>
      <c r="G603" s="43">
        <v>600</v>
      </c>
    </row>
    <row r="604" spans="1:7" ht="16.5" customHeight="1" x14ac:dyDescent="0.2">
      <c r="A604" s="43" t="s">
        <v>1608</v>
      </c>
      <c r="B604" s="43" t="s">
        <v>1607</v>
      </c>
      <c r="C604" s="43" t="s">
        <v>1606</v>
      </c>
      <c r="D604" s="43">
        <v>2440</v>
      </c>
      <c r="E604" s="43" t="s">
        <v>455</v>
      </c>
      <c r="F604" s="43">
        <v>18</v>
      </c>
      <c r="G604" s="43">
        <v>601</v>
      </c>
    </row>
    <row r="605" spans="1:7" ht="16.5" customHeight="1" x14ac:dyDescent="0.2">
      <c r="A605" s="43" t="s">
        <v>1605</v>
      </c>
      <c r="B605" s="43" t="s">
        <v>1604</v>
      </c>
      <c r="C605" s="43" t="s">
        <v>981</v>
      </c>
      <c r="D605" s="43">
        <v>2423</v>
      </c>
      <c r="E605" s="43" t="s">
        <v>537</v>
      </c>
      <c r="F605" s="43">
        <v>20</v>
      </c>
      <c r="G605" s="43">
        <v>602</v>
      </c>
    </row>
    <row r="606" spans="1:7" ht="16.5" customHeight="1" x14ac:dyDescent="0.2">
      <c r="A606" s="43" t="s">
        <v>1603</v>
      </c>
      <c r="B606" s="43" t="s">
        <v>1602</v>
      </c>
      <c r="C606" s="43" t="s">
        <v>1601</v>
      </c>
      <c r="D606" s="43">
        <v>2036</v>
      </c>
      <c r="E606" s="43" t="s">
        <v>548</v>
      </c>
      <c r="F606" s="43">
        <v>24</v>
      </c>
      <c r="G606" s="43">
        <v>603</v>
      </c>
    </row>
    <row r="607" spans="1:7" ht="16.5" customHeight="1" x14ac:dyDescent="0.2">
      <c r="A607" s="43" t="s">
        <v>1600</v>
      </c>
      <c r="B607" s="43" t="s">
        <v>1599</v>
      </c>
      <c r="C607" s="43" t="s">
        <v>1598</v>
      </c>
      <c r="D607" s="43">
        <v>2324</v>
      </c>
      <c r="E607" s="43" t="s">
        <v>884</v>
      </c>
      <c r="F607" s="43">
        <v>35</v>
      </c>
      <c r="G607" s="43">
        <v>604</v>
      </c>
    </row>
    <row r="608" spans="1:7" ht="16.5" customHeight="1" x14ac:dyDescent="0.2">
      <c r="A608" s="43" t="s">
        <v>1597</v>
      </c>
      <c r="B608" s="43" t="s">
        <v>1596</v>
      </c>
      <c r="C608" s="43" t="s">
        <v>1595</v>
      </c>
      <c r="D608" s="43">
        <v>2021</v>
      </c>
      <c r="E608" s="43" t="s">
        <v>409</v>
      </c>
      <c r="F608" s="43">
        <v>21</v>
      </c>
      <c r="G608" s="43">
        <v>605</v>
      </c>
    </row>
    <row r="609" spans="1:7" ht="16.5" customHeight="1" x14ac:dyDescent="0.2">
      <c r="A609" s="43" t="s">
        <v>1594</v>
      </c>
      <c r="B609" s="43" t="s">
        <v>1593</v>
      </c>
      <c r="C609" s="43" t="s">
        <v>1592</v>
      </c>
      <c r="D609" s="43">
        <v>2439</v>
      </c>
      <c r="E609" s="43" t="s">
        <v>958</v>
      </c>
      <c r="F609" s="43">
        <v>15</v>
      </c>
      <c r="G609" s="43">
        <v>606</v>
      </c>
    </row>
    <row r="610" spans="1:7" ht="16.5" customHeight="1" x14ac:dyDescent="0.2">
      <c r="A610" s="43" t="s">
        <v>1591</v>
      </c>
      <c r="B610" s="43" t="s">
        <v>1590</v>
      </c>
      <c r="C610" s="43" t="s">
        <v>1589</v>
      </c>
      <c r="D610" s="43">
        <v>2761</v>
      </c>
      <c r="E610" s="43" t="s">
        <v>996</v>
      </c>
      <c r="F610" s="43">
        <v>22</v>
      </c>
      <c r="G610" s="43">
        <v>607</v>
      </c>
    </row>
    <row r="611" spans="1:7" ht="16.5" customHeight="1" x14ac:dyDescent="0.2">
      <c r="A611" s="43" t="s">
        <v>1588</v>
      </c>
      <c r="B611" s="43" t="s">
        <v>1587</v>
      </c>
      <c r="C611" s="43" t="s">
        <v>1586</v>
      </c>
      <c r="D611" s="43">
        <v>2166</v>
      </c>
      <c r="E611" s="43" t="s">
        <v>427</v>
      </c>
      <c r="F611" s="43">
        <v>36</v>
      </c>
      <c r="G611" s="43">
        <v>608</v>
      </c>
    </row>
    <row r="612" spans="1:7" ht="16.5" customHeight="1" x14ac:dyDescent="0.2">
      <c r="A612" s="43" t="s">
        <v>1585</v>
      </c>
      <c r="B612" s="43" t="s">
        <v>1584</v>
      </c>
      <c r="C612" s="43" t="s">
        <v>1583</v>
      </c>
      <c r="D612" s="43">
        <v>2191</v>
      </c>
      <c r="E612" s="43" t="s">
        <v>631</v>
      </c>
      <c r="F612" s="43">
        <v>11</v>
      </c>
      <c r="G612" s="43">
        <v>609</v>
      </c>
    </row>
    <row r="613" spans="1:7" ht="16.5" customHeight="1" x14ac:dyDescent="0.2">
      <c r="A613" s="43" t="s">
        <v>1582</v>
      </c>
      <c r="B613" s="43" t="s">
        <v>1581</v>
      </c>
      <c r="C613" s="43" t="s">
        <v>1580</v>
      </c>
      <c r="D613" s="43">
        <v>2083</v>
      </c>
      <c r="E613" s="43" t="s">
        <v>1006</v>
      </c>
      <c r="F613" s="43">
        <v>24</v>
      </c>
      <c r="G613" s="43">
        <v>610</v>
      </c>
    </row>
    <row r="614" spans="1:7" ht="16.5" customHeight="1" x14ac:dyDescent="0.2">
      <c r="A614" s="43" t="s">
        <v>1579</v>
      </c>
      <c r="B614" s="43" t="s">
        <v>1578</v>
      </c>
      <c r="C614" s="43" t="s">
        <v>795</v>
      </c>
      <c r="D614" s="43">
        <v>2800</v>
      </c>
      <c r="E614" s="43" t="s">
        <v>794</v>
      </c>
      <c r="F614" s="43">
        <v>38</v>
      </c>
      <c r="G614" s="43">
        <v>611</v>
      </c>
    </row>
    <row r="615" spans="1:7" ht="16.5" customHeight="1" x14ac:dyDescent="0.2">
      <c r="A615" s="43" t="s">
        <v>1577</v>
      </c>
      <c r="B615" s="43" t="s">
        <v>1576</v>
      </c>
      <c r="C615" s="43" t="s">
        <v>1575</v>
      </c>
      <c r="D615" s="43">
        <v>2447</v>
      </c>
      <c r="E615" s="43" t="s">
        <v>635</v>
      </c>
      <c r="F615" s="43">
        <v>20</v>
      </c>
      <c r="G615" s="43">
        <v>612</v>
      </c>
    </row>
    <row r="616" spans="1:7" ht="16.5" customHeight="1" x14ac:dyDescent="0.2">
      <c r="A616" s="43" t="s">
        <v>1574</v>
      </c>
      <c r="B616" s="43" t="s">
        <v>1573</v>
      </c>
      <c r="C616" s="43" t="s">
        <v>1572</v>
      </c>
      <c r="D616" s="43">
        <v>2716</v>
      </c>
      <c r="E616" s="43" t="s">
        <v>568</v>
      </c>
      <c r="F616" s="43">
        <v>11</v>
      </c>
      <c r="G616" s="43">
        <v>613</v>
      </c>
    </row>
    <row r="617" spans="1:7" ht="16.5" customHeight="1" x14ac:dyDescent="0.2">
      <c r="A617" s="43" t="s">
        <v>1571</v>
      </c>
      <c r="B617" s="43" t="s">
        <v>1570</v>
      </c>
      <c r="C617" s="43" t="s">
        <v>1569</v>
      </c>
      <c r="D617" s="43">
        <v>2576</v>
      </c>
      <c r="E617" s="43" t="s">
        <v>416</v>
      </c>
      <c r="F617" s="43">
        <v>24</v>
      </c>
      <c r="G617" s="43">
        <v>614</v>
      </c>
    </row>
    <row r="618" spans="1:7" ht="16.5" customHeight="1" x14ac:dyDescent="0.2">
      <c r="A618" s="43" t="s">
        <v>1568</v>
      </c>
      <c r="B618" s="43" t="s">
        <v>1567</v>
      </c>
      <c r="C618" s="43" t="s">
        <v>636</v>
      </c>
      <c r="D618" s="43">
        <v>2449</v>
      </c>
      <c r="E618" s="43" t="s">
        <v>635</v>
      </c>
      <c r="F618" s="43">
        <v>16</v>
      </c>
      <c r="G618" s="43">
        <v>615</v>
      </c>
    </row>
    <row r="619" spans="1:7" ht="16.5" customHeight="1" x14ac:dyDescent="0.2">
      <c r="A619" s="43" t="s">
        <v>1566</v>
      </c>
      <c r="B619" s="43" t="s">
        <v>1565</v>
      </c>
      <c r="C619" s="43" t="s">
        <v>1564</v>
      </c>
      <c r="D619" s="43">
        <v>2211</v>
      </c>
      <c r="E619" s="43" t="s">
        <v>631</v>
      </c>
      <c r="F619" s="43">
        <v>24</v>
      </c>
      <c r="G619" s="43">
        <v>616</v>
      </c>
    </row>
    <row r="620" spans="1:7" ht="16.5" customHeight="1" x14ac:dyDescent="0.2">
      <c r="A620" s="43" t="s">
        <v>1563</v>
      </c>
      <c r="B620" s="43" t="s">
        <v>1562</v>
      </c>
      <c r="C620" s="43" t="s">
        <v>1561</v>
      </c>
      <c r="D620" s="43">
        <v>2483</v>
      </c>
      <c r="E620" s="43" t="s">
        <v>359</v>
      </c>
      <c r="F620" s="43">
        <v>33</v>
      </c>
      <c r="G620" s="43">
        <v>617</v>
      </c>
    </row>
    <row r="621" spans="1:7" ht="16.5" customHeight="1" x14ac:dyDescent="0.2">
      <c r="A621" s="43" t="s">
        <v>1560</v>
      </c>
      <c r="B621" s="43" t="s">
        <v>1559</v>
      </c>
      <c r="C621" s="43" t="s">
        <v>382</v>
      </c>
      <c r="D621" s="43">
        <v>2866</v>
      </c>
      <c r="E621" s="43" t="s">
        <v>381</v>
      </c>
      <c r="F621" s="43">
        <v>14</v>
      </c>
      <c r="G621" s="43">
        <v>618</v>
      </c>
    </row>
    <row r="622" spans="1:7" ht="16.5" customHeight="1" x14ac:dyDescent="0.2">
      <c r="A622" s="43" t="s">
        <v>1558</v>
      </c>
      <c r="B622" s="43" t="s">
        <v>1557</v>
      </c>
      <c r="C622" s="43" t="s">
        <v>1556</v>
      </c>
      <c r="D622" s="43">
        <v>2672</v>
      </c>
      <c r="E622" s="43" t="s">
        <v>370</v>
      </c>
      <c r="F622" s="43">
        <v>13</v>
      </c>
      <c r="G622" s="43">
        <v>619</v>
      </c>
    </row>
    <row r="623" spans="1:7" ht="16.5" customHeight="1" x14ac:dyDescent="0.2">
      <c r="A623" s="43" t="s">
        <v>1555</v>
      </c>
      <c r="B623" s="43" t="s">
        <v>1554</v>
      </c>
      <c r="C623" s="43" t="s">
        <v>1553</v>
      </c>
      <c r="D623" s="43">
        <v>2230</v>
      </c>
      <c r="E623" s="43" t="s">
        <v>1024</v>
      </c>
      <c r="F623" s="43">
        <v>19</v>
      </c>
      <c r="G623" s="43">
        <v>620</v>
      </c>
    </row>
    <row r="624" spans="1:7" ht="16.5" customHeight="1" x14ac:dyDescent="0.2">
      <c r="A624" s="43" t="s">
        <v>1552</v>
      </c>
      <c r="B624" s="43" t="s">
        <v>1551</v>
      </c>
      <c r="C624" s="43" t="s">
        <v>1550</v>
      </c>
      <c r="D624" s="43">
        <v>2099</v>
      </c>
      <c r="E624" s="43" t="s">
        <v>355</v>
      </c>
      <c r="F624" s="43">
        <v>16</v>
      </c>
      <c r="G624" s="43">
        <v>621</v>
      </c>
    </row>
    <row r="625" spans="1:7" ht="16.5" customHeight="1" x14ac:dyDescent="0.2">
      <c r="A625" s="43" t="s">
        <v>1549</v>
      </c>
      <c r="B625" s="43" t="s">
        <v>1548</v>
      </c>
      <c r="C625" s="43" t="s">
        <v>1547</v>
      </c>
      <c r="D625" s="43">
        <v>2534</v>
      </c>
      <c r="E625" s="43" t="s">
        <v>972</v>
      </c>
      <c r="F625" s="43">
        <v>26</v>
      </c>
      <c r="G625" s="43">
        <v>622</v>
      </c>
    </row>
    <row r="626" spans="1:7" ht="16.5" customHeight="1" x14ac:dyDescent="0.2">
      <c r="A626" s="43" t="s">
        <v>1546</v>
      </c>
      <c r="B626" s="43" t="s">
        <v>1545</v>
      </c>
      <c r="C626" s="43" t="s">
        <v>1544</v>
      </c>
      <c r="D626" s="43">
        <v>2282</v>
      </c>
      <c r="E626" s="43" t="s">
        <v>435</v>
      </c>
      <c r="F626" s="43">
        <v>24</v>
      </c>
      <c r="G626" s="43">
        <v>623</v>
      </c>
    </row>
    <row r="627" spans="1:7" ht="16.5" customHeight="1" x14ac:dyDescent="0.2">
      <c r="A627" s="43" t="s">
        <v>1543</v>
      </c>
      <c r="B627" s="43" t="s">
        <v>1542</v>
      </c>
      <c r="C627" s="43" t="s">
        <v>1541</v>
      </c>
      <c r="D627" s="43">
        <v>2655</v>
      </c>
      <c r="E627" s="43" t="s">
        <v>431</v>
      </c>
      <c r="F627" s="43">
        <v>12</v>
      </c>
      <c r="G627" s="43">
        <v>624</v>
      </c>
    </row>
    <row r="628" spans="1:7" ht="16.5" customHeight="1" x14ac:dyDescent="0.2">
      <c r="A628" s="43" t="s">
        <v>1540</v>
      </c>
      <c r="B628" s="43" t="s">
        <v>1539</v>
      </c>
      <c r="C628" s="43" t="s">
        <v>1538</v>
      </c>
      <c r="D628" s="43">
        <v>2701</v>
      </c>
      <c r="E628" s="43" t="s">
        <v>798</v>
      </c>
      <c r="F628" s="43">
        <v>14</v>
      </c>
      <c r="G628" s="43">
        <v>625</v>
      </c>
    </row>
    <row r="629" spans="1:7" ht="16.5" customHeight="1" x14ac:dyDescent="0.2">
      <c r="A629" s="43" t="s">
        <v>1537</v>
      </c>
      <c r="B629" s="43" t="s">
        <v>1536</v>
      </c>
      <c r="C629" s="43" t="s">
        <v>565</v>
      </c>
      <c r="D629" s="43">
        <v>2000</v>
      </c>
      <c r="E629" s="43" t="s">
        <v>323</v>
      </c>
      <c r="F629" s="43">
        <v>18</v>
      </c>
      <c r="G629" s="43">
        <v>626</v>
      </c>
    </row>
    <row r="630" spans="1:7" ht="16.5" customHeight="1" x14ac:dyDescent="0.2">
      <c r="A630" s="43" t="s">
        <v>1535</v>
      </c>
      <c r="B630" s="43" t="s">
        <v>1534</v>
      </c>
      <c r="C630" s="43" t="s">
        <v>1533</v>
      </c>
      <c r="D630" s="43">
        <v>2099</v>
      </c>
      <c r="E630" s="43" t="s">
        <v>355</v>
      </c>
      <c r="F630" s="43">
        <v>29</v>
      </c>
      <c r="G630" s="43">
        <v>627</v>
      </c>
    </row>
    <row r="631" spans="1:7" ht="16.5" customHeight="1" x14ac:dyDescent="0.2">
      <c r="A631" s="43" t="s">
        <v>1532</v>
      </c>
      <c r="B631" s="43" t="s">
        <v>1531</v>
      </c>
      <c r="C631" s="43" t="s">
        <v>1530</v>
      </c>
      <c r="D631" s="43">
        <v>2043</v>
      </c>
      <c r="E631" s="43" t="s">
        <v>323</v>
      </c>
      <c r="F631" s="43">
        <v>31</v>
      </c>
      <c r="G631" s="43">
        <v>628</v>
      </c>
    </row>
    <row r="632" spans="1:7" ht="16.5" customHeight="1" x14ac:dyDescent="0.2">
      <c r="A632" s="43" t="s">
        <v>1529</v>
      </c>
      <c r="B632" s="43" t="s">
        <v>1528</v>
      </c>
      <c r="C632" s="43" t="s">
        <v>1527</v>
      </c>
      <c r="D632" s="43">
        <v>2833</v>
      </c>
      <c r="E632" s="43" t="s">
        <v>1526</v>
      </c>
      <c r="F632" s="43">
        <v>12</v>
      </c>
      <c r="G632" s="43">
        <v>629</v>
      </c>
    </row>
    <row r="633" spans="1:7" ht="16.5" customHeight="1" x14ac:dyDescent="0.2">
      <c r="A633" s="43" t="s">
        <v>1525</v>
      </c>
      <c r="B633" s="43" t="s">
        <v>1524</v>
      </c>
      <c r="C633" s="43" t="s">
        <v>1523</v>
      </c>
      <c r="D633" s="43">
        <v>2333</v>
      </c>
      <c r="E633" s="43" t="s">
        <v>804</v>
      </c>
      <c r="F633" s="43">
        <v>19</v>
      </c>
      <c r="G633" s="43">
        <v>630</v>
      </c>
    </row>
    <row r="634" spans="1:7" ht="16.5" customHeight="1" x14ac:dyDescent="0.2">
      <c r="A634" s="43" t="s">
        <v>1522</v>
      </c>
      <c r="B634" s="43" t="s">
        <v>1521</v>
      </c>
      <c r="C634" s="43" t="s">
        <v>1520</v>
      </c>
      <c r="D634" s="43">
        <v>2462</v>
      </c>
      <c r="E634" s="43" t="s">
        <v>495</v>
      </c>
      <c r="F634" s="43">
        <v>20</v>
      </c>
      <c r="G634" s="43">
        <v>631</v>
      </c>
    </row>
    <row r="635" spans="1:7" ht="16.5" customHeight="1" x14ac:dyDescent="0.2">
      <c r="A635" s="43" t="s">
        <v>1519</v>
      </c>
      <c r="B635" s="43" t="s">
        <v>1518</v>
      </c>
      <c r="C635" s="43" t="s">
        <v>1517</v>
      </c>
      <c r="D635" s="43">
        <v>2321</v>
      </c>
      <c r="E635" s="43" t="s">
        <v>1054</v>
      </c>
      <c r="F635" s="43">
        <v>16</v>
      </c>
      <c r="G635" s="43">
        <v>632</v>
      </c>
    </row>
    <row r="636" spans="1:7" ht="16.5" customHeight="1" x14ac:dyDescent="0.2">
      <c r="A636" s="43" t="s">
        <v>1516</v>
      </c>
      <c r="B636" s="43" t="s">
        <v>1515</v>
      </c>
      <c r="C636" s="43" t="s">
        <v>1514</v>
      </c>
      <c r="D636" s="43">
        <v>2875</v>
      </c>
      <c r="E636" s="43" t="s">
        <v>491</v>
      </c>
      <c r="F636" s="43">
        <v>13</v>
      </c>
      <c r="G636" s="43">
        <v>633</v>
      </c>
    </row>
    <row r="637" spans="1:7" ht="16.5" customHeight="1" x14ac:dyDescent="0.2">
      <c r="A637" s="43" t="s">
        <v>1513</v>
      </c>
      <c r="B637" s="43" t="s">
        <v>1512</v>
      </c>
      <c r="C637" s="43" t="s">
        <v>1511</v>
      </c>
      <c r="D637" s="43">
        <v>2680</v>
      </c>
      <c r="E637" s="43" t="s">
        <v>332</v>
      </c>
      <c r="F637" s="43">
        <v>16</v>
      </c>
      <c r="G637" s="43">
        <v>634</v>
      </c>
    </row>
    <row r="638" spans="1:7" ht="16.5" customHeight="1" x14ac:dyDescent="0.2">
      <c r="A638" s="43" t="s">
        <v>1510</v>
      </c>
      <c r="B638" s="43" t="s">
        <v>1509</v>
      </c>
      <c r="C638" s="43" t="s">
        <v>1508</v>
      </c>
      <c r="D638" s="43">
        <v>2289</v>
      </c>
      <c r="E638" s="43" t="s">
        <v>344</v>
      </c>
      <c r="F638" s="43">
        <v>21</v>
      </c>
      <c r="G638" s="43">
        <v>635</v>
      </c>
    </row>
    <row r="639" spans="1:7" ht="16.5" customHeight="1" x14ac:dyDescent="0.2">
      <c r="A639" s="43" t="s">
        <v>1507</v>
      </c>
      <c r="B639" s="43" t="s">
        <v>1506</v>
      </c>
      <c r="C639" s="43" t="s">
        <v>545</v>
      </c>
      <c r="D639" s="43">
        <v>2810</v>
      </c>
      <c r="E639" s="43" t="s">
        <v>328</v>
      </c>
      <c r="F639" s="43">
        <v>16</v>
      </c>
      <c r="G639" s="43">
        <v>636</v>
      </c>
    </row>
    <row r="640" spans="1:7" ht="16.5" customHeight="1" x14ac:dyDescent="0.2">
      <c r="A640" s="43" t="s">
        <v>1505</v>
      </c>
      <c r="B640" s="43" t="s">
        <v>1504</v>
      </c>
      <c r="C640" s="43" t="s">
        <v>1503</v>
      </c>
      <c r="D640" s="43">
        <v>2217</v>
      </c>
      <c r="E640" s="43" t="s">
        <v>1156</v>
      </c>
      <c r="F640" s="43">
        <v>14</v>
      </c>
      <c r="G640" s="43">
        <v>637</v>
      </c>
    </row>
    <row r="641" spans="1:7" ht="16.5" customHeight="1" x14ac:dyDescent="0.2">
      <c r="A641" s="43" t="s">
        <v>1502</v>
      </c>
      <c r="B641" s="43" t="s">
        <v>1501</v>
      </c>
      <c r="C641" s="43" t="s">
        <v>1500</v>
      </c>
      <c r="D641" s="43">
        <v>2456</v>
      </c>
      <c r="E641" s="43" t="s">
        <v>484</v>
      </c>
      <c r="F641" s="43">
        <v>9</v>
      </c>
      <c r="G641" s="43">
        <v>638</v>
      </c>
    </row>
    <row r="642" spans="1:7" ht="16.5" customHeight="1" x14ac:dyDescent="0.2">
      <c r="A642" s="43" t="s">
        <v>1499</v>
      </c>
      <c r="B642" s="43" t="s">
        <v>1498</v>
      </c>
      <c r="C642" s="43" t="s">
        <v>485</v>
      </c>
      <c r="D642" s="43">
        <v>2450</v>
      </c>
      <c r="E642" s="43" t="s">
        <v>484</v>
      </c>
      <c r="F642" s="43">
        <v>12</v>
      </c>
      <c r="G642" s="43">
        <v>639</v>
      </c>
    </row>
    <row r="643" spans="1:7" ht="16.5" customHeight="1" x14ac:dyDescent="0.2">
      <c r="A643" s="43" t="s">
        <v>1497</v>
      </c>
      <c r="B643" s="43" t="s">
        <v>1496</v>
      </c>
      <c r="C643" s="43" t="s">
        <v>1495</v>
      </c>
      <c r="D643" s="43">
        <v>2029</v>
      </c>
      <c r="E643" s="43" t="s">
        <v>409</v>
      </c>
      <c r="F643" s="43">
        <v>16</v>
      </c>
      <c r="G643" s="43">
        <v>640</v>
      </c>
    </row>
    <row r="644" spans="1:7" ht="16.5" customHeight="1" x14ac:dyDescent="0.2">
      <c r="A644" s="43" t="s">
        <v>1494</v>
      </c>
      <c r="B644" s="43" t="s">
        <v>1493</v>
      </c>
      <c r="C644" s="43" t="s">
        <v>1492</v>
      </c>
      <c r="D644" s="43">
        <v>2158</v>
      </c>
      <c r="E644" s="43" t="s">
        <v>773</v>
      </c>
      <c r="F644" s="43">
        <v>47</v>
      </c>
      <c r="G644" s="43">
        <v>641</v>
      </c>
    </row>
    <row r="645" spans="1:7" ht="16.5" customHeight="1" x14ac:dyDescent="0.2">
      <c r="A645" s="43" t="s">
        <v>1491</v>
      </c>
      <c r="B645" s="43" t="s">
        <v>1490</v>
      </c>
      <c r="C645" s="43" t="s">
        <v>1489</v>
      </c>
      <c r="D645" s="43">
        <v>2285</v>
      </c>
      <c r="E645" s="43" t="s">
        <v>435</v>
      </c>
      <c r="F645" s="43">
        <v>21</v>
      </c>
      <c r="G645" s="43">
        <v>642</v>
      </c>
    </row>
    <row r="646" spans="1:7" ht="16.5" customHeight="1" x14ac:dyDescent="0.2">
      <c r="A646" s="43" t="s">
        <v>1488</v>
      </c>
      <c r="B646" s="43" t="s">
        <v>1487</v>
      </c>
      <c r="C646" s="43" t="s">
        <v>1486</v>
      </c>
      <c r="D646" s="43">
        <v>2733</v>
      </c>
      <c r="E646" s="43" t="s">
        <v>561</v>
      </c>
      <c r="F646" s="43">
        <v>13</v>
      </c>
      <c r="G646" s="43">
        <v>643</v>
      </c>
    </row>
    <row r="647" spans="1:7" ht="16.5" customHeight="1" x14ac:dyDescent="0.2">
      <c r="A647" s="43" t="s">
        <v>1485</v>
      </c>
      <c r="B647" s="43" t="s">
        <v>1484</v>
      </c>
      <c r="C647" s="43" t="s">
        <v>1483</v>
      </c>
      <c r="D647" s="43">
        <v>2283</v>
      </c>
      <c r="E647" s="43" t="s">
        <v>435</v>
      </c>
      <c r="F647" s="43">
        <v>19</v>
      </c>
      <c r="G647" s="43">
        <v>644</v>
      </c>
    </row>
    <row r="648" spans="1:7" ht="16.5" customHeight="1" x14ac:dyDescent="0.2">
      <c r="A648" s="43" t="s">
        <v>1482</v>
      </c>
      <c r="B648" s="43" t="s">
        <v>1481</v>
      </c>
      <c r="C648" s="43" t="s">
        <v>1480</v>
      </c>
      <c r="D648" s="43">
        <v>2729</v>
      </c>
      <c r="E648" s="43" t="s">
        <v>397</v>
      </c>
      <c r="F648" s="43">
        <v>12</v>
      </c>
      <c r="G648" s="43">
        <v>645</v>
      </c>
    </row>
    <row r="649" spans="1:7" ht="16.5" customHeight="1" x14ac:dyDescent="0.2">
      <c r="A649" s="43" t="s">
        <v>1479</v>
      </c>
      <c r="B649" s="43" t="s">
        <v>1478</v>
      </c>
      <c r="C649" s="43" t="s">
        <v>1477</v>
      </c>
      <c r="D649" s="43">
        <v>2484</v>
      </c>
      <c r="E649" s="43" t="s">
        <v>1106</v>
      </c>
      <c r="F649" s="43">
        <v>10</v>
      </c>
      <c r="G649" s="43">
        <v>646</v>
      </c>
    </row>
    <row r="650" spans="1:7" ht="16.5" customHeight="1" x14ac:dyDescent="0.2">
      <c r="A650" s="43" t="s">
        <v>1476</v>
      </c>
      <c r="B650" s="43" t="s">
        <v>1475</v>
      </c>
      <c r="C650" s="43" t="s">
        <v>1100</v>
      </c>
      <c r="D650" s="43">
        <v>2370</v>
      </c>
      <c r="E650" s="43" t="s">
        <v>1099</v>
      </c>
      <c r="F650" s="43">
        <v>13</v>
      </c>
      <c r="G650" s="43">
        <v>647</v>
      </c>
    </row>
    <row r="651" spans="1:7" ht="16.5" customHeight="1" x14ac:dyDescent="0.2">
      <c r="A651" s="43" t="s">
        <v>1474</v>
      </c>
      <c r="B651" s="43" t="s">
        <v>1473</v>
      </c>
      <c r="C651" s="43" t="s">
        <v>1350</v>
      </c>
      <c r="D651" s="43">
        <v>2347</v>
      </c>
      <c r="E651" s="43" t="s">
        <v>951</v>
      </c>
      <c r="F651" s="43">
        <v>17</v>
      </c>
      <c r="G651" s="43">
        <v>648</v>
      </c>
    </row>
    <row r="652" spans="1:7" ht="16.5" customHeight="1" x14ac:dyDescent="0.2">
      <c r="A652" s="43" t="s">
        <v>1472</v>
      </c>
      <c r="B652" s="43" t="s">
        <v>1471</v>
      </c>
      <c r="C652" s="43" t="s">
        <v>1470</v>
      </c>
      <c r="D652" s="43">
        <v>2338</v>
      </c>
      <c r="E652" s="43" t="s">
        <v>680</v>
      </c>
      <c r="F652" s="43">
        <v>15</v>
      </c>
      <c r="G652" s="43">
        <v>649</v>
      </c>
    </row>
    <row r="653" spans="1:7" ht="16.5" customHeight="1" x14ac:dyDescent="0.2">
      <c r="A653" s="43" t="s">
        <v>1469</v>
      </c>
      <c r="B653" s="43" t="s">
        <v>1468</v>
      </c>
      <c r="C653" s="43" t="s">
        <v>1224</v>
      </c>
      <c r="D653" s="43">
        <v>2095</v>
      </c>
      <c r="E653" s="43" t="s">
        <v>355</v>
      </c>
      <c r="F653" s="43">
        <v>36</v>
      </c>
      <c r="G653" s="43">
        <v>650</v>
      </c>
    </row>
    <row r="654" spans="1:7" ht="16.5" customHeight="1" x14ac:dyDescent="0.2">
      <c r="A654" s="43" t="s">
        <v>1467</v>
      </c>
      <c r="B654" s="43" t="s">
        <v>1466</v>
      </c>
      <c r="C654" s="43" t="s">
        <v>591</v>
      </c>
      <c r="D654" s="43">
        <v>2471</v>
      </c>
      <c r="E654" s="43" t="s">
        <v>401</v>
      </c>
      <c r="F654" s="43">
        <v>9</v>
      </c>
      <c r="G654" s="43">
        <v>651</v>
      </c>
    </row>
    <row r="655" spans="1:7" ht="16.5" customHeight="1" x14ac:dyDescent="0.2">
      <c r="A655" s="43" t="s">
        <v>1465</v>
      </c>
      <c r="B655" s="43" t="s">
        <v>1464</v>
      </c>
      <c r="C655" s="43" t="s">
        <v>1463</v>
      </c>
      <c r="D655" s="43">
        <v>2463</v>
      </c>
      <c r="E655" s="43" t="s">
        <v>495</v>
      </c>
      <c r="F655" s="43">
        <v>12</v>
      </c>
      <c r="G655" s="43">
        <v>652</v>
      </c>
    </row>
    <row r="656" spans="1:7" ht="16.5" customHeight="1" x14ac:dyDescent="0.2">
      <c r="A656" s="43" t="s">
        <v>1462</v>
      </c>
      <c r="B656" s="43" t="s">
        <v>1461</v>
      </c>
      <c r="C656" s="43" t="s">
        <v>1460</v>
      </c>
      <c r="D656" s="43">
        <v>2113</v>
      </c>
      <c r="E656" s="43" t="s">
        <v>666</v>
      </c>
      <c r="F656" s="43">
        <v>22</v>
      </c>
      <c r="G656" s="43">
        <v>653</v>
      </c>
    </row>
    <row r="657" spans="1:7" ht="16.5" customHeight="1" x14ac:dyDescent="0.2">
      <c r="A657" s="43" t="s">
        <v>1459</v>
      </c>
      <c r="B657" s="43" t="s">
        <v>1458</v>
      </c>
      <c r="C657" s="43" t="s">
        <v>766</v>
      </c>
      <c r="D657" s="43">
        <v>2024</v>
      </c>
      <c r="E657" s="43" t="s">
        <v>765</v>
      </c>
      <c r="F657" s="43">
        <v>31</v>
      </c>
      <c r="G657" s="43">
        <v>654</v>
      </c>
    </row>
    <row r="658" spans="1:7" ht="16.5" customHeight="1" x14ac:dyDescent="0.2">
      <c r="A658" s="43" t="s">
        <v>1457</v>
      </c>
      <c r="B658" s="43" t="s">
        <v>1456</v>
      </c>
      <c r="C658" s="43" t="s">
        <v>1455</v>
      </c>
      <c r="D658" s="43">
        <v>2474</v>
      </c>
      <c r="E658" s="43" t="s">
        <v>575</v>
      </c>
      <c r="F658" s="43">
        <v>14</v>
      </c>
      <c r="G658" s="43">
        <v>655</v>
      </c>
    </row>
    <row r="659" spans="1:7" ht="16.5" customHeight="1" x14ac:dyDescent="0.2">
      <c r="A659" s="43" t="s">
        <v>1454</v>
      </c>
      <c r="B659" s="43" t="s">
        <v>1453</v>
      </c>
      <c r="C659" s="43" t="s">
        <v>1452</v>
      </c>
      <c r="D659" s="43">
        <v>2560</v>
      </c>
      <c r="E659" s="43" t="s">
        <v>541</v>
      </c>
      <c r="F659" s="43">
        <v>24</v>
      </c>
      <c r="G659" s="43">
        <v>656</v>
      </c>
    </row>
    <row r="660" spans="1:7" ht="16.5" customHeight="1" x14ac:dyDescent="0.2">
      <c r="A660" s="43" t="s">
        <v>1451</v>
      </c>
      <c r="B660" s="43" t="s">
        <v>1450</v>
      </c>
      <c r="C660" s="43" t="s">
        <v>1449</v>
      </c>
      <c r="D660" s="43">
        <v>2430</v>
      </c>
      <c r="E660" s="43" t="s">
        <v>537</v>
      </c>
      <c r="F660" s="43">
        <v>25</v>
      </c>
      <c r="G660" s="43">
        <v>657</v>
      </c>
    </row>
    <row r="661" spans="1:7" ht="16.5" customHeight="1" x14ac:dyDescent="0.2">
      <c r="A661" s="43" t="s">
        <v>1448</v>
      </c>
      <c r="B661" s="43" t="s">
        <v>1447</v>
      </c>
      <c r="C661" s="43" t="s">
        <v>1446</v>
      </c>
      <c r="D661" s="43">
        <v>2518</v>
      </c>
      <c r="E661" s="43" t="s">
        <v>393</v>
      </c>
      <c r="F661" s="43">
        <v>18</v>
      </c>
      <c r="G661" s="43">
        <v>658</v>
      </c>
    </row>
    <row r="662" spans="1:7" ht="16.5" customHeight="1" x14ac:dyDescent="0.2">
      <c r="A662" s="43" t="s">
        <v>1445</v>
      </c>
      <c r="B662" s="43" t="s">
        <v>1444</v>
      </c>
      <c r="C662" s="43" t="s">
        <v>1443</v>
      </c>
      <c r="D662" s="43">
        <v>2777</v>
      </c>
      <c r="E662" s="43" t="s">
        <v>904</v>
      </c>
      <c r="F662" s="43">
        <v>9</v>
      </c>
      <c r="G662" s="43">
        <v>659</v>
      </c>
    </row>
    <row r="663" spans="1:7" ht="16.5" customHeight="1" x14ac:dyDescent="0.2">
      <c r="A663" s="43" t="s">
        <v>1442</v>
      </c>
      <c r="B663" s="43" t="s">
        <v>1441</v>
      </c>
      <c r="C663" s="43" t="s">
        <v>1440</v>
      </c>
      <c r="D663" s="43">
        <v>2232</v>
      </c>
      <c r="E663" s="43" t="s">
        <v>1024</v>
      </c>
      <c r="F663" s="43">
        <v>18</v>
      </c>
      <c r="G663" s="43">
        <v>660</v>
      </c>
    </row>
    <row r="664" spans="1:7" ht="16.5" customHeight="1" x14ac:dyDescent="0.2">
      <c r="A664" s="43" t="s">
        <v>1439</v>
      </c>
      <c r="B664" s="43" t="s">
        <v>1438</v>
      </c>
      <c r="C664" s="43" t="s">
        <v>582</v>
      </c>
      <c r="D664" s="43">
        <v>2289</v>
      </c>
      <c r="E664" s="43" t="s">
        <v>344</v>
      </c>
      <c r="F664" s="43">
        <v>12</v>
      </c>
      <c r="G664" s="43">
        <v>661</v>
      </c>
    </row>
    <row r="665" spans="1:7" ht="16.5" customHeight="1" x14ac:dyDescent="0.2">
      <c r="A665" s="43" t="s">
        <v>1437</v>
      </c>
      <c r="B665" s="43" t="s">
        <v>1436</v>
      </c>
      <c r="C665" s="43" t="s">
        <v>1435</v>
      </c>
      <c r="D665" s="43">
        <v>2484</v>
      </c>
      <c r="E665" s="43" t="s">
        <v>1106</v>
      </c>
      <c r="F665" s="43">
        <v>18</v>
      </c>
      <c r="G665" s="43">
        <v>662</v>
      </c>
    </row>
    <row r="666" spans="1:7" ht="16.5" customHeight="1" x14ac:dyDescent="0.2">
      <c r="A666" s="43" t="s">
        <v>1434</v>
      </c>
      <c r="B666" s="43" t="s">
        <v>1433</v>
      </c>
      <c r="C666" s="43" t="s">
        <v>1432</v>
      </c>
      <c r="D666" s="43">
        <v>2230</v>
      </c>
      <c r="E666" s="43" t="s">
        <v>1024</v>
      </c>
      <c r="F666" s="43">
        <v>15</v>
      </c>
      <c r="G666" s="43">
        <v>663</v>
      </c>
    </row>
    <row r="667" spans="1:7" ht="16.5" customHeight="1" x14ac:dyDescent="0.2">
      <c r="A667" s="43" t="s">
        <v>1431</v>
      </c>
      <c r="B667" s="43" t="s">
        <v>1430</v>
      </c>
      <c r="C667" s="43" t="s">
        <v>1429</v>
      </c>
      <c r="D667" s="43">
        <v>2850</v>
      </c>
      <c r="E667" s="43" t="s">
        <v>1124</v>
      </c>
      <c r="F667" s="43">
        <v>18</v>
      </c>
      <c r="G667" s="43">
        <v>664</v>
      </c>
    </row>
    <row r="668" spans="1:7" ht="16.5" customHeight="1" x14ac:dyDescent="0.2">
      <c r="A668" s="43" t="s">
        <v>1428</v>
      </c>
      <c r="B668" s="43" t="s">
        <v>1427</v>
      </c>
      <c r="C668" s="43" t="s">
        <v>1426</v>
      </c>
      <c r="D668" s="43">
        <v>2315</v>
      </c>
      <c r="E668" s="43" t="s">
        <v>884</v>
      </c>
      <c r="F668" s="43">
        <v>15</v>
      </c>
      <c r="G668" s="43">
        <v>665</v>
      </c>
    </row>
    <row r="669" spans="1:7" ht="16.5" customHeight="1" x14ac:dyDescent="0.2">
      <c r="A669" s="43" t="s">
        <v>1425</v>
      </c>
      <c r="B669" s="43" t="s">
        <v>1424</v>
      </c>
      <c r="C669" s="43" t="s">
        <v>1423</v>
      </c>
      <c r="D669" s="43">
        <v>2720</v>
      </c>
      <c r="E669" s="43" t="s">
        <v>397</v>
      </c>
      <c r="F669" s="43">
        <v>17</v>
      </c>
      <c r="G669" s="43">
        <v>666</v>
      </c>
    </row>
    <row r="670" spans="1:7" ht="16.5" customHeight="1" x14ac:dyDescent="0.2">
      <c r="A670" s="43" t="s">
        <v>1422</v>
      </c>
      <c r="B670" s="43" t="s">
        <v>1421</v>
      </c>
      <c r="C670" s="43" t="s">
        <v>1420</v>
      </c>
      <c r="D670" s="43">
        <v>2666</v>
      </c>
      <c r="E670" s="43" t="s">
        <v>831</v>
      </c>
      <c r="F670" s="43">
        <v>9</v>
      </c>
      <c r="G670" s="43">
        <v>667</v>
      </c>
    </row>
    <row r="671" spans="1:7" ht="16.5" customHeight="1" x14ac:dyDescent="0.2">
      <c r="A671" s="43" t="s">
        <v>1419</v>
      </c>
      <c r="B671" s="43" t="s">
        <v>1418</v>
      </c>
      <c r="C671" s="43" t="s">
        <v>1417</v>
      </c>
      <c r="D671" s="43">
        <v>2320</v>
      </c>
      <c r="E671" s="43" t="s">
        <v>1416</v>
      </c>
      <c r="F671" s="43">
        <v>14</v>
      </c>
      <c r="G671" s="43">
        <v>668</v>
      </c>
    </row>
    <row r="672" spans="1:7" ht="16.5" customHeight="1" x14ac:dyDescent="0.2">
      <c r="A672" s="43" t="s">
        <v>1415</v>
      </c>
      <c r="B672" s="43" t="s">
        <v>1414</v>
      </c>
      <c r="C672" s="43" t="s">
        <v>1413</v>
      </c>
      <c r="D672" s="43">
        <v>2096</v>
      </c>
      <c r="E672" s="43" t="s">
        <v>355</v>
      </c>
      <c r="F672" s="43">
        <v>21</v>
      </c>
      <c r="G672" s="43">
        <v>669</v>
      </c>
    </row>
    <row r="673" spans="1:7" ht="16.5" customHeight="1" x14ac:dyDescent="0.2">
      <c r="A673" s="43" t="s">
        <v>1412</v>
      </c>
      <c r="B673" s="43" t="s">
        <v>1411</v>
      </c>
      <c r="C673" s="43" t="s">
        <v>1410</v>
      </c>
      <c r="D673" s="43">
        <v>2711</v>
      </c>
      <c r="E673" s="43" t="s">
        <v>1409</v>
      </c>
      <c r="F673" s="43">
        <v>23</v>
      </c>
      <c r="G673" s="43">
        <v>670</v>
      </c>
    </row>
    <row r="674" spans="1:7" ht="16.5" customHeight="1" x14ac:dyDescent="0.2">
      <c r="A674" s="43" t="s">
        <v>1408</v>
      </c>
      <c r="B674" s="43" t="s">
        <v>1407</v>
      </c>
      <c r="C674" s="43" t="s">
        <v>1406</v>
      </c>
      <c r="D674" s="43">
        <v>2587</v>
      </c>
      <c r="E674" s="43" t="s">
        <v>653</v>
      </c>
      <c r="F674" s="43">
        <v>13</v>
      </c>
      <c r="G674" s="43">
        <v>671</v>
      </c>
    </row>
    <row r="675" spans="1:7" ht="16.5" customHeight="1" x14ac:dyDescent="0.2">
      <c r="A675" s="43" t="s">
        <v>1405</v>
      </c>
      <c r="B675" s="43" t="s">
        <v>1404</v>
      </c>
      <c r="C675" s="43" t="s">
        <v>1119</v>
      </c>
      <c r="D675" s="43">
        <v>2026</v>
      </c>
      <c r="E675" s="43" t="s">
        <v>765</v>
      </c>
      <c r="F675" s="43">
        <v>11</v>
      </c>
      <c r="G675" s="43">
        <v>672</v>
      </c>
    </row>
    <row r="676" spans="1:7" ht="16.5" customHeight="1" x14ac:dyDescent="0.2">
      <c r="A676" s="43" t="s">
        <v>1403</v>
      </c>
      <c r="B676" s="43" t="s">
        <v>1402</v>
      </c>
      <c r="C676" s="43" t="s">
        <v>552</v>
      </c>
      <c r="D676" s="43">
        <v>2395</v>
      </c>
      <c r="E676" s="43" t="s">
        <v>503</v>
      </c>
      <c r="F676" s="43">
        <v>7</v>
      </c>
      <c r="G676" s="43">
        <v>673</v>
      </c>
    </row>
    <row r="677" spans="1:7" ht="16.5" customHeight="1" x14ac:dyDescent="0.2">
      <c r="A677" s="43" t="s">
        <v>1401</v>
      </c>
      <c r="B677" s="43" t="s">
        <v>1400</v>
      </c>
      <c r="C677" s="43" t="s">
        <v>1399</v>
      </c>
      <c r="D677" s="43">
        <v>2705</v>
      </c>
      <c r="E677" s="43" t="s">
        <v>511</v>
      </c>
      <c r="F677" s="43">
        <v>17</v>
      </c>
      <c r="G677" s="43">
        <v>674</v>
      </c>
    </row>
    <row r="678" spans="1:7" ht="16.5" customHeight="1" x14ac:dyDescent="0.2">
      <c r="A678" s="43" t="s">
        <v>1398</v>
      </c>
      <c r="B678" s="43" t="s">
        <v>1397</v>
      </c>
      <c r="C678" s="43" t="s">
        <v>1396</v>
      </c>
      <c r="D678" s="43">
        <v>2122</v>
      </c>
      <c r="E678" s="43" t="s">
        <v>666</v>
      </c>
      <c r="F678" s="43">
        <v>29</v>
      </c>
      <c r="G678" s="43">
        <v>675</v>
      </c>
    </row>
    <row r="679" spans="1:7" ht="16.5" customHeight="1" x14ac:dyDescent="0.2">
      <c r="A679" s="43" t="s">
        <v>1395</v>
      </c>
      <c r="B679" s="43" t="s">
        <v>1394</v>
      </c>
      <c r="C679" s="43" t="s">
        <v>1393</v>
      </c>
      <c r="D679" s="43">
        <v>2430</v>
      </c>
      <c r="E679" s="43" t="s">
        <v>537</v>
      </c>
      <c r="F679" s="43">
        <v>15</v>
      </c>
      <c r="G679" s="43">
        <v>676</v>
      </c>
    </row>
    <row r="680" spans="1:7" ht="16.5" customHeight="1" x14ac:dyDescent="0.2">
      <c r="A680" s="43" t="s">
        <v>1392</v>
      </c>
      <c r="B680" s="43" t="s">
        <v>1391</v>
      </c>
      <c r="C680" s="43" t="s">
        <v>1390</v>
      </c>
      <c r="D680" s="43">
        <v>2146</v>
      </c>
      <c r="E680" s="43" t="s">
        <v>996</v>
      </c>
      <c r="F680" s="43">
        <v>20</v>
      </c>
      <c r="G680" s="43">
        <v>677</v>
      </c>
    </row>
    <row r="681" spans="1:7" ht="16.5" customHeight="1" x14ac:dyDescent="0.2">
      <c r="A681" s="43" t="s">
        <v>1389</v>
      </c>
      <c r="B681" s="43" t="s">
        <v>1388</v>
      </c>
      <c r="C681" s="43" t="s">
        <v>1387</v>
      </c>
      <c r="D681" s="43">
        <v>2577</v>
      </c>
      <c r="E681" s="43" t="s">
        <v>416</v>
      </c>
      <c r="F681" s="43">
        <v>16</v>
      </c>
      <c r="G681" s="43">
        <v>678</v>
      </c>
    </row>
    <row r="682" spans="1:7" ht="16.5" customHeight="1" x14ac:dyDescent="0.2">
      <c r="A682" s="43" t="s">
        <v>1386</v>
      </c>
      <c r="B682" s="43" t="s">
        <v>1385</v>
      </c>
      <c r="C682" s="43" t="s">
        <v>1384</v>
      </c>
      <c r="D682" s="43">
        <v>2299</v>
      </c>
      <c r="E682" s="43" t="s">
        <v>344</v>
      </c>
      <c r="F682" s="43">
        <v>17</v>
      </c>
      <c r="G682" s="43">
        <v>679</v>
      </c>
    </row>
    <row r="683" spans="1:7" ht="16.5" customHeight="1" x14ac:dyDescent="0.2">
      <c r="A683" s="43" t="s">
        <v>1383</v>
      </c>
      <c r="B683" s="43" t="s">
        <v>1382</v>
      </c>
      <c r="C683" s="43" t="s">
        <v>1381</v>
      </c>
      <c r="D683" s="43">
        <v>2040</v>
      </c>
      <c r="E683" s="43" t="s">
        <v>515</v>
      </c>
      <c r="F683" s="43">
        <v>12</v>
      </c>
      <c r="G683" s="43">
        <v>680</v>
      </c>
    </row>
    <row r="684" spans="1:7" ht="16.5" customHeight="1" x14ac:dyDescent="0.2">
      <c r="A684" s="43" t="s">
        <v>1380</v>
      </c>
      <c r="B684" s="43" t="s">
        <v>1379</v>
      </c>
      <c r="C684" s="43" t="s">
        <v>1042</v>
      </c>
      <c r="D684" s="43">
        <v>2804</v>
      </c>
      <c r="E684" s="43" t="s">
        <v>381</v>
      </c>
      <c r="F684" s="43">
        <v>8</v>
      </c>
      <c r="G684" s="43">
        <v>681</v>
      </c>
    </row>
    <row r="685" spans="1:7" ht="16.5" customHeight="1" x14ac:dyDescent="0.2">
      <c r="A685" s="43" t="s">
        <v>1378</v>
      </c>
      <c r="B685" s="43" t="s">
        <v>1377</v>
      </c>
      <c r="C685" s="43" t="s">
        <v>1376</v>
      </c>
      <c r="D685" s="43">
        <v>2372</v>
      </c>
      <c r="E685" s="43" t="s">
        <v>1375</v>
      </c>
      <c r="F685" s="43">
        <v>24</v>
      </c>
      <c r="G685" s="43">
        <v>682</v>
      </c>
    </row>
    <row r="686" spans="1:7" ht="16.5" customHeight="1" x14ac:dyDescent="0.2">
      <c r="A686" s="43" t="s">
        <v>1374</v>
      </c>
      <c r="B686" s="43" t="s">
        <v>1373</v>
      </c>
      <c r="C686" s="43" t="s">
        <v>1372</v>
      </c>
      <c r="D686" s="43">
        <v>2217</v>
      </c>
      <c r="E686" s="43" t="s">
        <v>618</v>
      </c>
      <c r="F686" s="43">
        <v>13</v>
      </c>
      <c r="G686" s="43">
        <v>683</v>
      </c>
    </row>
    <row r="687" spans="1:7" ht="16.5" customHeight="1" x14ac:dyDescent="0.2">
      <c r="A687" s="43" t="s">
        <v>1371</v>
      </c>
      <c r="B687" s="43" t="s">
        <v>1370</v>
      </c>
      <c r="C687" s="43" t="s">
        <v>1369</v>
      </c>
      <c r="D687" s="43">
        <v>2665</v>
      </c>
      <c r="E687" s="43" t="s">
        <v>622</v>
      </c>
      <c r="F687" s="43">
        <v>10</v>
      </c>
      <c r="G687" s="43">
        <v>684</v>
      </c>
    </row>
    <row r="688" spans="1:7" ht="16.5" customHeight="1" x14ac:dyDescent="0.2">
      <c r="A688" s="43" t="s">
        <v>1368</v>
      </c>
      <c r="B688" s="43" t="s">
        <v>1367</v>
      </c>
      <c r="C688" s="43" t="s">
        <v>1366</v>
      </c>
      <c r="D688" s="43">
        <v>2864</v>
      </c>
      <c r="E688" s="43" t="s">
        <v>381</v>
      </c>
      <c r="F688" s="43">
        <v>5</v>
      </c>
      <c r="G688" s="43">
        <v>685</v>
      </c>
    </row>
    <row r="689" spans="1:7" ht="16.5" customHeight="1" x14ac:dyDescent="0.2">
      <c r="A689" s="43" t="s">
        <v>1365</v>
      </c>
      <c r="B689" s="43" t="s">
        <v>1364</v>
      </c>
      <c r="C689" s="43" t="s">
        <v>805</v>
      </c>
      <c r="D689" s="43">
        <v>2328</v>
      </c>
      <c r="E689" s="43" t="s">
        <v>804</v>
      </c>
      <c r="F689" s="43">
        <v>20</v>
      </c>
      <c r="G689" s="43">
        <v>686</v>
      </c>
    </row>
    <row r="690" spans="1:7" ht="16.5" customHeight="1" x14ac:dyDescent="0.2">
      <c r="A690" s="43" t="s">
        <v>1363</v>
      </c>
      <c r="B690" s="43" t="s">
        <v>1362</v>
      </c>
      <c r="C690" s="43" t="s">
        <v>1361</v>
      </c>
      <c r="D690" s="43">
        <v>2295</v>
      </c>
      <c r="E690" s="43" t="s">
        <v>344</v>
      </c>
      <c r="F690" s="43">
        <v>9</v>
      </c>
      <c r="G690" s="43">
        <v>687</v>
      </c>
    </row>
    <row r="691" spans="1:7" ht="16.5" customHeight="1" x14ac:dyDescent="0.2">
      <c r="A691" s="43" t="s">
        <v>1360</v>
      </c>
      <c r="B691" s="43" t="s">
        <v>1359</v>
      </c>
      <c r="C691" s="43" t="s">
        <v>1358</v>
      </c>
      <c r="D691" s="43">
        <v>2448</v>
      </c>
      <c r="E691" s="43" t="s">
        <v>635</v>
      </c>
      <c r="F691" s="43">
        <v>13</v>
      </c>
      <c r="G691" s="43">
        <v>688</v>
      </c>
    </row>
    <row r="692" spans="1:7" ht="16.5" customHeight="1" x14ac:dyDescent="0.2">
      <c r="A692" s="43" t="s">
        <v>1357</v>
      </c>
      <c r="B692" s="43" t="s">
        <v>1356</v>
      </c>
      <c r="C692" s="43" t="s">
        <v>1355</v>
      </c>
      <c r="D692" s="43">
        <v>2216</v>
      </c>
      <c r="E692" s="43" t="s">
        <v>618</v>
      </c>
      <c r="F692" s="43">
        <v>22</v>
      </c>
      <c r="G692" s="43">
        <v>689</v>
      </c>
    </row>
    <row r="693" spans="1:7" ht="16.5" customHeight="1" x14ac:dyDescent="0.2">
      <c r="A693" s="43" t="s">
        <v>1354</v>
      </c>
      <c r="B693" s="43" t="s">
        <v>1353</v>
      </c>
      <c r="C693" s="43" t="s">
        <v>891</v>
      </c>
      <c r="D693" s="43">
        <v>2821</v>
      </c>
      <c r="E693" s="43" t="s">
        <v>688</v>
      </c>
      <c r="F693" s="43">
        <v>13</v>
      </c>
      <c r="G693" s="43">
        <v>690</v>
      </c>
    </row>
    <row r="694" spans="1:7" ht="16.5" customHeight="1" x14ac:dyDescent="0.2">
      <c r="A694" s="43" t="s">
        <v>1352</v>
      </c>
      <c r="B694" s="43" t="s">
        <v>1351</v>
      </c>
      <c r="C694" s="43" t="s">
        <v>1350</v>
      </c>
      <c r="D694" s="43">
        <v>2347</v>
      </c>
      <c r="E694" s="43" t="s">
        <v>951</v>
      </c>
      <c r="F694" s="43">
        <v>14</v>
      </c>
      <c r="G694" s="43">
        <v>691</v>
      </c>
    </row>
    <row r="695" spans="1:7" ht="16.5" customHeight="1" x14ac:dyDescent="0.2">
      <c r="A695" s="43" t="s">
        <v>1349</v>
      </c>
      <c r="B695" s="43" t="s">
        <v>1348</v>
      </c>
      <c r="C695" s="43" t="s">
        <v>1347</v>
      </c>
      <c r="D695" s="43">
        <v>2828</v>
      </c>
      <c r="E695" s="43" t="s">
        <v>1294</v>
      </c>
      <c r="F695" s="43">
        <v>7</v>
      </c>
      <c r="G695" s="43">
        <v>692</v>
      </c>
    </row>
    <row r="696" spans="1:7" ht="16.5" customHeight="1" x14ac:dyDescent="0.2">
      <c r="A696" s="43" t="s">
        <v>1346</v>
      </c>
      <c r="B696" s="43" t="s">
        <v>1345</v>
      </c>
      <c r="C696" s="43" t="s">
        <v>582</v>
      </c>
      <c r="D696" s="43">
        <v>2289</v>
      </c>
      <c r="E696" s="43" t="s">
        <v>344</v>
      </c>
      <c r="F696" s="43">
        <v>23</v>
      </c>
      <c r="G696" s="43">
        <v>693</v>
      </c>
    </row>
    <row r="697" spans="1:7" ht="16.5" customHeight="1" x14ac:dyDescent="0.2">
      <c r="A697" s="43" t="s">
        <v>1344</v>
      </c>
      <c r="B697" s="43" t="s">
        <v>1343</v>
      </c>
      <c r="C697" s="43" t="s">
        <v>766</v>
      </c>
      <c r="D697" s="43">
        <v>2024</v>
      </c>
      <c r="E697" s="43" t="s">
        <v>765</v>
      </c>
      <c r="F697" s="43">
        <v>21</v>
      </c>
      <c r="G697" s="43">
        <v>694</v>
      </c>
    </row>
    <row r="698" spans="1:7" ht="16.5" customHeight="1" x14ac:dyDescent="0.2">
      <c r="A698" s="43" t="s">
        <v>1342</v>
      </c>
      <c r="B698" s="43" t="s">
        <v>1341</v>
      </c>
      <c r="C698" s="43" t="s">
        <v>685</v>
      </c>
      <c r="D698" s="43">
        <v>2710</v>
      </c>
      <c r="E698" s="43" t="s">
        <v>684</v>
      </c>
      <c r="F698" s="43">
        <v>13</v>
      </c>
      <c r="G698" s="43">
        <v>695</v>
      </c>
    </row>
    <row r="699" spans="1:7" ht="16.5" customHeight="1" x14ac:dyDescent="0.2">
      <c r="A699" s="43" t="s">
        <v>1340</v>
      </c>
      <c r="B699" s="43" t="s">
        <v>1339</v>
      </c>
      <c r="C699" s="43" t="s">
        <v>1338</v>
      </c>
      <c r="D699" s="43">
        <v>2620</v>
      </c>
      <c r="E699" s="43" t="s">
        <v>751</v>
      </c>
      <c r="F699" s="43">
        <v>16</v>
      </c>
      <c r="G699" s="43">
        <v>696</v>
      </c>
    </row>
    <row r="700" spans="1:7" ht="16.5" customHeight="1" x14ac:dyDescent="0.2">
      <c r="A700" s="43" t="s">
        <v>1337</v>
      </c>
      <c r="B700" s="43" t="s">
        <v>1336</v>
      </c>
      <c r="C700" s="43" t="s">
        <v>1335</v>
      </c>
      <c r="D700" s="43">
        <v>2550</v>
      </c>
      <c r="E700" s="43" t="s">
        <v>808</v>
      </c>
      <c r="F700" s="43">
        <v>20</v>
      </c>
      <c r="G700" s="43">
        <v>697</v>
      </c>
    </row>
    <row r="701" spans="1:7" ht="16.5" customHeight="1" x14ac:dyDescent="0.2">
      <c r="A701" s="43" t="s">
        <v>1334</v>
      </c>
      <c r="B701" s="43" t="s">
        <v>1333</v>
      </c>
      <c r="C701" s="43" t="s">
        <v>1332</v>
      </c>
      <c r="D701" s="43">
        <v>2166</v>
      </c>
      <c r="E701" s="43" t="s">
        <v>427</v>
      </c>
      <c r="F701" s="43">
        <v>30</v>
      </c>
      <c r="G701" s="43">
        <v>698</v>
      </c>
    </row>
    <row r="702" spans="1:7" ht="16.5" customHeight="1" x14ac:dyDescent="0.2">
      <c r="A702" s="43" t="s">
        <v>1331</v>
      </c>
      <c r="B702" s="43" t="s">
        <v>1330</v>
      </c>
      <c r="C702" s="43" t="s">
        <v>1329</v>
      </c>
      <c r="D702" s="43">
        <v>2325</v>
      </c>
      <c r="E702" s="43" t="s">
        <v>670</v>
      </c>
      <c r="F702" s="43">
        <v>9</v>
      </c>
      <c r="G702" s="43">
        <v>699</v>
      </c>
    </row>
    <row r="703" spans="1:7" ht="16.5" customHeight="1" x14ac:dyDescent="0.2">
      <c r="A703" s="43" t="s">
        <v>1328</v>
      </c>
      <c r="B703" s="43" t="s">
        <v>1327</v>
      </c>
      <c r="C703" s="43" t="s">
        <v>1326</v>
      </c>
      <c r="D703" s="43">
        <v>2824</v>
      </c>
      <c r="E703" s="43" t="s">
        <v>1325</v>
      </c>
      <c r="F703" s="43">
        <v>11</v>
      </c>
      <c r="G703" s="43">
        <v>700</v>
      </c>
    </row>
    <row r="704" spans="1:7" ht="16.5" customHeight="1" x14ac:dyDescent="0.2">
      <c r="A704" s="43" t="s">
        <v>1324</v>
      </c>
      <c r="B704" s="43" t="s">
        <v>1323</v>
      </c>
      <c r="C704" s="43" t="s">
        <v>1322</v>
      </c>
      <c r="D704" s="43">
        <v>2346</v>
      </c>
      <c r="E704" s="43" t="s">
        <v>951</v>
      </c>
      <c r="F704" s="43">
        <v>14</v>
      </c>
      <c r="G704" s="43">
        <v>701</v>
      </c>
    </row>
    <row r="705" spans="1:7" ht="16.5" customHeight="1" x14ac:dyDescent="0.2">
      <c r="A705" s="43" t="s">
        <v>1321</v>
      </c>
      <c r="B705" s="43" t="s">
        <v>1320</v>
      </c>
      <c r="C705" s="43" t="s">
        <v>1319</v>
      </c>
      <c r="D705" s="43">
        <v>2032</v>
      </c>
      <c r="E705" s="43" t="s">
        <v>618</v>
      </c>
      <c r="F705" s="43">
        <v>10</v>
      </c>
      <c r="G705" s="43">
        <v>702</v>
      </c>
    </row>
    <row r="706" spans="1:7" ht="16.5" customHeight="1" x14ac:dyDescent="0.2">
      <c r="A706" s="43" t="s">
        <v>1318</v>
      </c>
      <c r="B706" s="43" t="s">
        <v>1317</v>
      </c>
      <c r="C706" s="43" t="s">
        <v>623</v>
      </c>
      <c r="D706" s="43">
        <v>2700</v>
      </c>
      <c r="E706" s="43" t="s">
        <v>622</v>
      </c>
      <c r="F706" s="43">
        <v>13</v>
      </c>
      <c r="G706" s="43">
        <v>703</v>
      </c>
    </row>
    <row r="707" spans="1:7" ht="16.5" customHeight="1" x14ac:dyDescent="0.2">
      <c r="A707" s="43" t="s">
        <v>1316</v>
      </c>
      <c r="B707" s="43" t="s">
        <v>1315</v>
      </c>
      <c r="C707" s="43" t="s">
        <v>516</v>
      </c>
      <c r="D707" s="43">
        <v>2204</v>
      </c>
      <c r="E707" s="43" t="s">
        <v>515</v>
      </c>
      <c r="F707" s="43">
        <v>20</v>
      </c>
      <c r="G707" s="43">
        <v>704</v>
      </c>
    </row>
    <row r="708" spans="1:7" ht="16.5" customHeight="1" x14ac:dyDescent="0.2">
      <c r="A708" s="43" t="s">
        <v>1314</v>
      </c>
      <c r="B708" s="43" t="s">
        <v>1313</v>
      </c>
      <c r="C708" s="43" t="s">
        <v>1007</v>
      </c>
      <c r="D708" s="43">
        <v>2250</v>
      </c>
      <c r="E708" s="43" t="s">
        <v>1006</v>
      </c>
      <c r="F708" s="43">
        <v>15</v>
      </c>
      <c r="G708" s="43">
        <v>705</v>
      </c>
    </row>
    <row r="709" spans="1:7" ht="16.5" customHeight="1" x14ac:dyDescent="0.2">
      <c r="A709" s="43" t="s">
        <v>1312</v>
      </c>
      <c r="B709" s="43" t="s">
        <v>1311</v>
      </c>
      <c r="C709" s="43" t="s">
        <v>1310</v>
      </c>
      <c r="D709" s="43">
        <v>2212</v>
      </c>
      <c r="E709" s="43" t="s">
        <v>631</v>
      </c>
      <c r="F709" s="43">
        <v>15</v>
      </c>
      <c r="G709" s="43">
        <v>706</v>
      </c>
    </row>
    <row r="710" spans="1:7" ht="16.5" customHeight="1" x14ac:dyDescent="0.2">
      <c r="A710" s="43" t="s">
        <v>1309</v>
      </c>
      <c r="B710" s="43" t="s">
        <v>1308</v>
      </c>
      <c r="C710" s="43" t="s">
        <v>1307</v>
      </c>
      <c r="D710" s="43">
        <v>2304</v>
      </c>
      <c r="E710" s="43" t="s">
        <v>344</v>
      </c>
      <c r="F710" s="43">
        <v>14</v>
      </c>
      <c r="G710" s="43">
        <v>707</v>
      </c>
    </row>
    <row r="711" spans="1:7" ht="16.5" customHeight="1" x14ac:dyDescent="0.2">
      <c r="A711" s="43" t="s">
        <v>1306</v>
      </c>
      <c r="B711" s="43" t="s">
        <v>1305</v>
      </c>
      <c r="C711" s="43" t="s">
        <v>1304</v>
      </c>
      <c r="D711" s="43">
        <v>2304</v>
      </c>
      <c r="E711" s="43" t="s">
        <v>344</v>
      </c>
      <c r="F711" s="43">
        <v>13</v>
      </c>
      <c r="G711" s="43">
        <v>708</v>
      </c>
    </row>
    <row r="712" spans="1:7" ht="16.5" customHeight="1" x14ac:dyDescent="0.2">
      <c r="A712" s="43" t="s">
        <v>1303</v>
      </c>
      <c r="B712" s="43" t="s">
        <v>1302</v>
      </c>
      <c r="C712" s="43" t="s">
        <v>1301</v>
      </c>
      <c r="D712" s="43">
        <v>2213</v>
      </c>
      <c r="E712" s="43" t="s">
        <v>631</v>
      </c>
      <c r="F712" s="43">
        <v>15</v>
      </c>
      <c r="G712" s="43">
        <v>709</v>
      </c>
    </row>
    <row r="713" spans="1:7" ht="16.5" customHeight="1" x14ac:dyDescent="0.2">
      <c r="A713" s="43" t="s">
        <v>1300</v>
      </c>
      <c r="B713" s="43" t="s">
        <v>1299</v>
      </c>
      <c r="C713" s="43" t="s">
        <v>1298</v>
      </c>
      <c r="D713" s="43">
        <v>2775</v>
      </c>
      <c r="E713" s="43" t="s">
        <v>695</v>
      </c>
      <c r="F713" s="43">
        <v>17</v>
      </c>
      <c r="G713" s="43">
        <v>710</v>
      </c>
    </row>
    <row r="714" spans="1:7" ht="16.5" customHeight="1" x14ac:dyDescent="0.2">
      <c r="A714" s="43" t="s">
        <v>1297</v>
      </c>
      <c r="B714" s="43" t="s">
        <v>1296</v>
      </c>
      <c r="C714" s="43" t="s">
        <v>1295</v>
      </c>
      <c r="D714" s="43">
        <v>2829</v>
      </c>
      <c r="E714" s="43" t="s">
        <v>1294</v>
      </c>
      <c r="F714" s="43">
        <v>6</v>
      </c>
      <c r="G714" s="43">
        <v>711</v>
      </c>
    </row>
    <row r="715" spans="1:7" ht="16.5" customHeight="1" x14ac:dyDescent="0.2">
      <c r="A715" s="43" t="s">
        <v>1293</v>
      </c>
      <c r="B715" s="43" t="s">
        <v>1292</v>
      </c>
      <c r="C715" s="43" t="s">
        <v>1291</v>
      </c>
      <c r="D715" s="43">
        <v>2779</v>
      </c>
      <c r="E715" s="43" t="s">
        <v>904</v>
      </c>
      <c r="F715" s="43">
        <v>14</v>
      </c>
      <c r="G715" s="43">
        <v>712</v>
      </c>
    </row>
    <row r="716" spans="1:7" ht="16.5" customHeight="1" x14ac:dyDescent="0.2">
      <c r="A716" s="43" t="s">
        <v>1290</v>
      </c>
      <c r="B716" s="43" t="s">
        <v>1289</v>
      </c>
      <c r="C716" s="43" t="s">
        <v>1288</v>
      </c>
      <c r="D716" s="43">
        <v>2447</v>
      </c>
      <c r="E716" s="43" t="s">
        <v>635</v>
      </c>
      <c r="F716" s="43">
        <v>10</v>
      </c>
      <c r="G716" s="43">
        <v>713</v>
      </c>
    </row>
    <row r="717" spans="1:7" ht="16.5" customHeight="1" x14ac:dyDescent="0.2">
      <c r="A717" s="43" t="s">
        <v>1287</v>
      </c>
      <c r="B717" s="43" t="s">
        <v>1286</v>
      </c>
      <c r="C717" s="43" t="s">
        <v>1285</v>
      </c>
      <c r="D717" s="43">
        <v>2135</v>
      </c>
      <c r="E717" s="43" t="s">
        <v>1284</v>
      </c>
      <c r="F717" s="43">
        <v>15</v>
      </c>
      <c r="G717" s="43">
        <v>714</v>
      </c>
    </row>
    <row r="718" spans="1:7" ht="16.5" customHeight="1" x14ac:dyDescent="0.2">
      <c r="A718" s="43" t="s">
        <v>1283</v>
      </c>
      <c r="B718" s="43" t="s">
        <v>1282</v>
      </c>
      <c r="C718" s="43" t="s">
        <v>1281</v>
      </c>
      <c r="D718" s="43">
        <v>2354</v>
      </c>
      <c r="E718" s="43" t="s">
        <v>1280</v>
      </c>
      <c r="F718" s="43">
        <v>10</v>
      </c>
      <c r="G718" s="43">
        <v>715</v>
      </c>
    </row>
    <row r="719" spans="1:7" ht="16.5" customHeight="1" x14ac:dyDescent="0.2">
      <c r="A719" s="43" t="s">
        <v>1279</v>
      </c>
      <c r="B719" s="43" t="s">
        <v>1278</v>
      </c>
      <c r="C719" s="43" t="s">
        <v>1277</v>
      </c>
      <c r="D719" s="43">
        <v>2628</v>
      </c>
      <c r="E719" s="43" t="s">
        <v>336</v>
      </c>
      <c r="F719" s="43">
        <v>14</v>
      </c>
      <c r="G719" s="43">
        <v>716</v>
      </c>
    </row>
    <row r="720" spans="1:7" ht="16.5" customHeight="1" x14ac:dyDescent="0.2">
      <c r="A720" s="43" t="s">
        <v>1276</v>
      </c>
      <c r="B720" s="43" t="s">
        <v>1275</v>
      </c>
      <c r="C720" s="43" t="s">
        <v>1274</v>
      </c>
      <c r="D720" s="43">
        <v>2580</v>
      </c>
      <c r="E720" s="43" t="s">
        <v>1273</v>
      </c>
      <c r="F720" s="43">
        <v>16</v>
      </c>
      <c r="G720" s="43">
        <v>717</v>
      </c>
    </row>
    <row r="721" spans="1:7" ht="16.5" customHeight="1" x14ac:dyDescent="0.2">
      <c r="A721" s="43" t="s">
        <v>1272</v>
      </c>
      <c r="B721" s="43" t="s">
        <v>1271</v>
      </c>
      <c r="C721" s="43" t="s">
        <v>1270</v>
      </c>
      <c r="D721" s="43">
        <v>2590</v>
      </c>
      <c r="E721" s="43" t="s">
        <v>611</v>
      </c>
      <c r="F721" s="43">
        <v>12</v>
      </c>
      <c r="G721" s="43">
        <v>718</v>
      </c>
    </row>
    <row r="722" spans="1:7" ht="16.5" customHeight="1" x14ac:dyDescent="0.2">
      <c r="A722" s="43" t="s">
        <v>1269</v>
      </c>
      <c r="B722" s="43" t="s">
        <v>1268</v>
      </c>
      <c r="C722" s="43" t="s">
        <v>538</v>
      </c>
      <c r="D722" s="43">
        <v>2422</v>
      </c>
      <c r="E722" s="43" t="s">
        <v>537</v>
      </c>
      <c r="F722" s="43">
        <v>18</v>
      </c>
      <c r="G722" s="43">
        <v>719</v>
      </c>
    </row>
    <row r="723" spans="1:7" ht="16.5" customHeight="1" x14ac:dyDescent="0.2">
      <c r="A723" s="43" t="s">
        <v>1267</v>
      </c>
      <c r="B723" s="43" t="s">
        <v>1266</v>
      </c>
      <c r="C723" s="43" t="s">
        <v>1265</v>
      </c>
      <c r="D723" s="43">
        <v>2456</v>
      </c>
      <c r="E723" s="43" t="s">
        <v>484</v>
      </c>
      <c r="F723" s="43">
        <v>11</v>
      </c>
      <c r="G723" s="43">
        <v>720</v>
      </c>
    </row>
    <row r="724" spans="1:7" ht="16.5" customHeight="1" x14ac:dyDescent="0.2">
      <c r="A724" s="43" t="s">
        <v>1264</v>
      </c>
      <c r="B724" s="43" t="s">
        <v>1263</v>
      </c>
      <c r="C724" s="43" t="s">
        <v>1262</v>
      </c>
      <c r="D724" s="43">
        <v>2224</v>
      </c>
      <c r="E724" s="43" t="s">
        <v>1024</v>
      </c>
      <c r="F724" s="43">
        <v>16</v>
      </c>
      <c r="G724" s="43">
        <v>721</v>
      </c>
    </row>
    <row r="725" spans="1:7" ht="16.5" customHeight="1" x14ac:dyDescent="0.2">
      <c r="A725" s="43" t="s">
        <v>1261</v>
      </c>
      <c r="B725" s="43" t="s">
        <v>1260</v>
      </c>
      <c r="C725" s="43" t="s">
        <v>367</v>
      </c>
      <c r="D725" s="43">
        <v>2137</v>
      </c>
      <c r="E725" s="43" t="s">
        <v>366</v>
      </c>
      <c r="F725" s="43">
        <v>25</v>
      </c>
      <c r="G725" s="43">
        <v>722</v>
      </c>
    </row>
    <row r="726" spans="1:7" ht="16.5" customHeight="1" x14ac:dyDescent="0.2">
      <c r="A726" s="43" t="s">
        <v>1259</v>
      </c>
      <c r="B726" s="43" t="s">
        <v>1258</v>
      </c>
      <c r="C726" s="43" t="s">
        <v>1257</v>
      </c>
      <c r="D726" s="43">
        <v>2219</v>
      </c>
      <c r="E726" s="43" t="s">
        <v>618</v>
      </c>
      <c r="F726" s="43">
        <v>43</v>
      </c>
      <c r="G726" s="43">
        <v>723</v>
      </c>
    </row>
    <row r="727" spans="1:7" ht="16.5" customHeight="1" x14ac:dyDescent="0.2">
      <c r="A727" s="43" t="s">
        <v>1256</v>
      </c>
      <c r="B727" s="43" t="s">
        <v>1255</v>
      </c>
      <c r="C727" s="43" t="s">
        <v>1254</v>
      </c>
      <c r="D727" s="43">
        <v>2299</v>
      </c>
      <c r="E727" s="43" t="s">
        <v>344</v>
      </c>
      <c r="F727" s="43">
        <v>14</v>
      </c>
      <c r="G727" s="43">
        <v>724</v>
      </c>
    </row>
    <row r="728" spans="1:7" ht="16.5" customHeight="1" x14ac:dyDescent="0.2">
      <c r="A728" s="43" t="s">
        <v>1253</v>
      </c>
      <c r="B728" s="43" t="s">
        <v>1252</v>
      </c>
      <c r="C728" s="43" t="s">
        <v>1251</v>
      </c>
      <c r="D728" s="43">
        <v>2429</v>
      </c>
      <c r="E728" s="43" t="s">
        <v>958</v>
      </c>
      <c r="F728" s="43">
        <v>10</v>
      </c>
      <c r="G728" s="43">
        <v>725</v>
      </c>
    </row>
    <row r="729" spans="1:7" ht="16.5" customHeight="1" x14ac:dyDescent="0.2">
      <c r="A729" s="43" t="s">
        <v>1250</v>
      </c>
      <c r="B729" s="43" t="s">
        <v>1249</v>
      </c>
      <c r="C729" s="43" t="s">
        <v>1047</v>
      </c>
      <c r="D729" s="43">
        <v>2390</v>
      </c>
      <c r="E729" s="43" t="s">
        <v>499</v>
      </c>
      <c r="F729" s="43">
        <v>18</v>
      </c>
      <c r="G729" s="43">
        <v>726</v>
      </c>
    </row>
    <row r="730" spans="1:7" ht="16.5" customHeight="1" x14ac:dyDescent="0.2">
      <c r="A730" s="43" t="s">
        <v>1248</v>
      </c>
      <c r="B730" s="43" t="s">
        <v>1247</v>
      </c>
      <c r="C730" s="43" t="s">
        <v>1246</v>
      </c>
      <c r="D730" s="43">
        <v>2439</v>
      </c>
      <c r="E730" s="43" t="s">
        <v>958</v>
      </c>
      <c r="F730" s="43">
        <v>11</v>
      </c>
      <c r="G730" s="43">
        <v>727</v>
      </c>
    </row>
    <row r="731" spans="1:7" ht="16.5" customHeight="1" x14ac:dyDescent="0.2">
      <c r="A731" s="43" t="s">
        <v>1245</v>
      </c>
      <c r="B731" s="43" t="s">
        <v>1244</v>
      </c>
      <c r="C731" s="43" t="s">
        <v>1243</v>
      </c>
      <c r="D731" s="43">
        <v>2505</v>
      </c>
      <c r="E731" s="43" t="s">
        <v>393</v>
      </c>
      <c r="F731" s="43">
        <v>19</v>
      </c>
      <c r="G731" s="43">
        <v>728</v>
      </c>
    </row>
    <row r="732" spans="1:7" ht="16.5" customHeight="1" x14ac:dyDescent="0.2">
      <c r="A732" s="43" t="s">
        <v>1242</v>
      </c>
      <c r="B732" s="43" t="s">
        <v>1241</v>
      </c>
      <c r="C732" s="43" t="s">
        <v>1240</v>
      </c>
      <c r="D732" s="43">
        <v>2294</v>
      </c>
      <c r="E732" s="43" t="s">
        <v>344</v>
      </c>
      <c r="F732" s="43">
        <v>10</v>
      </c>
      <c r="G732" s="43">
        <v>729</v>
      </c>
    </row>
    <row r="733" spans="1:7" ht="16.5" customHeight="1" x14ac:dyDescent="0.2">
      <c r="A733" s="43" t="s">
        <v>1239</v>
      </c>
      <c r="B733" s="43" t="s">
        <v>1238</v>
      </c>
      <c r="C733" s="43" t="s">
        <v>955</v>
      </c>
      <c r="D733" s="43">
        <v>2582</v>
      </c>
      <c r="E733" s="43" t="s">
        <v>529</v>
      </c>
      <c r="F733" s="43">
        <v>8</v>
      </c>
      <c r="G733" s="43">
        <v>730</v>
      </c>
    </row>
    <row r="734" spans="1:7" ht="16.5" customHeight="1" x14ac:dyDescent="0.2">
      <c r="A734" s="43" t="s">
        <v>1237</v>
      </c>
      <c r="B734" s="43" t="s">
        <v>1236</v>
      </c>
      <c r="C734" s="43" t="s">
        <v>1235</v>
      </c>
      <c r="D734" s="43">
        <v>2208</v>
      </c>
      <c r="E734" s="43" t="s">
        <v>618</v>
      </c>
      <c r="F734" s="43">
        <v>10</v>
      </c>
      <c r="G734" s="43">
        <v>731</v>
      </c>
    </row>
    <row r="735" spans="1:7" ht="16.5" customHeight="1" x14ac:dyDescent="0.2">
      <c r="A735" s="43" t="s">
        <v>1234</v>
      </c>
      <c r="B735" s="43" t="s">
        <v>1233</v>
      </c>
      <c r="C735" s="43" t="s">
        <v>1232</v>
      </c>
      <c r="D735" s="43">
        <v>2329</v>
      </c>
      <c r="E735" s="43" t="s">
        <v>680</v>
      </c>
      <c r="F735" s="43">
        <v>11</v>
      </c>
      <c r="G735" s="43">
        <v>732</v>
      </c>
    </row>
    <row r="736" spans="1:7" ht="16.5" customHeight="1" x14ac:dyDescent="0.2">
      <c r="A736" s="43" t="s">
        <v>1231</v>
      </c>
      <c r="B736" s="43" t="s">
        <v>1230</v>
      </c>
      <c r="C736" s="43" t="s">
        <v>689</v>
      </c>
      <c r="D736" s="43">
        <v>2823</v>
      </c>
      <c r="E736" s="43" t="s">
        <v>688</v>
      </c>
      <c r="F736" s="43">
        <v>8</v>
      </c>
      <c r="G736" s="43">
        <v>733</v>
      </c>
    </row>
    <row r="737" spans="1:7" ht="16.5" customHeight="1" x14ac:dyDescent="0.2">
      <c r="A737" s="43" t="s">
        <v>1229</v>
      </c>
      <c r="B737" s="43" t="s">
        <v>1228</v>
      </c>
      <c r="C737" s="43" t="s">
        <v>1227</v>
      </c>
      <c r="D737" s="43">
        <v>2500</v>
      </c>
      <c r="E737" s="43" t="s">
        <v>393</v>
      </c>
      <c r="F737" s="43">
        <v>24</v>
      </c>
      <c r="G737" s="43">
        <v>734</v>
      </c>
    </row>
    <row r="738" spans="1:7" ht="16.5" customHeight="1" x14ac:dyDescent="0.2">
      <c r="A738" s="43" t="s">
        <v>1226</v>
      </c>
      <c r="B738" s="43" t="s">
        <v>1225</v>
      </c>
      <c r="C738" s="43" t="s">
        <v>1224</v>
      </c>
      <c r="D738" s="43">
        <v>2095</v>
      </c>
      <c r="E738" s="43" t="s">
        <v>355</v>
      </c>
      <c r="F738" s="43">
        <v>16</v>
      </c>
      <c r="G738" s="43">
        <v>735</v>
      </c>
    </row>
    <row r="739" spans="1:7" ht="16.5" customHeight="1" x14ac:dyDescent="0.2">
      <c r="A739" s="43" t="s">
        <v>1223</v>
      </c>
      <c r="B739" s="43" t="s">
        <v>1222</v>
      </c>
      <c r="C739" s="43" t="s">
        <v>1221</v>
      </c>
      <c r="D739" s="43">
        <v>2284</v>
      </c>
      <c r="E739" s="43" t="s">
        <v>435</v>
      </c>
      <c r="F739" s="43">
        <v>11</v>
      </c>
      <c r="G739" s="43">
        <v>736</v>
      </c>
    </row>
    <row r="740" spans="1:7" ht="16.5" customHeight="1" x14ac:dyDescent="0.2">
      <c r="A740" s="43" t="s">
        <v>1220</v>
      </c>
      <c r="B740" s="43" t="s">
        <v>1219</v>
      </c>
      <c r="C740" s="43" t="s">
        <v>1218</v>
      </c>
      <c r="D740" s="43">
        <v>2280</v>
      </c>
      <c r="E740" s="43" t="s">
        <v>435</v>
      </c>
      <c r="F740" s="43">
        <v>20</v>
      </c>
      <c r="G740" s="43">
        <v>737</v>
      </c>
    </row>
    <row r="741" spans="1:7" ht="16.5" customHeight="1" x14ac:dyDescent="0.2">
      <c r="A741" s="43" t="s">
        <v>1217</v>
      </c>
      <c r="B741" s="43" t="s">
        <v>1216</v>
      </c>
      <c r="C741" s="43" t="s">
        <v>1215</v>
      </c>
      <c r="D741" s="43">
        <v>2535</v>
      </c>
      <c r="E741" s="43" t="s">
        <v>783</v>
      </c>
      <c r="F741" s="43">
        <v>16</v>
      </c>
      <c r="G741" s="43">
        <v>738</v>
      </c>
    </row>
    <row r="742" spans="1:7" ht="16.5" customHeight="1" x14ac:dyDescent="0.2">
      <c r="A742" s="43" t="s">
        <v>1214</v>
      </c>
      <c r="B742" s="43" t="s">
        <v>1213</v>
      </c>
      <c r="C742" s="43" t="s">
        <v>1212</v>
      </c>
      <c r="D742" s="43">
        <v>2303</v>
      </c>
      <c r="E742" s="43" t="s">
        <v>344</v>
      </c>
      <c r="F742" s="43">
        <v>21</v>
      </c>
      <c r="G742" s="43">
        <v>739</v>
      </c>
    </row>
    <row r="743" spans="1:7" ht="16.5" customHeight="1" x14ac:dyDescent="0.2">
      <c r="A743" s="43" t="s">
        <v>1211</v>
      </c>
      <c r="B743" s="43" t="s">
        <v>1210</v>
      </c>
      <c r="C743" s="43" t="s">
        <v>1209</v>
      </c>
      <c r="D743" s="43">
        <v>2454</v>
      </c>
      <c r="E743" s="43" t="s">
        <v>1190</v>
      </c>
      <c r="F743" s="43">
        <v>16</v>
      </c>
      <c r="G743" s="43">
        <v>740</v>
      </c>
    </row>
    <row r="744" spans="1:7" ht="16.5" customHeight="1" x14ac:dyDescent="0.2">
      <c r="A744" s="43" t="s">
        <v>1208</v>
      </c>
      <c r="B744" s="43" t="s">
        <v>1207</v>
      </c>
      <c r="C744" s="43" t="s">
        <v>1206</v>
      </c>
      <c r="D744" s="43">
        <v>2868</v>
      </c>
      <c r="E744" s="43" t="s">
        <v>381</v>
      </c>
      <c r="F744" s="43">
        <v>8</v>
      </c>
      <c r="G744" s="43">
        <v>741</v>
      </c>
    </row>
    <row r="745" spans="1:7" ht="16.5" customHeight="1" x14ac:dyDescent="0.2">
      <c r="A745" s="43" t="s">
        <v>1205</v>
      </c>
      <c r="B745" s="43" t="s">
        <v>1204</v>
      </c>
      <c r="C745" s="43" t="s">
        <v>516</v>
      </c>
      <c r="D745" s="43">
        <v>2204</v>
      </c>
      <c r="E745" s="43" t="s">
        <v>515</v>
      </c>
      <c r="F745" s="43">
        <v>22</v>
      </c>
      <c r="G745" s="43">
        <v>742</v>
      </c>
    </row>
    <row r="746" spans="1:7" ht="16.5" customHeight="1" x14ac:dyDescent="0.2">
      <c r="A746" s="43" t="s">
        <v>1203</v>
      </c>
      <c r="B746" s="43" t="s">
        <v>1202</v>
      </c>
      <c r="C746" s="43" t="s">
        <v>1201</v>
      </c>
      <c r="D746" s="43">
        <v>2575</v>
      </c>
      <c r="E746" s="43" t="s">
        <v>416</v>
      </c>
      <c r="F746" s="43">
        <v>14</v>
      </c>
      <c r="G746" s="43">
        <v>743</v>
      </c>
    </row>
    <row r="747" spans="1:7" ht="16.5" customHeight="1" x14ac:dyDescent="0.2">
      <c r="A747" s="43" t="s">
        <v>1200</v>
      </c>
      <c r="B747" s="43" t="s">
        <v>1199</v>
      </c>
      <c r="C747" s="43" t="s">
        <v>1198</v>
      </c>
      <c r="D747" s="43">
        <v>2036</v>
      </c>
      <c r="E747" s="43" t="s">
        <v>548</v>
      </c>
      <c r="F747" s="43">
        <v>8</v>
      </c>
      <c r="G747" s="43">
        <v>744</v>
      </c>
    </row>
    <row r="748" spans="1:7" ht="16.5" customHeight="1" x14ac:dyDescent="0.2">
      <c r="A748" s="43" t="s">
        <v>1197</v>
      </c>
      <c r="B748" s="43" t="s">
        <v>1196</v>
      </c>
      <c r="C748" s="43" t="s">
        <v>1195</v>
      </c>
      <c r="D748" s="43">
        <v>2570</v>
      </c>
      <c r="E748" s="43" t="s">
        <v>1194</v>
      </c>
      <c r="F748" s="43">
        <v>14</v>
      </c>
      <c r="G748" s="43">
        <v>745</v>
      </c>
    </row>
    <row r="749" spans="1:7" ht="16.5" customHeight="1" x14ac:dyDescent="0.2">
      <c r="A749" s="43" t="s">
        <v>1193</v>
      </c>
      <c r="B749" s="43" t="s">
        <v>1192</v>
      </c>
      <c r="C749" s="43" t="s">
        <v>1191</v>
      </c>
      <c r="D749" s="43">
        <v>2453</v>
      </c>
      <c r="E749" s="43" t="s">
        <v>1190</v>
      </c>
      <c r="F749" s="43">
        <v>10</v>
      </c>
      <c r="G749" s="43">
        <v>746</v>
      </c>
    </row>
    <row r="750" spans="1:7" ht="16.5" customHeight="1" x14ac:dyDescent="0.2">
      <c r="A750" s="43" t="s">
        <v>1189</v>
      </c>
      <c r="B750" s="43" t="s">
        <v>1188</v>
      </c>
      <c r="C750" s="43" t="s">
        <v>1187</v>
      </c>
      <c r="D750" s="43">
        <v>2877</v>
      </c>
      <c r="E750" s="43" t="s">
        <v>370</v>
      </c>
      <c r="F750" s="43">
        <v>12</v>
      </c>
      <c r="G750" s="43">
        <v>747</v>
      </c>
    </row>
    <row r="751" spans="1:7" ht="16.5" customHeight="1" x14ac:dyDescent="0.2">
      <c r="A751" s="43" t="s">
        <v>1186</v>
      </c>
      <c r="B751" s="43" t="s">
        <v>1185</v>
      </c>
      <c r="C751" s="43" t="s">
        <v>1184</v>
      </c>
      <c r="D751" s="43">
        <v>2658</v>
      </c>
      <c r="E751" s="43" t="s">
        <v>642</v>
      </c>
      <c r="F751" s="43">
        <v>11</v>
      </c>
      <c r="G751" s="43">
        <v>748</v>
      </c>
    </row>
    <row r="752" spans="1:7" ht="16.5" customHeight="1" x14ac:dyDescent="0.2">
      <c r="A752" s="43" t="s">
        <v>1183</v>
      </c>
      <c r="B752" s="43" t="s">
        <v>1182</v>
      </c>
      <c r="C752" s="43" t="s">
        <v>1181</v>
      </c>
      <c r="D752" s="43">
        <v>2280</v>
      </c>
      <c r="E752" s="43" t="s">
        <v>435</v>
      </c>
      <c r="F752" s="43">
        <v>15</v>
      </c>
      <c r="G752" s="43">
        <v>749</v>
      </c>
    </row>
    <row r="753" spans="1:7" ht="16.5" customHeight="1" x14ac:dyDescent="0.2">
      <c r="A753" s="43" t="s">
        <v>1180</v>
      </c>
      <c r="B753" s="43" t="s">
        <v>1179</v>
      </c>
      <c r="C753" s="43" t="s">
        <v>1178</v>
      </c>
      <c r="D753" s="43">
        <v>2074</v>
      </c>
      <c r="E753" s="43" t="s">
        <v>463</v>
      </c>
      <c r="F753" s="43">
        <v>14</v>
      </c>
      <c r="G753" s="43">
        <v>750</v>
      </c>
    </row>
    <row r="754" spans="1:7" ht="16.5" customHeight="1" x14ac:dyDescent="0.2">
      <c r="A754" s="43" t="s">
        <v>1177</v>
      </c>
      <c r="B754" s="43" t="s">
        <v>1176</v>
      </c>
      <c r="C754" s="43" t="s">
        <v>1175</v>
      </c>
      <c r="D754" s="43">
        <v>2660</v>
      </c>
      <c r="E754" s="43" t="s">
        <v>642</v>
      </c>
      <c r="F754" s="43">
        <v>13</v>
      </c>
      <c r="G754" s="43">
        <v>751</v>
      </c>
    </row>
    <row r="755" spans="1:7" ht="16.5" customHeight="1" x14ac:dyDescent="0.2">
      <c r="A755" s="43" t="s">
        <v>1174</v>
      </c>
      <c r="B755" s="43" t="s">
        <v>1173</v>
      </c>
      <c r="C755" s="43" t="s">
        <v>1172</v>
      </c>
      <c r="D755" s="43">
        <v>2343</v>
      </c>
      <c r="E755" s="43" t="s">
        <v>519</v>
      </c>
      <c r="F755" s="43">
        <v>10</v>
      </c>
      <c r="G755" s="43">
        <v>752</v>
      </c>
    </row>
    <row r="756" spans="1:7" ht="16.5" customHeight="1" x14ac:dyDescent="0.2">
      <c r="A756" s="43" t="s">
        <v>1171</v>
      </c>
      <c r="B756" s="43" t="s">
        <v>1170</v>
      </c>
      <c r="C756" s="43" t="s">
        <v>1169</v>
      </c>
      <c r="D756" s="43">
        <v>2440</v>
      </c>
      <c r="E756" s="43" t="s">
        <v>455</v>
      </c>
      <c r="F756" s="43">
        <v>9</v>
      </c>
      <c r="G756" s="43">
        <v>753</v>
      </c>
    </row>
    <row r="757" spans="1:7" ht="16.5" customHeight="1" x14ac:dyDescent="0.2">
      <c r="A757" s="43" t="s">
        <v>1168</v>
      </c>
      <c r="B757" s="43" t="s">
        <v>1167</v>
      </c>
      <c r="C757" s="43" t="s">
        <v>1166</v>
      </c>
      <c r="D757" s="43">
        <v>2878</v>
      </c>
      <c r="E757" s="43" t="s">
        <v>1165</v>
      </c>
      <c r="F757" s="43">
        <v>2</v>
      </c>
      <c r="G757" s="43">
        <v>754</v>
      </c>
    </row>
    <row r="758" spans="1:7" ht="16.5" customHeight="1" x14ac:dyDescent="0.2">
      <c r="A758" s="43" t="s">
        <v>1164</v>
      </c>
      <c r="B758" s="43" t="s">
        <v>1163</v>
      </c>
      <c r="C758" s="43" t="s">
        <v>1162</v>
      </c>
      <c r="D758" s="43">
        <v>2046</v>
      </c>
      <c r="E758" s="43" t="s">
        <v>366</v>
      </c>
      <c r="F758" s="43">
        <v>11</v>
      </c>
      <c r="G758" s="43">
        <v>755</v>
      </c>
    </row>
    <row r="759" spans="1:7" ht="16.5" customHeight="1" x14ac:dyDescent="0.2">
      <c r="A759" s="43" t="s">
        <v>1161</v>
      </c>
      <c r="B759" s="43" t="s">
        <v>1160</v>
      </c>
      <c r="C759" s="43" t="s">
        <v>1125</v>
      </c>
      <c r="D759" s="43">
        <v>2848</v>
      </c>
      <c r="E759" s="43" t="s">
        <v>1124</v>
      </c>
      <c r="F759" s="43">
        <v>10</v>
      </c>
      <c r="G759" s="43">
        <v>756</v>
      </c>
    </row>
    <row r="760" spans="1:7" ht="16.5" customHeight="1" x14ac:dyDescent="0.2">
      <c r="A760" s="43" t="s">
        <v>1159</v>
      </c>
      <c r="B760" s="43" t="s">
        <v>1158</v>
      </c>
      <c r="C760" s="43" t="s">
        <v>1157</v>
      </c>
      <c r="D760" s="43">
        <v>2209</v>
      </c>
      <c r="E760" s="43" t="s">
        <v>1156</v>
      </c>
      <c r="F760" s="43">
        <v>22</v>
      </c>
      <c r="G760" s="43">
        <v>757</v>
      </c>
    </row>
    <row r="761" spans="1:7" ht="16.5" customHeight="1" x14ac:dyDescent="0.2">
      <c r="A761" s="43" t="s">
        <v>1155</v>
      </c>
      <c r="B761" s="43" t="s">
        <v>1154</v>
      </c>
      <c r="C761" s="43" t="s">
        <v>1153</v>
      </c>
      <c r="D761" s="43">
        <v>2460</v>
      </c>
      <c r="E761" s="43" t="s">
        <v>495</v>
      </c>
      <c r="F761" s="43">
        <v>12</v>
      </c>
      <c r="G761" s="43">
        <v>758</v>
      </c>
    </row>
    <row r="762" spans="1:7" ht="16.5" customHeight="1" x14ac:dyDescent="0.2">
      <c r="A762" s="43" t="s">
        <v>1152</v>
      </c>
      <c r="B762" s="43" t="s">
        <v>1151</v>
      </c>
      <c r="C762" s="43" t="s">
        <v>1150</v>
      </c>
      <c r="D762" s="43">
        <v>2867</v>
      </c>
      <c r="E762" s="43" t="s">
        <v>381</v>
      </c>
      <c r="F762" s="43">
        <v>10</v>
      </c>
      <c r="G762" s="43">
        <v>759</v>
      </c>
    </row>
    <row r="763" spans="1:7" ht="16.5" customHeight="1" x14ac:dyDescent="0.2">
      <c r="A763" s="43" t="s">
        <v>1149</v>
      </c>
      <c r="B763" s="43" t="s">
        <v>1148</v>
      </c>
      <c r="C763" s="43" t="s">
        <v>1147</v>
      </c>
      <c r="D763" s="43">
        <v>2299</v>
      </c>
      <c r="E763" s="43" t="s">
        <v>344</v>
      </c>
      <c r="F763" s="43">
        <v>16</v>
      </c>
      <c r="G763" s="43">
        <v>760</v>
      </c>
    </row>
    <row r="764" spans="1:7" ht="16.5" customHeight="1" x14ac:dyDescent="0.2">
      <c r="A764" s="43" t="s">
        <v>1146</v>
      </c>
      <c r="B764" s="43" t="s">
        <v>1145</v>
      </c>
      <c r="C764" s="43" t="s">
        <v>795</v>
      </c>
      <c r="D764" s="43">
        <v>2800</v>
      </c>
      <c r="E764" s="43" t="s">
        <v>794</v>
      </c>
      <c r="F764" s="43">
        <v>9</v>
      </c>
      <c r="G764" s="43">
        <v>761</v>
      </c>
    </row>
    <row r="765" spans="1:7" ht="16.5" customHeight="1" x14ac:dyDescent="0.2">
      <c r="A765" s="43" t="s">
        <v>1144</v>
      </c>
      <c r="B765" s="43" t="s">
        <v>1143</v>
      </c>
      <c r="C765" s="43" t="s">
        <v>1142</v>
      </c>
      <c r="D765" s="43">
        <v>2402</v>
      </c>
      <c r="E765" s="43" t="s">
        <v>340</v>
      </c>
      <c r="F765" s="43">
        <v>10</v>
      </c>
      <c r="G765" s="43">
        <v>762</v>
      </c>
    </row>
    <row r="766" spans="1:7" ht="16.5" customHeight="1" x14ac:dyDescent="0.2">
      <c r="A766" s="43" t="s">
        <v>1141</v>
      </c>
      <c r="B766" s="43" t="s">
        <v>1140</v>
      </c>
      <c r="C766" s="43" t="s">
        <v>1139</v>
      </c>
      <c r="D766" s="43">
        <v>2311</v>
      </c>
      <c r="E766" s="43" t="s">
        <v>1054</v>
      </c>
      <c r="F766" s="43">
        <v>8</v>
      </c>
      <c r="G766" s="43">
        <v>763</v>
      </c>
    </row>
    <row r="767" spans="1:7" ht="16.5" customHeight="1" x14ac:dyDescent="0.2">
      <c r="A767" s="43" t="s">
        <v>1138</v>
      </c>
      <c r="B767" s="43" t="s">
        <v>1137</v>
      </c>
      <c r="C767" s="43" t="s">
        <v>1136</v>
      </c>
      <c r="D767" s="43">
        <v>2396</v>
      </c>
      <c r="E767" s="43" t="s">
        <v>503</v>
      </c>
      <c r="F767" s="43">
        <v>8</v>
      </c>
      <c r="G767" s="43">
        <v>764</v>
      </c>
    </row>
    <row r="768" spans="1:7" ht="16.5" customHeight="1" x14ac:dyDescent="0.2">
      <c r="A768" s="43" t="s">
        <v>1135</v>
      </c>
      <c r="B768" s="43" t="s">
        <v>1134</v>
      </c>
      <c r="C768" s="43" t="s">
        <v>1133</v>
      </c>
      <c r="D768" s="43">
        <v>2141</v>
      </c>
      <c r="E768" s="43" t="s">
        <v>377</v>
      </c>
      <c r="F768" s="43">
        <v>10</v>
      </c>
      <c r="G768" s="43">
        <v>765</v>
      </c>
    </row>
    <row r="769" spans="1:7" ht="16.5" customHeight="1" x14ac:dyDescent="0.2">
      <c r="A769" s="43" t="s">
        <v>1132</v>
      </c>
      <c r="B769" s="43" t="s">
        <v>1131</v>
      </c>
      <c r="C769" s="43" t="s">
        <v>1130</v>
      </c>
      <c r="D769" s="43">
        <v>2486</v>
      </c>
      <c r="E769" s="43" t="s">
        <v>1106</v>
      </c>
      <c r="F769" s="43">
        <v>10</v>
      </c>
      <c r="G769" s="43">
        <v>766</v>
      </c>
    </row>
    <row r="770" spans="1:7" ht="16.5" customHeight="1" x14ac:dyDescent="0.2">
      <c r="A770" s="43" t="s">
        <v>1129</v>
      </c>
      <c r="B770" s="43" t="s">
        <v>1128</v>
      </c>
      <c r="C770" s="43" t="s">
        <v>918</v>
      </c>
      <c r="D770" s="43">
        <v>2106</v>
      </c>
      <c r="E770" s="43" t="s">
        <v>355</v>
      </c>
      <c r="F770" s="43">
        <v>39</v>
      </c>
      <c r="G770" s="43">
        <v>767</v>
      </c>
    </row>
    <row r="771" spans="1:7" ht="16.5" customHeight="1" x14ac:dyDescent="0.2">
      <c r="A771" s="43" t="s">
        <v>1127</v>
      </c>
      <c r="B771" s="43" t="s">
        <v>1126</v>
      </c>
      <c r="C771" s="43" t="s">
        <v>1125</v>
      </c>
      <c r="D771" s="43">
        <v>2848</v>
      </c>
      <c r="E771" s="43" t="s">
        <v>1124</v>
      </c>
      <c r="F771" s="43">
        <v>10</v>
      </c>
      <c r="G771" s="43">
        <v>768</v>
      </c>
    </row>
    <row r="772" spans="1:7" ht="16.5" customHeight="1" x14ac:dyDescent="0.2">
      <c r="A772" s="43" t="s">
        <v>1123</v>
      </c>
      <c r="B772" s="43" t="s">
        <v>1122</v>
      </c>
      <c r="C772" s="43" t="s">
        <v>1003</v>
      </c>
      <c r="D772" s="43">
        <v>2340</v>
      </c>
      <c r="E772" s="43" t="s">
        <v>951</v>
      </c>
      <c r="F772" s="43">
        <v>10</v>
      </c>
      <c r="G772" s="43">
        <v>769</v>
      </c>
    </row>
    <row r="773" spans="1:7" ht="16.5" customHeight="1" x14ac:dyDescent="0.2">
      <c r="A773" s="43" t="s">
        <v>1121</v>
      </c>
      <c r="B773" s="43" t="s">
        <v>1120</v>
      </c>
      <c r="C773" s="43" t="s">
        <v>1119</v>
      </c>
      <c r="D773" s="43">
        <v>2026</v>
      </c>
      <c r="E773" s="43" t="s">
        <v>765</v>
      </c>
      <c r="F773" s="43">
        <v>12</v>
      </c>
      <c r="G773" s="43">
        <v>770</v>
      </c>
    </row>
    <row r="774" spans="1:7" ht="16.5" customHeight="1" x14ac:dyDescent="0.2">
      <c r="A774" s="43" t="s">
        <v>1118</v>
      </c>
      <c r="B774" s="43" t="s">
        <v>1117</v>
      </c>
      <c r="C774" s="43" t="s">
        <v>1116</v>
      </c>
      <c r="D774" s="43">
        <v>2794</v>
      </c>
      <c r="E774" s="43" t="s">
        <v>533</v>
      </c>
      <c r="F774" s="43">
        <v>12</v>
      </c>
      <c r="G774" s="43">
        <v>771</v>
      </c>
    </row>
    <row r="775" spans="1:7" ht="16.5" customHeight="1" x14ac:dyDescent="0.2">
      <c r="A775" s="43" t="s">
        <v>1115</v>
      </c>
      <c r="B775" s="43" t="s">
        <v>1114</v>
      </c>
      <c r="C775" s="43" t="s">
        <v>924</v>
      </c>
      <c r="D775" s="43">
        <v>2131</v>
      </c>
      <c r="E775" s="43" t="s">
        <v>515</v>
      </c>
      <c r="F775" s="43">
        <v>6</v>
      </c>
      <c r="G775" s="43">
        <v>772</v>
      </c>
    </row>
    <row r="776" spans="1:7" ht="16.5" customHeight="1" x14ac:dyDescent="0.2">
      <c r="A776" s="43" t="s">
        <v>1113</v>
      </c>
      <c r="B776" s="43" t="s">
        <v>1112</v>
      </c>
      <c r="C776" s="43" t="s">
        <v>722</v>
      </c>
      <c r="D776" s="43">
        <v>2680</v>
      </c>
      <c r="E776" s="43" t="s">
        <v>332</v>
      </c>
      <c r="F776" s="43">
        <v>10</v>
      </c>
      <c r="G776" s="43">
        <v>773</v>
      </c>
    </row>
    <row r="777" spans="1:7" ht="16.5" customHeight="1" x14ac:dyDescent="0.2">
      <c r="A777" s="43" t="s">
        <v>1111</v>
      </c>
      <c r="B777" s="43" t="s">
        <v>1110</v>
      </c>
      <c r="C777" s="43" t="s">
        <v>1076</v>
      </c>
      <c r="D777" s="43">
        <v>2594</v>
      </c>
      <c r="E777" s="43" t="s">
        <v>653</v>
      </c>
      <c r="F777" s="43">
        <v>11</v>
      </c>
      <c r="G777" s="43">
        <v>774</v>
      </c>
    </row>
    <row r="778" spans="1:7" ht="16.5" customHeight="1" x14ac:dyDescent="0.2">
      <c r="A778" s="43" t="s">
        <v>1109</v>
      </c>
      <c r="B778" s="43" t="s">
        <v>1108</v>
      </c>
      <c r="C778" s="43" t="s">
        <v>1107</v>
      </c>
      <c r="D778" s="43">
        <v>2483</v>
      </c>
      <c r="E778" s="43" t="s">
        <v>1106</v>
      </c>
      <c r="F778" s="43">
        <v>6</v>
      </c>
      <c r="G778" s="43">
        <v>775</v>
      </c>
    </row>
    <row r="779" spans="1:7" ht="16.5" customHeight="1" x14ac:dyDescent="0.2">
      <c r="A779" s="43" t="s">
        <v>1105</v>
      </c>
      <c r="B779" s="43" t="s">
        <v>1104</v>
      </c>
      <c r="C779" s="43" t="s">
        <v>1103</v>
      </c>
      <c r="D779" s="43">
        <v>2578</v>
      </c>
      <c r="E779" s="43" t="s">
        <v>416</v>
      </c>
      <c r="F779" s="43">
        <v>6</v>
      </c>
      <c r="G779" s="43">
        <v>776</v>
      </c>
    </row>
    <row r="780" spans="1:7" ht="16.5" customHeight="1" x14ac:dyDescent="0.2">
      <c r="A780" s="43" t="s">
        <v>1102</v>
      </c>
      <c r="B780" s="43" t="s">
        <v>1101</v>
      </c>
      <c r="C780" s="43" t="s">
        <v>1100</v>
      </c>
      <c r="D780" s="43">
        <v>2370</v>
      </c>
      <c r="E780" s="43" t="s">
        <v>1099</v>
      </c>
      <c r="F780" s="43">
        <v>5</v>
      </c>
      <c r="G780" s="43">
        <v>777</v>
      </c>
    </row>
    <row r="781" spans="1:7" ht="16.5" customHeight="1" x14ac:dyDescent="0.2">
      <c r="A781" s="43" t="s">
        <v>1098</v>
      </c>
      <c r="B781" s="43" t="s">
        <v>1097</v>
      </c>
      <c r="C781" s="43" t="s">
        <v>1096</v>
      </c>
      <c r="D781" s="43">
        <v>2335</v>
      </c>
      <c r="E781" s="43" t="s">
        <v>670</v>
      </c>
      <c r="F781" s="43">
        <v>12</v>
      </c>
      <c r="G781" s="43">
        <v>778</v>
      </c>
    </row>
    <row r="782" spans="1:7" ht="16.5" customHeight="1" x14ac:dyDescent="0.2">
      <c r="A782" s="43" t="s">
        <v>1095</v>
      </c>
      <c r="B782" s="43" t="s">
        <v>1094</v>
      </c>
      <c r="C782" s="43" t="s">
        <v>1093</v>
      </c>
      <c r="D782" s="43">
        <v>2305</v>
      </c>
      <c r="E782" s="43" t="s">
        <v>344</v>
      </c>
      <c r="F782" s="43">
        <v>13</v>
      </c>
      <c r="G782" s="43">
        <v>779</v>
      </c>
    </row>
    <row r="783" spans="1:7" ht="16.5" customHeight="1" x14ac:dyDescent="0.2">
      <c r="A783" s="43" t="s">
        <v>1092</v>
      </c>
      <c r="B783" s="43" t="s">
        <v>1091</v>
      </c>
      <c r="C783" s="43" t="s">
        <v>1090</v>
      </c>
      <c r="D783" s="43">
        <v>2230</v>
      </c>
      <c r="E783" s="43" t="s">
        <v>1024</v>
      </c>
      <c r="F783" s="43">
        <v>9</v>
      </c>
      <c r="G783" s="43">
        <v>780</v>
      </c>
    </row>
    <row r="784" spans="1:7" ht="16.5" customHeight="1" x14ac:dyDescent="0.2">
      <c r="A784" s="43" t="s">
        <v>1089</v>
      </c>
      <c r="B784" s="43" t="s">
        <v>1088</v>
      </c>
      <c r="C784" s="43" t="s">
        <v>516</v>
      </c>
      <c r="D784" s="43">
        <v>2204</v>
      </c>
      <c r="E784" s="43" t="s">
        <v>515</v>
      </c>
      <c r="F784" s="43">
        <v>12</v>
      </c>
      <c r="G784" s="43">
        <v>781</v>
      </c>
    </row>
    <row r="785" spans="1:7" ht="16.5" customHeight="1" x14ac:dyDescent="0.2">
      <c r="A785" s="43" t="s">
        <v>1087</v>
      </c>
      <c r="B785" s="43" t="s">
        <v>1086</v>
      </c>
      <c r="C785" s="43" t="s">
        <v>1085</v>
      </c>
      <c r="D785" s="43">
        <v>2430</v>
      </c>
      <c r="E785" s="43" t="s">
        <v>537</v>
      </c>
      <c r="F785" s="43">
        <v>10</v>
      </c>
      <c r="G785" s="43">
        <v>782</v>
      </c>
    </row>
    <row r="786" spans="1:7" ht="16.5" customHeight="1" x14ac:dyDescent="0.2">
      <c r="A786" s="43" t="s">
        <v>1084</v>
      </c>
      <c r="B786" s="43" t="s">
        <v>1083</v>
      </c>
      <c r="C786" s="43" t="s">
        <v>1082</v>
      </c>
      <c r="D786" s="43">
        <v>2481</v>
      </c>
      <c r="E786" s="43" t="s">
        <v>359</v>
      </c>
      <c r="F786" s="43">
        <v>12</v>
      </c>
      <c r="G786" s="43">
        <v>783</v>
      </c>
    </row>
    <row r="787" spans="1:7" ht="16.5" customHeight="1" x14ac:dyDescent="0.2">
      <c r="A787" s="43" t="s">
        <v>1081</v>
      </c>
      <c r="B787" s="43" t="s">
        <v>1080</v>
      </c>
      <c r="C787" s="43" t="s">
        <v>1079</v>
      </c>
      <c r="D787" s="43">
        <v>2361</v>
      </c>
      <c r="E787" s="43" t="s">
        <v>351</v>
      </c>
      <c r="F787" s="43">
        <v>15</v>
      </c>
      <c r="G787" s="43">
        <v>784</v>
      </c>
    </row>
    <row r="788" spans="1:7" ht="16.5" customHeight="1" x14ac:dyDescent="0.2">
      <c r="A788" s="43" t="s">
        <v>1078</v>
      </c>
      <c r="B788" s="43" t="s">
        <v>1077</v>
      </c>
      <c r="C788" s="43" t="s">
        <v>1076</v>
      </c>
      <c r="D788" s="43">
        <v>2594</v>
      </c>
      <c r="E788" s="43" t="s">
        <v>653</v>
      </c>
      <c r="F788" s="43">
        <v>9</v>
      </c>
      <c r="G788" s="43">
        <v>785</v>
      </c>
    </row>
    <row r="789" spans="1:7" ht="16.5" customHeight="1" x14ac:dyDescent="0.2">
      <c r="A789" s="43" t="s">
        <v>1075</v>
      </c>
      <c r="B789" s="43" t="s">
        <v>1074</v>
      </c>
      <c r="C789" s="43" t="s">
        <v>1073</v>
      </c>
      <c r="D789" s="43">
        <v>2825</v>
      </c>
      <c r="E789" s="43" t="s">
        <v>1072</v>
      </c>
      <c r="F789" s="43">
        <v>6</v>
      </c>
      <c r="G789" s="43">
        <v>786</v>
      </c>
    </row>
    <row r="790" spans="1:7" ht="16.5" customHeight="1" x14ac:dyDescent="0.2">
      <c r="A790" s="43" t="s">
        <v>1071</v>
      </c>
      <c r="B790" s="43" t="s">
        <v>1070</v>
      </c>
      <c r="C790" s="43" t="s">
        <v>1069</v>
      </c>
      <c r="D790" s="43">
        <v>2031</v>
      </c>
      <c r="E790" s="43" t="s">
        <v>548</v>
      </c>
      <c r="F790" s="43">
        <v>15</v>
      </c>
      <c r="G790" s="43">
        <v>787</v>
      </c>
    </row>
    <row r="791" spans="1:7" ht="16.5" customHeight="1" x14ac:dyDescent="0.2">
      <c r="A791" s="43" t="s">
        <v>1068</v>
      </c>
      <c r="B791" s="43" t="s">
        <v>1067</v>
      </c>
      <c r="C791" s="43" t="s">
        <v>1066</v>
      </c>
      <c r="D791" s="43">
        <v>2066</v>
      </c>
      <c r="E791" s="43" t="s">
        <v>728</v>
      </c>
      <c r="F791" s="43">
        <v>10</v>
      </c>
      <c r="G791" s="43">
        <v>788</v>
      </c>
    </row>
    <row r="792" spans="1:7" ht="16.5" customHeight="1" x14ac:dyDescent="0.2">
      <c r="A792" s="43" t="s">
        <v>1065</v>
      </c>
      <c r="B792" s="43" t="s">
        <v>1064</v>
      </c>
      <c r="C792" s="43" t="s">
        <v>990</v>
      </c>
      <c r="D792" s="43">
        <v>2429</v>
      </c>
      <c r="E792" s="43" t="s">
        <v>537</v>
      </c>
      <c r="F792" s="43">
        <v>12</v>
      </c>
      <c r="G792" s="43">
        <v>789</v>
      </c>
    </row>
    <row r="793" spans="1:7" ht="16.5" customHeight="1" x14ac:dyDescent="0.2">
      <c r="A793" s="43" t="s">
        <v>1063</v>
      </c>
      <c r="B793" s="43" t="s">
        <v>1062</v>
      </c>
      <c r="C793" s="43" t="s">
        <v>1061</v>
      </c>
      <c r="D793" s="43">
        <v>2300</v>
      </c>
      <c r="E793" s="43" t="s">
        <v>344</v>
      </c>
      <c r="F793" s="43">
        <v>10</v>
      </c>
      <c r="G793" s="43">
        <v>790</v>
      </c>
    </row>
    <row r="794" spans="1:7" ht="16.5" customHeight="1" x14ac:dyDescent="0.2">
      <c r="A794" s="43" t="s">
        <v>1060</v>
      </c>
      <c r="B794" s="43" t="s">
        <v>1059</v>
      </c>
      <c r="C794" s="43" t="s">
        <v>1058</v>
      </c>
      <c r="D794" s="43">
        <v>2441</v>
      </c>
      <c r="E794" s="43" t="s">
        <v>958</v>
      </c>
      <c r="F794" s="43">
        <v>7</v>
      </c>
      <c r="G794" s="43">
        <v>791</v>
      </c>
    </row>
    <row r="795" spans="1:7" ht="16.5" customHeight="1" x14ac:dyDescent="0.2">
      <c r="A795" s="43" t="s">
        <v>1057</v>
      </c>
      <c r="B795" s="43" t="s">
        <v>1056</v>
      </c>
      <c r="C795" s="43" t="s">
        <v>1055</v>
      </c>
      <c r="D795" s="43">
        <v>2420</v>
      </c>
      <c r="E795" s="43" t="s">
        <v>1054</v>
      </c>
      <c r="F795" s="43">
        <v>12</v>
      </c>
      <c r="G795" s="43">
        <v>792</v>
      </c>
    </row>
    <row r="796" spans="1:7" ht="16.5" customHeight="1" x14ac:dyDescent="0.2">
      <c r="A796" s="43" t="s">
        <v>1053</v>
      </c>
      <c r="B796" s="43" t="s">
        <v>1052</v>
      </c>
      <c r="C796" s="43" t="s">
        <v>647</v>
      </c>
      <c r="D796" s="43">
        <v>2795</v>
      </c>
      <c r="E796" s="43" t="s">
        <v>646</v>
      </c>
      <c r="F796" s="43">
        <v>11</v>
      </c>
      <c r="G796" s="43">
        <v>793</v>
      </c>
    </row>
    <row r="797" spans="1:7" ht="16.5" customHeight="1" x14ac:dyDescent="0.2">
      <c r="A797" s="43" t="s">
        <v>1051</v>
      </c>
      <c r="B797" s="43" t="s">
        <v>1050</v>
      </c>
      <c r="C797" s="43" t="s">
        <v>674</v>
      </c>
      <c r="D797" s="43">
        <v>2283</v>
      </c>
      <c r="E797" s="43" t="s">
        <v>435</v>
      </c>
      <c r="F797" s="43">
        <v>15</v>
      </c>
      <c r="G797" s="43">
        <v>794</v>
      </c>
    </row>
    <row r="798" spans="1:7" ht="16.5" customHeight="1" x14ac:dyDescent="0.2">
      <c r="A798" s="43" t="s">
        <v>1049</v>
      </c>
      <c r="B798" s="43" t="s">
        <v>1048</v>
      </c>
      <c r="C798" s="43" t="s">
        <v>1047</v>
      </c>
      <c r="D798" s="43">
        <v>2390</v>
      </c>
      <c r="E798" s="43" t="s">
        <v>499</v>
      </c>
      <c r="F798" s="43">
        <v>8</v>
      </c>
      <c r="G798" s="43">
        <v>795</v>
      </c>
    </row>
    <row r="799" spans="1:7" ht="16.5" customHeight="1" x14ac:dyDescent="0.2">
      <c r="A799" s="43" t="s">
        <v>1046</v>
      </c>
      <c r="B799" s="43" t="s">
        <v>1045</v>
      </c>
      <c r="C799" s="43" t="s">
        <v>795</v>
      </c>
      <c r="D799" s="43">
        <v>2800</v>
      </c>
      <c r="E799" s="43" t="s">
        <v>794</v>
      </c>
      <c r="F799" s="43">
        <v>12</v>
      </c>
      <c r="G799" s="43">
        <v>796</v>
      </c>
    </row>
    <row r="800" spans="1:7" ht="16.5" customHeight="1" x14ac:dyDescent="0.2">
      <c r="A800" s="43" t="s">
        <v>1044</v>
      </c>
      <c r="B800" s="43" t="s">
        <v>1043</v>
      </c>
      <c r="C800" s="43" t="s">
        <v>1042</v>
      </c>
      <c r="D800" s="43">
        <v>2804</v>
      </c>
      <c r="E800" s="43" t="s">
        <v>381</v>
      </c>
      <c r="F800" s="43">
        <v>10</v>
      </c>
      <c r="G800" s="43">
        <v>797</v>
      </c>
    </row>
    <row r="801" spans="1:7" ht="16.5" customHeight="1" x14ac:dyDescent="0.2">
      <c r="A801" s="43" t="s">
        <v>1041</v>
      </c>
      <c r="B801" s="43" t="s">
        <v>1040</v>
      </c>
      <c r="C801" s="43" t="s">
        <v>1039</v>
      </c>
      <c r="D801" s="43">
        <v>2519</v>
      </c>
      <c r="E801" s="43" t="s">
        <v>393</v>
      </c>
      <c r="F801" s="43">
        <v>13</v>
      </c>
      <c r="G801" s="43">
        <v>798</v>
      </c>
    </row>
    <row r="802" spans="1:7" ht="16.5" customHeight="1" x14ac:dyDescent="0.2">
      <c r="A802" s="43" t="s">
        <v>1038</v>
      </c>
      <c r="B802" s="43" t="s">
        <v>1037</v>
      </c>
      <c r="C802" s="43" t="s">
        <v>1036</v>
      </c>
      <c r="D802" s="43">
        <v>2110</v>
      </c>
      <c r="E802" s="43" t="s">
        <v>1035</v>
      </c>
      <c r="F802" s="43">
        <v>10</v>
      </c>
      <c r="G802" s="43">
        <v>799</v>
      </c>
    </row>
    <row r="803" spans="1:7" ht="16.5" customHeight="1" x14ac:dyDescent="0.2">
      <c r="A803" s="43" t="s">
        <v>1034</v>
      </c>
      <c r="B803" s="43" t="s">
        <v>1033</v>
      </c>
      <c r="C803" s="43" t="s">
        <v>1032</v>
      </c>
      <c r="D803" s="43">
        <v>2760</v>
      </c>
      <c r="E803" s="43" t="s">
        <v>1031</v>
      </c>
      <c r="F803" s="43">
        <v>19</v>
      </c>
      <c r="G803" s="43">
        <v>800</v>
      </c>
    </row>
    <row r="804" spans="1:7" ht="16.5" customHeight="1" x14ac:dyDescent="0.2">
      <c r="A804" s="43" t="s">
        <v>1030</v>
      </c>
      <c r="B804" s="43" t="s">
        <v>1029</v>
      </c>
      <c r="C804" s="43" t="s">
        <v>1028</v>
      </c>
      <c r="D804" s="43">
        <v>2093</v>
      </c>
      <c r="E804" s="43" t="s">
        <v>355</v>
      </c>
      <c r="F804" s="43">
        <v>8</v>
      </c>
      <c r="G804" s="43">
        <v>801</v>
      </c>
    </row>
    <row r="805" spans="1:7" ht="16.5" customHeight="1" x14ac:dyDescent="0.2">
      <c r="A805" s="43" t="s">
        <v>1027</v>
      </c>
      <c r="B805" s="43" t="s">
        <v>1026</v>
      </c>
      <c r="C805" s="43" t="s">
        <v>1025</v>
      </c>
      <c r="D805" s="43">
        <v>2232</v>
      </c>
      <c r="E805" s="43" t="s">
        <v>1024</v>
      </c>
      <c r="F805" s="43">
        <v>15</v>
      </c>
      <c r="G805" s="43">
        <v>802</v>
      </c>
    </row>
    <row r="806" spans="1:7" ht="16.5" customHeight="1" x14ac:dyDescent="0.2">
      <c r="A806" s="43" t="s">
        <v>1023</v>
      </c>
      <c r="B806" s="43" t="s">
        <v>1022</v>
      </c>
      <c r="C806" s="43" t="s">
        <v>1021</v>
      </c>
      <c r="D806" s="43">
        <v>2336</v>
      </c>
      <c r="E806" s="43" t="s">
        <v>680</v>
      </c>
      <c r="F806" s="43">
        <v>10</v>
      </c>
      <c r="G806" s="43">
        <v>803</v>
      </c>
    </row>
    <row r="807" spans="1:7" ht="16.5" customHeight="1" x14ac:dyDescent="0.2">
      <c r="A807" s="43" t="s">
        <v>1020</v>
      </c>
      <c r="B807" s="43" t="s">
        <v>1019</v>
      </c>
      <c r="C807" s="43" t="s">
        <v>1018</v>
      </c>
      <c r="D807" s="43">
        <v>2871</v>
      </c>
      <c r="E807" s="43" t="s">
        <v>1017</v>
      </c>
      <c r="F807" s="43">
        <v>7</v>
      </c>
      <c r="G807" s="43">
        <v>804</v>
      </c>
    </row>
    <row r="808" spans="1:7" ht="16.5" customHeight="1" x14ac:dyDescent="0.2">
      <c r="A808" s="43" t="s">
        <v>1016</v>
      </c>
      <c r="B808" s="43" t="s">
        <v>1015</v>
      </c>
      <c r="C808" s="43" t="s">
        <v>1014</v>
      </c>
      <c r="D808" s="43">
        <v>2480</v>
      </c>
      <c r="E808" s="43" t="s">
        <v>405</v>
      </c>
      <c r="F808" s="43">
        <v>6</v>
      </c>
      <c r="G808" s="43">
        <v>805</v>
      </c>
    </row>
    <row r="809" spans="1:7" ht="16.5" customHeight="1" x14ac:dyDescent="0.2">
      <c r="A809" s="43" t="s">
        <v>1013</v>
      </c>
      <c r="B809" s="43" t="s">
        <v>1012</v>
      </c>
      <c r="C809" s="43" t="s">
        <v>1011</v>
      </c>
      <c r="D809" s="43">
        <v>2330</v>
      </c>
      <c r="E809" s="43" t="s">
        <v>1010</v>
      </c>
      <c r="F809" s="43">
        <v>15</v>
      </c>
      <c r="G809" s="43">
        <v>806</v>
      </c>
    </row>
    <row r="810" spans="1:7" ht="16.5" customHeight="1" x14ac:dyDescent="0.2">
      <c r="A810" s="43" t="s">
        <v>1009</v>
      </c>
      <c r="B810" s="43" t="s">
        <v>1008</v>
      </c>
      <c r="C810" s="43" t="s">
        <v>1007</v>
      </c>
      <c r="D810" s="43">
        <v>2250</v>
      </c>
      <c r="E810" s="43" t="s">
        <v>1006</v>
      </c>
      <c r="F810" s="43">
        <v>14</v>
      </c>
      <c r="G810" s="43">
        <v>807</v>
      </c>
    </row>
    <row r="811" spans="1:7" ht="16.5" customHeight="1" x14ac:dyDescent="0.2">
      <c r="A811" s="43" t="s">
        <v>1005</v>
      </c>
      <c r="B811" s="43" t="s">
        <v>1004</v>
      </c>
      <c r="C811" s="43" t="s">
        <v>1003</v>
      </c>
      <c r="D811" s="43">
        <v>2340</v>
      </c>
      <c r="E811" s="43" t="s">
        <v>951</v>
      </c>
      <c r="F811" s="43">
        <v>7</v>
      </c>
      <c r="G811" s="43">
        <v>808</v>
      </c>
    </row>
    <row r="812" spans="1:7" ht="16.5" customHeight="1" x14ac:dyDescent="0.2">
      <c r="A812" s="43" t="s">
        <v>1002</v>
      </c>
      <c r="B812" s="43" t="s">
        <v>1001</v>
      </c>
      <c r="C812" s="43" t="s">
        <v>1000</v>
      </c>
      <c r="D812" s="43">
        <v>2287</v>
      </c>
      <c r="E812" s="43" t="s">
        <v>344</v>
      </c>
      <c r="F812" s="43">
        <v>9</v>
      </c>
      <c r="G812" s="43">
        <v>809</v>
      </c>
    </row>
    <row r="813" spans="1:7" ht="16.5" customHeight="1" x14ac:dyDescent="0.2">
      <c r="A813" s="43" t="s">
        <v>999</v>
      </c>
      <c r="B813" s="43" t="s">
        <v>998</v>
      </c>
      <c r="C813" s="43" t="s">
        <v>997</v>
      </c>
      <c r="D813" s="43">
        <v>2762</v>
      </c>
      <c r="E813" s="43" t="s">
        <v>996</v>
      </c>
      <c r="F813" s="43">
        <v>32</v>
      </c>
      <c r="G813" s="43">
        <v>810</v>
      </c>
    </row>
    <row r="814" spans="1:7" ht="16.5" customHeight="1" x14ac:dyDescent="0.2">
      <c r="A814" s="43" t="s">
        <v>995</v>
      </c>
      <c r="B814" s="43" t="s">
        <v>994</v>
      </c>
      <c r="C814" s="43" t="s">
        <v>993</v>
      </c>
      <c r="D814" s="43">
        <v>2843</v>
      </c>
      <c r="E814" s="43" t="s">
        <v>503</v>
      </c>
      <c r="F814" s="43">
        <v>12</v>
      </c>
      <c r="G814" s="43">
        <v>811</v>
      </c>
    </row>
    <row r="815" spans="1:7" ht="16.5" customHeight="1" x14ac:dyDescent="0.2">
      <c r="A815" s="43" t="s">
        <v>992</v>
      </c>
      <c r="B815" s="43" t="s">
        <v>991</v>
      </c>
      <c r="C815" s="43" t="s">
        <v>990</v>
      </c>
      <c r="D815" s="43">
        <v>2429</v>
      </c>
      <c r="E815" s="43" t="s">
        <v>537</v>
      </c>
      <c r="F815" s="43">
        <v>11</v>
      </c>
      <c r="G815" s="43">
        <v>812</v>
      </c>
    </row>
    <row r="816" spans="1:7" ht="16.5" customHeight="1" x14ac:dyDescent="0.2">
      <c r="A816" s="43" t="s">
        <v>989</v>
      </c>
      <c r="B816" s="43" t="s">
        <v>988</v>
      </c>
      <c r="C816" s="43" t="s">
        <v>987</v>
      </c>
      <c r="D816" s="43">
        <v>2358</v>
      </c>
      <c r="E816" s="43" t="s">
        <v>507</v>
      </c>
      <c r="F816" s="43">
        <v>7</v>
      </c>
      <c r="G816" s="43">
        <v>813</v>
      </c>
    </row>
    <row r="817" spans="1:7" ht="16.5" customHeight="1" x14ac:dyDescent="0.2">
      <c r="A817" s="43" t="s">
        <v>986</v>
      </c>
      <c r="B817" s="43" t="s">
        <v>985</v>
      </c>
      <c r="C817" s="43" t="s">
        <v>984</v>
      </c>
      <c r="D817" s="43">
        <v>2034</v>
      </c>
      <c r="E817" s="43" t="s">
        <v>548</v>
      </c>
      <c r="F817" s="43">
        <v>11</v>
      </c>
      <c r="G817" s="43">
        <v>814</v>
      </c>
    </row>
    <row r="818" spans="1:7" ht="16.5" customHeight="1" x14ac:dyDescent="0.2">
      <c r="A818" s="43" t="s">
        <v>983</v>
      </c>
      <c r="B818" s="43" t="s">
        <v>982</v>
      </c>
      <c r="C818" s="43" t="s">
        <v>981</v>
      </c>
      <c r="D818" s="43">
        <v>2423</v>
      </c>
      <c r="E818" s="43" t="s">
        <v>537</v>
      </c>
      <c r="F818" s="43">
        <v>7</v>
      </c>
      <c r="G818" s="43">
        <v>815</v>
      </c>
    </row>
    <row r="819" spans="1:7" ht="16.5" customHeight="1" x14ac:dyDescent="0.2">
      <c r="A819" s="43" t="s">
        <v>980</v>
      </c>
      <c r="B819" s="43" t="s">
        <v>979</v>
      </c>
      <c r="C819" s="43" t="s">
        <v>978</v>
      </c>
      <c r="D819" s="43">
        <v>2646</v>
      </c>
      <c r="E819" s="43" t="s">
        <v>467</v>
      </c>
      <c r="F819" s="43">
        <v>12</v>
      </c>
      <c r="G819" s="43">
        <v>816</v>
      </c>
    </row>
    <row r="820" spans="1:7" ht="16.5" customHeight="1" x14ac:dyDescent="0.2">
      <c r="A820" s="43" t="s">
        <v>977</v>
      </c>
      <c r="B820" s="43" t="s">
        <v>976</v>
      </c>
      <c r="C820" s="43" t="s">
        <v>814</v>
      </c>
      <c r="D820" s="43">
        <v>2844</v>
      </c>
      <c r="E820" s="43" t="s">
        <v>503</v>
      </c>
      <c r="F820" s="43">
        <v>7</v>
      </c>
      <c r="G820" s="43">
        <v>817</v>
      </c>
    </row>
    <row r="821" spans="1:7" ht="16.5" customHeight="1" x14ac:dyDescent="0.2">
      <c r="A821" s="43" t="s">
        <v>975</v>
      </c>
      <c r="B821" s="43" t="s">
        <v>974</v>
      </c>
      <c r="C821" s="43" t="s">
        <v>973</v>
      </c>
      <c r="D821" s="43">
        <v>2533</v>
      </c>
      <c r="E821" s="43" t="s">
        <v>972</v>
      </c>
      <c r="F821" s="43">
        <v>10</v>
      </c>
      <c r="G821" s="43">
        <v>818</v>
      </c>
    </row>
    <row r="822" spans="1:7" ht="16.5" customHeight="1" x14ac:dyDescent="0.2">
      <c r="A822" s="43" t="s">
        <v>971</v>
      </c>
      <c r="B822" s="43" t="s">
        <v>970</v>
      </c>
      <c r="C822" s="43" t="s">
        <v>969</v>
      </c>
      <c r="D822" s="43">
        <v>2874</v>
      </c>
      <c r="E822" s="43" t="s">
        <v>491</v>
      </c>
      <c r="F822" s="43">
        <v>6</v>
      </c>
      <c r="G822" s="43">
        <v>819</v>
      </c>
    </row>
    <row r="823" spans="1:7" ht="16.5" customHeight="1" x14ac:dyDescent="0.2">
      <c r="A823" s="43" t="s">
        <v>968</v>
      </c>
      <c r="B823" s="43" t="s">
        <v>967</v>
      </c>
      <c r="C823" s="43" t="s">
        <v>966</v>
      </c>
      <c r="D823" s="43">
        <v>2827</v>
      </c>
      <c r="E823" s="43" t="s">
        <v>965</v>
      </c>
      <c r="F823" s="43">
        <v>10</v>
      </c>
      <c r="G823" s="43">
        <v>820</v>
      </c>
    </row>
    <row r="824" spans="1:7" ht="16.5" customHeight="1" x14ac:dyDescent="0.2">
      <c r="A824" s="43" t="s">
        <v>964</v>
      </c>
      <c r="B824" s="43" t="s">
        <v>963</v>
      </c>
      <c r="C824" s="43" t="s">
        <v>962</v>
      </c>
      <c r="D824" s="43">
        <v>2808</v>
      </c>
      <c r="E824" s="43" t="s">
        <v>533</v>
      </c>
      <c r="F824" s="43">
        <v>11</v>
      </c>
      <c r="G824" s="43">
        <v>821</v>
      </c>
    </row>
    <row r="825" spans="1:7" ht="16.5" customHeight="1" x14ac:dyDescent="0.2">
      <c r="A825" s="43" t="s">
        <v>961</v>
      </c>
      <c r="B825" s="43" t="s">
        <v>960</v>
      </c>
      <c r="C825" s="43" t="s">
        <v>959</v>
      </c>
      <c r="D825" s="43">
        <v>2444</v>
      </c>
      <c r="E825" s="43" t="s">
        <v>958</v>
      </c>
      <c r="F825" s="43">
        <v>10</v>
      </c>
      <c r="G825" s="43">
        <v>822</v>
      </c>
    </row>
    <row r="826" spans="1:7" ht="16.5" customHeight="1" x14ac:dyDescent="0.2">
      <c r="A826" s="43" t="s">
        <v>957</v>
      </c>
      <c r="B826" s="43" t="s">
        <v>956</v>
      </c>
      <c r="C826" s="43" t="s">
        <v>955</v>
      </c>
      <c r="D826" s="43">
        <v>2582</v>
      </c>
      <c r="E826" s="43" t="s">
        <v>529</v>
      </c>
      <c r="F826" s="43">
        <v>9</v>
      </c>
      <c r="G826" s="43">
        <v>823</v>
      </c>
    </row>
    <row r="827" spans="1:7" ht="16.5" customHeight="1" x14ac:dyDescent="0.2">
      <c r="A827" s="43" t="s">
        <v>954</v>
      </c>
      <c r="B827" s="43" t="s">
        <v>953</v>
      </c>
      <c r="C827" s="43" t="s">
        <v>952</v>
      </c>
      <c r="D827" s="43">
        <v>2340</v>
      </c>
      <c r="E827" s="43" t="s">
        <v>951</v>
      </c>
      <c r="F827" s="43">
        <v>13</v>
      </c>
      <c r="G827" s="43">
        <v>824</v>
      </c>
    </row>
    <row r="828" spans="1:7" ht="16.5" customHeight="1" x14ac:dyDescent="0.2">
      <c r="A828" s="43" t="s">
        <v>950</v>
      </c>
      <c r="B828" s="43" t="s">
        <v>949</v>
      </c>
      <c r="C828" s="43" t="s">
        <v>948</v>
      </c>
      <c r="D828" s="43">
        <v>2780</v>
      </c>
      <c r="E828" s="43" t="s">
        <v>904</v>
      </c>
      <c r="F828" s="43">
        <v>41</v>
      </c>
      <c r="G828" s="43">
        <v>825</v>
      </c>
    </row>
    <row r="829" spans="1:7" ht="16.5" customHeight="1" x14ac:dyDescent="0.2">
      <c r="A829" s="43" t="s">
        <v>947</v>
      </c>
      <c r="B829" s="43" t="s">
        <v>946</v>
      </c>
      <c r="C829" s="43" t="s">
        <v>945</v>
      </c>
      <c r="D829" s="43">
        <v>2300</v>
      </c>
      <c r="E829" s="43" t="s">
        <v>344</v>
      </c>
      <c r="F829" s="43">
        <v>11</v>
      </c>
      <c r="G829" s="43">
        <v>826</v>
      </c>
    </row>
    <row r="830" spans="1:7" ht="16.5" customHeight="1" x14ac:dyDescent="0.2">
      <c r="A830" s="43" t="s">
        <v>944</v>
      </c>
      <c r="B830" s="43" t="s">
        <v>943</v>
      </c>
      <c r="C830" s="43" t="s">
        <v>942</v>
      </c>
      <c r="D830" s="43">
        <v>2650</v>
      </c>
      <c r="E830" s="43" t="s">
        <v>897</v>
      </c>
      <c r="F830" s="43">
        <v>7</v>
      </c>
      <c r="G830" s="43">
        <v>827</v>
      </c>
    </row>
    <row r="831" spans="1:7" ht="16.5" customHeight="1" x14ac:dyDescent="0.2">
      <c r="A831" s="43" t="s">
        <v>941</v>
      </c>
      <c r="B831" s="43" t="s">
        <v>940</v>
      </c>
      <c r="C831" s="43" t="s">
        <v>939</v>
      </c>
      <c r="D831" s="43">
        <v>2480</v>
      </c>
      <c r="E831" s="43" t="s">
        <v>405</v>
      </c>
      <c r="F831" s="43">
        <v>10</v>
      </c>
      <c r="G831" s="43">
        <v>828</v>
      </c>
    </row>
    <row r="832" spans="1:7" ht="16.5" customHeight="1" x14ac:dyDescent="0.2">
      <c r="A832" s="43" t="s">
        <v>938</v>
      </c>
      <c r="B832" s="43" t="s">
        <v>937</v>
      </c>
      <c r="C832" s="43" t="s">
        <v>936</v>
      </c>
      <c r="D832" s="43">
        <v>2290</v>
      </c>
      <c r="E832" s="43" t="s">
        <v>435</v>
      </c>
      <c r="F832" s="43">
        <v>11</v>
      </c>
      <c r="G832" s="43">
        <v>829</v>
      </c>
    </row>
    <row r="833" spans="1:7" ht="16.5" customHeight="1" x14ac:dyDescent="0.2">
      <c r="A833" s="43" t="s">
        <v>935</v>
      </c>
      <c r="B833" s="43" t="s">
        <v>934</v>
      </c>
      <c r="C833" s="43" t="s">
        <v>933</v>
      </c>
      <c r="D833" s="43">
        <v>2357</v>
      </c>
      <c r="E833" s="43" t="s">
        <v>503</v>
      </c>
      <c r="F833" s="43">
        <v>11</v>
      </c>
      <c r="G833" s="43">
        <v>830</v>
      </c>
    </row>
    <row r="834" spans="1:7" ht="16.5" customHeight="1" x14ac:dyDescent="0.2">
      <c r="A834" s="43" t="s">
        <v>932</v>
      </c>
      <c r="B834" s="43" t="s">
        <v>931</v>
      </c>
      <c r="C834" s="43" t="s">
        <v>930</v>
      </c>
      <c r="D834" s="43">
        <v>2713</v>
      </c>
      <c r="E834" s="43" t="s">
        <v>850</v>
      </c>
      <c r="F834" s="43">
        <v>12</v>
      </c>
      <c r="G834" s="43">
        <v>831</v>
      </c>
    </row>
    <row r="835" spans="1:7" ht="16.5" customHeight="1" x14ac:dyDescent="0.2">
      <c r="A835" s="43" t="s">
        <v>929</v>
      </c>
      <c r="B835" s="43" t="s">
        <v>928</v>
      </c>
      <c r="C835" s="43" t="s">
        <v>927</v>
      </c>
      <c r="D835" s="43">
        <v>2753</v>
      </c>
      <c r="E835" s="43" t="s">
        <v>451</v>
      </c>
      <c r="F835" s="43">
        <v>8</v>
      </c>
      <c r="G835" s="43">
        <v>832</v>
      </c>
    </row>
    <row r="836" spans="1:7" ht="16.5" customHeight="1" x14ac:dyDescent="0.2">
      <c r="A836" s="43" t="s">
        <v>926</v>
      </c>
      <c r="B836" s="43" t="s">
        <v>925</v>
      </c>
      <c r="C836" s="43" t="s">
        <v>924</v>
      </c>
      <c r="D836" s="43">
        <v>2131</v>
      </c>
      <c r="E836" s="43" t="s">
        <v>515</v>
      </c>
      <c r="F836" s="43">
        <v>17</v>
      </c>
      <c r="G836" s="43">
        <v>833</v>
      </c>
    </row>
    <row r="837" spans="1:7" ht="16.5" customHeight="1" x14ac:dyDescent="0.2">
      <c r="A837" s="43" t="s">
        <v>923</v>
      </c>
      <c r="B837" s="43" t="s">
        <v>922</v>
      </c>
      <c r="C837" s="43" t="s">
        <v>921</v>
      </c>
      <c r="D837" s="43">
        <v>2669</v>
      </c>
      <c r="E837" s="43" t="s">
        <v>324</v>
      </c>
      <c r="F837" s="43">
        <v>5</v>
      </c>
      <c r="G837" s="43">
        <v>834</v>
      </c>
    </row>
    <row r="838" spans="1:7" ht="16.5" customHeight="1" x14ac:dyDescent="0.2">
      <c r="A838" s="43" t="s">
        <v>920</v>
      </c>
      <c r="B838" s="43" t="s">
        <v>919</v>
      </c>
      <c r="C838" s="43" t="s">
        <v>918</v>
      </c>
      <c r="D838" s="43">
        <v>2106</v>
      </c>
      <c r="E838" s="43" t="s">
        <v>355</v>
      </c>
      <c r="F838" s="43">
        <v>7</v>
      </c>
      <c r="G838" s="43">
        <v>835</v>
      </c>
    </row>
    <row r="839" spans="1:7" ht="16.5" customHeight="1" x14ac:dyDescent="0.2">
      <c r="A839" s="43" t="s">
        <v>917</v>
      </c>
      <c r="B839" s="43" t="s">
        <v>916</v>
      </c>
      <c r="C839" s="43" t="s">
        <v>915</v>
      </c>
      <c r="D839" s="43">
        <v>2525</v>
      </c>
      <c r="E839" s="43" t="s">
        <v>393</v>
      </c>
      <c r="F839" s="43">
        <v>14</v>
      </c>
      <c r="G839" s="43">
        <v>836</v>
      </c>
    </row>
    <row r="840" spans="1:7" ht="16.5" customHeight="1" x14ac:dyDescent="0.2">
      <c r="A840" s="43" t="s">
        <v>914</v>
      </c>
      <c r="B840" s="43" t="s">
        <v>913</v>
      </c>
      <c r="C840" s="43" t="s">
        <v>912</v>
      </c>
      <c r="D840" s="43">
        <v>2153</v>
      </c>
      <c r="E840" s="43" t="s">
        <v>773</v>
      </c>
      <c r="F840" s="43">
        <v>15</v>
      </c>
      <c r="G840" s="43">
        <v>837</v>
      </c>
    </row>
    <row r="841" spans="1:7" ht="16.5" customHeight="1" x14ac:dyDescent="0.2">
      <c r="A841" s="43" t="s">
        <v>911</v>
      </c>
      <c r="B841" s="43" t="s">
        <v>910</v>
      </c>
      <c r="C841" s="43" t="s">
        <v>909</v>
      </c>
      <c r="D841" s="43">
        <v>2571</v>
      </c>
      <c r="E841" s="43" t="s">
        <v>908</v>
      </c>
      <c r="F841" s="43">
        <v>15</v>
      </c>
      <c r="G841" s="43">
        <v>838</v>
      </c>
    </row>
    <row r="842" spans="1:7" ht="16.5" customHeight="1" x14ac:dyDescent="0.2">
      <c r="A842" s="43" t="s">
        <v>907</v>
      </c>
      <c r="B842" s="43" t="s">
        <v>906</v>
      </c>
      <c r="C842" s="43" t="s">
        <v>905</v>
      </c>
      <c r="D842" s="43">
        <v>2785</v>
      </c>
      <c r="E842" s="43" t="s">
        <v>904</v>
      </c>
      <c r="F842" s="43">
        <v>10</v>
      </c>
      <c r="G842" s="43">
        <v>839</v>
      </c>
    </row>
    <row r="843" spans="1:7" ht="16.5" customHeight="1" x14ac:dyDescent="0.2">
      <c r="A843" s="43" t="s">
        <v>903</v>
      </c>
      <c r="B843" s="43" t="s">
        <v>902</v>
      </c>
      <c r="C843" s="43" t="s">
        <v>901</v>
      </c>
      <c r="D843" s="43">
        <v>2756</v>
      </c>
      <c r="E843" s="43" t="s">
        <v>451</v>
      </c>
      <c r="F843" s="43">
        <v>8</v>
      </c>
      <c r="G843" s="43">
        <v>840</v>
      </c>
    </row>
    <row r="844" spans="1:7" ht="16.5" customHeight="1" x14ac:dyDescent="0.2">
      <c r="A844" s="43" t="s">
        <v>900</v>
      </c>
      <c r="B844" s="43" t="s">
        <v>899</v>
      </c>
      <c r="C844" s="43" t="s">
        <v>898</v>
      </c>
      <c r="D844" s="43">
        <v>2652</v>
      </c>
      <c r="E844" s="43" t="s">
        <v>897</v>
      </c>
      <c r="F844" s="43">
        <v>6</v>
      </c>
      <c r="G844" s="43">
        <v>841</v>
      </c>
    </row>
    <row r="845" spans="1:7" ht="16.5" customHeight="1" x14ac:dyDescent="0.2">
      <c r="A845" s="43" t="s">
        <v>896</v>
      </c>
      <c r="B845" s="43" t="s">
        <v>895</v>
      </c>
      <c r="C845" s="43" t="s">
        <v>894</v>
      </c>
      <c r="D845" s="43">
        <v>2720</v>
      </c>
      <c r="E845" s="43" t="s">
        <v>397</v>
      </c>
      <c r="F845" s="43">
        <v>12</v>
      </c>
      <c r="G845" s="43">
        <v>842</v>
      </c>
    </row>
    <row r="846" spans="1:7" ht="16.5" customHeight="1" x14ac:dyDescent="0.2">
      <c r="A846" s="43" t="s">
        <v>893</v>
      </c>
      <c r="B846" s="43" t="s">
        <v>892</v>
      </c>
      <c r="C846" s="43" t="s">
        <v>891</v>
      </c>
      <c r="D846" s="43">
        <v>2821</v>
      </c>
      <c r="E846" s="43" t="s">
        <v>688</v>
      </c>
      <c r="F846" s="43">
        <v>8</v>
      </c>
      <c r="G846" s="43">
        <v>843</v>
      </c>
    </row>
    <row r="847" spans="1:7" ht="16.5" customHeight="1" x14ac:dyDescent="0.2">
      <c r="A847" s="43" t="s">
        <v>890</v>
      </c>
      <c r="B847" s="43" t="s">
        <v>889</v>
      </c>
      <c r="C847" s="43" t="s">
        <v>888</v>
      </c>
      <c r="D847" s="43">
        <v>2322</v>
      </c>
      <c r="E847" s="43" t="s">
        <v>884</v>
      </c>
      <c r="F847" s="43">
        <v>17</v>
      </c>
      <c r="G847" s="43">
        <v>844</v>
      </c>
    </row>
    <row r="848" spans="1:7" ht="16.5" customHeight="1" x14ac:dyDescent="0.2">
      <c r="A848" s="43" t="s">
        <v>887</v>
      </c>
      <c r="B848" s="43" t="s">
        <v>886</v>
      </c>
      <c r="C848" s="43" t="s">
        <v>885</v>
      </c>
      <c r="D848" s="43">
        <v>2319</v>
      </c>
      <c r="E848" s="43" t="s">
        <v>884</v>
      </c>
      <c r="F848" s="43">
        <v>10</v>
      </c>
      <c r="G848" s="43">
        <v>845</v>
      </c>
    </row>
    <row r="849" spans="1:7" ht="16.5" customHeight="1" x14ac:dyDescent="0.2">
      <c r="A849" s="43" t="s">
        <v>883</v>
      </c>
      <c r="B849" s="43" t="s">
        <v>882</v>
      </c>
      <c r="C849" s="43" t="s">
        <v>881</v>
      </c>
      <c r="D849" s="43">
        <v>2321</v>
      </c>
      <c r="E849" s="43" t="s">
        <v>670</v>
      </c>
      <c r="F849" s="43">
        <v>10</v>
      </c>
      <c r="G849" s="43">
        <v>846</v>
      </c>
    </row>
    <row r="850" spans="1:7" ht="16.5" customHeight="1" x14ac:dyDescent="0.2">
      <c r="A850" s="43" t="s">
        <v>880</v>
      </c>
      <c r="B850" s="43" t="s">
        <v>879</v>
      </c>
      <c r="C850" s="43" t="s">
        <v>878</v>
      </c>
      <c r="D850" s="43">
        <v>2450</v>
      </c>
      <c r="E850" s="43" t="s">
        <v>484</v>
      </c>
      <c r="F850" s="43">
        <v>9</v>
      </c>
      <c r="G850" s="43">
        <v>847</v>
      </c>
    </row>
    <row r="851" spans="1:7" ht="16.5" customHeight="1" x14ac:dyDescent="0.2">
      <c r="A851" s="43" t="s">
        <v>877</v>
      </c>
      <c r="B851" s="43" t="s">
        <v>876</v>
      </c>
      <c r="C851" s="43" t="s">
        <v>875</v>
      </c>
      <c r="D851" s="43">
        <v>2668</v>
      </c>
      <c r="E851" s="43" t="s">
        <v>324</v>
      </c>
      <c r="F851" s="43">
        <v>10</v>
      </c>
      <c r="G851" s="43">
        <v>848</v>
      </c>
    </row>
    <row r="852" spans="1:7" ht="16.5" customHeight="1" x14ac:dyDescent="0.2">
      <c r="A852" s="43" t="s">
        <v>874</v>
      </c>
      <c r="B852" s="43" t="s">
        <v>873</v>
      </c>
      <c r="C852" s="43" t="s">
        <v>872</v>
      </c>
      <c r="D852" s="43">
        <v>2756</v>
      </c>
      <c r="E852" s="43" t="s">
        <v>451</v>
      </c>
      <c r="F852" s="43">
        <v>11</v>
      </c>
      <c r="G852" s="43">
        <v>849</v>
      </c>
    </row>
    <row r="853" spans="1:7" ht="16.5" customHeight="1" x14ac:dyDescent="0.2">
      <c r="A853" s="43" t="s">
        <v>871</v>
      </c>
      <c r="B853" s="43" t="s">
        <v>870</v>
      </c>
      <c r="C853" s="43" t="s">
        <v>869</v>
      </c>
      <c r="D853" s="43">
        <v>2652</v>
      </c>
      <c r="E853" s="43" t="s">
        <v>868</v>
      </c>
      <c r="F853" s="43">
        <v>6</v>
      </c>
      <c r="G853" s="43">
        <v>850</v>
      </c>
    </row>
    <row r="854" spans="1:7" ht="16.5" customHeight="1" x14ac:dyDescent="0.2">
      <c r="A854" s="43" t="s">
        <v>867</v>
      </c>
      <c r="B854" s="43" t="s">
        <v>866</v>
      </c>
      <c r="C854" s="43" t="s">
        <v>865</v>
      </c>
      <c r="D854" s="43">
        <v>2214</v>
      </c>
      <c r="E854" s="43" t="s">
        <v>631</v>
      </c>
      <c r="F854" s="43">
        <v>13</v>
      </c>
      <c r="G854" s="43">
        <v>851</v>
      </c>
    </row>
    <row r="855" spans="1:7" ht="16.5" customHeight="1" x14ac:dyDescent="0.2">
      <c r="A855" s="43" t="s">
        <v>864</v>
      </c>
      <c r="B855" s="43" t="s">
        <v>863</v>
      </c>
      <c r="C855" s="43" t="s">
        <v>862</v>
      </c>
      <c r="D855" s="43">
        <v>2645</v>
      </c>
      <c r="E855" s="43" t="s">
        <v>467</v>
      </c>
      <c r="F855" s="43">
        <v>4</v>
      </c>
      <c r="G855" s="43">
        <v>852</v>
      </c>
    </row>
    <row r="856" spans="1:7" ht="16.5" customHeight="1" x14ac:dyDescent="0.2">
      <c r="A856" s="43" t="s">
        <v>861</v>
      </c>
      <c r="B856" s="43" t="s">
        <v>860</v>
      </c>
      <c r="C856" s="43" t="s">
        <v>859</v>
      </c>
      <c r="D856" s="43">
        <v>2195</v>
      </c>
      <c r="E856" s="43" t="s">
        <v>631</v>
      </c>
      <c r="F856" s="43">
        <v>18</v>
      </c>
      <c r="G856" s="43">
        <v>853</v>
      </c>
    </row>
    <row r="857" spans="1:7" ht="16.5" customHeight="1" x14ac:dyDescent="0.2">
      <c r="A857" s="43" t="s">
        <v>858</v>
      </c>
      <c r="B857" s="43" t="s">
        <v>857</v>
      </c>
      <c r="C857" s="43" t="s">
        <v>413</v>
      </c>
      <c r="D857" s="43">
        <v>2671</v>
      </c>
      <c r="E857" s="43" t="s">
        <v>324</v>
      </c>
      <c r="F857" s="43">
        <v>8</v>
      </c>
      <c r="G857" s="43">
        <v>854</v>
      </c>
    </row>
    <row r="858" spans="1:7" ht="16.5" customHeight="1" x14ac:dyDescent="0.2">
      <c r="A858" s="43" t="s">
        <v>856</v>
      </c>
      <c r="B858" s="43" t="s">
        <v>855</v>
      </c>
      <c r="C858" s="43" t="s">
        <v>854</v>
      </c>
      <c r="D858" s="43">
        <v>2480</v>
      </c>
      <c r="E858" s="43" t="s">
        <v>405</v>
      </c>
      <c r="F858" s="43">
        <v>8</v>
      </c>
      <c r="G858" s="43">
        <v>855</v>
      </c>
    </row>
    <row r="859" spans="1:7" ht="16.5" customHeight="1" x14ac:dyDescent="0.2">
      <c r="A859" s="43" t="s">
        <v>853</v>
      </c>
      <c r="B859" s="43" t="s">
        <v>852</v>
      </c>
      <c r="C859" s="43" t="s">
        <v>851</v>
      </c>
      <c r="D859" s="43">
        <v>2712</v>
      </c>
      <c r="E859" s="43" t="s">
        <v>850</v>
      </c>
      <c r="F859" s="43">
        <v>6</v>
      </c>
      <c r="G859" s="43">
        <v>856</v>
      </c>
    </row>
    <row r="860" spans="1:7" ht="16.5" customHeight="1" x14ac:dyDescent="0.2">
      <c r="A860" s="43" t="s">
        <v>849</v>
      </c>
      <c r="B860" s="43" t="s">
        <v>848</v>
      </c>
      <c r="C860" s="43" t="s">
        <v>847</v>
      </c>
      <c r="D860" s="43">
        <v>2041</v>
      </c>
      <c r="E860" s="43" t="s">
        <v>515</v>
      </c>
      <c r="F860" s="43">
        <v>14</v>
      </c>
      <c r="G860" s="43">
        <v>857</v>
      </c>
    </row>
    <row r="861" spans="1:7" ht="16.5" customHeight="1" x14ac:dyDescent="0.2">
      <c r="A861" s="43" t="s">
        <v>846</v>
      </c>
      <c r="B861" s="43" t="s">
        <v>845</v>
      </c>
      <c r="C861" s="43" t="s">
        <v>844</v>
      </c>
      <c r="D861" s="43">
        <v>2073</v>
      </c>
      <c r="E861" s="43" t="s">
        <v>463</v>
      </c>
      <c r="F861" s="43">
        <v>9</v>
      </c>
      <c r="G861" s="43">
        <v>858</v>
      </c>
    </row>
    <row r="862" spans="1:7" ht="16.5" customHeight="1" x14ac:dyDescent="0.2">
      <c r="A862" s="43" t="s">
        <v>843</v>
      </c>
      <c r="B862" s="43" t="s">
        <v>842</v>
      </c>
      <c r="C862" s="43" t="s">
        <v>841</v>
      </c>
      <c r="D862" s="43">
        <v>2291</v>
      </c>
      <c r="E862" s="43" t="s">
        <v>344</v>
      </c>
      <c r="F862" s="43">
        <v>8</v>
      </c>
      <c r="G862" s="43">
        <v>859</v>
      </c>
    </row>
    <row r="863" spans="1:7" ht="16.5" customHeight="1" x14ac:dyDescent="0.2">
      <c r="A863" s="43" t="s">
        <v>840</v>
      </c>
      <c r="B863" s="43" t="s">
        <v>839</v>
      </c>
      <c r="C863" s="43" t="s">
        <v>838</v>
      </c>
      <c r="D863" s="43">
        <v>2397</v>
      </c>
      <c r="E863" s="43" t="s">
        <v>499</v>
      </c>
      <c r="F863" s="43">
        <v>6</v>
      </c>
      <c r="G863" s="43">
        <v>860</v>
      </c>
    </row>
    <row r="864" spans="1:7" ht="16.5" customHeight="1" x14ac:dyDescent="0.2">
      <c r="A864" s="43" t="s">
        <v>837</v>
      </c>
      <c r="B864" s="43" t="s">
        <v>836</v>
      </c>
      <c r="C864" s="43" t="s">
        <v>835</v>
      </c>
      <c r="D864" s="43">
        <v>2068</v>
      </c>
      <c r="E864" s="43" t="s">
        <v>732</v>
      </c>
      <c r="F864" s="43">
        <v>11</v>
      </c>
      <c r="G864" s="43">
        <v>861</v>
      </c>
    </row>
    <row r="865" spans="1:7" ht="16.5" customHeight="1" x14ac:dyDescent="0.2">
      <c r="A865" s="43" t="s">
        <v>834</v>
      </c>
      <c r="B865" s="43" t="s">
        <v>833</v>
      </c>
      <c r="C865" s="43" t="s">
        <v>832</v>
      </c>
      <c r="D865" s="43">
        <v>2665</v>
      </c>
      <c r="E865" s="43" t="s">
        <v>831</v>
      </c>
      <c r="F865" s="43">
        <v>7</v>
      </c>
      <c r="G865" s="43">
        <v>862</v>
      </c>
    </row>
    <row r="866" spans="1:7" ht="16.5" customHeight="1" x14ac:dyDescent="0.2">
      <c r="A866" s="43" t="s">
        <v>830</v>
      </c>
      <c r="B866" s="43" t="s">
        <v>829</v>
      </c>
      <c r="C866" s="43" t="s">
        <v>828</v>
      </c>
      <c r="D866" s="43">
        <v>2469</v>
      </c>
      <c r="E866" s="43" t="s">
        <v>575</v>
      </c>
      <c r="F866" s="43">
        <v>10</v>
      </c>
      <c r="G866" s="43">
        <v>863</v>
      </c>
    </row>
    <row r="867" spans="1:7" ht="16.5" customHeight="1" x14ac:dyDescent="0.2">
      <c r="A867" s="43" t="s">
        <v>827</v>
      </c>
      <c r="B867" s="43" t="s">
        <v>826</v>
      </c>
      <c r="C867" s="43" t="s">
        <v>825</v>
      </c>
      <c r="D867" s="43">
        <v>2787</v>
      </c>
      <c r="E867" s="43" t="s">
        <v>480</v>
      </c>
      <c r="F867" s="43">
        <v>7</v>
      </c>
      <c r="G867" s="43">
        <v>864</v>
      </c>
    </row>
    <row r="868" spans="1:7" ht="16.5" customHeight="1" x14ac:dyDescent="0.2">
      <c r="A868" s="43" t="s">
        <v>824</v>
      </c>
      <c r="B868" s="43" t="s">
        <v>823</v>
      </c>
      <c r="C868" s="43" t="s">
        <v>822</v>
      </c>
      <c r="D868" s="43">
        <v>2665</v>
      </c>
      <c r="E868" s="43" t="s">
        <v>798</v>
      </c>
      <c r="F868" s="43">
        <v>9</v>
      </c>
      <c r="G868" s="43">
        <v>865</v>
      </c>
    </row>
    <row r="869" spans="1:7" ht="16.5" customHeight="1" x14ac:dyDescent="0.2">
      <c r="A869" s="43" t="s">
        <v>821</v>
      </c>
      <c r="B869" s="43" t="s">
        <v>820</v>
      </c>
      <c r="C869" s="43" t="s">
        <v>492</v>
      </c>
      <c r="D869" s="43">
        <v>2870</v>
      </c>
      <c r="E869" s="43" t="s">
        <v>491</v>
      </c>
      <c r="F869" s="43">
        <v>8</v>
      </c>
      <c r="G869" s="43">
        <v>866</v>
      </c>
    </row>
    <row r="870" spans="1:7" ht="16.5" customHeight="1" x14ac:dyDescent="0.2">
      <c r="A870" s="43" t="s">
        <v>819</v>
      </c>
      <c r="B870" s="43" t="s">
        <v>818</v>
      </c>
      <c r="C870" s="43" t="s">
        <v>817</v>
      </c>
      <c r="D870" s="43">
        <v>2466</v>
      </c>
      <c r="E870" s="43" t="s">
        <v>495</v>
      </c>
      <c r="F870" s="43">
        <v>8</v>
      </c>
      <c r="G870" s="43">
        <v>867</v>
      </c>
    </row>
    <row r="871" spans="1:7" ht="16.5" customHeight="1" x14ac:dyDescent="0.2">
      <c r="A871" s="43" t="s">
        <v>816</v>
      </c>
      <c r="B871" s="43" t="s">
        <v>815</v>
      </c>
      <c r="C871" s="43" t="s">
        <v>814</v>
      </c>
      <c r="D871" s="43">
        <v>2844</v>
      </c>
      <c r="E871" s="43" t="s">
        <v>503</v>
      </c>
      <c r="F871" s="43">
        <v>6</v>
      </c>
      <c r="G871" s="43">
        <v>868</v>
      </c>
    </row>
    <row r="872" spans="1:7" ht="16.5" customHeight="1" x14ac:dyDescent="0.2">
      <c r="A872" s="43" t="s">
        <v>813</v>
      </c>
      <c r="B872" s="43" t="s">
        <v>812</v>
      </c>
      <c r="C872" s="43" t="s">
        <v>504</v>
      </c>
      <c r="D872" s="43">
        <v>2842</v>
      </c>
      <c r="E872" s="43" t="s">
        <v>503</v>
      </c>
      <c r="F872" s="43">
        <v>7</v>
      </c>
      <c r="G872" s="43">
        <v>869</v>
      </c>
    </row>
    <row r="873" spans="1:7" ht="16.5" customHeight="1" x14ac:dyDescent="0.2">
      <c r="A873" s="43" t="s">
        <v>811</v>
      </c>
      <c r="B873" s="43" t="s">
        <v>810</v>
      </c>
      <c r="C873" s="43" t="s">
        <v>809</v>
      </c>
      <c r="D873" s="43">
        <v>2550</v>
      </c>
      <c r="E873" s="43" t="s">
        <v>808</v>
      </c>
      <c r="F873" s="43">
        <v>8</v>
      </c>
      <c r="G873" s="43">
        <v>870</v>
      </c>
    </row>
    <row r="874" spans="1:7" ht="16.5" customHeight="1" x14ac:dyDescent="0.2">
      <c r="A874" s="43" t="s">
        <v>807</v>
      </c>
      <c r="B874" s="43" t="s">
        <v>806</v>
      </c>
      <c r="C874" s="43" t="s">
        <v>805</v>
      </c>
      <c r="D874" s="43">
        <v>2328</v>
      </c>
      <c r="E874" s="43" t="s">
        <v>804</v>
      </c>
      <c r="F874" s="43">
        <v>10</v>
      </c>
      <c r="G874" s="43">
        <v>871</v>
      </c>
    </row>
    <row r="875" spans="1:7" ht="16.5" customHeight="1" x14ac:dyDescent="0.2">
      <c r="A875" s="43" t="s">
        <v>803</v>
      </c>
      <c r="B875" s="43" t="s">
        <v>566</v>
      </c>
      <c r="C875" s="43" t="s">
        <v>802</v>
      </c>
      <c r="D875" s="43">
        <v>2500</v>
      </c>
      <c r="E875" s="43" t="s">
        <v>393</v>
      </c>
      <c r="F875" s="43">
        <v>25</v>
      </c>
      <c r="G875" s="43">
        <v>872</v>
      </c>
    </row>
    <row r="876" spans="1:7" ht="16.5" customHeight="1" x14ac:dyDescent="0.2">
      <c r="A876" s="43" t="s">
        <v>801</v>
      </c>
      <c r="B876" s="43" t="s">
        <v>800</v>
      </c>
      <c r="C876" s="43" t="s">
        <v>799</v>
      </c>
      <c r="D876" s="43">
        <v>2702</v>
      </c>
      <c r="E876" s="43" t="s">
        <v>798</v>
      </c>
      <c r="F876" s="43">
        <v>8</v>
      </c>
      <c r="G876" s="43">
        <v>873</v>
      </c>
    </row>
    <row r="877" spans="1:7" ht="16.5" customHeight="1" x14ac:dyDescent="0.2">
      <c r="A877" s="43" t="s">
        <v>797</v>
      </c>
      <c r="B877" s="43" t="s">
        <v>796</v>
      </c>
      <c r="C877" s="43" t="s">
        <v>795</v>
      </c>
      <c r="D877" s="43">
        <v>2800</v>
      </c>
      <c r="E877" s="43" t="s">
        <v>794</v>
      </c>
      <c r="F877" s="43">
        <v>7</v>
      </c>
      <c r="G877" s="43">
        <v>874</v>
      </c>
    </row>
    <row r="878" spans="1:7" ht="16.5" customHeight="1" x14ac:dyDescent="0.2">
      <c r="A878" s="43" t="s">
        <v>793</v>
      </c>
      <c r="B878" s="43" t="s">
        <v>792</v>
      </c>
      <c r="C878" s="43" t="s">
        <v>791</v>
      </c>
      <c r="D878" s="43">
        <v>2151</v>
      </c>
      <c r="E878" s="43" t="s">
        <v>790</v>
      </c>
      <c r="F878" s="43">
        <v>14</v>
      </c>
      <c r="G878" s="43">
        <v>875</v>
      </c>
    </row>
    <row r="879" spans="1:7" ht="16.5" customHeight="1" x14ac:dyDescent="0.2">
      <c r="A879" s="43" t="s">
        <v>789</v>
      </c>
      <c r="B879" s="43" t="s">
        <v>788</v>
      </c>
      <c r="C879" s="43" t="s">
        <v>787</v>
      </c>
      <c r="D879" s="43">
        <v>2034</v>
      </c>
      <c r="E879" s="43" t="s">
        <v>548</v>
      </c>
      <c r="F879" s="43">
        <v>8</v>
      </c>
      <c r="G879" s="43">
        <v>876</v>
      </c>
    </row>
    <row r="880" spans="1:7" ht="16.5" customHeight="1" x14ac:dyDescent="0.2">
      <c r="A880" s="43" t="s">
        <v>786</v>
      </c>
      <c r="B880" s="43" t="s">
        <v>785</v>
      </c>
      <c r="C880" s="43" t="s">
        <v>784</v>
      </c>
      <c r="D880" s="43">
        <v>2541</v>
      </c>
      <c r="E880" s="43" t="s">
        <v>783</v>
      </c>
      <c r="F880" s="43">
        <v>10</v>
      </c>
      <c r="G880" s="43">
        <v>877</v>
      </c>
    </row>
    <row r="881" spans="1:7" ht="16.5" customHeight="1" x14ac:dyDescent="0.2">
      <c r="A881" s="43" t="s">
        <v>782</v>
      </c>
      <c r="B881" s="43" t="s">
        <v>781</v>
      </c>
      <c r="C881" s="43" t="s">
        <v>780</v>
      </c>
      <c r="D881" s="43">
        <v>2629</v>
      </c>
      <c r="E881" s="43" t="s">
        <v>336</v>
      </c>
      <c r="F881" s="43">
        <v>5</v>
      </c>
      <c r="G881" s="43">
        <v>878</v>
      </c>
    </row>
    <row r="882" spans="1:7" ht="16.5" customHeight="1" x14ac:dyDescent="0.2">
      <c r="A882" s="43" t="s">
        <v>779</v>
      </c>
      <c r="B882" s="43" t="s">
        <v>778</v>
      </c>
      <c r="C882" s="43" t="s">
        <v>777</v>
      </c>
      <c r="D882" s="43">
        <v>2097</v>
      </c>
      <c r="E882" s="43" t="s">
        <v>355</v>
      </c>
      <c r="F882" s="43">
        <v>11</v>
      </c>
      <c r="G882" s="43">
        <v>879</v>
      </c>
    </row>
    <row r="883" spans="1:7" ht="16.5" customHeight="1" x14ac:dyDescent="0.2">
      <c r="A883" s="43" t="s">
        <v>776</v>
      </c>
      <c r="B883" s="43" t="s">
        <v>775</v>
      </c>
      <c r="C883" s="43" t="s">
        <v>774</v>
      </c>
      <c r="D883" s="43">
        <v>2154</v>
      </c>
      <c r="E883" s="43" t="s">
        <v>773</v>
      </c>
      <c r="F883" s="43">
        <v>14</v>
      </c>
      <c r="G883" s="43">
        <v>880</v>
      </c>
    </row>
    <row r="884" spans="1:7" ht="16.5" customHeight="1" x14ac:dyDescent="0.2">
      <c r="A884" s="43" t="s">
        <v>772</v>
      </c>
      <c r="B884" s="43" t="s">
        <v>771</v>
      </c>
      <c r="C884" s="43" t="s">
        <v>770</v>
      </c>
      <c r="D884" s="43">
        <v>2717</v>
      </c>
      <c r="E884" s="43" t="s">
        <v>769</v>
      </c>
      <c r="F884" s="43">
        <v>8</v>
      </c>
      <c r="G884" s="43">
        <v>881</v>
      </c>
    </row>
    <row r="885" spans="1:7" ht="16.5" customHeight="1" x14ac:dyDescent="0.2">
      <c r="A885" s="43" t="s">
        <v>768</v>
      </c>
      <c r="B885" s="43" t="s">
        <v>767</v>
      </c>
      <c r="C885" s="43" t="s">
        <v>766</v>
      </c>
      <c r="D885" s="43">
        <v>2024</v>
      </c>
      <c r="E885" s="43" t="s">
        <v>765</v>
      </c>
      <c r="F885" s="43">
        <v>5</v>
      </c>
      <c r="G885" s="43">
        <v>882</v>
      </c>
    </row>
    <row r="886" spans="1:7" ht="16.5" customHeight="1" x14ac:dyDescent="0.2">
      <c r="A886" s="43" t="s">
        <v>764</v>
      </c>
      <c r="B886" s="43" t="s">
        <v>763</v>
      </c>
      <c r="C886" s="43" t="s">
        <v>406</v>
      </c>
      <c r="D886" s="43">
        <v>2480</v>
      </c>
      <c r="E886" s="43" t="s">
        <v>405</v>
      </c>
      <c r="F886" s="43">
        <v>8</v>
      </c>
      <c r="G886" s="43">
        <v>883</v>
      </c>
    </row>
    <row r="887" spans="1:7" ht="16.5" customHeight="1" x14ac:dyDescent="0.2">
      <c r="A887" s="43" t="s">
        <v>762</v>
      </c>
      <c r="B887" s="43" t="s">
        <v>761</v>
      </c>
      <c r="C887" s="43" t="s">
        <v>460</v>
      </c>
      <c r="D887" s="43">
        <v>2847</v>
      </c>
      <c r="E887" s="43" t="s">
        <v>459</v>
      </c>
      <c r="F887" s="43">
        <v>6</v>
      </c>
      <c r="G887" s="43">
        <v>884</v>
      </c>
    </row>
    <row r="888" spans="1:7" ht="16.5" customHeight="1" x14ac:dyDescent="0.2">
      <c r="A888" s="43" t="s">
        <v>760</v>
      </c>
      <c r="B888" s="43" t="s">
        <v>759</v>
      </c>
      <c r="C888" s="43" t="s">
        <v>758</v>
      </c>
      <c r="D888" s="43">
        <v>2869</v>
      </c>
      <c r="E888" s="43" t="s">
        <v>491</v>
      </c>
      <c r="F888" s="43">
        <v>6</v>
      </c>
      <c r="G888" s="43">
        <v>885</v>
      </c>
    </row>
    <row r="889" spans="1:7" ht="16.5" customHeight="1" x14ac:dyDescent="0.2">
      <c r="A889" s="43" t="s">
        <v>757</v>
      </c>
      <c r="B889" s="43" t="s">
        <v>756</v>
      </c>
      <c r="C889" s="43" t="s">
        <v>755</v>
      </c>
      <c r="D889" s="43">
        <v>2329</v>
      </c>
      <c r="E889" s="43" t="s">
        <v>680</v>
      </c>
      <c r="F889" s="43">
        <v>5</v>
      </c>
      <c r="G889" s="43">
        <v>886</v>
      </c>
    </row>
    <row r="890" spans="1:7" ht="16.5" customHeight="1" x14ac:dyDescent="0.2">
      <c r="A890" s="43" t="s">
        <v>754</v>
      </c>
      <c r="B890" s="43" t="s">
        <v>753</v>
      </c>
      <c r="C890" s="43" t="s">
        <v>752</v>
      </c>
      <c r="D890" s="43">
        <v>2623</v>
      </c>
      <c r="E890" s="43" t="s">
        <v>751</v>
      </c>
      <c r="F890" s="43">
        <v>6</v>
      </c>
      <c r="G890" s="43">
        <v>887</v>
      </c>
    </row>
    <row r="891" spans="1:7" ht="16.5" customHeight="1" x14ac:dyDescent="0.2">
      <c r="A891" s="43" t="s">
        <v>750</v>
      </c>
      <c r="B891" s="43" t="s">
        <v>749</v>
      </c>
      <c r="C891" s="43" t="s">
        <v>748</v>
      </c>
      <c r="D891" s="43">
        <v>2404</v>
      </c>
      <c r="E891" s="43" t="s">
        <v>340</v>
      </c>
      <c r="F891" s="43">
        <v>5</v>
      </c>
      <c r="G891" s="43">
        <v>888</v>
      </c>
    </row>
    <row r="892" spans="1:7" ht="16.5" customHeight="1" x14ac:dyDescent="0.2">
      <c r="A892" s="43" t="s">
        <v>747</v>
      </c>
      <c r="B892" s="43" t="s">
        <v>746</v>
      </c>
      <c r="C892" s="43" t="s">
        <v>745</v>
      </c>
      <c r="D892" s="43">
        <v>2425</v>
      </c>
      <c r="E892" s="43" t="s">
        <v>537</v>
      </c>
      <c r="F892" s="43">
        <v>8</v>
      </c>
      <c r="G892" s="43">
        <v>889</v>
      </c>
    </row>
    <row r="893" spans="1:7" ht="16.5" customHeight="1" x14ac:dyDescent="0.2">
      <c r="A893" s="43" t="s">
        <v>744</v>
      </c>
      <c r="B893" s="43" t="s">
        <v>743</v>
      </c>
      <c r="C893" s="43" t="s">
        <v>742</v>
      </c>
      <c r="D893" s="43">
        <v>2440</v>
      </c>
      <c r="E893" s="43" t="s">
        <v>455</v>
      </c>
      <c r="F893" s="43">
        <v>6</v>
      </c>
      <c r="G893" s="43">
        <v>890</v>
      </c>
    </row>
    <row r="894" spans="1:7" ht="16.5" customHeight="1" x14ac:dyDescent="0.2">
      <c r="A894" s="43" t="s">
        <v>741</v>
      </c>
      <c r="B894" s="43" t="s">
        <v>740</v>
      </c>
      <c r="C894" s="43" t="s">
        <v>739</v>
      </c>
      <c r="D894" s="43">
        <v>2018</v>
      </c>
      <c r="E894" s="43" t="s">
        <v>618</v>
      </c>
      <c r="F894" s="43">
        <v>6</v>
      </c>
      <c r="G894" s="43">
        <v>891</v>
      </c>
    </row>
    <row r="895" spans="1:7" ht="16.5" customHeight="1" x14ac:dyDescent="0.2">
      <c r="A895" s="43" t="s">
        <v>738</v>
      </c>
      <c r="B895" s="43" t="s">
        <v>737</v>
      </c>
      <c r="C895" s="43" t="s">
        <v>736</v>
      </c>
      <c r="D895" s="43">
        <v>2732</v>
      </c>
      <c r="E895" s="43" t="s">
        <v>561</v>
      </c>
      <c r="F895" s="43">
        <v>8</v>
      </c>
      <c r="G895" s="43">
        <v>892</v>
      </c>
    </row>
    <row r="896" spans="1:7" ht="16.5" customHeight="1" x14ac:dyDescent="0.2">
      <c r="A896" s="43" t="s">
        <v>735</v>
      </c>
      <c r="B896" s="43" t="s">
        <v>734</v>
      </c>
      <c r="C896" s="43" t="s">
        <v>733</v>
      </c>
      <c r="D896" s="43">
        <v>2067</v>
      </c>
      <c r="E896" s="43" t="s">
        <v>732</v>
      </c>
      <c r="F896" s="43">
        <v>24</v>
      </c>
      <c r="G896" s="43">
        <v>893</v>
      </c>
    </row>
    <row r="897" spans="1:7" ht="16.5" customHeight="1" x14ac:dyDescent="0.2">
      <c r="A897" s="43" t="s">
        <v>731</v>
      </c>
      <c r="B897" s="43" t="s">
        <v>730</v>
      </c>
      <c r="C897" s="43" t="s">
        <v>729</v>
      </c>
      <c r="D897" s="43">
        <v>2066</v>
      </c>
      <c r="E897" s="43" t="s">
        <v>728</v>
      </c>
      <c r="F897" s="43">
        <v>7</v>
      </c>
      <c r="G897" s="43">
        <v>894</v>
      </c>
    </row>
    <row r="898" spans="1:7" ht="16.5" customHeight="1" x14ac:dyDescent="0.2">
      <c r="A898" s="43" t="s">
        <v>727</v>
      </c>
      <c r="B898" s="43" t="s">
        <v>726</v>
      </c>
      <c r="C898" s="43" t="s">
        <v>725</v>
      </c>
      <c r="D898" s="43">
        <v>2079</v>
      </c>
      <c r="E898" s="43" t="s">
        <v>695</v>
      </c>
      <c r="F898" s="43">
        <v>10</v>
      </c>
      <c r="G898" s="43">
        <v>895</v>
      </c>
    </row>
    <row r="899" spans="1:7" ht="16.5" customHeight="1" x14ac:dyDescent="0.2">
      <c r="A899" s="43" t="s">
        <v>724</v>
      </c>
      <c r="B899" s="43" t="s">
        <v>723</v>
      </c>
      <c r="C899" s="43" t="s">
        <v>722</v>
      </c>
      <c r="D899" s="43">
        <v>2680</v>
      </c>
      <c r="E899" s="43" t="s">
        <v>332</v>
      </c>
      <c r="F899" s="43">
        <v>7</v>
      </c>
      <c r="G899" s="43">
        <v>896</v>
      </c>
    </row>
    <row r="900" spans="1:7" ht="16.5" customHeight="1" x14ac:dyDescent="0.2">
      <c r="A900" s="43" t="s">
        <v>721</v>
      </c>
      <c r="B900" s="43" t="s">
        <v>720</v>
      </c>
      <c r="C900" s="43" t="s">
        <v>719</v>
      </c>
      <c r="D900" s="43">
        <v>2103</v>
      </c>
      <c r="E900" s="43" t="s">
        <v>355</v>
      </c>
      <c r="F900" s="43">
        <v>8</v>
      </c>
      <c r="G900" s="43">
        <v>897</v>
      </c>
    </row>
    <row r="901" spans="1:7" ht="16.5" customHeight="1" x14ac:dyDescent="0.2">
      <c r="A901" s="43" t="s">
        <v>718</v>
      </c>
      <c r="B901" s="43" t="s">
        <v>717</v>
      </c>
      <c r="C901" s="43" t="s">
        <v>716</v>
      </c>
      <c r="D901" s="43">
        <v>2656</v>
      </c>
      <c r="E901" s="43" t="s">
        <v>431</v>
      </c>
      <c r="F901" s="43">
        <v>10</v>
      </c>
      <c r="G901" s="43">
        <v>898</v>
      </c>
    </row>
    <row r="902" spans="1:7" ht="16.5" customHeight="1" x14ac:dyDescent="0.2">
      <c r="A902" s="43" t="s">
        <v>715</v>
      </c>
      <c r="B902" s="43" t="s">
        <v>714</v>
      </c>
      <c r="C902" s="43" t="s">
        <v>713</v>
      </c>
      <c r="D902" s="43">
        <v>2060</v>
      </c>
      <c r="E902" s="43" t="s">
        <v>712</v>
      </c>
      <c r="F902" s="43">
        <v>16</v>
      </c>
      <c r="G902" s="43">
        <v>899</v>
      </c>
    </row>
    <row r="903" spans="1:7" ht="16.5" customHeight="1" x14ac:dyDescent="0.2">
      <c r="A903" s="43" t="s">
        <v>711</v>
      </c>
      <c r="B903" s="43" t="s">
        <v>710</v>
      </c>
      <c r="C903" s="43" t="s">
        <v>709</v>
      </c>
      <c r="D903" s="43">
        <v>2350</v>
      </c>
      <c r="E903" s="43" t="s">
        <v>708</v>
      </c>
      <c r="F903" s="43">
        <v>7</v>
      </c>
      <c r="G903" s="43">
        <v>900</v>
      </c>
    </row>
    <row r="904" spans="1:7" ht="16.5" customHeight="1" x14ac:dyDescent="0.2">
      <c r="A904" s="43" t="s">
        <v>707</v>
      </c>
      <c r="B904" s="43" t="s">
        <v>706</v>
      </c>
      <c r="C904" s="43" t="s">
        <v>705</v>
      </c>
      <c r="D904" s="43">
        <v>2036</v>
      </c>
      <c r="E904" s="43" t="s">
        <v>548</v>
      </c>
      <c r="F904" s="43">
        <v>8</v>
      </c>
      <c r="G904" s="43">
        <v>901</v>
      </c>
    </row>
    <row r="905" spans="1:7" ht="16.5" customHeight="1" x14ac:dyDescent="0.2">
      <c r="A905" s="43" t="s">
        <v>704</v>
      </c>
      <c r="B905" s="43" t="s">
        <v>703</v>
      </c>
      <c r="C905" s="43" t="s">
        <v>702</v>
      </c>
      <c r="D905" s="43">
        <v>2680</v>
      </c>
      <c r="E905" s="43" t="s">
        <v>332</v>
      </c>
      <c r="F905" s="43">
        <v>9</v>
      </c>
      <c r="G905" s="43">
        <v>902</v>
      </c>
    </row>
    <row r="906" spans="1:7" ht="16.5" customHeight="1" x14ac:dyDescent="0.2">
      <c r="A906" s="43" t="s">
        <v>701</v>
      </c>
      <c r="B906" s="43" t="s">
        <v>700</v>
      </c>
      <c r="C906" s="43" t="s">
        <v>699</v>
      </c>
      <c r="D906" s="43">
        <v>2515</v>
      </c>
      <c r="E906" s="43" t="s">
        <v>393</v>
      </c>
      <c r="F906" s="43">
        <v>7</v>
      </c>
      <c r="G906" s="43">
        <v>903</v>
      </c>
    </row>
    <row r="907" spans="1:7" ht="16.5" customHeight="1" x14ac:dyDescent="0.2">
      <c r="A907" s="43" t="s">
        <v>698</v>
      </c>
      <c r="B907" s="43" t="s">
        <v>697</v>
      </c>
      <c r="C907" s="43" t="s">
        <v>696</v>
      </c>
      <c r="D907" s="43">
        <v>2121</v>
      </c>
      <c r="E907" s="43" t="s">
        <v>695</v>
      </c>
      <c r="F907" s="43">
        <v>7</v>
      </c>
      <c r="G907" s="43">
        <v>904</v>
      </c>
    </row>
    <row r="908" spans="1:7" ht="16.5" customHeight="1" x14ac:dyDescent="0.2">
      <c r="A908" s="43" t="s">
        <v>694</v>
      </c>
      <c r="B908" s="43" t="s">
        <v>693</v>
      </c>
      <c r="C908" s="43" t="s">
        <v>692</v>
      </c>
      <c r="D908" s="43">
        <v>2479</v>
      </c>
      <c r="E908" s="43" t="s">
        <v>359</v>
      </c>
      <c r="F908" s="43">
        <v>4</v>
      </c>
      <c r="G908" s="43">
        <v>905</v>
      </c>
    </row>
    <row r="909" spans="1:7" ht="16.5" customHeight="1" x14ac:dyDescent="0.2">
      <c r="A909" s="43" t="s">
        <v>691</v>
      </c>
      <c r="B909" s="43" t="s">
        <v>690</v>
      </c>
      <c r="C909" s="43" t="s">
        <v>689</v>
      </c>
      <c r="D909" s="43">
        <v>2823</v>
      </c>
      <c r="E909" s="43" t="s">
        <v>688</v>
      </c>
      <c r="F909" s="43">
        <v>5</v>
      </c>
      <c r="G909" s="43">
        <v>906</v>
      </c>
    </row>
    <row r="910" spans="1:7" ht="16.5" customHeight="1" x14ac:dyDescent="0.2">
      <c r="A910" s="43" t="s">
        <v>687</v>
      </c>
      <c r="B910" s="43" t="s">
        <v>686</v>
      </c>
      <c r="C910" s="43" t="s">
        <v>685</v>
      </c>
      <c r="D910" s="43">
        <v>2710</v>
      </c>
      <c r="E910" s="43" t="s">
        <v>684</v>
      </c>
      <c r="F910" s="43">
        <v>14</v>
      </c>
      <c r="G910" s="43">
        <v>907</v>
      </c>
    </row>
    <row r="911" spans="1:7" ht="16.5" customHeight="1" x14ac:dyDescent="0.2">
      <c r="A911" s="43" t="s">
        <v>683</v>
      </c>
      <c r="B911" s="43" t="s">
        <v>682</v>
      </c>
      <c r="C911" s="43" t="s">
        <v>681</v>
      </c>
      <c r="D911" s="43">
        <v>2337</v>
      </c>
      <c r="E911" s="43" t="s">
        <v>680</v>
      </c>
      <c r="F911" s="43">
        <v>4</v>
      </c>
      <c r="G911" s="43">
        <v>908</v>
      </c>
    </row>
    <row r="912" spans="1:7" ht="16.5" customHeight="1" x14ac:dyDescent="0.2">
      <c r="A912" s="43" t="s">
        <v>679</v>
      </c>
      <c r="B912" s="43" t="s">
        <v>678</v>
      </c>
      <c r="C912" s="43" t="s">
        <v>677</v>
      </c>
      <c r="D912" s="43">
        <v>2284</v>
      </c>
      <c r="E912" s="43" t="s">
        <v>435</v>
      </c>
      <c r="F912" s="43">
        <v>7</v>
      </c>
      <c r="G912" s="43">
        <v>909</v>
      </c>
    </row>
    <row r="913" spans="1:7" ht="16.5" customHeight="1" x14ac:dyDescent="0.2">
      <c r="A913" s="43" t="s">
        <v>676</v>
      </c>
      <c r="B913" s="43" t="s">
        <v>675</v>
      </c>
      <c r="C913" s="43" t="s">
        <v>674</v>
      </c>
      <c r="D913" s="43">
        <v>2283</v>
      </c>
      <c r="E913" s="43" t="s">
        <v>435</v>
      </c>
      <c r="F913" s="43">
        <v>5</v>
      </c>
      <c r="G913" s="43">
        <v>910</v>
      </c>
    </row>
    <row r="914" spans="1:7" ht="16.5" customHeight="1" x14ac:dyDescent="0.2">
      <c r="A914" s="43" t="s">
        <v>673</v>
      </c>
      <c r="B914" s="43" t="s">
        <v>672</v>
      </c>
      <c r="C914" s="43" t="s">
        <v>671</v>
      </c>
      <c r="D914" s="43">
        <v>2325</v>
      </c>
      <c r="E914" s="43" t="s">
        <v>670</v>
      </c>
      <c r="F914" s="43">
        <v>10</v>
      </c>
      <c r="G914" s="43">
        <v>911</v>
      </c>
    </row>
    <row r="915" spans="1:7" ht="16.5" customHeight="1" x14ac:dyDescent="0.2">
      <c r="A915" s="43" t="s">
        <v>669</v>
      </c>
      <c r="B915" s="43" t="s">
        <v>668</v>
      </c>
      <c r="C915" s="43" t="s">
        <v>667</v>
      </c>
      <c r="D915" s="43">
        <v>2114</v>
      </c>
      <c r="E915" s="43" t="s">
        <v>666</v>
      </c>
      <c r="F915" s="43">
        <v>9</v>
      </c>
      <c r="G915" s="43">
        <v>912</v>
      </c>
    </row>
    <row r="916" spans="1:7" ht="16.5" customHeight="1" x14ac:dyDescent="0.2">
      <c r="A916" s="43" t="s">
        <v>665</v>
      </c>
      <c r="B916" s="43" t="s">
        <v>664</v>
      </c>
      <c r="C916" s="43" t="s">
        <v>516</v>
      </c>
      <c r="D916" s="43">
        <v>2204</v>
      </c>
      <c r="E916" s="43" t="s">
        <v>515</v>
      </c>
      <c r="F916" s="43">
        <v>6</v>
      </c>
      <c r="G916" s="43">
        <v>913</v>
      </c>
    </row>
    <row r="917" spans="1:7" ht="16.5" customHeight="1" x14ac:dyDescent="0.2">
      <c r="A917" s="43" t="s">
        <v>663</v>
      </c>
      <c r="B917" s="43" t="s">
        <v>662</v>
      </c>
      <c r="C917" s="43" t="s">
        <v>661</v>
      </c>
      <c r="D917" s="43">
        <v>2818</v>
      </c>
      <c r="E917" s="43" t="s">
        <v>420</v>
      </c>
      <c r="F917" s="43">
        <v>8</v>
      </c>
      <c r="G917" s="43">
        <v>914</v>
      </c>
    </row>
    <row r="918" spans="1:7" ht="16.5" customHeight="1" x14ac:dyDescent="0.2">
      <c r="A918" s="43" t="s">
        <v>660</v>
      </c>
      <c r="B918" s="43" t="s">
        <v>659</v>
      </c>
      <c r="C918" s="43" t="s">
        <v>394</v>
      </c>
      <c r="D918" s="43">
        <v>2526</v>
      </c>
      <c r="E918" s="43" t="s">
        <v>393</v>
      </c>
      <c r="F918" s="43">
        <v>5</v>
      </c>
      <c r="G918" s="43">
        <v>915</v>
      </c>
    </row>
    <row r="919" spans="1:7" ht="16.5" customHeight="1" x14ac:dyDescent="0.2">
      <c r="A919" s="43" t="s">
        <v>658</v>
      </c>
      <c r="B919" s="43" t="s">
        <v>657</v>
      </c>
      <c r="C919" s="43" t="s">
        <v>492</v>
      </c>
      <c r="D919" s="43">
        <v>2870</v>
      </c>
      <c r="E919" s="43" t="s">
        <v>491</v>
      </c>
      <c r="F919" s="43">
        <v>4</v>
      </c>
      <c r="G919" s="43">
        <v>916</v>
      </c>
    </row>
    <row r="920" spans="1:7" ht="16.5" customHeight="1" x14ac:dyDescent="0.2">
      <c r="A920" s="43" t="s">
        <v>656</v>
      </c>
      <c r="B920" s="43" t="s">
        <v>655</v>
      </c>
      <c r="C920" s="43" t="s">
        <v>654</v>
      </c>
      <c r="D920" s="43">
        <v>2594</v>
      </c>
      <c r="E920" s="43" t="s">
        <v>653</v>
      </c>
      <c r="F920" s="43">
        <v>3</v>
      </c>
      <c r="G920" s="43">
        <v>917</v>
      </c>
    </row>
    <row r="921" spans="1:7" ht="16.5" customHeight="1" x14ac:dyDescent="0.2">
      <c r="A921" s="43" t="s">
        <v>652</v>
      </c>
      <c r="B921" s="43" t="s">
        <v>651</v>
      </c>
      <c r="C921" s="43" t="s">
        <v>650</v>
      </c>
      <c r="D921" s="43">
        <v>2369</v>
      </c>
      <c r="E921" s="43" t="s">
        <v>351</v>
      </c>
      <c r="F921" s="43">
        <v>6</v>
      </c>
      <c r="G921" s="43">
        <v>918</v>
      </c>
    </row>
    <row r="922" spans="1:7" ht="16.5" customHeight="1" x14ac:dyDescent="0.2">
      <c r="A922" s="43" t="s">
        <v>649</v>
      </c>
      <c r="B922" s="43" t="s">
        <v>648</v>
      </c>
      <c r="C922" s="43" t="s">
        <v>647</v>
      </c>
      <c r="D922" s="43">
        <v>2795</v>
      </c>
      <c r="E922" s="43" t="s">
        <v>646</v>
      </c>
      <c r="F922" s="43">
        <v>11</v>
      </c>
      <c r="G922" s="43">
        <v>919</v>
      </c>
    </row>
    <row r="923" spans="1:7" ht="16.5" customHeight="1" x14ac:dyDescent="0.2">
      <c r="A923" s="43" t="s">
        <v>645</v>
      </c>
      <c r="B923" s="43" t="s">
        <v>644</v>
      </c>
      <c r="C923" s="43" t="s">
        <v>643</v>
      </c>
      <c r="D923" s="43">
        <v>2659</v>
      </c>
      <c r="E923" s="43" t="s">
        <v>642</v>
      </c>
      <c r="F923" s="43">
        <v>10</v>
      </c>
      <c r="G923" s="43">
        <v>920</v>
      </c>
    </row>
    <row r="924" spans="1:7" ht="16.5" customHeight="1" x14ac:dyDescent="0.2">
      <c r="A924" s="43" t="s">
        <v>641</v>
      </c>
      <c r="B924" s="43" t="s">
        <v>640</v>
      </c>
      <c r="C924" s="43" t="s">
        <v>639</v>
      </c>
      <c r="D924" s="43">
        <v>2075</v>
      </c>
      <c r="E924" s="43" t="s">
        <v>463</v>
      </c>
      <c r="F924" s="43">
        <v>10</v>
      </c>
      <c r="G924" s="43">
        <v>921</v>
      </c>
    </row>
    <row r="925" spans="1:7" ht="16.5" customHeight="1" x14ac:dyDescent="0.2">
      <c r="A925" s="43" t="s">
        <v>638</v>
      </c>
      <c r="B925" s="43" t="s">
        <v>637</v>
      </c>
      <c r="C925" s="43" t="s">
        <v>636</v>
      </c>
      <c r="D925" s="43">
        <v>2449</v>
      </c>
      <c r="E925" s="43" t="s">
        <v>635</v>
      </c>
      <c r="F925" s="43">
        <v>6</v>
      </c>
      <c r="G925" s="43">
        <v>922</v>
      </c>
    </row>
    <row r="926" spans="1:7" ht="16.5" customHeight="1" x14ac:dyDescent="0.2">
      <c r="A926" s="43" t="s">
        <v>634</v>
      </c>
      <c r="B926" s="43" t="s">
        <v>633</v>
      </c>
      <c r="C926" s="43" t="s">
        <v>632</v>
      </c>
      <c r="D926" s="43">
        <v>2200</v>
      </c>
      <c r="E926" s="43" t="s">
        <v>631</v>
      </c>
      <c r="F926" s="43">
        <v>10</v>
      </c>
      <c r="G926" s="43">
        <v>923</v>
      </c>
    </row>
    <row r="927" spans="1:7" ht="16.5" customHeight="1" x14ac:dyDescent="0.2">
      <c r="A927" s="43" t="s">
        <v>630</v>
      </c>
      <c r="B927" s="43" t="s">
        <v>629</v>
      </c>
      <c r="C927" s="43" t="s">
        <v>488</v>
      </c>
      <c r="D927" s="43">
        <v>2865</v>
      </c>
      <c r="E927" s="43" t="s">
        <v>381</v>
      </c>
      <c r="F927" s="43">
        <v>4</v>
      </c>
      <c r="G927" s="43">
        <v>924</v>
      </c>
    </row>
    <row r="928" spans="1:7" ht="16.5" customHeight="1" x14ac:dyDescent="0.2">
      <c r="A928" s="43" t="s">
        <v>628</v>
      </c>
      <c r="B928" s="43" t="s">
        <v>627</v>
      </c>
      <c r="C928" s="43" t="s">
        <v>626</v>
      </c>
      <c r="D928" s="43">
        <v>2798</v>
      </c>
      <c r="E928" s="43" t="s">
        <v>439</v>
      </c>
      <c r="F928" s="43">
        <v>3</v>
      </c>
      <c r="G928" s="43">
        <v>925</v>
      </c>
    </row>
    <row r="929" spans="1:7" ht="16.5" customHeight="1" x14ac:dyDescent="0.2">
      <c r="A929" s="43" t="s">
        <v>625</v>
      </c>
      <c r="B929" s="43" t="s">
        <v>624</v>
      </c>
      <c r="C929" s="43" t="s">
        <v>623</v>
      </c>
      <c r="D929" s="43">
        <v>2700</v>
      </c>
      <c r="E929" s="43" t="s">
        <v>622</v>
      </c>
      <c r="F929" s="43">
        <v>6</v>
      </c>
      <c r="G929" s="43">
        <v>926</v>
      </c>
    </row>
    <row r="930" spans="1:7" ht="16.5" customHeight="1" x14ac:dyDescent="0.2">
      <c r="A930" s="43" t="s">
        <v>621</v>
      </c>
      <c r="B930" s="43" t="s">
        <v>620</v>
      </c>
      <c r="C930" s="43" t="s">
        <v>619</v>
      </c>
      <c r="D930" s="43">
        <v>2207</v>
      </c>
      <c r="E930" s="43" t="s">
        <v>618</v>
      </c>
      <c r="F930" s="43">
        <v>10</v>
      </c>
      <c r="G930" s="43">
        <v>927</v>
      </c>
    </row>
    <row r="931" spans="1:7" ht="16.5" customHeight="1" x14ac:dyDescent="0.2">
      <c r="A931" s="43" t="s">
        <v>617</v>
      </c>
      <c r="B931" s="43" t="s">
        <v>616</v>
      </c>
      <c r="C931" s="43" t="s">
        <v>615</v>
      </c>
      <c r="D931" s="43">
        <v>2793</v>
      </c>
      <c r="E931" s="43" t="s">
        <v>533</v>
      </c>
      <c r="F931" s="43">
        <v>3</v>
      </c>
      <c r="G931" s="43">
        <v>928</v>
      </c>
    </row>
    <row r="932" spans="1:7" ht="16.5" customHeight="1" x14ac:dyDescent="0.2">
      <c r="A932" s="43" t="s">
        <v>614</v>
      </c>
      <c r="B932" s="43" t="s">
        <v>613</v>
      </c>
      <c r="C932" s="43" t="s">
        <v>612</v>
      </c>
      <c r="D932" s="43">
        <v>2725</v>
      </c>
      <c r="E932" s="43" t="s">
        <v>611</v>
      </c>
      <c r="F932" s="43">
        <v>5</v>
      </c>
      <c r="G932" s="43">
        <v>929</v>
      </c>
    </row>
    <row r="933" spans="1:7" ht="16.5" customHeight="1" x14ac:dyDescent="0.2">
      <c r="A933" s="43" t="s">
        <v>610</v>
      </c>
      <c r="B933" s="43" t="s">
        <v>609</v>
      </c>
      <c r="C933" s="43" t="s">
        <v>608</v>
      </c>
      <c r="D933" s="43">
        <v>2474</v>
      </c>
      <c r="E933" s="43" t="s">
        <v>575</v>
      </c>
      <c r="F933" s="43">
        <v>6</v>
      </c>
      <c r="G933" s="43">
        <v>930</v>
      </c>
    </row>
    <row r="934" spans="1:7" ht="16.5" customHeight="1" x14ac:dyDescent="0.2">
      <c r="A934" s="43" t="s">
        <v>607</v>
      </c>
      <c r="B934" s="43" t="s">
        <v>606</v>
      </c>
      <c r="C934" s="43" t="s">
        <v>605</v>
      </c>
      <c r="D934" s="43">
        <v>2072</v>
      </c>
      <c r="E934" s="43" t="s">
        <v>463</v>
      </c>
      <c r="F934" s="43">
        <v>6</v>
      </c>
      <c r="G934" s="43">
        <v>931</v>
      </c>
    </row>
    <row r="935" spans="1:7" ht="16.5" customHeight="1" x14ac:dyDescent="0.2">
      <c r="A935" s="43" t="s">
        <v>604</v>
      </c>
      <c r="B935" s="43" t="s">
        <v>603</v>
      </c>
      <c r="C935" s="43" t="s">
        <v>602</v>
      </c>
      <c r="D935" s="43">
        <v>2880</v>
      </c>
      <c r="E935" s="43" t="s">
        <v>601</v>
      </c>
      <c r="F935" s="43">
        <v>6</v>
      </c>
      <c r="G935" s="43">
        <v>932</v>
      </c>
    </row>
    <row r="936" spans="1:7" ht="16.5" customHeight="1" x14ac:dyDescent="0.2">
      <c r="A936" s="43" t="s">
        <v>600</v>
      </c>
      <c r="B936" s="43" t="s">
        <v>599</v>
      </c>
      <c r="C936" s="43" t="s">
        <v>598</v>
      </c>
      <c r="D936" s="43">
        <v>2380</v>
      </c>
      <c r="E936" s="43" t="s">
        <v>597</v>
      </c>
      <c r="F936" s="43">
        <v>9</v>
      </c>
      <c r="G936" s="43">
        <v>933</v>
      </c>
    </row>
    <row r="937" spans="1:7" ht="16.5" customHeight="1" x14ac:dyDescent="0.2">
      <c r="A937" s="43" t="s">
        <v>596</v>
      </c>
      <c r="B937" s="43" t="s">
        <v>595</v>
      </c>
      <c r="C937" s="43" t="s">
        <v>594</v>
      </c>
      <c r="D937" s="43">
        <v>2104</v>
      </c>
      <c r="E937" s="43" t="s">
        <v>355</v>
      </c>
      <c r="F937" s="43">
        <v>10</v>
      </c>
      <c r="G937" s="43">
        <v>934</v>
      </c>
    </row>
    <row r="938" spans="1:7" ht="16.5" customHeight="1" x14ac:dyDescent="0.2">
      <c r="A938" s="43" t="s">
        <v>593</v>
      </c>
      <c r="B938" s="43" t="s">
        <v>592</v>
      </c>
      <c r="C938" s="43" t="s">
        <v>591</v>
      </c>
      <c r="D938" s="43">
        <v>2471</v>
      </c>
      <c r="E938" s="43" t="s">
        <v>401</v>
      </c>
      <c r="F938" s="43">
        <v>9</v>
      </c>
      <c r="G938" s="43">
        <v>935</v>
      </c>
    </row>
    <row r="939" spans="1:7" ht="16.5" customHeight="1" x14ac:dyDescent="0.2">
      <c r="A939" s="43" t="s">
        <v>590</v>
      </c>
      <c r="B939" s="43" t="s">
        <v>589</v>
      </c>
      <c r="C939" s="43" t="s">
        <v>588</v>
      </c>
      <c r="D939" s="43">
        <v>2452</v>
      </c>
      <c r="E939" s="43" t="s">
        <v>484</v>
      </c>
      <c r="F939" s="43">
        <v>14</v>
      </c>
      <c r="G939" s="43">
        <v>936</v>
      </c>
    </row>
    <row r="940" spans="1:7" ht="16.5" customHeight="1" x14ac:dyDescent="0.2">
      <c r="A940" s="43" t="s">
        <v>587</v>
      </c>
      <c r="B940" s="43" t="s">
        <v>586</v>
      </c>
      <c r="C940" s="43" t="s">
        <v>585</v>
      </c>
      <c r="D940" s="43">
        <v>2041</v>
      </c>
      <c r="E940" s="43" t="s">
        <v>515</v>
      </c>
      <c r="F940" s="43">
        <v>6</v>
      </c>
      <c r="G940" s="43">
        <v>937</v>
      </c>
    </row>
    <row r="941" spans="1:7" ht="16.5" customHeight="1" x14ac:dyDescent="0.2">
      <c r="A941" s="43" t="s">
        <v>584</v>
      </c>
      <c r="B941" s="43" t="s">
        <v>583</v>
      </c>
      <c r="C941" s="43" t="s">
        <v>582</v>
      </c>
      <c r="D941" s="43">
        <v>2289</v>
      </c>
      <c r="E941" s="43" t="s">
        <v>344</v>
      </c>
      <c r="F941" s="43">
        <v>12</v>
      </c>
      <c r="G941" s="43">
        <v>938</v>
      </c>
    </row>
    <row r="942" spans="1:7" ht="16.5" customHeight="1" x14ac:dyDescent="0.2">
      <c r="A942" s="43" t="s">
        <v>581</v>
      </c>
      <c r="B942" s="43" t="s">
        <v>580</v>
      </c>
      <c r="C942" s="43" t="s">
        <v>579</v>
      </c>
      <c r="D942" s="43">
        <v>2048</v>
      </c>
      <c r="E942" s="43" t="s">
        <v>515</v>
      </c>
      <c r="F942" s="43">
        <v>30</v>
      </c>
      <c r="G942" s="43">
        <v>939</v>
      </c>
    </row>
    <row r="943" spans="1:7" ht="16.5" customHeight="1" x14ac:dyDescent="0.2">
      <c r="A943" s="43" t="s">
        <v>578</v>
      </c>
      <c r="B943" s="43" t="s">
        <v>577</v>
      </c>
      <c r="C943" s="43" t="s">
        <v>576</v>
      </c>
      <c r="D943" s="43">
        <v>2475</v>
      </c>
      <c r="E943" s="43" t="s">
        <v>575</v>
      </c>
      <c r="F943" s="43">
        <v>6</v>
      </c>
      <c r="G943" s="43">
        <v>940</v>
      </c>
    </row>
    <row r="944" spans="1:7" ht="16.5" customHeight="1" x14ac:dyDescent="0.2">
      <c r="A944" s="43" t="s">
        <v>574</v>
      </c>
      <c r="B944" s="43" t="s">
        <v>573</v>
      </c>
      <c r="C944" s="43" t="s">
        <v>572</v>
      </c>
      <c r="D944" s="43">
        <v>2093</v>
      </c>
      <c r="E944" s="43" t="s">
        <v>355</v>
      </c>
      <c r="F944" s="43">
        <v>3</v>
      </c>
      <c r="G944" s="43">
        <v>941</v>
      </c>
    </row>
    <row r="945" spans="1:7" ht="16.5" customHeight="1" x14ac:dyDescent="0.2">
      <c r="A945" s="43" t="s">
        <v>571</v>
      </c>
      <c r="B945" s="43" t="s">
        <v>570</v>
      </c>
      <c r="C945" s="43" t="s">
        <v>569</v>
      </c>
      <c r="D945" s="43">
        <v>2707</v>
      </c>
      <c r="E945" s="43" t="s">
        <v>568</v>
      </c>
      <c r="F945" s="43">
        <v>9</v>
      </c>
      <c r="G945" s="43">
        <v>942</v>
      </c>
    </row>
    <row r="946" spans="1:7" ht="16.5" customHeight="1" x14ac:dyDescent="0.2">
      <c r="A946" s="43" t="s">
        <v>567</v>
      </c>
      <c r="B946" s="43" t="s">
        <v>566</v>
      </c>
      <c r="C946" s="43" t="s">
        <v>565</v>
      </c>
      <c r="D946" s="43">
        <v>2000</v>
      </c>
      <c r="E946" s="43" t="s">
        <v>323</v>
      </c>
      <c r="F946" s="43">
        <v>14</v>
      </c>
      <c r="G946" s="43">
        <v>943</v>
      </c>
    </row>
    <row r="947" spans="1:7" ht="16.5" customHeight="1" x14ac:dyDescent="0.2">
      <c r="A947" s="43" t="s">
        <v>564</v>
      </c>
      <c r="B947" s="43" t="s">
        <v>563</v>
      </c>
      <c r="C947" s="43" t="s">
        <v>562</v>
      </c>
      <c r="D947" s="43">
        <v>2710</v>
      </c>
      <c r="E947" s="43" t="s">
        <v>561</v>
      </c>
      <c r="F947" s="43">
        <v>9</v>
      </c>
      <c r="G947" s="43">
        <v>944</v>
      </c>
    </row>
    <row r="948" spans="1:7" ht="16.5" customHeight="1" x14ac:dyDescent="0.2">
      <c r="A948" s="43" t="s">
        <v>560</v>
      </c>
      <c r="B948" s="43" t="s">
        <v>559</v>
      </c>
      <c r="C948" s="43" t="s">
        <v>360</v>
      </c>
      <c r="D948" s="43">
        <v>2482</v>
      </c>
      <c r="E948" s="43" t="s">
        <v>359</v>
      </c>
      <c r="F948" s="43">
        <v>6</v>
      </c>
      <c r="G948" s="43">
        <v>945</v>
      </c>
    </row>
    <row r="949" spans="1:7" ht="16.5" customHeight="1" x14ac:dyDescent="0.2">
      <c r="A949" s="43" t="s">
        <v>558</v>
      </c>
      <c r="B949" s="43" t="s">
        <v>557</v>
      </c>
      <c r="C949" s="43" t="s">
        <v>556</v>
      </c>
      <c r="D949" s="43">
        <v>2088</v>
      </c>
      <c r="E949" s="43" t="s">
        <v>555</v>
      </c>
      <c r="F949" s="43">
        <v>9</v>
      </c>
      <c r="G949" s="43">
        <v>946</v>
      </c>
    </row>
    <row r="950" spans="1:7" ht="16.5" customHeight="1" x14ac:dyDescent="0.2">
      <c r="A950" s="43" t="s">
        <v>554</v>
      </c>
      <c r="B950" s="43" t="s">
        <v>553</v>
      </c>
      <c r="C950" s="43" t="s">
        <v>552</v>
      </c>
      <c r="D950" s="43">
        <v>2395</v>
      </c>
      <c r="E950" s="43" t="s">
        <v>503</v>
      </c>
      <c r="F950" s="43">
        <v>6</v>
      </c>
      <c r="G950" s="43">
        <v>947</v>
      </c>
    </row>
    <row r="951" spans="1:7" ht="16.5" customHeight="1" x14ac:dyDescent="0.2">
      <c r="A951" s="43" t="s">
        <v>551</v>
      </c>
      <c r="B951" s="43" t="s">
        <v>550</v>
      </c>
      <c r="C951" s="43" t="s">
        <v>549</v>
      </c>
      <c r="D951" s="43">
        <v>2031</v>
      </c>
      <c r="E951" s="43" t="s">
        <v>548</v>
      </c>
      <c r="F951" s="43">
        <v>10</v>
      </c>
      <c r="G951" s="43">
        <v>948</v>
      </c>
    </row>
    <row r="952" spans="1:7" ht="16.5" customHeight="1" x14ac:dyDescent="0.2">
      <c r="A952" s="43" t="s">
        <v>547</v>
      </c>
      <c r="B952" s="43" t="s">
        <v>546</v>
      </c>
      <c r="C952" s="43" t="s">
        <v>545</v>
      </c>
      <c r="D952" s="43">
        <v>2810</v>
      </c>
      <c r="E952" s="43" t="s">
        <v>328</v>
      </c>
      <c r="F952" s="43">
        <v>4</v>
      </c>
      <c r="G952" s="43">
        <v>949</v>
      </c>
    </row>
    <row r="953" spans="1:7" ht="16.5" customHeight="1" x14ac:dyDescent="0.2">
      <c r="A953" s="43" t="s">
        <v>544</v>
      </c>
      <c r="B953" s="43" t="s">
        <v>543</v>
      </c>
      <c r="C953" s="43" t="s">
        <v>542</v>
      </c>
      <c r="D953" s="43">
        <v>2563</v>
      </c>
      <c r="E953" s="43" t="s">
        <v>541</v>
      </c>
      <c r="F953" s="43">
        <v>15</v>
      </c>
      <c r="G953" s="43">
        <v>950</v>
      </c>
    </row>
    <row r="954" spans="1:7" ht="16.5" customHeight="1" x14ac:dyDescent="0.2">
      <c r="A954" s="43" t="s">
        <v>540</v>
      </c>
      <c r="B954" s="43" t="s">
        <v>539</v>
      </c>
      <c r="C954" s="43" t="s">
        <v>538</v>
      </c>
      <c r="D954" s="43">
        <v>2422</v>
      </c>
      <c r="E954" s="43" t="s">
        <v>537</v>
      </c>
      <c r="F954" s="43">
        <v>6</v>
      </c>
      <c r="G954" s="43">
        <v>951</v>
      </c>
    </row>
    <row r="955" spans="1:7" ht="16.5" customHeight="1" x14ac:dyDescent="0.2">
      <c r="A955" s="43" t="s">
        <v>536</v>
      </c>
      <c r="B955" s="43" t="s">
        <v>535</v>
      </c>
      <c r="C955" s="43" t="s">
        <v>534</v>
      </c>
      <c r="D955" s="43">
        <v>2805</v>
      </c>
      <c r="E955" s="43" t="s">
        <v>533</v>
      </c>
      <c r="F955" s="43">
        <v>5</v>
      </c>
      <c r="G955" s="43">
        <v>952</v>
      </c>
    </row>
    <row r="956" spans="1:7" ht="16.5" customHeight="1" x14ac:dyDescent="0.2">
      <c r="A956" s="43" t="s">
        <v>532</v>
      </c>
      <c r="B956" s="43" t="s">
        <v>531</v>
      </c>
      <c r="C956" s="43" t="s">
        <v>530</v>
      </c>
      <c r="D956" s="43">
        <v>2584</v>
      </c>
      <c r="E956" s="43" t="s">
        <v>529</v>
      </c>
      <c r="F956" s="43">
        <v>3</v>
      </c>
      <c r="G956" s="43">
        <v>953</v>
      </c>
    </row>
    <row r="957" spans="1:7" ht="16.5" customHeight="1" x14ac:dyDescent="0.2">
      <c r="A957" s="43" t="s">
        <v>528</v>
      </c>
      <c r="B957" s="43" t="s">
        <v>527</v>
      </c>
      <c r="C957" s="43" t="s">
        <v>526</v>
      </c>
      <c r="D957" s="43">
        <v>2580</v>
      </c>
      <c r="E957" s="43" t="s">
        <v>443</v>
      </c>
      <c r="F957" s="43">
        <v>6</v>
      </c>
      <c r="G957" s="43">
        <v>954</v>
      </c>
    </row>
    <row r="958" spans="1:7" ht="16.5" customHeight="1" x14ac:dyDescent="0.2">
      <c r="A958" s="43" t="s">
        <v>525</v>
      </c>
      <c r="B958" s="43" t="s">
        <v>524</v>
      </c>
      <c r="C958" s="43" t="s">
        <v>523</v>
      </c>
      <c r="D958" s="43">
        <v>2775</v>
      </c>
      <c r="E958" s="43" t="s">
        <v>451</v>
      </c>
      <c r="F958" s="43">
        <v>9</v>
      </c>
      <c r="G958" s="43">
        <v>955</v>
      </c>
    </row>
    <row r="959" spans="1:7" ht="16.5" customHeight="1" x14ac:dyDescent="0.2">
      <c r="A959" s="43" t="s">
        <v>522</v>
      </c>
      <c r="B959" s="43" t="s">
        <v>521</v>
      </c>
      <c r="C959" s="43" t="s">
        <v>520</v>
      </c>
      <c r="D959" s="43">
        <v>2341</v>
      </c>
      <c r="E959" s="43" t="s">
        <v>519</v>
      </c>
      <c r="F959" s="43">
        <v>6</v>
      </c>
      <c r="G959" s="43">
        <v>956</v>
      </c>
    </row>
    <row r="960" spans="1:7" ht="16.5" customHeight="1" x14ac:dyDescent="0.2">
      <c r="A960" s="43" t="s">
        <v>518</v>
      </c>
      <c r="B960" s="43" t="s">
        <v>517</v>
      </c>
      <c r="C960" s="43" t="s">
        <v>516</v>
      </c>
      <c r="D960" s="43">
        <v>2204</v>
      </c>
      <c r="E960" s="43" t="s">
        <v>515</v>
      </c>
      <c r="F960" s="43">
        <v>9</v>
      </c>
      <c r="G960" s="43">
        <v>957</v>
      </c>
    </row>
    <row r="961" spans="1:7" ht="16.5" customHeight="1" x14ac:dyDescent="0.2">
      <c r="A961" s="43" t="s">
        <v>514</v>
      </c>
      <c r="B961" s="43" t="s">
        <v>513</v>
      </c>
      <c r="C961" s="43" t="s">
        <v>512</v>
      </c>
      <c r="D961" s="43">
        <v>2705</v>
      </c>
      <c r="E961" s="43" t="s">
        <v>511</v>
      </c>
      <c r="F961" s="43">
        <v>5</v>
      </c>
      <c r="G961" s="43">
        <v>958</v>
      </c>
    </row>
    <row r="962" spans="1:7" ht="16.5" customHeight="1" x14ac:dyDescent="0.2">
      <c r="A962" s="43" t="s">
        <v>510</v>
      </c>
      <c r="B962" s="43" t="s">
        <v>509</v>
      </c>
      <c r="C962" s="43" t="s">
        <v>508</v>
      </c>
      <c r="D962" s="43">
        <v>2359</v>
      </c>
      <c r="E962" s="43" t="s">
        <v>507</v>
      </c>
      <c r="F962" s="43">
        <v>7</v>
      </c>
      <c r="G962" s="43">
        <v>959</v>
      </c>
    </row>
    <row r="963" spans="1:7" ht="16.5" customHeight="1" x14ac:dyDescent="0.2">
      <c r="A963" s="43" t="s">
        <v>506</v>
      </c>
      <c r="B963" s="43" t="s">
        <v>505</v>
      </c>
      <c r="C963" s="43" t="s">
        <v>504</v>
      </c>
      <c r="D963" s="43">
        <v>2842</v>
      </c>
      <c r="E963" s="43" t="s">
        <v>503</v>
      </c>
      <c r="F963" s="43">
        <v>7</v>
      </c>
      <c r="G963" s="43">
        <v>960</v>
      </c>
    </row>
    <row r="964" spans="1:7" ht="16.5" customHeight="1" x14ac:dyDescent="0.2">
      <c r="A964" s="43" t="s">
        <v>502</v>
      </c>
      <c r="B964" s="43" t="s">
        <v>501</v>
      </c>
      <c r="C964" s="43" t="s">
        <v>500</v>
      </c>
      <c r="D964" s="43">
        <v>2388</v>
      </c>
      <c r="E964" s="43" t="s">
        <v>499</v>
      </c>
      <c r="F964" s="43">
        <v>7</v>
      </c>
      <c r="G964" s="43">
        <v>961</v>
      </c>
    </row>
    <row r="965" spans="1:7" ht="16.5" customHeight="1" x14ac:dyDescent="0.2">
      <c r="A965" s="43" t="s">
        <v>498</v>
      </c>
      <c r="B965" s="43" t="s">
        <v>497</v>
      </c>
      <c r="C965" s="43" t="s">
        <v>496</v>
      </c>
      <c r="D965" s="43">
        <v>2463</v>
      </c>
      <c r="E965" s="43" t="s">
        <v>495</v>
      </c>
      <c r="F965" s="43">
        <v>5</v>
      </c>
      <c r="G965" s="43">
        <v>962</v>
      </c>
    </row>
    <row r="966" spans="1:7" ht="16.5" customHeight="1" x14ac:dyDescent="0.2">
      <c r="A966" s="43" t="s">
        <v>494</v>
      </c>
      <c r="B966" s="43" t="s">
        <v>493</v>
      </c>
      <c r="C966" s="43" t="s">
        <v>492</v>
      </c>
      <c r="D966" s="43">
        <v>2870</v>
      </c>
      <c r="E966" s="43" t="s">
        <v>491</v>
      </c>
      <c r="F966" s="43">
        <v>3</v>
      </c>
      <c r="G966" s="43">
        <v>963</v>
      </c>
    </row>
    <row r="967" spans="1:7" ht="16.5" customHeight="1" x14ac:dyDescent="0.2">
      <c r="A967" s="43" t="s">
        <v>490</v>
      </c>
      <c r="B967" s="43" t="s">
        <v>489</v>
      </c>
      <c r="C967" s="43" t="s">
        <v>488</v>
      </c>
      <c r="D967" s="43">
        <v>2865</v>
      </c>
      <c r="E967" s="43" t="s">
        <v>381</v>
      </c>
      <c r="F967" s="43">
        <v>5</v>
      </c>
      <c r="G967" s="43">
        <v>964</v>
      </c>
    </row>
    <row r="968" spans="1:7" ht="16.5" customHeight="1" x14ac:dyDescent="0.2">
      <c r="A968" s="43" t="s">
        <v>487</v>
      </c>
      <c r="B968" s="43" t="s">
        <v>486</v>
      </c>
      <c r="C968" s="43" t="s">
        <v>485</v>
      </c>
      <c r="D968" s="43">
        <v>2450</v>
      </c>
      <c r="E968" s="43" t="s">
        <v>484</v>
      </c>
      <c r="F968" s="43">
        <v>7</v>
      </c>
      <c r="G968" s="43">
        <v>965</v>
      </c>
    </row>
    <row r="969" spans="1:7" ht="16.5" customHeight="1" x14ac:dyDescent="0.2">
      <c r="A969" s="43" t="s">
        <v>483</v>
      </c>
      <c r="B969" s="43" t="s">
        <v>482</v>
      </c>
      <c r="C969" s="43" t="s">
        <v>481</v>
      </c>
      <c r="D969" s="43">
        <v>2795</v>
      </c>
      <c r="E969" s="43" t="s">
        <v>480</v>
      </c>
      <c r="F969" s="43">
        <v>5</v>
      </c>
      <c r="G969" s="43">
        <v>966</v>
      </c>
    </row>
    <row r="970" spans="1:7" ht="16.5" customHeight="1" x14ac:dyDescent="0.2">
      <c r="A970" s="43" t="s">
        <v>479</v>
      </c>
      <c r="B970" s="43" t="s">
        <v>478</v>
      </c>
      <c r="C970" s="43" t="s">
        <v>477</v>
      </c>
      <c r="D970" s="43">
        <v>2820</v>
      </c>
      <c r="E970" s="43" t="s">
        <v>420</v>
      </c>
      <c r="F970" s="43">
        <v>5</v>
      </c>
      <c r="G970" s="43">
        <v>967</v>
      </c>
    </row>
    <row r="971" spans="1:7" ht="16.5" customHeight="1" x14ac:dyDescent="0.2">
      <c r="A971" s="43" t="s">
        <v>476</v>
      </c>
      <c r="B971" s="43" t="s">
        <v>475</v>
      </c>
      <c r="C971" s="43" t="s">
        <v>474</v>
      </c>
      <c r="D971" s="43">
        <v>2411</v>
      </c>
      <c r="E971" s="43" t="s">
        <v>340</v>
      </c>
      <c r="F971" s="43">
        <v>3</v>
      </c>
      <c r="G971" s="43">
        <v>968</v>
      </c>
    </row>
    <row r="972" spans="1:7" ht="16.5" customHeight="1" x14ac:dyDescent="0.2">
      <c r="A972" s="43" t="s">
        <v>473</v>
      </c>
      <c r="B972" s="43" t="s">
        <v>472</v>
      </c>
      <c r="C972" s="43" t="s">
        <v>471</v>
      </c>
      <c r="D972" s="43">
        <v>2515</v>
      </c>
      <c r="E972" s="43" t="s">
        <v>393</v>
      </c>
      <c r="F972" s="43">
        <v>6</v>
      </c>
      <c r="G972" s="43">
        <v>969</v>
      </c>
    </row>
    <row r="973" spans="1:7" ht="16.5" customHeight="1" x14ac:dyDescent="0.2">
      <c r="A973" s="43" t="s">
        <v>470</v>
      </c>
      <c r="B973" s="43" t="s">
        <v>469</v>
      </c>
      <c r="C973" s="43" t="s">
        <v>468</v>
      </c>
      <c r="D973" s="43">
        <v>2642</v>
      </c>
      <c r="E973" s="43" t="s">
        <v>467</v>
      </c>
      <c r="F973" s="43">
        <v>4</v>
      </c>
      <c r="G973" s="43">
        <v>970</v>
      </c>
    </row>
    <row r="974" spans="1:7" ht="16.5" customHeight="1" x14ac:dyDescent="0.2">
      <c r="A974" s="43" t="s">
        <v>466</v>
      </c>
      <c r="B974" s="43" t="s">
        <v>465</v>
      </c>
      <c r="C974" s="43" t="s">
        <v>464</v>
      </c>
      <c r="D974" s="43">
        <v>2069</v>
      </c>
      <c r="E974" s="43" t="s">
        <v>463</v>
      </c>
      <c r="F974" s="43">
        <v>0</v>
      </c>
      <c r="G974" s="43">
        <v>971</v>
      </c>
    </row>
    <row r="975" spans="1:7" ht="16.5" customHeight="1" x14ac:dyDescent="0.2">
      <c r="A975" s="43" t="s">
        <v>462</v>
      </c>
      <c r="B975" s="43" t="s">
        <v>461</v>
      </c>
      <c r="C975" s="43" t="s">
        <v>460</v>
      </c>
      <c r="D975" s="43">
        <v>2847</v>
      </c>
      <c r="E975" s="43" t="s">
        <v>459</v>
      </c>
      <c r="F975" s="43">
        <v>5</v>
      </c>
      <c r="G975" s="43">
        <v>972</v>
      </c>
    </row>
    <row r="976" spans="1:7" ht="16.5" customHeight="1" x14ac:dyDescent="0.2">
      <c r="A976" s="43" t="s">
        <v>458</v>
      </c>
      <c r="B976" s="43" t="s">
        <v>457</v>
      </c>
      <c r="C976" s="43" t="s">
        <v>456</v>
      </c>
      <c r="D976" s="43">
        <v>2440</v>
      </c>
      <c r="E976" s="43" t="s">
        <v>455</v>
      </c>
      <c r="F976" s="43">
        <v>2</v>
      </c>
      <c r="G976" s="43">
        <v>973</v>
      </c>
    </row>
    <row r="977" spans="1:7" ht="16.5" customHeight="1" x14ac:dyDescent="0.2">
      <c r="A977" s="43" t="s">
        <v>454</v>
      </c>
      <c r="B977" s="43" t="s">
        <v>453</v>
      </c>
      <c r="C977" s="43" t="s">
        <v>452</v>
      </c>
      <c r="D977" s="43">
        <v>2758</v>
      </c>
      <c r="E977" s="43" t="s">
        <v>451</v>
      </c>
      <c r="F977" s="43">
        <v>4</v>
      </c>
      <c r="G977" s="43">
        <v>974</v>
      </c>
    </row>
    <row r="978" spans="1:7" ht="16.5" customHeight="1" x14ac:dyDescent="0.2">
      <c r="A978" s="43" t="s">
        <v>450</v>
      </c>
      <c r="B978" s="43" t="s">
        <v>449</v>
      </c>
      <c r="C978" s="43" t="s">
        <v>448</v>
      </c>
      <c r="D978" s="43">
        <v>2663</v>
      </c>
      <c r="E978" s="43" t="s">
        <v>447</v>
      </c>
      <c r="F978" s="43">
        <v>7</v>
      </c>
      <c r="G978" s="43">
        <v>975</v>
      </c>
    </row>
    <row r="979" spans="1:7" ht="16.5" customHeight="1" x14ac:dyDescent="0.2">
      <c r="A979" s="43" t="s">
        <v>446</v>
      </c>
      <c r="B979" s="43" t="s">
        <v>445</v>
      </c>
      <c r="C979" s="43" t="s">
        <v>444</v>
      </c>
      <c r="D979" s="43">
        <v>2583</v>
      </c>
      <c r="E979" s="43" t="s">
        <v>443</v>
      </c>
      <c r="F979" s="43">
        <v>7</v>
      </c>
      <c r="G979" s="43">
        <v>976</v>
      </c>
    </row>
    <row r="980" spans="1:7" ht="16.5" customHeight="1" x14ac:dyDescent="0.2">
      <c r="A980" s="43" t="s">
        <v>442</v>
      </c>
      <c r="B980" s="43" t="s">
        <v>441</v>
      </c>
      <c r="C980" s="43" t="s">
        <v>440</v>
      </c>
      <c r="D980" s="43">
        <v>2799</v>
      </c>
      <c r="E980" s="43" t="s">
        <v>439</v>
      </c>
      <c r="F980" s="43">
        <v>2</v>
      </c>
      <c r="G980" s="43">
        <v>977</v>
      </c>
    </row>
    <row r="981" spans="1:7" ht="16.5" customHeight="1" x14ac:dyDescent="0.2">
      <c r="A981" s="43" t="s">
        <v>438</v>
      </c>
      <c r="B981" s="43" t="s">
        <v>437</v>
      </c>
      <c r="C981" s="43" t="s">
        <v>436</v>
      </c>
      <c r="D981" s="43">
        <v>2267</v>
      </c>
      <c r="E981" s="43" t="s">
        <v>435</v>
      </c>
      <c r="F981" s="43">
        <v>5</v>
      </c>
      <c r="G981" s="43">
        <v>978</v>
      </c>
    </row>
    <row r="982" spans="1:7" ht="16.5" customHeight="1" x14ac:dyDescent="0.2">
      <c r="A982" s="43" t="s">
        <v>434</v>
      </c>
      <c r="B982" s="43" t="s">
        <v>433</v>
      </c>
      <c r="C982" s="43" t="s">
        <v>432</v>
      </c>
      <c r="D982" s="43">
        <v>2642</v>
      </c>
      <c r="E982" s="43" t="s">
        <v>431</v>
      </c>
      <c r="F982" s="43">
        <v>4</v>
      </c>
      <c r="G982" s="43">
        <v>979</v>
      </c>
    </row>
    <row r="983" spans="1:7" ht="16.5" customHeight="1" x14ac:dyDescent="0.2">
      <c r="A983" s="43" t="s">
        <v>430</v>
      </c>
      <c r="B983" s="43" t="s">
        <v>429</v>
      </c>
      <c r="C983" s="43" t="s">
        <v>428</v>
      </c>
      <c r="D983" s="43">
        <v>2176</v>
      </c>
      <c r="E983" s="43" t="s">
        <v>427</v>
      </c>
      <c r="F983" s="43">
        <v>6</v>
      </c>
      <c r="G983" s="43">
        <v>980</v>
      </c>
    </row>
    <row r="984" spans="1:7" ht="16.5" customHeight="1" x14ac:dyDescent="0.2">
      <c r="A984" s="43" t="s">
        <v>426</v>
      </c>
      <c r="B984" s="43" t="s">
        <v>425</v>
      </c>
      <c r="C984" s="43" t="s">
        <v>424</v>
      </c>
      <c r="D984" s="43">
        <v>2653</v>
      </c>
      <c r="E984" s="43" t="s">
        <v>397</v>
      </c>
      <c r="F984" s="43">
        <v>7</v>
      </c>
      <c r="G984" s="43">
        <v>981</v>
      </c>
    </row>
    <row r="985" spans="1:7" ht="16.5" customHeight="1" x14ac:dyDescent="0.2">
      <c r="A985" s="43" t="s">
        <v>423</v>
      </c>
      <c r="B985" s="43" t="s">
        <v>422</v>
      </c>
      <c r="C985" s="43" t="s">
        <v>421</v>
      </c>
      <c r="D985" s="43">
        <v>2820</v>
      </c>
      <c r="E985" s="43" t="s">
        <v>420</v>
      </c>
      <c r="F985" s="43">
        <v>2</v>
      </c>
      <c r="G985" s="43">
        <v>982</v>
      </c>
    </row>
    <row r="986" spans="1:7" ht="16.5" customHeight="1" x14ac:dyDescent="0.2">
      <c r="A986" s="43" t="s">
        <v>419</v>
      </c>
      <c r="B986" s="43" t="s">
        <v>418</v>
      </c>
      <c r="C986" s="43" t="s">
        <v>417</v>
      </c>
      <c r="D986" s="43">
        <v>2577</v>
      </c>
      <c r="E986" s="43" t="s">
        <v>416</v>
      </c>
      <c r="F986" s="43">
        <v>6</v>
      </c>
      <c r="G986" s="43">
        <v>983</v>
      </c>
    </row>
    <row r="987" spans="1:7" ht="16.5" customHeight="1" x14ac:dyDescent="0.2">
      <c r="A987" s="43" t="s">
        <v>415</v>
      </c>
      <c r="B987" s="43" t="s">
        <v>414</v>
      </c>
      <c r="C987" s="43" t="s">
        <v>413</v>
      </c>
      <c r="D987" s="43">
        <v>2671</v>
      </c>
      <c r="E987" s="43" t="s">
        <v>324</v>
      </c>
      <c r="F987" s="43">
        <v>5</v>
      </c>
      <c r="G987" s="43">
        <v>984</v>
      </c>
    </row>
    <row r="988" spans="1:7" ht="16.5" customHeight="1" x14ac:dyDescent="0.2">
      <c r="A988" s="43" t="s">
        <v>412</v>
      </c>
      <c r="B988" s="43" t="s">
        <v>411</v>
      </c>
      <c r="C988" s="43" t="s">
        <v>410</v>
      </c>
      <c r="D988" s="43">
        <v>2028</v>
      </c>
      <c r="E988" s="43" t="s">
        <v>409</v>
      </c>
      <c r="F988" s="43">
        <v>2</v>
      </c>
      <c r="G988" s="43">
        <v>985</v>
      </c>
    </row>
    <row r="989" spans="1:7" ht="16.5" customHeight="1" x14ac:dyDescent="0.2">
      <c r="A989" s="43" t="s">
        <v>408</v>
      </c>
      <c r="B989" s="43" t="s">
        <v>407</v>
      </c>
      <c r="C989" s="43" t="s">
        <v>406</v>
      </c>
      <c r="D989" s="43">
        <v>2480</v>
      </c>
      <c r="E989" s="43" t="s">
        <v>405</v>
      </c>
      <c r="F989" s="43">
        <v>108</v>
      </c>
      <c r="G989" s="43">
        <v>986</v>
      </c>
    </row>
    <row r="990" spans="1:7" ht="16.5" customHeight="1" x14ac:dyDescent="0.2">
      <c r="A990" s="43" t="s">
        <v>404</v>
      </c>
      <c r="B990" s="43" t="s">
        <v>403</v>
      </c>
      <c r="C990" s="43" t="s">
        <v>402</v>
      </c>
      <c r="D990" s="43">
        <v>2472</v>
      </c>
      <c r="E990" s="43" t="s">
        <v>401</v>
      </c>
      <c r="F990" s="43">
        <v>4</v>
      </c>
      <c r="G990" s="43">
        <v>987</v>
      </c>
    </row>
    <row r="991" spans="1:7" ht="16.5" customHeight="1" x14ac:dyDescent="0.2">
      <c r="A991" s="43" t="s">
        <v>400</v>
      </c>
      <c r="B991" s="43" t="s">
        <v>399</v>
      </c>
      <c r="C991" s="43" t="s">
        <v>398</v>
      </c>
      <c r="D991" s="43">
        <v>2652</v>
      </c>
      <c r="E991" s="43" t="s">
        <v>397</v>
      </c>
      <c r="F991" s="43">
        <v>6</v>
      </c>
      <c r="G991" s="43">
        <v>988</v>
      </c>
    </row>
    <row r="992" spans="1:7" ht="16.5" customHeight="1" x14ac:dyDescent="0.2">
      <c r="A992" s="43" t="s">
        <v>396</v>
      </c>
      <c r="B992" s="43" t="s">
        <v>395</v>
      </c>
      <c r="C992" s="43" t="s">
        <v>394</v>
      </c>
      <c r="D992" s="43">
        <v>2526</v>
      </c>
      <c r="E992" s="43" t="s">
        <v>393</v>
      </c>
      <c r="F992" s="43">
        <v>8</v>
      </c>
      <c r="G992" s="43">
        <v>989</v>
      </c>
    </row>
    <row r="993" spans="1:7" ht="16.5" customHeight="1" x14ac:dyDescent="0.2">
      <c r="A993" s="43" t="s">
        <v>392</v>
      </c>
      <c r="B993" s="43" t="s">
        <v>391</v>
      </c>
      <c r="C993" s="43" t="s">
        <v>390</v>
      </c>
      <c r="D993" s="43">
        <v>2171</v>
      </c>
      <c r="E993" s="43" t="s">
        <v>389</v>
      </c>
      <c r="F993" s="43">
        <v>12</v>
      </c>
      <c r="G993" s="43">
        <v>990</v>
      </c>
    </row>
    <row r="994" spans="1:7" ht="16.5" customHeight="1" x14ac:dyDescent="0.2">
      <c r="A994" s="43" t="s">
        <v>388</v>
      </c>
      <c r="B994" s="43" t="s">
        <v>387</v>
      </c>
      <c r="C994" s="43" t="s">
        <v>386</v>
      </c>
      <c r="D994" s="43">
        <v>2478</v>
      </c>
      <c r="E994" s="43" t="s">
        <v>385</v>
      </c>
      <c r="F994" s="43">
        <v>10</v>
      </c>
      <c r="G994" s="43">
        <v>991</v>
      </c>
    </row>
    <row r="995" spans="1:7" ht="16.5" customHeight="1" x14ac:dyDescent="0.2">
      <c r="A995" s="43" t="s">
        <v>384</v>
      </c>
      <c r="B995" s="43" t="s">
        <v>383</v>
      </c>
      <c r="C995" s="43" t="s">
        <v>382</v>
      </c>
      <c r="D995" s="43">
        <v>2866</v>
      </c>
      <c r="E995" s="43" t="s">
        <v>381</v>
      </c>
      <c r="F995" s="43">
        <v>7</v>
      </c>
      <c r="G995" s="43">
        <v>992</v>
      </c>
    </row>
    <row r="996" spans="1:7" ht="16.5" customHeight="1" x14ac:dyDescent="0.2">
      <c r="A996" s="43" t="s">
        <v>380</v>
      </c>
      <c r="B996" s="43" t="s">
        <v>379</v>
      </c>
      <c r="C996" s="43" t="s">
        <v>378</v>
      </c>
      <c r="D996" s="43">
        <v>2144</v>
      </c>
      <c r="E996" s="43" t="s">
        <v>377</v>
      </c>
      <c r="F996" s="43">
        <v>3</v>
      </c>
      <c r="G996" s="43">
        <v>993</v>
      </c>
    </row>
    <row r="997" spans="1:7" ht="16.5" customHeight="1" x14ac:dyDescent="0.2">
      <c r="A997" s="43" t="s">
        <v>376</v>
      </c>
      <c r="B997" s="43" t="s">
        <v>375</v>
      </c>
      <c r="C997" s="43" t="s">
        <v>374</v>
      </c>
      <c r="D997" s="43">
        <v>2408</v>
      </c>
      <c r="E997" s="43" t="s">
        <v>340</v>
      </c>
      <c r="F997" s="43">
        <v>4</v>
      </c>
      <c r="G997" s="43">
        <v>994</v>
      </c>
    </row>
    <row r="998" spans="1:7" ht="16.5" customHeight="1" x14ac:dyDescent="0.2">
      <c r="A998" s="43" t="s">
        <v>373</v>
      </c>
      <c r="B998" s="43" t="s">
        <v>372</v>
      </c>
      <c r="C998" s="43" t="s">
        <v>371</v>
      </c>
      <c r="D998" s="43">
        <v>2873</v>
      </c>
      <c r="E998" s="43" t="s">
        <v>370</v>
      </c>
      <c r="F998" s="43">
        <v>8</v>
      </c>
      <c r="G998" s="43">
        <v>995</v>
      </c>
    </row>
    <row r="999" spans="1:7" ht="16.5" customHeight="1" x14ac:dyDescent="0.2">
      <c r="A999" s="43" t="s">
        <v>369</v>
      </c>
      <c r="B999" s="43" t="s">
        <v>368</v>
      </c>
      <c r="C999" s="43" t="s">
        <v>367</v>
      </c>
      <c r="D999" s="43">
        <v>2137</v>
      </c>
      <c r="E999" s="43" t="s">
        <v>366</v>
      </c>
      <c r="F999" s="43">
        <v>36</v>
      </c>
      <c r="G999" s="43">
        <v>996</v>
      </c>
    </row>
    <row r="1000" spans="1:7" ht="16.5" customHeight="1" x14ac:dyDescent="0.2">
      <c r="A1000" s="43" t="s">
        <v>365</v>
      </c>
      <c r="B1000" s="43" t="s">
        <v>364</v>
      </c>
      <c r="C1000" s="43" t="s">
        <v>363</v>
      </c>
      <c r="D1000" s="43">
        <v>2403</v>
      </c>
      <c r="E1000" s="43" t="s">
        <v>351</v>
      </c>
      <c r="F1000" s="43">
        <v>3</v>
      </c>
      <c r="G1000" s="43">
        <v>997</v>
      </c>
    </row>
    <row r="1001" spans="1:7" ht="16.5" customHeight="1" x14ac:dyDescent="0.2">
      <c r="A1001" s="43" t="s">
        <v>362</v>
      </c>
      <c r="B1001" s="43" t="s">
        <v>361</v>
      </c>
      <c r="C1001" s="43" t="s">
        <v>360</v>
      </c>
      <c r="D1001" s="43">
        <v>2482</v>
      </c>
      <c r="E1001" s="43" t="s">
        <v>359</v>
      </c>
      <c r="F1001" s="43">
        <v>4</v>
      </c>
      <c r="G1001" s="43">
        <v>998</v>
      </c>
    </row>
    <row r="1002" spans="1:7" ht="16.5" customHeight="1" x14ac:dyDescent="0.2">
      <c r="A1002" s="43" t="s">
        <v>358</v>
      </c>
      <c r="B1002" s="43" t="s">
        <v>357</v>
      </c>
      <c r="C1002" s="43" t="s">
        <v>356</v>
      </c>
      <c r="D1002" s="43">
        <v>2107</v>
      </c>
      <c r="E1002" s="43" t="s">
        <v>355</v>
      </c>
      <c r="F1002" s="43">
        <v>0</v>
      </c>
      <c r="G1002" s="43">
        <v>999</v>
      </c>
    </row>
    <row r="1003" spans="1:7" ht="16.5" customHeight="1" x14ac:dyDescent="0.2">
      <c r="A1003" s="43" t="s">
        <v>354</v>
      </c>
      <c r="B1003" s="43" t="s">
        <v>353</v>
      </c>
      <c r="C1003" s="43" t="s">
        <v>352</v>
      </c>
      <c r="D1003" s="43">
        <v>2360</v>
      </c>
      <c r="E1003" s="43" t="s">
        <v>351</v>
      </c>
      <c r="F1003" s="43">
        <v>0</v>
      </c>
      <c r="G1003" s="43">
        <v>1000</v>
      </c>
    </row>
    <row r="1004" spans="1:7" ht="16.5" customHeight="1" x14ac:dyDescent="0.2">
      <c r="A1004" s="43" t="s">
        <v>350</v>
      </c>
      <c r="B1004" s="43" t="s">
        <v>349</v>
      </c>
      <c r="C1004" s="43" t="s">
        <v>348</v>
      </c>
      <c r="D1004" s="43">
        <v>2631</v>
      </c>
      <c r="E1004" s="43" t="s">
        <v>336</v>
      </c>
      <c r="F1004" s="43">
        <v>6</v>
      </c>
      <c r="G1004" s="43">
        <v>1001</v>
      </c>
    </row>
    <row r="1005" spans="1:7" ht="16.5" customHeight="1" x14ac:dyDescent="0.2">
      <c r="A1005" s="43" t="s">
        <v>347</v>
      </c>
      <c r="B1005" s="43" t="s">
        <v>346</v>
      </c>
      <c r="C1005" s="43" t="s">
        <v>345</v>
      </c>
      <c r="D1005" s="43">
        <v>2293</v>
      </c>
      <c r="E1005" s="43" t="s">
        <v>344</v>
      </c>
      <c r="F1005" s="43">
        <v>7</v>
      </c>
      <c r="G1005" s="43">
        <v>1002</v>
      </c>
    </row>
    <row r="1006" spans="1:7" ht="16.5" customHeight="1" x14ac:dyDescent="0.2">
      <c r="A1006" s="43" t="s">
        <v>343</v>
      </c>
      <c r="B1006" s="43" t="s">
        <v>342</v>
      </c>
      <c r="C1006" s="43" t="s">
        <v>341</v>
      </c>
      <c r="D1006" s="43">
        <v>2347</v>
      </c>
      <c r="E1006" s="43" t="s">
        <v>340</v>
      </c>
      <c r="F1006" s="43">
        <v>3</v>
      </c>
      <c r="G1006" s="43">
        <v>1003</v>
      </c>
    </row>
    <row r="1007" spans="1:7" ht="16.5" customHeight="1" x14ac:dyDescent="0.2">
      <c r="A1007" s="43" t="s">
        <v>339</v>
      </c>
      <c r="B1007" s="43" t="s">
        <v>338</v>
      </c>
      <c r="C1007" s="43" t="s">
        <v>337</v>
      </c>
      <c r="D1007" s="43">
        <v>2630</v>
      </c>
      <c r="E1007" s="43" t="s">
        <v>336</v>
      </c>
      <c r="F1007" s="43">
        <v>6</v>
      </c>
      <c r="G1007" s="43">
        <v>1004</v>
      </c>
    </row>
    <row r="1008" spans="1:7" ht="16.5" customHeight="1" x14ac:dyDescent="0.2">
      <c r="A1008" s="43" t="s">
        <v>335</v>
      </c>
      <c r="B1008" s="43" t="s">
        <v>334</v>
      </c>
      <c r="C1008" s="43" t="s">
        <v>333</v>
      </c>
      <c r="D1008" s="43">
        <v>2681</v>
      </c>
      <c r="E1008" s="43" t="s">
        <v>332</v>
      </c>
      <c r="F1008" s="43">
        <v>0</v>
      </c>
      <c r="G1008" s="43">
        <v>1005</v>
      </c>
    </row>
    <row r="1009" spans="1:7" ht="16.5" customHeight="1" x14ac:dyDescent="0.2">
      <c r="A1009" s="43" t="s">
        <v>331</v>
      </c>
      <c r="B1009" s="43" t="s">
        <v>330</v>
      </c>
      <c r="C1009" s="43" t="s">
        <v>329</v>
      </c>
      <c r="D1009" s="43">
        <v>2721</v>
      </c>
      <c r="E1009" s="43" t="s">
        <v>328</v>
      </c>
      <c r="F1009" s="43">
        <v>5</v>
      </c>
      <c r="G1009" s="43">
        <v>1006</v>
      </c>
    </row>
    <row r="1010" spans="1:7" ht="16.5" customHeight="1" x14ac:dyDescent="0.2">
      <c r="A1010" s="43" t="s">
        <v>327</v>
      </c>
      <c r="B1010" s="43" t="s">
        <v>326</v>
      </c>
      <c r="C1010" s="43" t="s">
        <v>325</v>
      </c>
      <c r="D1010" s="43">
        <v>2669</v>
      </c>
      <c r="E1010" s="43" t="s">
        <v>324</v>
      </c>
      <c r="F1010" s="43">
        <v>5</v>
      </c>
      <c r="G1010" s="43">
        <v>1007</v>
      </c>
    </row>
    <row r="1011" spans="1:7" ht="16.5" customHeight="1" x14ac:dyDescent="0.25">
      <c r="A1011" s="42"/>
      <c r="B1011" s="42"/>
      <c r="C1011" s="42"/>
      <c r="D1011" s="42"/>
      <c r="E1011" s="42"/>
      <c r="F1011" s="41"/>
      <c r="G1011" s="41"/>
    </row>
    <row r="1012" spans="1:7" ht="16.5" customHeight="1" x14ac:dyDescent="0.25">
      <c r="A1012" s="42"/>
      <c r="B1012" s="42"/>
      <c r="C1012" s="42"/>
      <c r="D1012" s="42"/>
      <c r="E1012" s="42"/>
      <c r="F1012" s="41"/>
      <c r="G1012" s="41"/>
    </row>
    <row r="1013" spans="1:7" ht="16.5" customHeight="1" x14ac:dyDescent="0.25">
      <c r="A1013" s="42"/>
      <c r="B1013" s="42"/>
      <c r="C1013" s="42"/>
      <c r="D1013" s="42"/>
      <c r="E1013" s="42"/>
      <c r="F1013" s="41"/>
      <c r="G1013" s="41"/>
    </row>
    <row r="1014" spans="1:7" ht="16.5" customHeight="1" x14ac:dyDescent="0.25">
      <c r="A1014" s="42"/>
      <c r="B1014" s="42"/>
      <c r="C1014" s="42"/>
      <c r="D1014" s="42"/>
      <c r="E1014" s="42"/>
      <c r="F1014" s="41"/>
      <c r="G1014" s="41"/>
    </row>
    <row r="1015" spans="1:7" ht="16.5" customHeight="1" x14ac:dyDescent="0.25">
      <c r="A1015" s="42"/>
      <c r="B1015" s="42"/>
      <c r="C1015" s="42"/>
      <c r="D1015" s="42"/>
      <c r="E1015" s="42"/>
      <c r="F1015" s="41"/>
      <c r="G1015" s="41"/>
    </row>
    <row r="1016" spans="1:7" ht="16.5" customHeight="1" x14ac:dyDescent="0.25">
      <c r="A1016" s="42"/>
      <c r="B1016" s="42"/>
      <c r="C1016" s="42"/>
      <c r="D1016" s="42"/>
      <c r="E1016" s="42"/>
      <c r="F1016" s="41"/>
      <c r="G1016" s="41"/>
    </row>
    <row r="1017" spans="1:7" ht="16.5" customHeight="1" x14ac:dyDescent="0.25">
      <c r="A1017" s="42"/>
      <c r="B1017" s="42"/>
      <c r="C1017" s="42"/>
      <c r="D1017" s="42"/>
      <c r="E1017" s="42"/>
      <c r="F1017" s="41"/>
      <c r="G1017" s="41"/>
    </row>
    <row r="1018" spans="1:7" ht="16.5" customHeight="1" x14ac:dyDescent="0.25">
      <c r="A1018" s="42"/>
      <c r="B1018" s="42"/>
      <c r="C1018" s="42"/>
      <c r="D1018" s="42"/>
      <c r="E1018" s="42"/>
      <c r="F1018" s="41"/>
      <c r="G1018" s="41"/>
    </row>
    <row r="1019" spans="1:7" ht="16.5" customHeight="1" x14ac:dyDescent="0.25">
      <c r="A1019" s="42"/>
      <c r="B1019" s="42"/>
      <c r="C1019" s="42"/>
      <c r="D1019" s="42"/>
      <c r="E1019" s="42"/>
      <c r="F1019" s="41"/>
      <c r="G1019" s="41"/>
    </row>
    <row r="1020" spans="1:7" ht="16.5" customHeight="1" x14ac:dyDescent="0.25">
      <c r="A1020" s="42"/>
      <c r="B1020" s="42"/>
      <c r="C1020" s="42"/>
      <c r="D1020" s="42"/>
      <c r="E1020" s="42"/>
      <c r="F1020" s="41"/>
      <c r="G1020" s="41"/>
    </row>
    <row r="1021" spans="1:7" ht="16.5" customHeight="1" x14ac:dyDescent="0.25">
      <c r="A1021" s="42"/>
      <c r="B1021" s="42"/>
      <c r="C1021" s="42"/>
      <c r="D1021" s="42"/>
      <c r="E1021" s="42"/>
      <c r="F1021" s="41"/>
      <c r="G1021" s="41"/>
    </row>
    <row r="1022" spans="1:7" ht="16.5" customHeight="1" x14ac:dyDescent="0.25">
      <c r="A1022" s="42"/>
      <c r="B1022" s="42"/>
      <c r="C1022" s="42"/>
      <c r="D1022" s="42"/>
      <c r="E1022" s="42"/>
      <c r="F1022" s="41"/>
      <c r="G1022" s="41"/>
    </row>
    <row r="1023" spans="1:7" ht="16.5" customHeight="1" x14ac:dyDescent="0.25">
      <c r="A1023" s="42"/>
      <c r="B1023" s="42"/>
      <c r="C1023" s="42"/>
      <c r="D1023" s="42"/>
      <c r="E1023" s="42"/>
      <c r="F1023" s="41"/>
      <c r="G1023" s="41"/>
    </row>
    <row r="1024" spans="1:7" ht="16.5" customHeight="1" x14ac:dyDescent="0.25">
      <c r="A1024" s="42"/>
      <c r="B1024" s="42"/>
      <c r="C1024" s="42"/>
      <c r="D1024" s="42"/>
      <c r="E1024" s="42"/>
      <c r="F1024" s="41"/>
      <c r="G1024" s="41"/>
    </row>
    <row r="1025" spans="1:7" ht="16.5" customHeight="1" x14ac:dyDescent="0.25">
      <c r="A1025" s="42"/>
      <c r="B1025" s="42"/>
      <c r="C1025" s="42"/>
      <c r="D1025" s="42"/>
      <c r="E1025" s="42"/>
      <c r="F1025" s="41"/>
      <c r="G1025" s="41"/>
    </row>
    <row r="1026" spans="1:7" ht="16.5" customHeight="1" x14ac:dyDescent="0.25">
      <c r="A1026" s="42"/>
      <c r="B1026" s="42"/>
      <c r="C1026" s="42"/>
      <c r="D1026" s="42"/>
      <c r="E1026" s="42"/>
      <c r="F1026" s="41"/>
      <c r="G1026" s="41"/>
    </row>
    <row r="1027" spans="1:7" ht="16.5" customHeight="1" x14ac:dyDescent="0.25">
      <c r="A1027" s="42"/>
      <c r="B1027" s="42"/>
      <c r="C1027" s="42"/>
      <c r="D1027" s="42"/>
      <c r="E1027" s="42"/>
      <c r="F1027" s="41"/>
      <c r="G1027" s="41"/>
    </row>
    <row r="1028" spans="1:7" ht="16.5" customHeight="1" x14ac:dyDescent="0.25">
      <c r="A1028" s="42"/>
      <c r="B1028" s="42"/>
      <c r="C1028" s="42"/>
      <c r="D1028" s="42"/>
      <c r="E1028" s="42"/>
      <c r="F1028" s="41"/>
      <c r="G1028" s="41"/>
    </row>
    <row r="1029" spans="1:7" ht="16.5" customHeight="1" x14ac:dyDescent="0.25">
      <c r="A1029" s="42"/>
      <c r="B1029" s="42"/>
      <c r="C1029" s="42"/>
      <c r="D1029" s="42"/>
      <c r="E1029" s="42"/>
      <c r="F1029" s="41"/>
      <c r="G1029" s="41"/>
    </row>
    <row r="1030" spans="1:7" ht="16.5" customHeight="1" x14ac:dyDescent="0.25">
      <c r="A1030" s="42"/>
      <c r="B1030" s="42"/>
      <c r="C1030" s="42"/>
      <c r="D1030" s="42"/>
      <c r="E1030" s="42"/>
      <c r="F1030" s="41"/>
      <c r="G1030" s="41"/>
    </row>
    <row r="1031" spans="1:7" ht="16.5" customHeight="1" x14ac:dyDescent="0.25">
      <c r="A1031" s="42"/>
      <c r="B1031" s="42"/>
      <c r="C1031" s="42"/>
      <c r="D1031" s="42"/>
      <c r="E1031" s="42"/>
      <c r="F1031" s="41"/>
      <c r="G1031" s="41"/>
    </row>
    <row r="1032" spans="1:7" ht="16.5" customHeight="1" x14ac:dyDescent="0.25">
      <c r="A1032" s="42"/>
      <c r="B1032" s="42"/>
      <c r="C1032" s="42"/>
      <c r="D1032" s="42"/>
      <c r="E1032" s="42"/>
      <c r="F1032" s="41"/>
      <c r="G1032" s="41"/>
    </row>
    <row r="1033" spans="1:7" ht="16.5" customHeight="1" x14ac:dyDescent="0.25">
      <c r="A1033" s="42"/>
      <c r="B1033" s="42"/>
      <c r="C1033" s="42"/>
      <c r="D1033" s="42"/>
      <c r="E1033" s="42"/>
      <c r="F1033" s="41"/>
      <c r="G1033" s="41"/>
    </row>
    <row r="1034" spans="1:7" ht="16.5" customHeight="1" x14ac:dyDescent="0.25">
      <c r="A1034" s="42"/>
      <c r="B1034" s="42"/>
      <c r="C1034" s="42"/>
      <c r="D1034" s="42"/>
      <c r="E1034" s="42"/>
      <c r="F1034" s="41"/>
      <c r="G1034" s="41"/>
    </row>
    <row r="1035" spans="1:7" ht="16.5" customHeight="1" x14ac:dyDescent="0.25">
      <c r="A1035" s="42"/>
      <c r="B1035" s="42"/>
      <c r="C1035" s="42"/>
      <c r="D1035" s="42"/>
      <c r="E1035" s="42"/>
      <c r="F1035" s="41"/>
      <c r="G1035" s="41"/>
    </row>
    <row r="1036" spans="1:7" ht="16.5" customHeight="1" x14ac:dyDescent="0.25">
      <c r="A1036" s="42"/>
      <c r="B1036" s="42"/>
      <c r="C1036" s="42"/>
      <c r="D1036" s="42"/>
      <c r="E1036" s="42"/>
      <c r="F1036" s="41"/>
      <c r="G1036" s="41"/>
    </row>
    <row r="1037" spans="1:7" ht="16.5" customHeight="1" x14ac:dyDescent="0.25">
      <c r="A1037" s="42"/>
      <c r="B1037" s="42"/>
      <c r="C1037" s="42"/>
      <c r="D1037" s="42"/>
      <c r="E1037" s="42"/>
      <c r="F1037" s="41"/>
      <c r="G1037" s="41"/>
    </row>
    <row r="1038" spans="1:7" ht="16.5" customHeight="1" x14ac:dyDescent="0.25">
      <c r="A1038" s="42"/>
      <c r="B1038" s="42"/>
      <c r="C1038" s="42"/>
      <c r="D1038" s="42"/>
      <c r="E1038" s="42"/>
      <c r="F1038" s="41"/>
      <c r="G1038" s="41"/>
    </row>
    <row r="1039" spans="1:7" ht="16.5" customHeight="1" x14ac:dyDescent="0.25">
      <c r="A1039" s="42"/>
      <c r="B1039" s="42"/>
      <c r="C1039" s="42"/>
      <c r="D1039" s="42"/>
      <c r="E1039" s="42"/>
      <c r="F1039" s="41"/>
      <c r="G1039" s="41"/>
    </row>
    <row r="1040" spans="1:7" ht="16.5" customHeight="1" x14ac:dyDescent="0.25">
      <c r="A1040" s="42"/>
      <c r="B1040" s="42"/>
      <c r="C1040" s="42"/>
      <c r="D1040" s="42"/>
      <c r="E1040" s="42"/>
      <c r="F1040" s="41"/>
      <c r="G1040" s="41"/>
    </row>
    <row r="1041" spans="1:7" ht="16.5" customHeight="1" x14ac:dyDescent="0.25">
      <c r="A1041" s="42"/>
      <c r="B1041" s="42"/>
      <c r="C1041" s="42"/>
      <c r="D1041" s="42"/>
      <c r="E1041" s="42"/>
      <c r="F1041" s="41"/>
      <c r="G1041" s="41"/>
    </row>
    <row r="1042" spans="1:7" ht="16.5" customHeight="1" x14ac:dyDescent="0.25">
      <c r="A1042" s="42"/>
      <c r="B1042" s="42"/>
      <c r="C1042" s="42"/>
      <c r="D1042" s="42"/>
      <c r="E1042" s="42"/>
      <c r="F1042" s="41"/>
      <c r="G1042" s="41"/>
    </row>
    <row r="1043" spans="1:7" ht="16.5" customHeight="1" x14ac:dyDescent="0.25">
      <c r="A1043" s="42"/>
      <c r="B1043" s="42"/>
      <c r="C1043" s="42"/>
      <c r="D1043" s="42"/>
      <c r="E1043" s="42"/>
      <c r="F1043" s="41"/>
      <c r="G1043" s="41"/>
    </row>
    <row r="1044" spans="1:7" ht="16.5" customHeight="1" x14ac:dyDescent="0.25">
      <c r="A1044" s="42"/>
      <c r="B1044" s="42"/>
      <c r="C1044" s="42"/>
      <c r="D1044" s="42"/>
      <c r="E1044" s="42"/>
      <c r="F1044" s="41"/>
      <c r="G1044" s="41"/>
    </row>
    <row r="1045" spans="1:7" ht="16.5" customHeight="1" x14ac:dyDescent="0.25">
      <c r="A1045" s="42"/>
      <c r="B1045" s="42"/>
      <c r="C1045" s="42"/>
      <c r="D1045" s="42"/>
      <c r="E1045" s="42"/>
      <c r="F1045" s="41"/>
      <c r="G1045" s="41"/>
    </row>
    <row r="1046" spans="1:7" ht="16.5" customHeight="1" x14ac:dyDescent="0.25">
      <c r="A1046" s="42"/>
      <c r="B1046" s="42"/>
      <c r="C1046" s="42"/>
      <c r="D1046" s="42"/>
      <c r="E1046" s="42"/>
      <c r="F1046" s="41"/>
      <c r="G1046" s="41"/>
    </row>
    <row r="1047" spans="1:7" ht="16.5" customHeight="1" x14ac:dyDescent="0.25">
      <c r="A1047" s="42"/>
      <c r="B1047" s="42"/>
      <c r="C1047" s="42"/>
      <c r="D1047" s="42"/>
      <c r="E1047" s="42"/>
      <c r="F1047" s="41"/>
      <c r="G1047" s="41"/>
    </row>
    <row r="1048" spans="1:7" ht="16.5" customHeight="1" x14ac:dyDescent="0.25">
      <c r="A1048" s="42"/>
      <c r="B1048" s="42"/>
      <c r="C1048" s="42"/>
      <c r="D1048" s="42"/>
      <c r="E1048" s="42"/>
      <c r="F1048" s="41"/>
      <c r="G1048" s="41"/>
    </row>
    <row r="1049" spans="1:7" ht="16.5" customHeight="1" x14ac:dyDescent="0.25">
      <c r="A1049" s="42"/>
      <c r="B1049" s="42"/>
      <c r="C1049" s="42"/>
      <c r="D1049" s="42"/>
      <c r="E1049" s="42"/>
      <c r="F1049" s="41"/>
      <c r="G1049" s="41"/>
    </row>
    <row r="1050" spans="1:7" ht="16.5" customHeight="1" x14ac:dyDescent="0.25">
      <c r="A1050" s="42"/>
      <c r="B1050" s="42"/>
      <c r="C1050" s="42"/>
      <c r="D1050" s="42"/>
      <c r="E1050" s="42"/>
      <c r="F1050" s="41"/>
      <c r="G1050" s="41"/>
    </row>
    <row r="1051" spans="1:7" ht="16.5" customHeight="1" x14ac:dyDescent="0.25">
      <c r="A1051" s="42"/>
      <c r="B1051" s="42"/>
      <c r="C1051" s="42"/>
      <c r="D1051" s="42"/>
      <c r="E1051" s="42"/>
      <c r="F1051" s="41"/>
      <c r="G1051" s="41"/>
    </row>
    <row r="1052" spans="1:7" ht="16.5" customHeight="1" x14ac:dyDescent="0.25">
      <c r="A1052" s="42"/>
      <c r="B1052" s="42"/>
      <c r="C1052" s="42"/>
      <c r="D1052" s="42"/>
      <c r="E1052" s="42"/>
      <c r="F1052" s="41"/>
      <c r="G1052" s="41"/>
    </row>
    <row r="1053" spans="1:7" ht="16.5" customHeight="1" x14ac:dyDescent="0.25">
      <c r="A1053" s="42"/>
      <c r="B1053" s="42"/>
      <c r="C1053" s="42"/>
      <c r="D1053" s="42"/>
      <c r="E1053" s="42"/>
      <c r="F1053" s="41"/>
      <c r="G1053" s="41"/>
    </row>
    <row r="1054" spans="1:7" ht="16.5" customHeight="1" x14ac:dyDescent="0.25">
      <c r="A1054" s="42"/>
      <c r="B1054" s="42"/>
      <c r="C1054" s="42"/>
      <c r="D1054" s="42"/>
      <c r="E1054" s="42"/>
      <c r="F1054" s="41"/>
      <c r="G1054" s="41"/>
    </row>
    <row r="1055" spans="1:7" ht="16.5" customHeight="1" x14ac:dyDescent="0.25">
      <c r="A1055" s="42"/>
      <c r="B1055" s="42"/>
      <c r="C1055" s="42"/>
      <c r="D1055" s="42"/>
      <c r="E1055" s="42"/>
      <c r="F1055" s="41"/>
      <c r="G1055" s="41"/>
    </row>
    <row r="1056" spans="1:7" ht="16.5" customHeight="1" x14ac:dyDescent="0.25">
      <c r="A1056" s="42"/>
      <c r="B1056" s="42"/>
      <c r="C1056" s="42"/>
      <c r="D1056" s="42"/>
      <c r="E1056" s="42"/>
      <c r="F1056" s="41"/>
      <c r="G1056" s="41"/>
    </row>
    <row r="1057" spans="1:7" ht="16.5" customHeight="1" x14ac:dyDescent="0.25">
      <c r="A1057" s="42"/>
      <c r="B1057" s="42"/>
      <c r="C1057" s="42"/>
      <c r="D1057" s="42"/>
      <c r="E1057" s="42"/>
      <c r="F1057" s="41"/>
      <c r="G1057" s="41"/>
    </row>
    <row r="1058" spans="1:7" ht="16.5" customHeight="1" x14ac:dyDescent="0.25">
      <c r="A1058" s="42"/>
      <c r="B1058" s="42"/>
      <c r="C1058" s="42"/>
      <c r="D1058" s="42"/>
      <c r="E1058" s="42"/>
      <c r="F1058" s="41"/>
      <c r="G1058" s="41"/>
    </row>
    <row r="1059" spans="1:7" ht="16.5" customHeight="1" x14ac:dyDescent="0.25">
      <c r="A1059" s="42"/>
      <c r="B1059" s="42"/>
      <c r="C1059" s="42"/>
      <c r="D1059" s="42"/>
      <c r="E1059" s="42"/>
      <c r="F1059" s="41"/>
      <c r="G1059" s="41"/>
    </row>
    <row r="1060" spans="1:7" ht="16.5" customHeight="1" x14ac:dyDescent="0.25">
      <c r="A1060" s="42"/>
      <c r="B1060" s="42"/>
      <c r="C1060" s="42"/>
      <c r="D1060" s="42"/>
      <c r="E1060" s="42"/>
      <c r="F1060" s="41"/>
      <c r="G1060" s="41"/>
    </row>
    <row r="1061" spans="1:7" ht="16.5" customHeight="1" x14ac:dyDescent="0.25">
      <c r="A1061" s="42"/>
      <c r="B1061" s="42"/>
      <c r="C1061" s="42"/>
      <c r="D1061" s="42"/>
      <c r="E1061" s="42"/>
      <c r="F1061" s="41"/>
      <c r="G1061" s="41"/>
    </row>
    <row r="1062" spans="1:7" ht="16.5" customHeight="1" x14ac:dyDescent="0.25">
      <c r="A1062" s="42"/>
      <c r="B1062" s="42"/>
      <c r="C1062" s="42"/>
      <c r="D1062" s="42"/>
      <c r="E1062" s="42"/>
      <c r="F1062" s="41"/>
      <c r="G1062" s="41"/>
    </row>
    <row r="1063" spans="1:7" ht="16.5" customHeight="1" x14ac:dyDescent="0.25">
      <c r="A1063" s="42"/>
      <c r="B1063" s="42"/>
      <c r="C1063" s="42"/>
      <c r="D1063" s="42"/>
      <c r="E1063" s="42"/>
      <c r="F1063" s="41"/>
      <c r="G1063" s="41"/>
    </row>
    <row r="1064" spans="1:7" ht="16.5" customHeight="1" x14ac:dyDescent="0.25">
      <c r="A1064" s="42"/>
      <c r="B1064" s="42"/>
      <c r="C1064" s="42"/>
      <c r="D1064" s="42"/>
      <c r="E1064" s="42"/>
      <c r="F1064" s="41"/>
      <c r="G1064" s="41"/>
    </row>
    <row r="1065" spans="1:7" ht="16.5" customHeight="1" x14ac:dyDescent="0.25">
      <c r="A1065" s="42"/>
      <c r="B1065" s="42"/>
      <c r="C1065" s="42"/>
      <c r="D1065" s="42"/>
      <c r="E1065" s="42"/>
      <c r="F1065" s="41"/>
      <c r="G1065" s="41"/>
    </row>
    <row r="1066" spans="1:7" ht="16.5" customHeight="1" x14ac:dyDescent="0.25">
      <c r="A1066" s="39"/>
      <c r="B1066" s="39"/>
      <c r="C1066" s="39"/>
      <c r="D1066" s="40"/>
      <c r="E1066" s="39"/>
      <c r="F1066" s="38"/>
      <c r="G1066" s="38"/>
    </row>
    <row r="1067" spans="1:7" ht="16.5" customHeight="1" x14ac:dyDescent="0.25">
      <c r="A1067" s="39"/>
      <c r="B1067" s="39"/>
      <c r="C1067" s="39"/>
      <c r="D1067" s="40"/>
      <c r="E1067" s="39"/>
      <c r="F1067" s="38"/>
      <c r="G1067" s="38"/>
    </row>
    <row r="1068" spans="1:7" ht="16.5" customHeight="1" x14ac:dyDescent="0.25">
      <c r="A1068" s="39"/>
      <c r="B1068" s="39"/>
      <c r="C1068" s="39"/>
      <c r="D1068" s="40"/>
      <c r="E1068" s="39"/>
      <c r="F1068" s="38"/>
      <c r="G1068" s="38"/>
    </row>
    <row r="1069" spans="1:7" ht="16.5" customHeight="1" x14ac:dyDescent="0.25">
      <c r="A1069" s="39"/>
      <c r="B1069" s="39"/>
      <c r="C1069" s="39"/>
      <c r="D1069" s="40"/>
      <c r="E1069" s="39"/>
      <c r="F1069" s="38"/>
      <c r="G1069" s="38"/>
    </row>
    <row r="1070" spans="1:7" ht="16.5" customHeight="1" x14ac:dyDescent="0.25">
      <c r="A1070" s="39"/>
      <c r="B1070" s="39"/>
      <c r="C1070" s="39"/>
      <c r="D1070" s="40"/>
      <c r="E1070" s="39"/>
      <c r="F1070" s="38"/>
      <c r="G1070" s="38"/>
    </row>
    <row r="1071" spans="1:7" ht="16.5" customHeight="1" x14ac:dyDescent="0.25">
      <c r="A1071" s="39"/>
      <c r="B1071" s="39"/>
      <c r="C1071" s="39"/>
      <c r="D1071" s="40"/>
      <c r="E1071" s="39"/>
      <c r="F1071" s="38"/>
      <c r="G1071" s="38"/>
    </row>
    <row r="1072" spans="1:7" ht="16.5" customHeight="1" x14ac:dyDescent="0.25">
      <c r="A1072" s="39"/>
      <c r="B1072" s="39"/>
      <c r="C1072" s="39"/>
      <c r="D1072" s="40"/>
      <c r="E1072" s="39"/>
      <c r="F1072" s="38"/>
      <c r="G1072" s="38"/>
    </row>
    <row r="1073" spans="1:7" ht="16.5" customHeight="1" x14ac:dyDescent="0.25">
      <c r="A1073" s="39"/>
      <c r="B1073" s="39"/>
      <c r="C1073" s="39"/>
      <c r="D1073" s="40"/>
      <c r="E1073" s="39"/>
      <c r="F1073" s="38"/>
      <c r="G1073" s="38"/>
    </row>
    <row r="1074" spans="1:7" ht="16.5" customHeight="1" x14ac:dyDescent="0.25">
      <c r="A1074" s="39"/>
      <c r="B1074" s="39"/>
      <c r="C1074" s="39"/>
      <c r="D1074" s="40"/>
      <c r="E1074" s="39"/>
      <c r="F1074" s="38"/>
      <c r="G1074" s="38"/>
    </row>
    <row r="1075" spans="1:7" ht="16.5" customHeight="1" x14ac:dyDescent="0.25">
      <c r="A1075" s="39"/>
      <c r="B1075" s="39"/>
      <c r="C1075" s="39"/>
      <c r="D1075" s="40"/>
      <c r="E1075" s="39"/>
      <c r="F1075" s="38"/>
      <c r="G1075" s="38"/>
    </row>
    <row r="1076" spans="1:7" ht="16.5" customHeight="1" x14ac:dyDescent="0.25">
      <c r="A1076" s="39"/>
      <c r="B1076" s="39"/>
      <c r="C1076" s="39"/>
      <c r="D1076" s="40"/>
      <c r="E1076" s="39"/>
      <c r="F1076" s="38"/>
      <c r="G1076" s="38"/>
    </row>
    <row r="1077" spans="1:7" ht="16.5" customHeight="1" x14ac:dyDescent="0.25">
      <c r="A1077" s="39"/>
      <c r="B1077" s="39"/>
      <c r="C1077" s="39"/>
      <c r="D1077" s="40"/>
      <c r="E1077" s="39"/>
      <c r="F1077" s="38"/>
      <c r="G1077" s="38"/>
    </row>
    <row r="1078" spans="1:7" ht="16.5" customHeight="1" x14ac:dyDescent="0.25">
      <c r="A1078" s="39"/>
      <c r="B1078" s="39"/>
      <c r="C1078" s="39"/>
      <c r="D1078" s="40"/>
      <c r="E1078" s="39"/>
      <c r="F1078" s="38"/>
      <c r="G1078" s="38"/>
    </row>
    <row r="1079" spans="1:7" ht="16.5" customHeight="1" x14ac:dyDescent="0.25">
      <c r="A1079" s="39"/>
      <c r="B1079" s="39"/>
      <c r="C1079" s="39"/>
      <c r="D1079" s="40"/>
      <c r="E1079" s="39"/>
      <c r="F1079" s="38"/>
      <c r="G1079" s="38"/>
    </row>
    <row r="1080" spans="1:7" ht="16.5" customHeight="1" x14ac:dyDescent="0.25">
      <c r="A1080" s="39"/>
      <c r="B1080" s="39"/>
      <c r="C1080" s="39"/>
      <c r="D1080" s="40"/>
      <c r="E1080" s="39"/>
      <c r="F1080" s="38"/>
      <c r="G1080" s="38"/>
    </row>
    <row r="1081" spans="1:7" ht="16.5" customHeight="1" x14ac:dyDescent="0.25">
      <c r="A1081" s="39"/>
      <c r="B1081" s="39"/>
      <c r="C1081" s="39"/>
      <c r="D1081" s="40"/>
      <c r="E1081" s="39"/>
      <c r="F1081" s="38"/>
      <c r="G1081" s="38"/>
    </row>
    <row r="1082" spans="1:7" ht="16.5" customHeight="1" x14ac:dyDescent="0.25">
      <c r="A1082" s="39"/>
      <c r="B1082" s="39"/>
      <c r="C1082" s="39"/>
      <c r="D1082" s="40"/>
      <c r="E1082" s="39"/>
      <c r="F1082" s="38"/>
      <c r="G1082" s="38"/>
    </row>
    <row r="1083" spans="1:7" ht="16.5" customHeight="1" x14ac:dyDescent="0.25">
      <c r="A1083" s="39"/>
      <c r="B1083" s="39"/>
      <c r="C1083" s="39"/>
      <c r="D1083" s="40"/>
      <c r="E1083" s="39"/>
      <c r="F1083" s="38"/>
      <c r="G1083" s="38"/>
    </row>
    <row r="1084" spans="1:7" ht="16.5" customHeight="1" x14ac:dyDescent="0.25">
      <c r="A1084" s="39"/>
      <c r="B1084" s="39"/>
      <c r="C1084" s="39"/>
      <c r="D1084" s="40"/>
      <c r="E1084" s="39"/>
      <c r="F1084" s="38"/>
      <c r="G1084" s="38"/>
    </row>
    <row r="1085" spans="1:7" ht="16.5" customHeight="1" x14ac:dyDescent="0.25">
      <c r="A1085" s="39"/>
      <c r="B1085" s="39"/>
      <c r="C1085" s="39"/>
      <c r="D1085" s="40"/>
      <c r="E1085" s="39"/>
      <c r="F1085" s="38"/>
      <c r="G1085" s="38"/>
    </row>
    <row r="1086" spans="1:7" ht="16.5" customHeight="1" x14ac:dyDescent="0.25">
      <c r="A1086" s="39"/>
      <c r="B1086" s="39"/>
      <c r="C1086" s="39"/>
      <c r="D1086" s="40"/>
      <c r="E1086" s="39"/>
      <c r="F1086" s="38"/>
      <c r="G1086" s="38"/>
    </row>
    <row r="1087" spans="1:7" ht="16.5" customHeight="1" x14ac:dyDescent="0.25">
      <c r="A1087" s="39"/>
      <c r="B1087" s="39"/>
      <c r="C1087" s="39"/>
      <c r="D1087" s="40"/>
      <c r="E1087" s="39"/>
      <c r="F1087" s="38"/>
      <c r="G1087" s="38"/>
    </row>
    <row r="1088" spans="1:7" ht="16.5" customHeight="1" x14ac:dyDescent="0.25">
      <c r="A1088" s="39"/>
      <c r="B1088" s="39"/>
      <c r="C1088" s="39"/>
      <c r="D1088" s="40"/>
      <c r="E1088" s="39"/>
      <c r="F1088" s="38"/>
      <c r="G1088" s="38"/>
    </row>
    <row r="1089" spans="1:7" ht="16.5" customHeight="1" x14ac:dyDescent="0.25">
      <c r="A1089" s="39"/>
      <c r="B1089" s="39"/>
      <c r="C1089" s="39"/>
      <c r="D1089" s="40"/>
      <c r="E1089" s="39"/>
      <c r="F1089" s="38"/>
      <c r="G1089" s="38"/>
    </row>
    <row r="1090" spans="1:7" ht="16.5" customHeight="1" x14ac:dyDescent="0.25">
      <c r="A1090" s="39"/>
      <c r="B1090" s="39"/>
      <c r="C1090" s="39"/>
      <c r="D1090" s="40"/>
      <c r="E1090" s="39"/>
      <c r="F1090" s="38"/>
      <c r="G1090" s="38"/>
    </row>
    <row r="1091" spans="1:7" ht="16.5" customHeight="1" x14ac:dyDescent="0.25">
      <c r="A1091" s="39"/>
      <c r="B1091" s="39"/>
      <c r="C1091" s="39"/>
      <c r="D1091" s="40"/>
      <c r="E1091" s="39"/>
      <c r="F1091" s="38"/>
      <c r="G1091" s="38"/>
    </row>
    <row r="1092" spans="1:7" ht="16.5" customHeight="1" x14ac:dyDescent="0.25">
      <c r="A1092" s="39"/>
      <c r="B1092" s="39"/>
      <c r="C1092" s="39"/>
      <c r="D1092" s="40"/>
      <c r="E1092" s="39"/>
      <c r="F1092" s="38"/>
      <c r="G1092" s="38"/>
    </row>
    <row r="1093" spans="1:7" ht="16.5" customHeight="1" x14ac:dyDescent="0.25">
      <c r="A1093" s="39"/>
      <c r="B1093" s="39"/>
      <c r="C1093" s="39"/>
      <c r="D1093" s="40"/>
      <c r="E1093" s="39"/>
      <c r="F1093" s="38"/>
      <c r="G1093" s="38"/>
    </row>
    <row r="1094" spans="1:7" ht="16.5" customHeight="1" x14ac:dyDescent="0.25">
      <c r="A1094" s="39"/>
      <c r="B1094" s="39"/>
      <c r="C1094" s="39"/>
      <c r="D1094" s="40"/>
      <c r="E1094" s="39"/>
      <c r="F1094" s="38"/>
      <c r="G1094" s="38"/>
    </row>
    <row r="1095" spans="1:7" ht="16.5" customHeight="1" x14ac:dyDescent="0.25">
      <c r="A1095" s="39"/>
      <c r="B1095" s="39"/>
      <c r="C1095" s="39"/>
      <c r="D1095" s="40"/>
      <c r="E1095" s="39"/>
      <c r="F1095" s="38"/>
      <c r="G1095" s="38"/>
    </row>
    <row r="1096" spans="1:7" ht="16.5" customHeight="1" x14ac:dyDescent="0.25">
      <c r="A1096" s="39"/>
      <c r="B1096" s="39"/>
      <c r="C1096" s="39"/>
      <c r="D1096" s="40"/>
      <c r="E1096" s="39"/>
      <c r="F1096" s="38"/>
      <c r="G1096" s="38"/>
    </row>
    <row r="1097" spans="1:7" ht="16.5" customHeight="1" x14ac:dyDescent="0.25">
      <c r="A1097" s="39"/>
      <c r="B1097" s="39"/>
      <c r="C1097" s="39"/>
      <c r="D1097" s="40"/>
      <c r="E1097" s="39"/>
      <c r="F1097" s="38"/>
      <c r="G1097" s="38"/>
    </row>
    <row r="1098" spans="1:7" ht="16.5" customHeight="1" x14ac:dyDescent="0.25">
      <c r="A1098" s="39"/>
      <c r="B1098" s="39"/>
      <c r="C1098" s="39"/>
      <c r="D1098" s="40"/>
      <c r="E1098" s="39"/>
      <c r="F1098" s="38"/>
      <c r="G1098" s="38"/>
    </row>
    <row r="1099" spans="1:7" ht="16.5" customHeight="1" x14ac:dyDescent="0.25">
      <c r="A1099" s="39"/>
      <c r="B1099" s="39"/>
      <c r="C1099" s="39"/>
      <c r="D1099" s="40"/>
      <c r="E1099" s="39"/>
      <c r="F1099" s="38"/>
      <c r="G1099" s="38"/>
    </row>
    <row r="1100" spans="1:7" ht="16.5" customHeight="1" x14ac:dyDescent="0.25">
      <c r="A1100" s="39"/>
      <c r="B1100" s="39"/>
      <c r="C1100" s="39"/>
      <c r="D1100" s="40"/>
      <c r="E1100" s="39"/>
      <c r="F1100" s="38"/>
      <c r="G1100" s="38"/>
    </row>
    <row r="1101" spans="1:7" ht="16.5" customHeight="1" x14ac:dyDescent="0.25">
      <c r="A1101" s="39"/>
      <c r="B1101" s="39"/>
      <c r="C1101" s="39"/>
      <c r="D1101" s="40"/>
      <c r="E1101" s="39"/>
      <c r="F1101" s="38"/>
      <c r="G1101" s="38"/>
    </row>
    <row r="1102" spans="1:7" ht="16.5" customHeight="1" x14ac:dyDescent="0.25">
      <c r="A1102" s="39"/>
      <c r="B1102" s="39"/>
      <c r="C1102" s="39"/>
      <c r="D1102" s="40"/>
      <c r="E1102" s="39"/>
      <c r="F1102" s="38"/>
      <c r="G1102" s="38"/>
    </row>
    <row r="1103" spans="1:7" ht="16.5" customHeight="1" x14ac:dyDescent="0.25">
      <c r="A1103" s="39"/>
      <c r="B1103" s="39"/>
      <c r="C1103" s="39"/>
      <c r="D1103" s="40"/>
      <c r="E1103" s="39"/>
      <c r="F1103" s="38"/>
      <c r="G1103" s="38"/>
    </row>
    <row r="1104" spans="1:7" ht="16.5" customHeight="1" x14ac:dyDescent="0.25">
      <c r="A1104" s="39"/>
      <c r="B1104" s="39"/>
      <c r="C1104" s="39"/>
      <c r="D1104" s="40"/>
      <c r="E1104" s="39"/>
      <c r="F1104" s="38"/>
      <c r="G1104" s="38"/>
    </row>
    <row r="1105" spans="1:7" ht="16.5" customHeight="1" x14ac:dyDescent="0.25">
      <c r="A1105" s="39"/>
      <c r="B1105" s="39"/>
      <c r="C1105" s="39"/>
      <c r="D1105" s="40"/>
      <c r="E1105" s="39"/>
      <c r="F1105" s="38"/>
      <c r="G1105" s="38"/>
    </row>
    <row r="1106" spans="1:7" ht="16.5" customHeight="1" x14ac:dyDescent="0.25">
      <c r="A1106" s="39"/>
      <c r="B1106" s="39"/>
      <c r="C1106" s="39"/>
      <c r="D1106" s="40"/>
      <c r="E1106" s="39"/>
      <c r="F1106" s="38"/>
      <c r="G1106" s="38"/>
    </row>
    <row r="1107" spans="1:7" ht="16.5" customHeight="1" x14ac:dyDescent="0.25">
      <c r="A1107" s="39"/>
      <c r="B1107" s="39"/>
      <c r="C1107" s="39"/>
      <c r="D1107" s="40"/>
      <c r="E1107" s="39"/>
      <c r="F1107" s="38"/>
      <c r="G1107" s="38"/>
    </row>
    <row r="1108" spans="1:7" ht="16.5" customHeight="1" x14ac:dyDescent="0.25">
      <c r="A1108" s="39"/>
      <c r="B1108" s="39"/>
      <c r="C1108" s="39"/>
      <c r="D1108" s="40"/>
      <c r="E1108" s="39"/>
      <c r="F1108" s="38"/>
      <c r="G1108" s="38"/>
    </row>
    <row r="1109" spans="1:7" ht="16.5" customHeight="1" x14ac:dyDescent="0.25">
      <c r="A1109" s="39"/>
      <c r="B1109" s="39"/>
      <c r="C1109" s="39"/>
      <c r="D1109" s="40"/>
      <c r="E1109" s="39"/>
      <c r="F1109" s="38"/>
      <c r="G1109" s="38"/>
    </row>
    <row r="1110" spans="1:7" ht="16.5" customHeight="1" x14ac:dyDescent="0.25">
      <c r="A1110" s="39"/>
      <c r="B1110" s="39"/>
      <c r="C1110" s="39"/>
      <c r="D1110" s="40"/>
      <c r="E1110" s="39"/>
      <c r="F1110" s="38"/>
      <c r="G1110" s="38"/>
    </row>
    <row r="1111" spans="1:7" ht="16.5" customHeight="1" x14ac:dyDescent="0.25">
      <c r="A1111" s="39"/>
      <c r="B1111" s="39"/>
      <c r="C1111" s="39"/>
      <c r="D1111" s="40"/>
      <c r="E1111" s="39"/>
      <c r="F1111" s="38"/>
      <c r="G1111" s="38"/>
    </row>
    <row r="1112" spans="1:7" ht="16.5" customHeight="1" x14ac:dyDescent="0.25">
      <c r="A1112" s="39"/>
      <c r="B1112" s="39"/>
      <c r="C1112" s="39"/>
      <c r="D1112" s="40"/>
      <c r="E1112" s="39"/>
      <c r="F1112" s="38"/>
      <c r="G1112" s="38"/>
    </row>
    <row r="1113" spans="1:7" ht="16.5" customHeight="1" x14ac:dyDescent="0.25">
      <c r="A1113" s="39"/>
      <c r="B1113" s="39"/>
      <c r="C1113" s="39"/>
      <c r="D1113" s="40"/>
      <c r="E1113" s="39"/>
      <c r="F1113" s="38"/>
      <c r="G1113" s="38"/>
    </row>
    <row r="1114" spans="1:7" ht="16.5" customHeight="1" x14ac:dyDescent="0.25">
      <c r="A1114" s="39"/>
      <c r="B1114" s="39"/>
      <c r="C1114" s="39"/>
      <c r="D1114" s="40"/>
      <c r="E1114" s="39"/>
      <c r="F1114" s="38"/>
      <c r="G1114" s="38"/>
    </row>
    <row r="1115" spans="1:7" ht="16.5" customHeight="1" x14ac:dyDescent="0.25">
      <c r="A1115" s="39"/>
      <c r="B1115" s="39"/>
      <c r="C1115" s="39"/>
      <c r="D1115" s="40"/>
      <c r="E1115" s="39"/>
      <c r="F1115" s="38"/>
      <c r="G1115" s="38"/>
    </row>
    <row r="1116" spans="1:7" ht="16.5" customHeight="1" x14ac:dyDescent="0.25">
      <c r="A1116" s="39"/>
      <c r="B1116" s="39"/>
      <c r="C1116" s="39"/>
      <c r="D1116" s="40"/>
      <c r="E1116" s="39"/>
      <c r="F1116" s="38"/>
      <c r="G1116" s="38"/>
    </row>
    <row r="1117" spans="1:7" ht="16.5" customHeight="1" x14ac:dyDescent="0.25">
      <c r="A1117" s="39"/>
      <c r="B1117" s="39"/>
      <c r="C1117" s="39"/>
      <c r="D1117" s="40"/>
      <c r="E1117" s="39"/>
      <c r="F1117" s="38"/>
      <c r="G1117" s="38"/>
    </row>
    <row r="1118" spans="1:7" ht="16.5" customHeight="1" x14ac:dyDescent="0.25">
      <c r="A1118" s="39"/>
      <c r="B1118" s="39"/>
      <c r="C1118" s="39"/>
      <c r="D1118" s="40"/>
      <c r="E1118" s="39"/>
      <c r="F1118" s="38"/>
      <c r="G1118" s="38"/>
    </row>
    <row r="1119" spans="1:7" ht="16.5" customHeight="1" x14ac:dyDescent="0.25">
      <c r="A1119" s="39"/>
      <c r="B1119" s="39"/>
      <c r="C1119" s="39"/>
      <c r="D1119" s="40"/>
      <c r="E1119" s="39"/>
      <c r="F1119" s="38"/>
      <c r="G1119" s="38"/>
    </row>
    <row r="1120" spans="1:7" ht="16.5" customHeight="1" x14ac:dyDescent="0.25">
      <c r="A1120" s="39"/>
      <c r="B1120" s="39"/>
      <c r="C1120" s="39"/>
      <c r="D1120" s="40"/>
      <c r="E1120" s="39"/>
      <c r="F1120" s="38"/>
      <c r="G1120" s="38"/>
    </row>
    <row r="1121" spans="1:7" ht="16.5" customHeight="1" x14ac:dyDescent="0.25">
      <c r="A1121" s="39"/>
      <c r="B1121" s="39"/>
      <c r="C1121" s="39"/>
      <c r="D1121" s="40"/>
      <c r="E1121" s="39"/>
      <c r="F1121" s="38"/>
      <c r="G1121" s="38"/>
    </row>
    <row r="1122" spans="1:7" ht="16.5" customHeight="1" x14ac:dyDescent="0.25">
      <c r="A1122" s="39"/>
      <c r="B1122" s="39"/>
      <c r="C1122" s="39"/>
      <c r="D1122" s="40"/>
      <c r="E1122" s="39"/>
      <c r="F1122" s="38"/>
      <c r="G1122" s="38"/>
    </row>
    <row r="1123" spans="1:7" ht="16.5" customHeight="1" x14ac:dyDescent="0.25">
      <c r="A1123" s="39"/>
      <c r="B1123" s="39"/>
      <c r="C1123" s="39"/>
      <c r="D1123" s="40"/>
      <c r="E1123" s="39"/>
      <c r="F1123" s="38"/>
      <c r="G1123" s="38"/>
    </row>
    <row r="1124" spans="1:7" ht="16.5" customHeight="1" x14ac:dyDescent="0.25">
      <c r="A1124" s="39"/>
      <c r="B1124" s="39"/>
      <c r="C1124" s="39"/>
      <c r="D1124" s="40"/>
      <c r="E1124" s="39"/>
      <c r="F1124" s="38"/>
      <c r="G1124" s="38"/>
    </row>
    <row r="1125" spans="1:7" ht="16.5" customHeight="1" x14ac:dyDescent="0.25">
      <c r="A1125" s="39"/>
      <c r="B1125" s="39"/>
      <c r="C1125" s="39"/>
      <c r="D1125" s="40"/>
      <c r="E1125" s="39"/>
      <c r="F1125" s="38"/>
      <c r="G1125" s="38"/>
    </row>
    <row r="1126" spans="1:7" ht="16.5" customHeight="1" x14ac:dyDescent="0.25">
      <c r="A1126" s="39"/>
      <c r="B1126" s="39"/>
      <c r="C1126" s="39"/>
      <c r="D1126" s="40"/>
      <c r="E1126" s="39"/>
      <c r="F1126" s="38"/>
      <c r="G1126" s="38"/>
    </row>
    <row r="1127" spans="1:7" ht="16.5" customHeight="1" x14ac:dyDescent="0.25">
      <c r="A1127" s="39"/>
      <c r="B1127" s="39"/>
      <c r="C1127" s="39"/>
      <c r="D1127" s="40"/>
      <c r="E1127" s="39"/>
      <c r="F1127" s="38"/>
      <c r="G1127" s="38"/>
    </row>
    <row r="1128" spans="1:7" ht="16.5" customHeight="1" x14ac:dyDescent="0.25">
      <c r="A1128" s="39"/>
      <c r="B1128" s="39"/>
      <c r="C1128" s="39"/>
      <c r="D1128" s="40"/>
      <c r="E1128" s="39"/>
      <c r="F1128" s="38"/>
      <c r="G1128" s="38"/>
    </row>
    <row r="1129" spans="1:7" ht="16.5" customHeight="1" x14ac:dyDescent="0.25">
      <c r="A1129" s="39"/>
      <c r="B1129" s="39"/>
      <c r="C1129" s="39"/>
      <c r="D1129" s="40"/>
      <c r="E1129" s="39"/>
      <c r="F1129" s="38"/>
      <c r="G1129" s="38"/>
    </row>
    <row r="1130" spans="1:7" ht="16.5" customHeight="1" x14ac:dyDescent="0.25">
      <c r="A1130" s="39"/>
      <c r="B1130" s="39"/>
      <c r="C1130" s="39"/>
      <c r="D1130" s="40"/>
      <c r="E1130" s="39"/>
      <c r="F1130" s="38"/>
      <c r="G1130" s="38"/>
    </row>
    <row r="1131" spans="1:7" ht="16.5" customHeight="1" x14ac:dyDescent="0.25">
      <c r="A1131" s="39"/>
      <c r="B1131" s="39"/>
      <c r="C1131" s="39"/>
      <c r="D1131" s="40"/>
      <c r="E1131" s="39"/>
      <c r="F1131" s="38"/>
      <c r="G1131" s="38"/>
    </row>
    <row r="1132" spans="1:7" ht="16.5" customHeight="1" x14ac:dyDescent="0.25">
      <c r="A1132" s="39"/>
      <c r="B1132" s="39"/>
      <c r="C1132" s="39"/>
      <c r="D1132" s="40"/>
      <c r="E1132" s="39"/>
      <c r="F1132" s="38"/>
      <c r="G1132" s="38"/>
    </row>
    <row r="1133" spans="1:7" ht="16.5" customHeight="1" x14ac:dyDescent="0.25">
      <c r="A1133" s="39"/>
      <c r="B1133" s="39"/>
      <c r="C1133" s="39"/>
      <c r="D1133" s="40"/>
      <c r="E1133" s="39"/>
      <c r="F1133" s="38"/>
      <c r="G1133" s="38"/>
    </row>
    <row r="1134" spans="1:7" ht="16.5" customHeight="1" x14ac:dyDescent="0.25">
      <c r="A1134" s="39"/>
      <c r="B1134" s="39"/>
      <c r="C1134" s="39"/>
      <c r="D1134" s="40"/>
      <c r="E1134" s="39"/>
      <c r="F1134" s="38"/>
      <c r="G1134" s="38"/>
    </row>
    <row r="1135" spans="1:7" ht="16.5" customHeight="1" x14ac:dyDescent="0.25">
      <c r="A1135" s="39"/>
      <c r="B1135" s="39"/>
      <c r="C1135" s="39"/>
      <c r="D1135" s="40"/>
      <c r="E1135" s="39"/>
      <c r="F1135" s="38"/>
      <c r="G1135" s="38"/>
    </row>
    <row r="1136" spans="1:7" ht="16.5" customHeight="1" x14ac:dyDescent="0.25">
      <c r="A1136" s="39"/>
      <c r="B1136" s="39"/>
      <c r="C1136" s="39"/>
      <c r="D1136" s="40"/>
      <c r="E1136" s="39"/>
      <c r="F1136" s="38"/>
      <c r="G1136" s="38"/>
    </row>
    <row r="1137" spans="1:7" ht="16.5" customHeight="1" x14ac:dyDescent="0.25">
      <c r="A1137" s="39"/>
      <c r="B1137" s="39"/>
      <c r="C1137" s="39"/>
      <c r="D1137" s="40"/>
      <c r="E1137" s="39"/>
      <c r="F1137" s="38"/>
      <c r="G1137" s="38"/>
    </row>
    <row r="1138" spans="1:7" ht="16.5" customHeight="1" x14ac:dyDescent="0.25">
      <c r="A1138" s="39"/>
      <c r="B1138" s="39"/>
      <c r="C1138" s="39"/>
      <c r="D1138" s="40"/>
      <c r="E1138" s="39"/>
      <c r="F1138" s="38"/>
      <c r="G1138" s="38"/>
    </row>
    <row r="1139" spans="1:7" ht="16.5" customHeight="1" x14ac:dyDescent="0.25">
      <c r="A1139" s="39"/>
      <c r="B1139" s="39"/>
      <c r="C1139" s="39"/>
      <c r="D1139" s="40"/>
      <c r="E1139" s="39"/>
      <c r="F1139" s="38"/>
      <c r="G1139" s="38"/>
    </row>
    <row r="1140" spans="1:7" ht="16.5" customHeight="1" x14ac:dyDescent="0.25">
      <c r="A1140" s="39"/>
      <c r="B1140" s="39"/>
      <c r="C1140" s="39"/>
      <c r="D1140" s="40"/>
      <c r="E1140" s="39"/>
      <c r="F1140" s="38"/>
      <c r="G1140" s="38"/>
    </row>
    <row r="1141" spans="1:7" ht="16.5" customHeight="1" x14ac:dyDescent="0.25">
      <c r="A1141" s="39"/>
      <c r="B1141" s="39"/>
      <c r="C1141" s="39"/>
      <c r="D1141" s="40"/>
      <c r="E1141" s="39"/>
      <c r="F1141" s="38"/>
      <c r="G1141" s="38"/>
    </row>
    <row r="1142" spans="1:7" ht="16.5" customHeight="1" x14ac:dyDescent="0.25">
      <c r="A1142" s="39"/>
      <c r="B1142" s="39"/>
      <c r="C1142" s="39"/>
      <c r="D1142" s="40"/>
      <c r="E1142" s="39"/>
      <c r="F1142" s="38"/>
      <c r="G1142" s="38"/>
    </row>
    <row r="1143" spans="1:7" ht="16.5" customHeight="1" x14ac:dyDescent="0.25">
      <c r="A1143" s="39"/>
      <c r="B1143" s="39"/>
      <c r="C1143" s="39"/>
      <c r="D1143" s="40"/>
      <c r="E1143" s="39"/>
      <c r="F1143" s="38"/>
      <c r="G1143" s="38"/>
    </row>
    <row r="1144" spans="1:7" ht="16.5" customHeight="1" x14ac:dyDescent="0.25">
      <c r="A1144" s="39"/>
      <c r="B1144" s="39"/>
      <c r="C1144" s="39"/>
      <c r="D1144" s="40"/>
      <c r="E1144" s="39"/>
      <c r="F1144" s="38"/>
      <c r="G1144" s="38"/>
    </row>
    <row r="1145" spans="1:7" ht="16.5" customHeight="1" x14ac:dyDescent="0.25">
      <c r="A1145" s="39"/>
      <c r="B1145" s="39"/>
      <c r="C1145" s="39"/>
      <c r="D1145" s="40"/>
      <c r="E1145" s="39"/>
      <c r="F1145" s="38"/>
      <c r="G1145" s="38"/>
    </row>
    <row r="1146" spans="1:7" ht="16.5" customHeight="1" x14ac:dyDescent="0.25">
      <c r="A1146" s="39"/>
      <c r="B1146" s="39"/>
      <c r="C1146" s="39"/>
      <c r="D1146" s="40"/>
      <c r="E1146" s="39"/>
      <c r="F1146" s="38"/>
      <c r="G1146" s="38"/>
    </row>
    <row r="1147" spans="1:7" ht="16.5" customHeight="1" x14ac:dyDescent="0.25">
      <c r="A1147" s="39"/>
      <c r="B1147" s="39"/>
      <c r="C1147" s="39"/>
      <c r="D1147" s="40"/>
      <c r="E1147" s="39"/>
      <c r="F1147" s="38"/>
      <c r="G1147" s="38"/>
    </row>
    <row r="1148" spans="1:7" ht="16.5" customHeight="1" x14ac:dyDescent="0.25">
      <c r="A1148" s="39"/>
      <c r="B1148" s="39"/>
      <c r="C1148" s="39"/>
      <c r="D1148" s="40"/>
      <c r="E1148" s="39"/>
      <c r="F1148" s="38"/>
      <c r="G1148" s="38"/>
    </row>
    <row r="1149" spans="1:7" ht="16.5" customHeight="1" x14ac:dyDescent="0.25">
      <c r="A1149" s="39"/>
      <c r="B1149" s="39"/>
      <c r="C1149" s="39"/>
      <c r="D1149" s="40"/>
      <c r="E1149" s="39"/>
      <c r="F1149" s="38"/>
      <c r="G1149" s="38"/>
    </row>
    <row r="1150" spans="1:7" ht="16.5" customHeight="1" x14ac:dyDescent="0.25">
      <c r="A1150" s="39"/>
      <c r="B1150" s="39"/>
      <c r="C1150" s="39"/>
      <c r="D1150" s="40"/>
      <c r="E1150" s="39"/>
      <c r="F1150" s="38"/>
      <c r="G1150" s="38"/>
    </row>
    <row r="1151" spans="1:7" ht="16.5" customHeight="1" x14ac:dyDescent="0.25">
      <c r="A1151" s="39"/>
      <c r="B1151" s="39"/>
      <c r="C1151" s="39"/>
      <c r="D1151" s="40"/>
      <c r="E1151" s="39"/>
      <c r="F1151" s="38"/>
      <c r="G1151" s="38"/>
    </row>
    <row r="1152" spans="1:7" ht="16.5" customHeight="1" x14ac:dyDescent="0.25">
      <c r="A1152" s="39"/>
      <c r="B1152" s="39"/>
      <c r="C1152" s="39"/>
      <c r="D1152" s="40"/>
      <c r="E1152" s="39"/>
      <c r="F1152" s="38"/>
      <c r="G1152" s="38"/>
    </row>
    <row r="1153" spans="1:7" ht="16.5" customHeight="1" x14ac:dyDescent="0.25">
      <c r="A1153" s="39"/>
      <c r="B1153" s="39"/>
      <c r="C1153" s="39"/>
      <c r="D1153" s="40"/>
      <c r="E1153" s="39"/>
      <c r="F1153" s="38"/>
      <c r="G1153" s="38"/>
    </row>
    <row r="1154" spans="1:7" ht="16.5" customHeight="1" x14ac:dyDescent="0.25">
      <c r="A1154" s="39"/>
      <c r="B1154" s="39"/>
      <c r="C1154" s="39"/>
      <c r="D1154" s="40"/>
      <c r="E1154" s="39"/>
      <c r="F1154" s="38"/>
      <c r="G1154" s="38"/>
    </row>
    <row r="1155" spans="1:7" ht="16.5" customHeight="1" x14ac:dyDescent="0.25">
      <c r="A1155" s="39"/>
      <c r="B1155" s="39"/>
      <c r="C1155" s="39"/>
      <c r="D1155" s="40"/>
      <c r="E1155" s="39"/>
      <c r="F1155" s="38"/>
      <c r="G1155" s="38"/>
    </row>
    <row r="1156" spans="1:7" ht="16.5" customHeight="1" x14ac:dyDescent="0.25">
      <c r="A1156" s="39"/>
      <c r="B1156" s="39"/>
      <c r="C1156" s="39"/>
      <c r="D1156" s="40"/>
      <c r="E1156" s="39"/>
      <c r="F1156" s="38"/>
      <c r="G1156" s="38"/>
    </row>
    <row r="1157" spans="1:7" ht="16.5" customHeight="1" x14ac:dyDescent="0.25">
      <c r="A1157" s="39"/>
      <c r="B1157" s="39"/>
      <c r="C1157" s="39"/>
      <c r="D1157" s="40"/>
      <c r="E1157" s="39"/>
      <c r="F1157" s="38"/>
      <c r="G1157" s="38"/>
    </row>
    <row r="1158" spans="1:7" ht="16.5" customHeight="1" x14ac:dyDescent="0.25">
      <c r="A1158" s="39"/>
      <c r="B1158" s="39"/>
      <c r="C1158" s="39"/>
      <c r="D1158" s="40"/>
      <c r="E1158" s="39"/>
      <c r="F1158" s="38"/>
      <c r="G1158" s="38"/>
    </row>
    <row r="1159" spans="1:7" ht="16.5" customHeight="1" x14ac:dyDescent="0.25">
      <c r="A1159" s="39"/>
      <c r="B1159" s="39"/>
      <c r="C1159" s="39"/>
      <c r="D1159" s="40"/>
      <c r="E1159" s="39"/>
      <c r="F1159" s="38"/>
      <c r="G1159" s="38"/>
    </row>
    <row r="1160" spans="1:7" ht="16.5" customHeight="1" x14ac:dyDescent="0.25">
      <c r="A1160" s="39"/>
      <c r="B1160" s="39"/>
      <c r="C1160" s="39"/>
      <c r="D1160" s="40"/>
      <c r="E1160" s="39"/>
      <c r="F1160" s="38"/>
      <c r="G1160" s="38"/>
    </row>
    <row r="1161" spans="1:7" ht="16.5" customHeight="1" x14ac:dyDescent="0.25">
      <c r="A1161" s="39"/>
      <c r="B1161" s="39"/>
      <c r="C1161" s="39"/>
      <c r="D1161" s="40"/>
      <c r="E1161" s="39"/>
      <c r="F1161" s="38"/>
      <c r="G1161" s="38"/>
    </row>
    <row r="1162" spans="1:7" ht="16.5" customHeight="1" x14ac:dyDescent="0.25">
      <c r="A1162" s="39"/>
      <c r="B1162" s="39"/>
      <c r="C1162" s="39"/>
      <c r="D1162" s="40"/>
      <c r="E1162" s="39"/>
      <c r="F1162" s="38"/>
      <c r="G1162" s="38"/>
    </row>
    <row r="1163" spans="1:7" ht="16.5" customHeight="1" x14ac:dyDescent="0.25">
      <c r="A1163" s="39"/>
      <c r="B1163" s="39"/>
      <c r="C1163" s="39"/>
      <c r="D1163" s="40"/>
      <c r="E1163" s="39"/>
      <c r="F1163" s="38"/>
      <c r="G1163" s="38"/>
    </row>
    <row r="1164" spans="1:7" ht="16.5" customHeight="1" x14ac:dyDescent="0.25">
      <c r="A1164" s="39"/>
      <c r="B1164" s="39"/>
      <c r="C1164" s="39"/>
      <c r="D1164" s="40"/>
      <c r="E1164" s="39"/>
      <c r="F1164" s="38"/>
      <c r="G1164" s="38"/>
    </row>
    <row r="1165" spans="1:7" ht="16.5" customHeight="1" x14ac:dyDescent="0.25">
      <c r="A1165" s="39"/>
      <c r="B1165" s="39"/>
      <c r="C1165" s="39"/>
      <c r="D1165" s="40"/>
      <c r="E1165" s="39"/>
      <c r="F1165" s="38"/>
      <c r="G1165" s="38"/>
    </row>
    <row r="1166" spans="1:7" ht="16.5" customHeight="1" x14ac:dyDescent="0.25">
      <c r="A1166" s="39"/>
      <c r="B1166" s="39"/>
      <c r="C1166" s="39"/>
      <c r="D1166" s="40"/>
      <c r="E1166" s="39"/>
      <c r="F1166" s="38"/>
      <c r="G1166" s="38"/>
    </row>
    <row r="1167" spans="1:7" ht="16.5" customHeight="1" x14ac:dyDescent="0.25">
      <c r="A1167" s="39"/>
      <c r="B1167" s="39"/>
      <c r="C1167" s="39"/>
      <c r="D1167" s="40"/>
      <c r="E1167" s="39"/>
      <c r="F1167" s="38"/>
      <c r="G1167" s="38"/>
    </row>
    <row r="1168" spans="1:7" ht="16.5" customHeight="1" x14ac:dyDescent="0.25">
      <c r="A1168" s="39"/>
      <c r="B1168" s="39"/>
      <c r="C1168" s="39"/>
      <c r="D1168" s="40"/>
      <c r="E1168" s="39"/>
      <c r="F1168" s="38"/>
      <c r="G1168" s="38"/>
    </row>
    <row r="1169" spans="1:7" ht="16.5" customHeight="1" x14ac:dyDescent="0.25">
      <c r="A1169" s="39"/>
      <c r="B1169" s="39"/>
      <c r="C1169" s="39"/>
      <c r="D1169" s="40"/>
      <c r="E1169" s="39"/>
      <c r="F1169" s="38"/>
      <c r="G1169" s="38"/>
    </row>
    <row r="1170" spans="1:7" ht="16.5" customHeight="1" x14ac:dyDescent="0.25">
      <c r="A1170" s="39"/>
      <c r="B1170" s="39"/>
      <c r="C1170" s="39"/>
      <c r="D1170" s="40"/>
      <c r="E1170" s="39"/>
      <c r="F1170" s="38"/>
      <c r="G1170" s="38"/>
    </row>
    <row r="1171" spans="1:7" ht="16.5" customHeight="1" x14ac:dyDescent="0.25">
      <c r="A1171" s="39"/>
      <c r="B1171" s="39"/>
      <c r="C1171" s="39"/>
      <c r="D1171" s="40"/>
      <c r="E1171" s="39"/>
      <c r="F1171" s="38"/>
      <c r="G1171" s="38"/>
    </row>
    <row r="1172" spans="1:7" ht="16.5" customHeight="1" x14ac:dyDescent="0.25">
      <c r="A1172" s="39"/>
      <c r="B1172" s="39"/>
      <c r="C1172" s="39"/>
      <c r="D1172" s="40"/>
      <c r="E1172" s="39"/>
      <c r="F1172" s="38"/>
      <c r="G1172" s="38"/>
    </row>
    <row r="1173" spans="1:7" ht="16.5" customHeight="1" x14ac:dyDescent="0.25">
      <c r="A1173" s="39"/>
      <c r="B1173" s="39"/>
      <c r="C1173" s="39"/>
      <c r="D1173" s="40"/>
      <c r="E1173" s="39"/>
      <c r="F1173" s="38"/>
      <c r="G1173" s="38"/>
    </row>
    <row r="1174" spans="1:7" ht="16.5" customHeight="1" x14ac:dyDescent="0.25">
      <c r="A1174" s="39"/>
      <c r="B1174" s="39"/>
      <c r="C1174" s="39"/>
      <c r="D1174" s="40"/>
      <c r="E1174" s="39"/>
      <c r="F1174" s="38"/>
      <c r="G1174" s="38"/>
    </row>
    <row r="1175" spans="1:7" ht="16.5" customHeight="1" x14ac:dyDescent="0.25">
      <c r="A1175" s="39"/>
      <c r="B1175" s="39"/>
      <c r="C1175" s="39"/>
      <c r="D1175" s="40"/>
      <c r="E1175" s="39"/>
      <c r="F1175" s="38"/>
      <c r="G1175" s="38"/>
    </row>
    <row r="1176" spans="1:7" ht="16.5" customHeight="1" x14ac:dyDescent="0.25">
      <c r="A1176" s="39"/>
      <c r="B1176" s="39"/>
      <c r="C1176" s="39"/>
      <c r="D1176" s="40"/>
      <c r="E1176" s="39"/>
      <c r="F1176" s="38"/>
      <c r="G1176" s="38"/>
    </row>
    <row r="1177" spans="1:7" ht="16.5" customHeight="1" x14ac:dyDescent="0.25">
      <c r="A1177" s="39"/>
      <c r="B1177" s="39"/>
      <c r="C1177" s="39"/>
      <c r="D1177" s="40"/>
      <c r="E1177" s="39"/>
      <c r="F1177" s="38"/>
      <c r="G1177" s="38"/>
    </row>
    <row r="1178" spans="1:7" ht="16.5" customHeight="1" x14ac:dyDescent="0.25">
      <c r="A1178" s="39"/>
      <c r="B1178" s="39"/>
      <c r="C1178" s="39"/>
      <c r="D1178" s="40"/>
      <c r="E1178" s="39"/>
      <c r="F1178" s="38"/>
      <c r="G1178" s="38"/>
    </row>
    <row r="1179" spans="1:7" ht="16.5" customHeight="1" x14ac:dyDescent="0.25">
      <c r="A1179" s="39"/>
      <c r="B1179" s="39"/>
      <c r="C1179" s="39"/>
      <c r="D1179" s="40"/>
      <c r="E1179" s="39"/>
      <c r="F1179" s="38"/>
      <c r="G1179" s="38"/>
    </row>
    <row r="1180" spans="1:7" ht="16.5" customHeight="1" x14ac:dyDescent="0.25">
      <c r="A1180" s="39"/>
      <c r="B1180" s="39"/>
      <c r="C1180" s="39"/>
      <c r="D1180" s="40"/>
      <c r="E1180" s="39"/>
      <c r="F1180" s="38"/>
      <c r="G1180" s="38"/>
    </row>
    <row r="1181" spans="1:7" ht="16.5" customHeight="1" x14ac:dyDescent="0.25">
      <c r="A1181" s="39"/>
      <c r="B1181" s="39"/>
      <c r="C1181" s="39"/>
      <c r="D1181" s="40"/>
      <c r="E1181" s="39"/>
      <c r="F1181" s="38"/>
      <c r="G1181" s="38"/>
    </row>
    <row r="1182" spans="1:7" ht="16.5" customHeight="1" x14ac:dyDescent="0.25">
      <c r="A1182" s="39"/>
      <c r="B1182" s="39"/>
      <c r="C1182" s="39"/>
      <c r="D1182" s="40"/>
      <c r="E1182" s="39"/>
      <c r="F1182" s="38"/>
      <c r="G1182" s="38"/>
    </row>
    <row r="1183" spans="1:7" ht="16.5" customHeight="1" x14ac:dyDescent="0.25">
      <c r="A1183" s="39"/>
      <c r="B1183" s="39"/>
      <c r="C1183" s="39"/>
      <c r="D1183" s="40"/>
      <c r="E1183" s="39"/>
      <c r="F1183" s="38"/>
      <c r="G1183" s="38"/>
    </row>
    <row r="1184" spans="1:7" ht="16.5" customHeight="1" x14ac:dyDescent="0.25">
      <c r="A1184" s="39"/>
      <c r="B1184" s="39"/>
      <c r="C1184" s="39"/>
      <c r="D1184" s="40"/>
      <c r="E1184" s="39"/>
      <c r="F1184" s="38"/>
      <c r="G1184" s="38"/>
    </row>
    <row r="1185" spans="1:7" ht="16.5" customHeight="1" x14ac:dyDescent="0.25">
      <c r="A1185" s="39"/>
      <c r="B1185" s="39"/>
      <c r="C1185" s="39"/>
      <c r="D1185" s="40"/>
      <c r="E1185" s="39"/>
      <c r="F1185" s="38"/>
      <c r="G1185" s="38"/>
    </row>
    <row r="1186" spans="1:7" ht="16.5" customHeight="1" x14ac:dyDescent="0.25">
      <c r="A1186" s="39"/>
      <c r="B1186" s="39"/>
      <c r="C1186" s="39"/>
      <c r="D1186" s="40"/>
      <c r="E1186" s="39"/>
      <c r="F1186" s="38"/>
      <c r="G1186" s="38"/>
    </row>
    <row r="1187" spans="1:7" ht="16.5" customHeight="1" x14ac:dyDescent="0.25">
      <c r="A1187" s="39"/>
      <c r="B1187" s="39"/>
      <c r="C1187" s="39"/>
      <c r="D1187" s="40"/>
      <c r="E1187" s="39"/>
      <c r="F1187" s="38"/>
      <c r="G1187" s="38"/>
    </row>
    <row r="1188" spans="1:7" ht="16.5" customHeight="1" x14ac:dyDescent="0.25">
      <c r="A1188" s="39"/>
      <c r="B1188" s="39"/>
      <c r="C1188" s="39"/>
      <c r="D1188" s="40"/>
      <c r="E1188" s="39"/>
      <c r="F1188" s="38"/>
      <c r="G1188" s="38"/>
    </row>
    <row r="1189" spans="1:7" ht="16.5" customHeight="1" x14ac:dyDescent="0.25">
      <c r="A1189" s="39"/>
      <c r="B1189" s="39"/>
      <c r="C1189" s="39"/>
      <c r="D1189" s="40"/>
      <c r="E1189" s="39"/>
      <c r="F1189" s="38"/>
      <c r="G1189" s="38"/>
    </row>
    <row r="1190" spans="1:7" ht="16.5" customHeight="1" x14ac:dyDescent="0.25">
      <c r="A1190" s="39"/>
      <c r="B1190" s="39"/>
      <c r="C1190" s="39"/>
      <c r="D1190" s="40"/>
      <c r="E1190" s="39"/>
      <c r="F1190" s="38"/>
      <c r="G1190" s="38"/>
    </row>
    <row r="1191" spans="1:7" ht="16.5" customHeight="1" x14ac:dyDescent="0.25">
      <c r="A1191" s="39"/>
      <c r="B1191" s="39"/>
      <c r="C1191" s="39"/>
      <c r="D1191" s="40"/>
      <c r="E1191" s="39"/>
      <c r="F1191" s="38"/>
      <c r="G1191" s="38"/>
    </row>
    <row r="1192" spans="1:7" ht="16.5" customHeight="1" x14ac:dyDescent="0.25">
      <c r="A1192" s="39"/>
      <c r="B1192" s="39"/>
      <c r="C1192" s="39"/>
      <c r="D1192" s="40"/>
      <c r="E1192" s="39"/>
      <c r="F1192" s="38"/>
      <c r="G1192" s="38"/>
    </row>
    <row r="1193" spans="1:7" ht="16.5" customHeight="1" x14ac:dyDescent="0.25">
      <c r="A1193" s="39"/>
      <c r="B1193" s="39"/>
      <c r="C1193" s="39"/>
      <c r="D1193" s="40"/>
      <c r="E1193" s="39"/>
      <c r="F1193" s="38"/>
      <c r="G1193" s="38"/>
    </row>
    <row r="1194" spans="1:7" ht="16.5" customHeight="1" x14ac:dyDescent="0.25">
      <c r="A1194" s="39"/>
      <c r="B1194" s="39"/>
      <c r="C1194" s="39"/>
      <c r="D1194" s="40"/>
      <c r="E1194" s="39"/>
      <c r="F1194" s="38"/>
      <c r="G1194" s="38"/>
    </row>
    <row r="1195" spans="1:7" ht="16.5" customHeight="1" x14ac:dyDescent="0.25">
      <c r="A1195" s="39"/>
      <c r="B1195" s="39"/>
      <c r="C1195" s="39"/>
      <c r="D1195" s="40"/>
      <c r="E1195" s="39"/>
      <c r="F1195" s="38"/>
      <c r="G1195" s="38"/>
    </row>
    <row r="1196" spans="1:7" ht="16.5" customHeight="1" x14ac:dyDescent="0.25">
      <c r="A1196" s="39"/>
      <c r="B1196" s="39"/>
      <c r="C1196" s="39"/>
      <c r="D1196" s="40"/>
      <c r="E1196" s="39"/>
      <c r="F1196" s="38"/>
      <c r="G1196" s="38"/>
    </row>
    <row r="1197" spans="1:7" ht="16.5" customHeight="1" x14ac:dyDescent="0.25">
      <c r="A1197" s="39"/>
      <c r="B1197" s="39"/>
      <c r="C1197" s="39"/>
      <c r="D1197" s="40"/>
      <c r="E1197" s="39"/>
      <c r="F1197" s="38"/>
      <c r="G1197" s="38"/>
    </row>
    <row r="1198" spans="1:7" ht="16.5" customHeight="1" x14ac:dyDescent="0.25">
      <c r="A1198" s="39"/>
      <c r="B1198" s="39"/>
      <c r="C1198" s="39"/>
      <c r="D1198" s="40"/>
      <c r="E1198" s="39"/>
      <c r="F1198" s="38"/>
      <c r="G1198" s="38"/>
    </row>
    <row r="1199" spans="1:7" ht="16.5" customHeight="1" x14ac:dyDescent="0.25">
      <c r="A1199" s="39"/>
      <c r="B1199" s="39"/>
      <c r="C1199" s="39"/>
      <c r="D1199" s="40"/>
      <c r="E1199" s="39"/>
      <c r="F1199" s="38"/>
      <c r="G1199" s="38"/>
    </row>
    <row r="1200" spans="1:7" ht="16.5" customHeight="1" x14ac:dyDescent="0.25">
      <c r="A1200" s="39"/>
      <c r="B1200" s="39"/>
      <c r="C1200" s="39"/>
      <c r="D1200" s="40"/>
      <c r="E1200" s="39"/>
      <c r="F1200" s="38"/>
      <c r="G1200" s="38"/>
    </row>
    <row r="1201" spans="1:7" ht="16.5" customHeight="1" x14ac:dyDescent="0.25">
      <c r="A1201" s="39"/>
      <c r="B1201" s="39"/>
      <c r="C1201" s="39"/>
      <c r="D1201" s="40"/>
      <c r="E1201" s="39"/>
      <c r="F1201" s="38"/>
      <c r="G1201" s="38"/>
    </row>
    <row r="1202" spans="1:7" ht="16.5" customHeight="1" x14ac:dyDescent="0.25">
      <c r="A1202" s="39"/>
      <c r="B1202" s="39"/>
      <c r="C1202" s="39"/>
      <c r="D1202" s="40"/>
      <c r="E1202" s="39"/>
      <c r="F1202" s="38"/>
      <c r="G1202" s="38"/>
    </row>
    <row r="1203" spans="1:7" ht="16.5" customHeight="1" x14ac:dyDescent="0.25">
      <c r="A1203" s="39"/>
      <c r="B1203" s="39"/>
      <c r="C1203" s="39"/>
      <c r="D1203" s="40"/>
      <c r="E1203" s="39"/>
      <c r="F1203" s="38"/>
      <c r="G1203" s="38"/>
    </row>
    <row r="1204" spans="1:7" ht="16.5" customHeight="1" x14ac:dyDescent="0.25">
      <c r="A1204" s="39"/>
      <c r="B1204" s="39"/>
      <c r="C1204" s="39"/>
      <c r="D1204" s="40"/>
      <c r="E1204" s="39"/>
      <c r="F1204" s="38"/>
      <c r="G1204" s="38"/>
    </row>
    <row r="1205" spans="1:7" ht="16.5" customHeight="1" x14ac:dyDescent="0.25">
      <c r="A1205" s="39"/>
      <c r="B1205" s="39"/>
      <c r="C1205" s="39"/>
      <c r="D1205" s="40"/>
      <c r="E1205" s="39"/>
      <c r="F1205" s="38"/>
      <c r="G1205" s="38"/>
    </row>
    <row r="1206" spans="1:7" ht="16.5" customHeight="1" x14ac:dyDescent="0.25">
      <c r="A1206" s="39"/>
      <c r="B1206" s="39"/>
      <c r="C1206" s="39"/>
      <c r="D1206" s="40"/>
      <c r="E1206" s="39"/>
      <c r="F1206" s="38"/>
      <c r="G1206" s="38"/>
    </row>
    <row r="1207" spans="1:7" ht="16.5" customHeight="1" x14ac:dyDescent="0.25">
      <c r="A1207" s="39"/>
      <c r="B1207" s="39"/>
      <c r="C1207" s="39"/>
      <c r="D1207" s="40"/>
      <c r="E1207" s="39"/>
      <c r="F1207" s="38"/>
      <c r="G1207" s="38"/>
    </row>
    <row r="1208" spans="1:7" ht="16.5" customHeight="1" x14ac:dyDescent="0.25">
      <c r="A1208" s="39"/>
      <c r="B1208" s="39"/>
      <c r="C1208" s="39"/>
      <c r="D1208" s="40"/>
      <c r="E1208" s="39"/>
      <c r="F1208" s="38"/>
      <c r="G1208" s="38"/>
    </row>
    <row r="1209" spans="1:7" ht="16.5" customHeight="1" x14ac:dyDescent="0.25">
      <c r="A1209" s="39"/>
      <c r="B1209" s="39"/>
      <c r="C1209" s="39"/>
      <c r="D1209" s="40"/>
      <c r="E1209" s="39"/>
      <c r="F1209" s="38"/>
      <c r="G1209" s="38"/>
    </row>
    <row r="1210" spans="1:7" ht="16.5" customHeight="1" x14ac:dyDescent="0.25">
      <c r="A1210" s="39"/>
      <c r="B1210" s="39"/>
      <c r="C1210" s="39"/>
      <c r="D1210" s="40"/>
      <c r="E1210" s="39"/>
      <c r="F1210" s="38"/>
      <c r="G1210" s="38"/>
    </row>
    <row r="1211" spans="1:7" ht="16.5" customHeight="1" x14ac:dyDescent="0.25">
      <c r="A1211" s="39"/>
      <c r="B1211" s="39"/>
      <c r="C1211" s="39"/>
      <c r="D1211" s="40"/>
      <c r="E1211" s="39"/>
      <c r="F1211" s="38"/>
      <c r="G1211" s="38"/>
    </row>
    <row r="1212" spans="1:7" ht="16.5" customHeight="1" x14ac:dyDescent="0.25">
      <c r="A1212" s="39"/>
      <c r="B1212" s="39"/>
      <c r="C1212" s="39"/>
      <c r="D1212" s="40"/>
      <c r="E1212" s="39"/>
      <c r="F1212" s="38"/>
      <c r="G1212" s="38"/>
    </row>
    <row r="1213" spans="1:7" ht="16.5" customHeight="1" x14ac:dyDescent="0.25">
      <c r="A1213" s="39"/>
      <c r="B1213" s="39"/>
      <c r="C1213" s="39"/>
      <c r="D1213" s="40"/>
      <c r="E1213" s="39"/>
      <c r="F1213" s="38"/>
      <c r="G1213" s="38"/>
    </row>
    <row r="1214" spans="1:7" ht="16.5" customHeight="1" x14ac:dyDescent="0.25">
      <c r="A1214" s="39"/>
      <c r="B1214" s="39"/>
      <c r="C1214" s="39"/>
      <c r="D1214" s="40"/>
      <c r="E1214" s="39"/>
      <c r="F1214" s="38"/>
      <c r="G1214" s="38"/>
    </row>
    <row r="1215" spans="1:7" ht="16.5" customHeight="1" x14ac:dyDescent="0.25">
      <c r="A1215" s="39"/>
      <c r="B1215" s="39"/>
      <c r="C1215" s="39"/>
      <c r="D1215" s="40"/>
      <c r="E1215" s="39"/>
      <c r="F1215" s="38"/>
      <c r="G1215" s="38"/>
    </row>
    <row r="1216" spans="1:7" ht="16.5" customHeight="1" x14ac:dyDescent="0.25">
      <c r="A1216" s="39"/>
      <c r="B1216" s="39"/>
      <c r="C1216" s="39"/>
      <c r="D1216" s="40"/>
      <c r="E1216" s="39"/>
      <c r="F1216" s="38"/>
      <c r="G1216" s="38"/>
    </row>
    <row r="1217" spans="1:7" ht="16.5" customHeight="1" x14ac:dyDescent="0.25">
      <c r="A1217" s="39"/>
      <c r="B1217" s="39"/>
      <c r="C1217" s="39"/>
      <c r="D1217" s="40"/>
      <c r="E1217" s="39"/>
      <c r="F1217" s="38"/>
      <c r="G1217" s="38"/>
    </row>
    <row r="1218" spans="1:7" ht="16.5" customHeight="1" x14ac:dyDescent="0.25">
      <c r="A1218" s="39"/>
      <c r="B1218" s="39"/>
      <c r="C1218" s="39"/>
      <c r="D1218" s="40"/>
      <c r="E1218" s="39"/>
      <c r="F1218" s="38"/>
      <c r="G1218" s="38"/>
    </row>
    <row r="1219" spans="1:7" ht="16.5" customHeight="1" x14ac:dyDescent="0.25">
      <c r="A1219" s="39"/>
      <c r="B1219" s="39"/>
      <c r="C1219" s="39"/>
      <c r="D1219" s="40"/>
      <c r="E1219" s="39"/>
      <c r="F1219" s="38"/>
      <c r="G1219" s="38"/>
    </row>
    <row r="1220" spans="1:7" ht="16.5" customHeight="1" x14ac:dyDescent="0.25">
      <c r="A1220" s="39"/>
      <c r="B1220" s="39"/>
      <c r="C1220" s="39"/>
      <c r="D1220" s="40"/>
      <c r="E1220" s="39"/>
      <c r="F1220" s="38"/>
      <c r="G1220" s="38"/>
    </row>
    <row r="1221" spans="1:7" ht="16.5" customHeight="1" x14ac:dyDescent="0.25">
      <c r="A1221" s="39"/>
      <c r="B1221" s="39"/>
      <c r="C1221" s="39"/>
      <c r="D1221" s="40"/>
      <c r="E1221" s="39"/>
      <c r="F1221" s="38"/>
      <c r="G1221" s="38"/>
    </row>
    <row r="1222" spans="1:7" ht="16.5" customHeight="1" x14ac:dyDescent="0.25">
      <c r="A1222" s="39"/>
      <c r="B1222" s="39"/>
      <c r="C1222" s="39"/>
      <c r="D1222" s="40"/>
      <c r="E1222" s="39"/>
      <c r="F1222" s="38"/>
      <c r="G1222" s="38"/>
    </row>
    <row r="1223" spans="1:7" ht="16.5" customHeight="1" x14ac:dyDescent="0.25">
      <c r="A1223" s="39"/>
      <c r="B1223" s="39"/>
      <c r="C1223" s="39"/>
      <c r="D1223" s="40"/>
      <c r="E1223" s="39"/>
      <c r="F1223" s="38"/>
      <c r="G1223" s="38"/>
    </row>
    <row r="1224" spans="1:7" ht="16.5" customHeight="1" x14ac:dyDescent="0.25">
      <c r="A1224" s="39"/>
      <c r="B1224" s="39"/>
      <c r="C1224" s="39"/>
      <c r="D1224" s="40"/>
      <c r="E1224" s="39"/>
      <c r="F1224" s="38"/>
      <c r="G1224" s="38"/>
    </row>
    <row r="1225" spans="1:7" ht="16.5" customHeight="1" x14ac:dyDescent="0.25">
      <c r="A1225" s="39"/>
      <c r="B1225" s="39"/>
      <c r="C1225" s="39"/>
      <c r="D1225" s="40"/>
      <c r="E1225" s="39"/>
      <c r="F1225" s="38"/>
      <c r="G1225" s="38"/>
    </row>
    <row r="1226" spans="1:7" ht="16.5" customHeight="1" x14ac:dyDescent="0.25">
      <c r="A1226" s="39"/>
      <c r="B1226" s="39"/>
      <c r="C1226" s="39"/>
      <c r="D1226" s="40"/>
      <c r="E1226" s="39"/>
      <c r="F1226" s="38"/>
      <c r="G1226" s="38"/>
    </row>
    <row r="1227" spans="1:7" ht="16.5" customHeight="1" x14ac:dyDescent="0.25">
      <c r="A1227" s="39"/>
      <c r="B1227" s="39"/>
      <c r="C1227" s="39"/>
      <c r="D1227" s="40"/>
      <c r="E1227" s="39"/>
      <c r="F1227" s="38"/>
      <c r="G1227" s="38"/>
    </row>
    <row r="1228" spans="1:7" ht="16.5" customHeight="1" x14ac:dyDescent="0.25">
      <c r="A1228" s="39"/>
      <c r="B1228" s="39"/>
      <c r="C1228" s="39"/>
      <c r="D1228" s="40"/>
      <c r="E1228" s="39"/>
      <c r="F1228" s="38"/>
      <c r="G1228" s="38"/>
    </row>
    <row r="1229" spans="1:7" ht="16.5" customHeight="1" x14ac:dyDescent="0.25">
      <c r="A1229" s="39"/>
      <c r="B1229" s="39"/>
      <c r="C1229" s="39"/>
      <c r="D1229" s="40"/>
      <c r="E1229" s="39"/>
      <c r="F1229" s="38"/>
      <c r="G1229" s="38"/>
    </row>
    <row r="1230" spans="1:7" ht="16.5" customHeight="1" x14ac:dyDescent="0.25">
      <c r="A1230" s="39"/>
      <c r="B1230" s="39"/>
      <c r="C1230" s="39"/>
      <c r="D1230" s="40"/>
      <c r="E1230" s="39"/>
      <c r="F1230" s="38"/>
      <c r="G1230" s="38"/>
    </row>
    <row r="1231" spans="1:7" ht="16.5" customHeight="1" x14ac:dyDescent="0.25">
      <c r="A1231" s="39"/>
      <c r="B1231" s="39"/>
      <c r="C1231" s="39"/>
      <c r="D1231" s="40"/>
      <c r="E1231" s="39"/>
      <c r="F1231" s="38"/>
      <c r="G1231" s="38"/>
    </row>
    <row r="1232" spans="1:7" ht="16.5" customHeight="1" x14ac:dyDescent="0.25">
      <c r="A1232" s="39"/>
      <c r="B1232" s="39"/>
      <c r="C1232" s="39"/>
      <c r="D1232" s="40"/>
      <c r="E1232" s="39"/>
      <c r="F1232" s="38"/>
      <c r="G1232" s="38"/>
    </row>
    <row r="1233" spans="1:7" ht="16.5" customHeight="1" x14ac:dyDescent="0.25">
      <c r="A1233" s="39"/>
      <c r="B1233" s="39"/>
      <c r="C1233" s="39"/>
      <c r="D1233" s="40"/>
      <c r="E1233" s="39"/>
      <c r="F1233" s="38"/>
      <c r="G1233" s="38"/>
    </row>
    <row r="1234" spans="1:7" ht="16.5" customHeight="1" x14ac:dyDescent="0.25">
      <c r="A1234" s="39"/>
      <c r="B1234" s="39"/>
      <c r="C1234" s="39"/>
      <c r="D1234" s="40"/>
      <c r="E1234" s="39"/>
      <c r="F1234" s="38"/>
      <c r="G1234" s="38"/>
    </row>
    <row r="1235" spans="1:7" ht="16.5" customHeight="1" x14ac:dyDescent="0.25">
      <c r="A1235" s="39"/>
      <c r="B1235" s="39"/>
      <c r="C1235" s="39"/>
      <c r="D1235" s="40"/>
      <c r="E1235" s="39"/>
      <c r="F1235" s="38"/>
      <c r="G1235" s="38"/>
    </row>
    <row r="1236" spans="1:7" ht="16.5" customHeight="1" x14ac:dyDescent="0.25">
      <c r="A1236" s="39"/>
      <c r="B1236" s="39"/>
      <c r="C1236" s="39"/>
      <c r="D1236" s="40"/>
      <c r="E1236" s="39"/>
      <c r="F1236" s="38"/>
      <c r="G1236" s="38"/>
    </row>
    <row r="1237" spans="1:7" ht="16.5" customHeight="1" x14ac:dyDescent="0.25">
      <c r="A1237" s="39"/>
      <c r="B1237" s="39"/>
      <c r="C1237" s="39"/>
      <c r="D1237" s="40"/>
      <c r="E1237" s="39"/>
      <c r="F1237" s="38"/>
      <c r="G1237" s="38"/>
    </row>
    <row r="1238" spans="1:7" ht="16.5" customHeight="1" x14ac:dyDescent="0.25">
      <c r="A1238" s="39"/>
      <c r="B1238" s="39"/>
      <c r="C1238" s="39"/>
      <c r="D1238" s="40"/>
      <c r="E1238" s="39"/>
      <c r="F1238" s="38"/>
      <c r="G1238" s="38"/>
    </row>
    <row r="1239" spans="1:7" ht="16.5" customHeight="1" x14ac:dyDescent="0.25">
      <c r="A1239" s="39"/>
      <c r="B1239" s="39"/>
      <c r="C1239" s="39"/>
      <c r="D1239" s="40"/>
      <c r="E1239" s="39"/>
      <c r="F1239" s="38"/>
      <c r="G1239" s="38"/>
    </row>
    <row r="1240" spans="1:7" ht="16.5" customHeight="1" x14ac:dyDescent="0.25">
      <c r="A1240" s="39"/>
      <c r="B1240" s="39"/>
      <c r="C1240" s="39"/>
      <c r="D1240" s="40"/>
      <c r="E1240" s="39"/>
      <c r="F1240" s="38"/>
      <c r="G1240" s="38"/>
    </row>
    <row r="1241" spans="1:7" ht="16.5" customHeight="1" x14ac:dyDescent="0.25">
      <c r="A1241" s="39"/>
      <c r="B1241" s="39"/>
      <c r="C1241" s="39"/>
      <c r="D1241" s="40"/>
      <c r="E1241" s="39"/>
      <c r="F1241" s="38"/>
      <c r="G1241" s="38"/>
    </row>
    <row r="1242" spans="1:7" ht="16.5" customHeight="1" x14ac:dyDescent="0.25">
      <c r="A1242" s="39"/>
      <c r="B1242" s="39"/>
      <c r="C1242" s="39"/>
      <c r="D1242" s="40"/>
      <c r="E1242" s="39"/>
      <c r="F1242" s="38"/>
      <c r="G1242" s="38"/>
    </row>
    <row r="1243" spans="1:7" ht="16.5" customHeight="1" x14ac:dyDescent="0.25">
      <c r="A1243" s="39"/>
      <c r="B1243" s="39"/>
      <c r="C1243" s="39"/>
      <c r="D1243" s="40"/>
      <c r="E1243" s="39"/>
      <c r="F1243" s="38"/>
      <c r="G1243" s="38"/>
    </row>
    <row r="1244" spans="1:7" ht="16.5" customHeight="1" x14ac:dyDescent="0.25">
      <c r="A1244" s="39"/>
      <c r="B1244" s="39"/>
      <c r="C1244" s="39"/>
      <c r="D1244" s="40"/>
      <c r="E1244" s="39"/>
      <c r="F1244" s="38"/>
      <c r="G1244" s="38"/>
    </row>
    <row r="1245" spans="1:7" ht="16.5" customHeight="1" x14ac:dyDescent="0.25">
      <c r="A1245" s="39"/>
      <c r="B1245" s="39"/>
      <c r="C1245" s="39"/>
      <c r="D1245" s="40"/>
      <c r="E1245" s="39"/>
      <c r="F1245" s="38"/>
      <c r="G1245" s="38"/>
    </row>
    <row r="1246" spans="1:7" ht="16.5" customHeight="1" x14ac:dyDescent="0.25">
      <c r="A1246" s="39"/>
      <c r="B1246" s="39"/>
      <c r="C1246" s="39"/>
      <c r="D1246" s="40"/>
      <c r="E1246" s="39"/>
      <c r="F1246" s="38"/>
      <c r="G1246" s="38"/>
    </row>
    <row r="1247" spans="1:7" ht="16.5" customHeight="1" x14ac:dyDescent="0.25">
      <c r="A1247" s="39"/>
      <c r="B1247" s="39"/>
      <c r="C1247" s="39"/>
      <c r="D1247" s="40"/>
      <c r="E1247" s="39"/>
      <c r="F1247" s="38"/>
      <c r="G1247" s="38"/>
    </row>
    <row r="1248" spans="1:7" ht="16.5" customHeight="1" x14ac:dyDescent="0.25">
      <c r="A1248" s="39"/>
      <c r="B1248" s="39"/>
      <c r="C1248" s="39"/>
      <c r="D1248" s="40"/>
      <c r="E1248" s="39"/>
      <c r="F1248" s="38"/>
      <c r="G1248" s="38"/>
    </row>
    <row r="1249" spans="1:7" ht="16.5" customHeight="1" x14ac:dyDescent="0.25">
      <c r="A1249" s="39"/>
      <c r="B1249" s="39"/>
      <c r="C1249" s="39"/>
      <c r="D1249" s="40"/>
      <c r="E1249" s="39"/>
      <c r="F1249" s="38"/>
      <c r="G1249" s="38"/>
    </row>
    <row r="1250" spans="1:7" ht="16.5" customHeight="1" x14ac:dyDescent="0.25">
      <c r="A1250" s="39"/>
      <c r="B1250" s="39"/>
      <c r="C1250" s="39"/>
      <c r="D1250" s="40"/>
      <c r="E1250" s="39"/>
      <c r="F1250" s="38"/>
      <c r="G1250" s="38"/>
    </row>
    <row r="1251" spans="1:7" ht="16.5" customHeight="1" x14ac:dyDescent="0.25">
      <c r="A1251" s="39"/>
      <c r="B1251" s="39"/>
      <c r="C1251" s="39"/>
      <c r="D1251" s="40"/>
      <c r="E1251" s="39"/>
      <c r="F1251" s="38"/>
      <c r="G1251" s="38"/>
    </row>
    <row r="1252" spans="1:7" ht="16.5" customHeight="1" x14ac:dyDescent="0.25">
      <c r="A1252" s="39"/>
      <c r="B1252" s="39"/>
      <c r="C1252" s="39"/>
      <c r="D1252" s="40"/>
      <c r="E1252" s="39"/>
      <c r="F1252" s="38"/>
      <c r="G1252" s="38"/>
    </row>
    <row r="1253" spans="1:7" ht="16.5" customHeight="1" x14ac:dyDescent="0.25">
      <c r="A1253" s="39"/>
      <c r="B1253" s="39"/>
      <c r="C1253" s="39"/>
      <c r="D1253" s="40"/>
      <c r="E1253" s="39"/>
      <c r="F1253" s="38"/>
      <c r="G1253" s="38"/>
    </row>
    <row r="1254" spans="1:7" ht="16.5" customHeight="1" x14ac:dyDescent="0.25">
      <c r="A1254" s="39"/>
      <c r="B1254" s="39"/>
      <c r="C1254" s="39"/>
      <c r="D1254" s="40"/>
      <c r="E1254" s="39"/>
      <c r="F1254" s="38"/>
      <c r="G1254" s="38"/>
    </row>
    <row r="1255" spans="1:7" ht="16.5" customHeight="1" x14ac:dyDescent="0.25">
      <c r="A1255" s="39"/>
      <c r="B1255" s="39"/>
      <c r="C1255" s="39"/>
      <c r="D1255" s="40"/>
      <c r="E1255" s="39"/>
      <c r="F1255" s="38"/>
      <c r="G1255" s="38"/>
    </row>
    <row r="1256" spans="1:7" ht="16.5" customHeight="1" x14ac:dyDescent="0.25">
      <c r="A1256" s="39"/>
      <c r="B1256" s="39"/>
      <c r="C1256" s="39"/>
      <c r="D1256" s="40"/>
      <c r="E1256" s="39"/>
      <c r="F1256" s="38"/>
      <c r="G1256" s="38"/>
    </row>
    <row r="1257" spans="1:7" ht="16.5" customHeight="1" x14ac:dyDescent="0.25">
      <c r="A1257" s="39"/>
      <c r="B1257" s="39"/>
      <c r="C1257" s="39"/>
      <c r="D1257" s="40"/>
      <c r="E1257" s="39"/>
      <c r="F1257" s="38"/>
      <c r="G1257" s="38"/>
    </row>
    <row r="1258" spans="1:7" ht="16.5" customHeight="1" x14ac:dyDescent="0.25">
      <c r="A1258" s="39"/>
      <c r="B1258" s="39"/>
      <c r="C1258" s="39"/>
      <c r="D1258" s="40"/>
      <c r="E1258" s="39"/>
      <c r="F1258" s="38"/>
      <c r="G1258" s="38"/>
    </row>
    <row r="1259" spans="1:7" ht="16.5" customHeight="1" x14ac:dyDescent="0.25">
      <c r="A1259" s="39"/>
      <c r="B1259" s="39"/>
      <c r="C1259" s="39"/>
      <c r="D1259" s="40"/>
      <c r="E1259" s="39"/>
      <c r="F1259" s="38"/>
      <c r="G1259" s="38"/>
    </row>
    <row r="1260" spans="1:7" ht="16.5" customHeight="1" x14ac:dyDescent="0.25">
      <c r="A1260" s="39"/>
      <c r="B1260" s="39"/>
      <c r="C1260" s="39"/>
      <c r="D1260" s="40"/>
      <c r="E1260" s="39"/>
      <c r="F1260" s="38"/>
      <c r="G1260" s="38"/>
    </row>
    <row r="1261" spans="1:7" ht="16.5" customHeight="1" x14ac:dyDescent="0.25">
      <c r="A1261" s="39"/>
      <c r="B1261" s="39"/>
      <c r="C1261" s="39"/>
      <c r="D1261" s="40"/>
      <c r="E1261" s="39"/>
      <c r="F1261" s="38"/>
      <c r="G1261" s="38"/>
    </row>
    <row r="1262" spans="1:7" ht="16.5" customHeight="1" x14ac:dyDescent="0.25">
      <c r="A1262" s="39"/>
      <c r="B1262" s="39"/>
      <c r="C1262" s="39"/>
      <c r="D1262" s="40"/>
      <c r="E1262" s="39"/>
      <c r="F1262" s="38"/>
      <c r="G1262" s="38"/>
    </row>
    <row r="1263" spans="1:7" ht="16.5" customHeight="1" x14ac:dyDescent="0.25">
      <c r="A1263" s="39"/>
      <c r="B1263" s="39"/>
      <c r="C1263" s="39"/>
      <c r="D1263" s="40"/>
      <c r="E1263" s="39"/>
      <c r="F1263" s="38"/>
      <c r="G1263" s="38"/>
    </row>
    <row r="1264" spans="1:7" ht="16.5" customHeight="1" x14ac:dyDescent="0.25">
      <c r="A1264" s="39"/>
      <c r="B1264" s="39"/>
      <c r="C1264" s="39"/>
      <c r="D1264" s="40"/>
      <c r="E1264" s="39"/>
      <c r="F1264" s="38"/>
      <c r="G1264" s="38"/>
    </row>
    <row r="1265" spans="1:7" ht="16.5" customHeight="1" x14ac:dyDescent="0.25">
      <c r="A1265" s="39"/>
      <c r="B1265" s="39"/>
      <c r="C1265" s="39"/>
      <c r="D1265" s="40"/>
      <c r="E1265" s="39"/>
      <c r="F1265" s="38"/>
      <c r="G1265" s="38"/>
    </row>
    <row r="1266" spans="1:7" ht="16.5" customHeight="1" x14ac:dyDescent="0.25">
      <c r="A1266" s="39"/>
      <c r="B1266" s="39"/>
      <c r="C1266" s="39"/>
      <c r="D1266" s="40"/>
      <c r="E1266" s="39"/>
      <c r="F1266" s="38"/>
      <c r="G1266" s="38"/>
    </row>
    <row r="1267" spans="1:7" ht="16.5" customHeight="1" x14ac:dyDescent="0.25">
      <c r="A1267" s="39"/>
      <c r="B1267" s="39"/>
      <c r="C1267" s="39"/>
      <c r="D1267" s="40"/>
      <c r="E1267" s="39"/>
      <c r="F1267" s="38"/>
      <c r="G1267" s="38"/>
    </row>
    <row r="1268" spans="1:7" ht="16.5" customHeight="1" x14ac:dyDescent="0.25">
      <c r="A1268" s="39"/>
      <c r="B1268" s="39"/>
      <c r="C1268" s="39"/>
      <c r="D1268" s="40"/>
      <c r="E1268" s="39"/>
      <c r="F1268" s="38"/>
      <c r="G1268" s="38"/>
    </row>
    <row r="1269" spans="1:7" ht="16.5" customHeight="1" x14ac:dyDescent="0.25">
      <c r="A1269" s="39"/>
      <c r="B1269" s="39"/>
      <c r="C1269" s="39"/>
      <c r="D1269" s="40"/>
      <c r="E1269" s="39"/>
      <c r="F1269" s="38"/>
      <c r="G1269" s="38"/>
    </row>
    <row r="1270" spans="1:7" ht="16.5" customHeight="1" x14ac:dyDescent="0.25">
      <c r="A1270" s="39"/>
      <c r="B1270" s="39"/>
      <c r="C1270" s="39"/>
      <c r="D1270" s="40"/>
      <c r="E1270" s="39"/>
      <c r="F1270" s="38"/>
      <c r="G1270" s="38"/>
    </row>
    <row r="1271" spans="1:7" ht="16.5" customHeight="1" x14ac:dyDescent="0.25">
      <c r="A1271" s="39"/>
      <c r="B1271" s="39"/>
      <c r="C1271" s="39"/>
      <c r="D1271" s="40"/>
      <c r="E1271" s="39"/>
      <c r="F1271" s="38"/>
      <c r="G1271" s="38"/>
    </row>
    <row r="1272" spans="1:7" ht="16.5" customHeight="1" x14ac:dyDescent="0.25">
      <c r="A1272" s="39"/>
      <c r="B1272" s="39"/>
      <c r="C1272" s="39"/>
      <c r="D1272" s="40"/>
      <c r="E1272" s="39"/>
      <c r="F1272" s="38"/>
      <c r="G1272" s="38"/>
    </row>
    <row r="1273" spans="1:7" ht="16.5" customHeight="1" x14ac:dyDescent="0.25">
      <c r="A1273" s="39"/>
      <c r="B1273" s="39"/>
      <c r="C1273" s="39"/>
      <c r="D1273" s="40"/>
      <c r="E1273" s="39"/>
      <c r="F1273" s="38"/>
      <c r="G1273" s="38"/>
    </row>
    <row r="1274" spans="1:7" ht="16.5" customHeight="1" x14ac:dyDescent="0.25">
      <c r="A1274" s="39"/>
      <c r="B1274" s="39"/>
      <c r="C1274" s="39"/>
      <c r="D1274" s="40"/>
      <c r="E1274" s="39"/>
      <c r="F1274" s="38"/>
      <c r="G1274" s="38"/>
    </row>
    <row r="1275" spans="1:7" ht="16.5" customHeight="1" x14ac:dyDescent="0.25">
      <c r="A1275" s="39"/>
      <c r="B1275" s="39"/>
      <c r="C1275" s="39"/>
      <c r="D1275" s="40"/>
      <c r="E1275" s="39"/>
      <c r="F1275" s="38"/>
      <c r="G1275" s="38"/>
    </row>
    <row r="1276" spans="1:7" ht="16.5" customHeight="1" x14ac:dyDescent="0.25">
      <c r="A1276" s="39"/>
      <c r="B1276" s="39"/>
      <c r="C1276" s="39"/>
      <c r="D1276" s="40"/>
      <c r="E1276" s="39"/>
      <c r="F1276" s="38"/>
      <c r="G1276" s="38"/>
    </row>
    <row r="1277" spans="1:7" ht="16.5" customHeight="1" x14ac:dyDescent="0.25">
      <c r="A1277" s="39"/>
      <c r="B1277" s="39"/>
      <c r="C1277" s="39"/>
      <c r="D1277" s="40"/>
      <c r="E1277" s="39"/>
      <c r="F1277" s="38"/>
      <c r="G1277" s="38"/>
    </row>
    <row r="1278" spans="1:7" ht="16.5" customHeight="1" x14ac:dyDescent="0.25">
      <c r="A1278" s="39"/>
      <c r="B1278" s="39"/>
      <c r="C1278" s="39"/>
      <c r="D1278" s="40"/>
      <c r="E1278" s="39"/>
      <c r="F1278" s="38"/>
      <c r="G1278" s="38"/>
    </row>
    <row r="1279" spans="1:7" ht="16.5" customHeight="1" x14ac:dyDescent="0.25">
      <c r="A1279" s="39"/>
      <c r="B1279" s="39"/>
      <c r="C1279" s="39"/>
      <c r="D1279" s="40"/>
      <c r="E1279" s="39"/>
      <c r="F1279" s="38"/>
      <c r="G1279" s="38"/>
    </row>
    <row r="1280" spans="1:7" ht="16.5" customHeight="1" x14ac:dyDescent="0.25">
      <c r="A1280" s="39"/>
      <c r="B1280" s="39"/>
      <c r="C1280" s="39"/>
      <c r="D1280" s="40"/>
      <c r="E1280" s="39"/>
      <c r="F1280" s="38"/>
      <c r="G1280" s="38"/>
    </row>
    <row r="1281" spans="1:7" ht="16.5" customHeight="1" x14ac:dyDescent="0.25">
      <c r="A1281" s="39"/>
      <c r="B1281" s="39"/>
      <c r="C1281" s="39"/>
      <c r="D1281" s="40"/>
      <c r="E1281" s="39"/>
      <c r="F1281" s="38"/>
      <c r="G1281" s="38"/>
    </row>
    <row r="1282" spans="1:7" ht="16.5" customHeight="1" x14ac:dyDescent="0.25">
      <c r="A1282" s="39"/>
      <c r="B1282" s="39"/>
      <c r="C1282" s="39"/>
      <c r="D1282" s="40"/>
      <c r="E1282" s="39"/>
      <c r="F1282" s="38"/>
      <c r="G1282" s="38"/>
    </row>
    <row r="1283" spans="1:7" ht="16.5" customHeight="1" x14ac:dyDescent="0.25">
      <c r="A1283" s="39"/>
      <c r="B1283" s="39"/>
      <c r="C1283" s="39"/>
      <c r="D1283" s="40"/>
      <c r="E1283" s="39"/>
      <c r="F1283" s="38"/>
      <c r="G1283" s="38"/>
    </row>
    <row r="1284" spans="1:7" ht="16.5" customHeight="1" x14ac:dyDescent="0.25">
      <c r="A1284" s="39"/>
      <c r="B1284" s="39"/>
      <c r="C1284" s="39"/>
      <c r="D1284" s="40"/>
      <c r="E1284" s="39"/>
      <c r="F1284" s="38"/>
      <c r="G1284" s="38"/>
    </row>
    <row r="1285" spans="1:7" ht="16.5" customHeight="1" x14ac:dyDescent="0.25">
      <c r="A1285" s="39"/>
      <c r="B1285" s="39"/>
      <c r="C1285" s="39"/>
      <c r="D1285" s="40"/>
      <c r="E1285" s="39"/>
      <c r="F1285" s="38"/>
      <c r="G1285" s="38"/>
    </row>
    <row r="1286" spans="1:7" ht="16.5" customHeight="1" x14ac:dyDescent="0.25">
      <c r="A1286" s="39"/>
      <c r="B1286" s="39"/>
      <c r="C1286" s="39"/>
      <c r="D1286" s="40"/>
      <c r="E1286" s="39"/>
      <c r="F1286" s="38"/>
      <c r="G1286" s="38"/>
    </row>
    <row r="1287" spans="1:7" ht="16.5" customHeight="1" x14ac:dyDescent="0.25">
      <c r="A1287" s="39"/>
      <c r="B1287" s="39"/>
      <c r="C1287" s="39"/>
      <c r="D1287" s="40"/>
      <c r="E1287" s="39"/>
      <c r="F1287" s="38"/>
      <c r="G1287" s="38"/>
    </row>
    <row r="1288" spans="1:7" ht="16.5" customHeight="1" x14ac:dyDescent="0.25">
      <c r="A1288" s="39"/>
      <c r="B1288" s="39"/>
      <c r="C1288" s="39"/>
      <c r="D1288" s="40"/>
      <c r="E1288" s="39"/>
      <c r="F1288" s="38"/>
      <c r="G1288" s="38"/>
    </row>
    <row r="1289" spans="1:7" ht="16.5" customHeight="1" x14ac:dyDescent="0.25">
      <c r="A1289" s="39"/>
      <c r="B1289" s="39"/>
      <c r="C1289" s="39"/>
      <c r="D1289" s="40"/>
      <c r="E1289" s="39"/>
      <c r="F1289" s="38"/>
      <c r="G1289" s="38"/>
    </row>
    <row r="1290" spans="1:7" ht="16.5" customHeight="1" x14ac:dyDescent="0.25">
      <c r="A1290" s="39"/>
      <c r="B1290" s="39"/>
      <c r="C1290" s="39"/>
      <c r="D1290" s="40"/>
      <c r="E1290" s="39"/>
      <c r="F1290" s="38"/>
      <c r="G1290" s="38"/>
    </row>
    <row r="1291" spans="1:7" ht="16.5" customHeight="1" x14ac:dyDescent="0.25">
      <c r="A1291" s="39"/>
      <c r="B1291" s="39"/>
      <c r="C1291" s="39"/>
      <c r="D1291" s="40"/>
      <c r="E1291" s="39"/>
      <c r="F1291" s="38"/>
      <c r="G1291" s="38"/>
    </row>
    <row r="1292" spans="1:7" ht="16.5" customHeight="1" x14ac:dyDescent="0.25">
      <c r="A1292" s="39"/>
      <c r="B1292" s="39"/>
      <c r="C1292" s="39"/>
      <c r="D1292" s="40"/>
      <c r="E1292" s="39"/>
      <c r="F1292" s="38"/>
      <c r="G1292" s="38"/>
    </row>
    <row r="1293" spans="1:7" ht="16.5" customHeight="1" x14ac:dyDescent="0.25">
      <c r="A1293" s="39"/>
      <c r="B1293" s="39"/>
      <c r="C1293" s="39"/>
      <c r="D1293" s="40"/>
      <c r="E1293" s="39"/>
      <c r="F1293" s="38"/>
      <c r="G1293" s="38"/>
    </row>
    <row r="1294" spans="1:7" ht="16.5" customHeight="1" x14ac:dyDescent="0.25">
      <c r="A1294" s="39"/>
      <c r="B1294" s="39"/>
      <c r="C1294" s="39"/>
      <c r="D1294" s="40"/>
      <c r="E1294" s="39"/>
      <c r="F1294" s="38"/>
      <c r="G1294" s="38"/>
    </row>
    <row r="1295" spans="1:7" ht="16.5" customHeight="1" x14ac:dyDescent="0.25">
      <c r="A1295" s="39"/>
      <c r="B1295" s="39"/>
      <c r="C1295" s="39"/>
      <c r="D1295" s="40"/>
      <c r="E1295" s="39"/>
      <c r="F1295" s="38"/>
      <c r="G1295" s="38"/>
    </row>
    <row r="1296" spans="1:7" ht="16.5" customHeight="1" x14ac:dyDescent="0.25">
      <c r="A1296" s="39"/>
      <c r="B1296" s="39"/>
      <c r="C1296" s="39"/>
      <c r="D1296" s="40"/>
      <c r="E1296" s="39"/>
      <c r="F1296" s="38"/>
      <c r="G1296" s="38"/>
    </row>
    <row r="1297" spans="1:7" ht="16.5" customHeight="1" x14ac:dyDescent="0.25">
      <c r="A1297" s="39"/>
      <c r="B1297" s="39"/>
      <c r="C1297" s="39"/>
      <c r="D1297" s="40"/>
      <c r="E1297" s="39"/>
      <c r="F1297" s="38"/>
      <c r="G1297" s="38"/>
    </row>
    <row r="1298" spans="1:7" ht="16.5" customHeight="1" x14ac:dyDescent="0.25">
      <c r="A1298" s="39"/>
      <c r="B1298" s="39"/>
      <c r="C1298" s="39"/>
      <c r="D1298" s="40"/>
      <c r="E1298" s="39"/>
      <c r="F1298" s="38"/>
      <c r="G1298" s="38"/>
    </row>
    <row r="1299" spans="1:7" ht="16.5" customHeight="1" x14ac:dyDescent="0.25">
      <c r="A1299" s="39"/>
      <c r="B1299" s="39"/>
      <c r="C1299" s="39"/>
      <c r="D1299" s="40"/>
      <c r="E1299" s="39"/>
      <c r="F1299" s="38"/>
      <c r="G1299" s="38"/>
    </row>
    <row r="1300" spans="1:7" ht="16.5" customHeight="1" x14ac:dyDescent="0.25">
      <c r="A1300" s="39"/>
      <c r="B1300" s="39"/>
      <c r="C1300" s="39"/>
      <c r="D1300" s="40"/>
      <c r="E1300" s="39"/>
      <c r="F1300" s="38"/>
      <c r="G1300" s="38"/>
    </row>
    <row r="1301" spans="1:7" ht="16.5" customHeight="1" x14ac:dyDescent="0.25">
      <c r="A1301" s="39"/>
      <c r="B1301" s="39"/>
      <c r="C1301" s="39"/>
      <c r="D1301" s="40"/>
      <c r="E1301" s="39"/>
      <c r="F1301" s="38"/>
      <c r="G1301" s="38"/>
    </row>
    <row r="1302" spans="1:7" ht="16.5" customHeight="1" x14ac:dyDescent="0.25">
      <c r="A1302" s="39"/>
      <c r="B1302" s="39"/>
      <c r="C1302" s="39"/>
      <c r="D1302" s="40"/>
      <c r="E1302" s="39"/>
      <c r="F1302" s="38"/>
      <c r="G1302" s="38"/>
    </row>
    <row r="1303" spans="1:7" ht="16.5" customHeight="1" x14ac:dyDescent="0.25">
      <c r="A1303" s="39"/>
      <c r="B1303" s="39"/>
      <c r="C1303" s="39"/>
      <c r="D1303" s="40"/>
      <c r="E1303" s="39"/>
      <c r="F1303" s="38"/>
      <c r="G1303" s="38"/>
    </row>
    <row r="1304" spans="1:7" ht="16.5" customHeight="1" x14ac:dyDescent="0.25">
      <c r="A1304" s="39"/>
      <c r="B1304" s="39"/>
      <c r="C1304" s="39"/>
      <c r="D1304" s="40"/>
      <c r="E1304" s="39"/>
      <c r="F1304" s="38"/>
      <c r="G1304" s="38"/>
    </row>
    <row r="1305" spans="1:7" ht="16.5" customHeight="1" x14ac:dyDescent="0.25">
      <c r="A1305" s="39"/>
      <c r="B1305" s="39"/>
      <c r="C1305" s="39"/>
      <c r="D1305" s="40"/>
      <c r="E1305" s="39"/>
      <c r="F1305" s="38"/>
      <c r="G1305" s="38"/>
    </row>
    <row r="1306" spans="1:7" ht="16.5" customHeight="1" x14ac:dyDescent="0.25">
      <c r="A1306" s="39"/>
      <c r="B1306" s="39"/>
      <c r="C1306" s="39"/>
      <c r="D1306" s="40"/>
      <c r="E1306" s="39"/>
      <c r="F1306" s="38"/>
      <c r="G1306" s="38"/>
    </row>
    <row r="1307" spans="1:7" ht="16.5" customHeight="1" x14ac:dyDescent="0.25">
      <c r="A1307" s="39"/>
      <c r="B1307" s="39"/>
      <c r="C1307" s="39"/>
      <c r="D1307" s="40"/>
      <c r="E1307" s="39"/>
      <c r="F1307" s="38"/>
      <c r="G1307" s="38"/>
    </row>
    <row r="1308" spans="1:7" ht="16.5" customHeight="1" x14ac:dyDescent="0.25">
      <c r="A1308" s="39"/>
      <c r="B1308" s="39"/>
      <c r="C1308" s="39"/>
      <c r="D1308" s="40"/>
      <c r="E1308" s="39"/>
      <c r="F1308" s="38"/>
      <c r="G1308" s="38"/>
    </row>
    <row r="1309" spans="1:7" ht="16.5" customHeight="1" x14ac:dyDescent="0.25">
      <c r="A1309" s="39"/>
      <c r="B1309" s="39"/>
      <c r="C1309" s="39"/>
      <c r="D1309" s="40"/>
      <c r="E1309" s="39"/>
      <c r="F1309" s="38"/>
      <c r="G1309" s="38"/>
    </row>
    <row r="1310" spans="1:7" ht="16.5" customHeight="1" x14ac:dyDescent="0.25">
      <c r="A1310" s="39"/>
      <c r="B1310" s="39"/>
      <c r="C1310" s="39"/>
      <c r="D1310" s="40"/>
      <c r="E1310" s="39"/>
      <c r="F1310" s="38"/>
      <c r="G1310" s="38"/>
    </row>
    <row r="1311" spans="1:7" ht="16.5" customHeight="1" x14ac:dyDescent="0.25">
      <c r="A1311" s="39"/>
      <c r="B1311" s="39"/>
      <c r="C1311" s="39"/>
      <c r="D1311" s="40"/>
      <c r="E1311" s="39"/>
      <c r="F1311" s="38"/>
      <c r="G1311" s="38"/>
    </row>
    <row r="1312" spans="1:7" ht="16.5" customHeight="1" x14ac:dyDescent="0.25">
      <c r="A1312" s="39"/>
      <c r="B1312" s="39"/>
      <c r="C1312" s="39"/>
      <c r="D1312" s="40"/>
      <c r="E1312" s="39"/>
      <c r="F1312" s="38"/>
      <c r="G1312" s="38"/>
    </row>
    <row r="1313" spans="1:7" ht="16.5" customHeight="1" x14ac:dyDescent="0.25">
      <c r="A1313" s="39"/>
      <c r="B1313" s="39"/>
      <c r="C1313" s="39"/>
      <c r="D1313" s="40"/>
      <c r="E1313" s="39"/>
      <c r="F1313" s="38"/>
      <c r="G1313" s="38"/>
    </row>
    <row r="1314" spans="1:7" ht="16.5" customHeight="1" x14ac:dyDescent="0.25">
      <c r="A1314" s="39"/>
      <c r="B1314" s="39"/>
      <c r="C1314" s="39"/>
      <c r="D1314" s="40"/>
      <c r="E1314" s="39"/>
      <c r="F1314" s="38"/>
      <c r="G1314" s="38"/>
    </row>
    <row r="1315" spans="1:7" ht="16.5" customHeight="1" x14ac:dyDescent="0.25">
      <c r="A1315" s="39"/>
      <c r="B1315" s="39"/>
      <c r="C1315" s="39"/>
      <c r="D1315" s="40"/>
      <c r="E1315" s="39"/>
      <c r="F1315" s="38"/>
      <c r="G1315" s="38"/>
    </row>
    <row r="1316" spans="1:7" ht="16.5" customHeight="1" x14ac:dyDescent="0.25">
      <c r="A1316" s="39"/>
      <c r="B1316" s="39"/>
      <c r="C1316" s="39"/>
      <c r="D1316" s="40"/>
      <c r="E1316" s="39"/>
      <c r="F1316" s="38"/>
      <c r="G1316" s="38"/>
    </row>
    <row r="1317" spans="1:7" ht="16.5" customHeight="1" x14ac:dyDescent="0.25">
      <c r="A1317" s="39"/>
      <c r="B1317" s="39"/>
      <c r="C1317" s="39"/>
      <c r="D1317" s="40"/>
      <c r="E1317" s="39"/>
      <c r="F1317" s="38"/>
      <c r="G1317" s="38"/>
    </row>
    <row r="1318" spans="1:7" ht="16.5" customHeight="1" x14ac:dyDescent="0.25">
      <c r="A1318" s="39"/>
      <c r="B1318" s="39"/>
      <c r="C1318" s="39"/>
      <c r="D1318" s="40"/>
      <c r="E1318" s="39"/>
      <c r="F1318" s="38"/>
      <c r="G1318" s="38"/>
    </row>
    <row r="1319" spans="1:7" ht="16.5" customHeight="1" x14ac:dyDescent="0.25">
      <c r="A1319" s="39"/>
      <c r="B1319" s="39"/>
      <c r="C1319" s="39"/>
      <c r="D1319" s="40"/>
      <c r="E1319" s="39"/>
      <c r="F1319" s="38"/>
      <c r="G1319" s="38"/>
    </row>
    <row r="1320" spans="1:7" ht="16.5" customHeight="1" x14ac:dyDescent="0.25">
      <c r="A1320" s="39"/>
      <c r="B1320" s="39"/>
      <c r="C1320" s="39"/>
      <c r="D1320" s="40"/>
      <c r="E1320" s="39"/>
      <c r="F1320" s="38"/>
      <c r="G1320" s="38"/>
    </row>
    <row r="1321" spans="1:7" ht="16.5" customHeight="1" x14ac:dyDescent="0.25">
      <c r="A1321" s="39"/>
      <c r="B1321" s="39"/>
      <c r="C1321" s="39"/>
      <c r="D1321" s="40"/>
      <c r="E1321" s="39"/>
      <c r="F1321" s="38"/>
      <c r="G1321" s="38"/>
    </row>
    <row r="1322" spans="1:7" ht="16.5" customHeight="1" x14ac:dyDescent="0.25">
      <c r="A1322" s="39"/>
      <c r="B1322" s="39"/>
      <c r="C1322" s="39"/>
      <c r="D1322" s="40"/>
      <c r="E1322" s="39"/>
      <c r="F1322" s="38"/>
      <c r="G1322" s="38"/>
    </row>
    <row r="1323" spans="1:7" ht="16.5" customHeight="1" x14ac:dyDescent="0.25">
      <c r="A1323" s="39"/>
      <c r="B1323" s="39"/>
      <c r="C1323" s="39"/>
      <c r="D1323" s="40"/>
      <c r="E1323" s="39"/>
      <c r="F1323" s="38"/>
      <c r="G1323" s="38"/>
    </row>
    <row r="1324" spans="1:7" ht="16.5" customHeight="1" x14ac:dyDescent="0.25">
      <c r="A1324" s="39"/>
      <c r="B1324" s="39"/>
      <c r="C1324" s="39"/>
      <c r="D1324" s="40"/>
      <c r="E1324" s="39"/>
      <c r="F1324" s="38"/>
      <c r="G1324" s="38"/>
    </row>
    <row r="1325" spans="1:7" ht="16.5" customHeight="1" x14ac:dyDescent="0.25">
      <c r="A1325" s="39"/>
      <c r="B1325" s="39"/>
      <c r="C1325" s="39"/>
      <c r="D1325" s="40"/>
      <c r="E1325" s="39"/>
      <c r="F1325" s="38"/>
      <c r="G1325" s="38"/>
    </row>
    <row r="1326" spans="1:7" ht="16.5" customHeight="1" x14ac:dyDescent="0.25">
      <c r="A1326" s="39"/>
      <c r="B1326" s="39"/>
      <c r="C1326" s="39"/>
      <c r="D1326" s="40"/>
      <c r="E1326" s="39"/>
      <c r="F1326" s="38"/>
      <c r="G1326" s="38"/>
    </row>
    <row r="1327" spans="1:7" ht="16.5" customHeight="1" x14ac:dyDescent="0.25">
      <c r="A1327" s="39"/>
      <c r="B1327" s="39"/>
      <c r="C1327" s="39"/>
      <c r="D1327" s="40"/>
      <c r="E1327" s="39"/>
      <c r="F1327" s="38"/>
      <c r="G1327" s="38"/>
    </row>
    <row r="1328" spans="1:7" ht="16.5" customHeight="1" x14ac:dyDescent="0.25">
      <c r="A1328" s="39"/>
      <c r="B1328" s="39"/>
      <c r="C1328" s="39"/>
      <c r="D1328" s="40"/>
      <c r="E1328" s="39"/>
      <c r="F1328" s="38"/>
      <c r="G1328" s="38"/>
    </row>
    <row r="1329" spans="1:7" ht="16.5" customHeight="1" x14ac:dyDescent="0.25">
      <c r="A1329" s="39"/>
      <c r="B1329" s="39"/>
      <c r="C1329" s="39"/>
      <c r="D1329" s="40"/>
      <c r="E1329" s="39"/>
      <c r="F1329" s="38"/>
      <c r="G1329" s="38"/>
    </row>
    <row r="1330" spans="1:7" ht="16.5" customHeight="1" x14ac:dyDescent="0.25">
      <c r="A1330" s="39"/>
      <c r="B1330" s="39"/>
      <c r="C1330" s="39"/>
      <c r="D1330" s="40"/>
      <c r="E1330" s="39"/>
      <c r="F1330" s="38"/>
      <c r="G1330" s="38"/>
    </row>
    <row r="1331" spans="1:7" ht="16.5" customHeight="1" x14ac:dyDescent="0.25">
      <c r="A1331" s="39"/>
      <c r="B1331" s="39"/>
      <c r="C1331" s="39"/>
      <c r="D1331" s="40"/>
      <c r="E1331" s="39"/>
      <c r="F1331" s="38"/>
      <c r="G1331" s="38"/>
    </row>
    <row r="1332" spans="1:7" ht="16.5" customHeight="1" x14ac:dyDescent="0.25">
      <c r="A1332" s="39"/>
      <c r="B1332" s="39"/>
      <c r="C1332" s="39"/>
      <c r="D1332" s="40"/>
      <c r="E1332" s="39"/>
      <c r="F1332" s="38"/>
      <c r="G1332" s="38"/>
    </row>
    <row r="1333" spans="1:7" ht="16.5" customHeight="1" x14ac:dyDescent="0.25">
      <c r="A1333" s="39"/>
      <c r="B1333" s="39"/>
      <c r="C1333" s="39"/>
      <c r="D1333" s="40"/>
      <c r="E1333" s="39"/>
      <c r="F1333" s="38"/>
      <c r="G1333" s="38"/>
    </row>
    <row r="1334" spans="1:7" ht="16.5" customHeight="1" x14ac:dyDescent="0.25">
      <c r="A1334" s="39"/>
      <c r="B1334" s="39"/>
      <c r="C1334" s="39"/>
      <c r="D1334" s="40"/>
      <c r="E1334" s="39"/>
      <c r="F1334" s="38"/>
      <c r="G1334" s="38"/>
    </row>
    <row r="1335" spans="1:7" ht="16.5" customHeight="1" x14ac:dyDescent="0.25">
      <c r="A1335" s="39"/>
      <c r="B1335" s="39"/>
      <c r="C1335" s="39"/>
      <c r="D1335" s="40"/>
      <c r="E1335" s="39"/>
      <c r="F1335" s="38"/>
      <c r="G1335" s="38"/>
    </row>
    <row r="1336" spans="1:7" ht="16.5" customHeight="1" x14ac:dyDescent="0.25">
      <c r="A1336" s="39"/>
      <c r="B1336" s="39"/>
      <c r="C1336" s="39"/>
      <c r="D1336" s="40"/>
      <c r="E1336" s="39"/>
      <c r="F1336" s="38"/>
      <c r="G1336" s="38"/>
    </row>
    <row r="1337" spans="1:7" ht="16.5" customHeight="1" x14ac:dyDescent="0.25">
      <c r="A1337" s="39"/>
      <c r="B1337" s="39"/>
      <c r="C1337" s="39"/>
      <c r="D1337" s="40"/>
      <c r="E1337" s="39"/>
      <c r="F1337" s="38"/>
      <c r="G1337" s="38"/>
    </row>
    <row r="1338" spans="1:7" ht="16.5" customHeight="1" x14ac:dyDescent="0.25">
      <c r="A1338" s="39"/>
      <c r="B1338" s="39"/>
      <c r="C1338" s="39"/>
      <c r="D1338" s="40"/>
      <c r="E1338" s="39"/>
      <c r="F1338" s="38"/>
      <c r="G1338" s="38"/>
    </row>
    <row r="1339" spans="1:7" ht="16.5" customHeight="1" x14ac:dyDescent="0.25">
      <c r="A1339" s="39"/>
      <c r="B1339" s="39"/>
      <c r="C1339" s="39"/>
      <c r="D1339" s="40"/>
      <c r="E1339" s="39"/>
      <c r="F1339" s="38"/>
      <c r="G1339" s="38"/>
    </row>
    <row r="1340" spans="1:7" ht="16.5" customHeight="1" x14ac:dyDescent="0.25">
      <c r="A1340" s="39"/>
      <c r="B1340" s="39"/>
      <c r="C1340" s="39"/>
      <c r="D1340" s="40"/>
      <c r="E1340" s="39"/>
      <c r="F1340" s="38"/>
      <c r="G1340" s="38"/>
    </row>
    <row r="1341" spans="1:7" ht="16.5" customHeight="1" x14ac:dyDescent="0.25">
      <c r="A1341" s="39"/>
      <c r="B1341" s="39"/>
      <c r="C1341" s="39"/>
      <c r="D1341" s="40"/>
      <c r="E1341" s="39"/>
      <c r="F1341" s="38"/>
      <c r="G1341" s="38"/>
    </row>
    <row r="1342" spans="1:7" ht="16.5" customHeight="1" x14ac:dyDescent="0.25">
      <c r="A1342" s="39"/>
      <c r="B1342" s="39"/>
      <c r="C1342" s="39"/>
      <c r="D1342" s="40"/>
      <c r="E1342" s="39"/>
      <c r="F1342" s="38"/>
      <c r="G1342" s="38"/>
    </row>
    <row r="1343" spans="1:7" ht="16.5" customHeight="1" x14ac:dyDescent="0.25">
      <c r="A1343" s="39"/>
      <c r="B1343" s="39"/>
      <c r="C1343" s="39"/>
      <c r="D1343" s="40"/>
      <c r="E1343" s="39"/>
      <c r="F1343" s="38"/>
      <c r="G1343" s="38"/>
    </row>
    <row r="1344" spans="1:7" ht="16.5" customHeight="1" x14ac:dyDescent="0.25">
      <c r="A1344" s="39"/>
      <c r="B1344" s="39"/>
      <c r="C1344" s="39"/>
      <c r="D1344" s="40"/>
      <c r="E1344" s="39"/>
      <c r="F1344" s="38"/>
      <c r="G1344" s="38"/>
    </row>
    <row r="1345" spans="1:7" ht="16.5" customHeight="1" x14ac:dyDescent="0.25">
      <c r="A1345" s="39"/>
      <c r="B1345" s="39"/>
      <c r="C1345" s="39"/>
      <c r="D1345" s="40"/>
      <c r="E1345" s="39"/>
      <c r="F1345" s="38"/>
      <c r="G1345" s="38"/>
    </row>
    <row r="1346" spans="1:7" ht="16.5" customHeight="1" x14ac:dyDescent="0.25">
      <c r="A1346" s="39"/>
      <c r="B1346" s="39"/>
      <c r="C1346" s="39"/>
      <c r="D1346" s="40"/>
      <c r="E1346" s="39"/>
      <c r="F1346" s="38"/>
      <c r="G1346" s="38"/>
    </row>
    <row r="1347" spans="1:7" ht="16.5" customHeight="1" x14ac:dyDescent="0.25">
      <c r="A1347" s="39"/>
      <c r="B1347" s="39"/>
      <c r="C1347" s="39"/>
      <c r="D1347" s="40"/>
      <c r="E1347" s="39"/>
      <c r="F1347" s="38"/>
      <c r="G1347" s="38"/>
    </row>
    <row r="1348" spans="1:7" ht="16.5" customHeight="1" x14ac:dyDescent="0.25">
      <c r="A1348" s="39"/>
      <c r="B1348" s="39"/>
      <c r="C1348" s="39"/>
      <c r="D1348" s="40"/>
      <c r="E1348" s="39"/>
      <c r="F1348" s="38"/>
      <c r="G1348" s="38"/>
    </row>
    <row r="1349" spans="1:7" ht="16.5" customHeight="1" x14ac:dyDescent="0.25">
      <c r="A1349" s="39"/>
      <c r="B1349" s="39"/>
      <c r="C1349" s="39"/>
      <c r="D1349" s="40"/>
      <c r="E1349" s="39"/>
      <c r="F1349" s="38"/>
      <c r="G1349" s="38"/>
    </row>
    <row r="1350" spans="1:7" ht="16.5" customHeight="1" x14ac:dyDescent="0.25">
      <c r="A1350" s="39"/>
      <c r="B1350" s="39"/>
      <c r="C1350" s="39"/>
      <c r="D1350" s="40"/>
      <c r="E1350" s="39"/>
      <c r="F1350" s="38"/>
      <c r="G1350" s="38"/>
    </row>
    <row r="1351" spans="1:7" ht="16.5" customHeight="1" x14ac:dyDescent="0.25">
      <c r="A1351" s="39"/>
      <c r="B1351" s="39"/>
      <c r="C1351" s="39"/>
      <c r="D1351" s="40"/>
      <c r="E1351" s="39"/>
      <c r="F1351" s="38"/>
      <c r="G1351" s="38"/>
    </row>
    <row r="1352" spans="1:7" ht="16.5" customHeight="1" x14ac:dyDescent="0.25">
      <c r="A1352" s="39"/>
      <c r="B1352" s="39"/>
      <c r="C1352" s="39"/>
      <c r="D1352" s="40"/>
      <c r="E1352" s="39"/>
      <c r="F1352" s="38"/>
      <c r="G1352" s="38"/>
    </row>
    <row r="1353" spans="1:7" ht="16.5" customHeight="1" x14ac:dyDescent="0.25">
      <c r="A1353" s="39"/>
      <c r="B1353" s="39"/>
      <c r="C1353" s="39"/>
      <c r="D1353" s="40"/>
      <c r="E1353" s="39"/>
      <c r="F1353" s="38"/>
      <c r="G1353" s="38"/>
    </row>
    <row r="1354" spans="1:7" ht="16.5" customHeight="1" x14ac:dyDescent="0.25">
      <c r="A1354" s="39"/>
      <c r="B1354" s="39"/>
      <c r="C1354" s="39"/>
      <c r="D1354" s="40"/>
      <c r="E1354" s="39"/>
      <c r="F1354" s="38"/>
      <c r="G1354" s="38"/>
    </row>
    <row r="1355" spans="1:7" ht="16.5" customHeight="1" x14ac:dyDescent="0.25">
      <c r="A1355" s="39"/>
      <c r="B1355" s="39"/>
      <c r="C1355" s="39"/>
      <c r="D1355" s="40"/>
      <c r="E1355" s="39"/>
      <c r="F1355" s="38"/>
      <c r="G1355" s="38"/>
    </row>
    <row r="1356" spans="1:7" ht="16.5" customHeight="1" x14ac:dyDescent="0.25">
      <c r="A1356" s="39"/>
      <c r="B1356" s="39"/>
      <c r="C1356" s="39"/>
      <c r="D1356" s="40"/>
      <c r="E1356" s="39"/>
      <c r="F1356" s="38"/>
      <c r="G1356" s="38"/>
    </row>
    <row r="1357" spans="1:7" ht="16.5" customHeight="1" x14ac:dyDescent="0.25">
      <c r="A1357" s="39"/>
      <c r="B1357" s="39"/>
      <c r="C1357" s="39"/>
      <c r="D1357" s="40"/>
      <c r="E1357" s="39"/>
      <c r="F1357" s="38"/>
      <c r="G1357" s="38"/>
    </row>
    <row r="1358" spans="1:7" ht="16.5" customHeight="1" x14ac:dyDescent="0.25">
      <c r="A1358" s="39"/>
      <c r="B1358" s="39"/>
      <c r="C1358" s="39"/>
      <c r="D1358" s="40"/>
      <c r="E1358" s="39"/>
      <c r="F1358" s="38"/>
      <c r="G1358" s="38"/>
    </row>
    <row r="1359" spans="1:7" ht="16.5" customHeight="1" x14ac:dyDescent="0.25">
      <c r="A1359" s="39"/>
      <c r="B1359" s="39"/>
      <c r="C1359" s="39"/>
      <c r="D1359" s="40"/>
      <c r="E1359" s="39"/>
      <c r="F1359" s="38"/>
      <c r="G1359" s="38"/>
    </row>
    <row r="1360" spans="1:7" ht="16.5" customHeight="1" x14ac:dyDescent="0.25">
      <c r="A1360" s="39"/>
      <c r="B1360" s="39"/>
      <c r="C1360" s="39"/>
      <c r="D1360" s="40"/>
      <c r="E1360" s="39"/>
      <c r="F1360" s="38"/>
      <c r="G1360" s="38"/>
    </row>
    <row r="1361" spans="1:7" ht="16.5" customHeight="1" x14ac:dyDescent="0.25">
      <c r="A1361" s="39"/>
      <c r="B1361" s="39"/>
      <c r="C1361" s="39"/>
      <c r="D1361" s="40"/>
      <c r="E1361" s="39"/>
      <c r="F1361" s="38"/>
      <c r="G1361" s="38"/>
    </row>
    <row r="1362" spans="1:7" ht="16.5" customHeight="1" x14ac:dyDescent="0.25">
      <c r="A1362" s="39"/>
      <c r="B1362" s="39"/>
      <c r="C1362" s="39"/>
      <c r="D1362" s="40"/>
      <c r="E1362" s="39"/>
      <c r="F1362" s="38"/>
      <c r="G1362" s="38"/>
    </row>
    <row r="1363" spans="1:7" ht="16.5" customHeight="1" x14ac:dyDescent="0.25">
      <c r="A1363" s="39"/>
      <c r="B1363" s="39"/>
      <c r="C1363" s="39"/>
      <c r="D1363" s="40"/>
      <c r="E1363" s="39"/>
      <c r="F1363" s="38"/>
      <c r="G1363" s="38"/>
    </row>
    <row r="1364" spans="1:7" ht="16.5" customHeight="1" x14ac:dyDescent="0.25">
      <c r="A1364" s="39"/>
      <c r="B1364" s="39"/>
      <c r="C1364" s="39"/>
      <c r="D1364" s="40"/>
      <c r="E1364" s="39"/>
      <c r="F1364" s="38"/>
      <c r="G1364" s="38"/>
    </row>
    <row r="1365" spans="1:7" ht="16.5" customHeight="1" x14ac:dyDescent="0.25">
      <c r="A1365" s="39"/>
      <c r="B1365" s="39"/>
      <c r="C1365" s="39"/>
      <c r="D1365" s="40"/>
      <c r="E1365" s="39"/>
      <c r="F1365" s="38"/>
      <c r="G1365" s="38"/>
    </row>
    <row r="1366" spans="1:7" ht="16.5" customHeight="1" x14ac:dyDescent="0.25">
      <c r="A1366" s="39"/>
      <c r="B1366" s="39"/>
      <c r="C1366" s="39"/>
      <c r="D1366" s="40"/>
      <c r="E1366" s="39"/>
      <c r="F1366" s="38"/>
      <c r="G1366" s="38"/>
    </row>
    <row r="1367" spans="1:7" ht="16.5" customHeight="1" x14ac:dyDescent="0.25">
      <c r="A1367" s="39"/>
      <c r="B1367" s="39"/>
      <c r="C1367" s="39"/>
      <c r="D1367" s="40"/>
      <c r="E1367" s="39"/>
      <c r="F1367" s="38"/>
      <c r="G1367" s="38"/>
    </row>
    <row r="1368" spans="1:7" ht="16.5" customHeight="1" x14ac:dyDescent="0.25">
      <c r="A1368" s="39"/>
      <c r="B1368" s="39"/>
      <c r="C1368" s="39"/>
      <c r="D1368" s="40"/>
      <c r="E1368" s="39"/>
      <c r="F1368" s="38"/>
      <c r="G1368" s="38"/>
    </row>
    <row r="1369" spans="1:7" ht="16.5" customHeight="1" x14ac:dyDescent="0.25">
      <c r="A1369" s="39"/>
      <c r="B1369" s="39"/>
      <c r="C1369" s="39"/>
      <c r="D1369" s="40"/>
      <c r="E1369" s="39"/>
      <c r="F1369" s="38"/>
      <c r="G1369" s="38"/>
    </row>
    <row r="1370" spans="1:7" ht="16.5" customHeight="1" x14ac:dyDescent="0.25">
      <c r="A1370" s="39"/>
      <c r="B1370" s="39"/>
      <c r="C1370" s="39"/>
      <c r="D1370" s="40"/>
      <c r="E1370" s="39"/>
      <c r="F1370" s="38"/>
      <c r="G1370" s="38"/>
    </row>
    <row r="1371" spans="1:7" ht="16.5" customHeight="1" x14ac:dyDescent="0.25">
      <c r="A1371" s="39"/>
      <c r="B1371" s="39"/>
      <c r="C1371" s="39"/>
      <c r="D1371" s="40"/>
      <c r="E1371" s="39"/>
      <c r="F1371" s="38"/>
      <c r="G1371" s="38"/>
    </row>
    <row r="1372" spans="1:7" ht="16.5" customHeight="1" x14ac:dyDescent="0.25">
      <c r="A1372" s="39"/>
      <c r="B1372" s="39"/>
      <c r="C1372" s="39"/>
      <c r="D1372" s="40"/>
      <c r="E1372" s="39"/>
      <c r="F1372" s="38"/>
      <c r="G1372" s="38"/>
    </row>
    <row r="1373" spans="1:7" ht="16.5" customHeight="1" x14ac:dyDescent="0.25">
      <c r="A1373" s="39"/>
      <c r="B1373" s="39"/>
      <c r="C1373" s="39"/>
      <c r="D1373" s="40"/>
      <c r="E1373" s="39"/>
      <c r="F1373" s="38"/>
      <c r="G1373" s="38"/>
    </row>
    <row r="1374" spans="1:7" ht="16.5" customHeight="1" x14ac:dyDescent="0.25">
      <c r="A1374" s="39"/>
      <c r="B1374" s="39"/>
      <c r="C1374" s="39"/>
      <c r="D1374" s="40"/>
      <c r="E1374" s="39"/>
      <c r="F1374" s="38"/>
      <c r="G1374" s="38"/>
    </row>
    <row r="1375" spans="1:7" ht="16.5" customHeight="1" x14ac:dyDescent="0.25">
      <c r="A1375" s="39"/>
      <c r="B1375" s="39"/>
      <c r="C1375" s="39"/>
      <c r="D1375" s="40"/>
      <c r="E1375" s="39"/>
      <c r="F1375" s="38"/>
      <c r="G1375" s="38"/>
    </row>
    <row r="1376" spans="1:7" ht="16.5" customHeight="1" x14ac:dyDescent="0.25">
      <c r="A1376" s="39"/>
      <c r="B1376" s="39"/>
      <c r="C1376" s="39"/>
      <c r="D1376" s="40"/>
      <c r="E1376" s="39"/>
      <c r="F1376" s="38"/>
      <c r="G1376" s="38"/>
    </row>
    <row r="1377" spans="1:7" ht="16.5" customHeight="1" x14ac:dyDescent="0.25">
      <c r="A1377" s="39"/>
      <c r="B1377" s="39"/>
      <c r="C1377" s="39"/>
      <c r="D1377" s="40"/>
      <c r="E1377" s="39"/>
      <c r="F1377" s="38"/>
      <c r="G1377" s="38"/>
    </row>
    <row r="1378" spans="1:7" ht="16.5" customHeight="1" x14ac:dyDescent="0.25">
      <c r="A1378" s="39"/>
      <c r="B1378" s="39"/>
      <c r="C1378" s="39"/>
      <c r="D1378" s="40"/>
      <c r="E1378" s="39"/>
      <c r="F1378" s="38"/>
      <c r="G1378" s="38"/>
    </row>
  </sheetData>
  <autoFilter ref="A3:G1065" xr:uid="{00000000-0009-0000-0000-000000000000}"/>
  <mergeCells count="2">
    <mergeCell ref="A1:G1"/>
    <mergeCell ref="A2:G2"/>
  </mergeCells>
  <conditionalFormatting sqref="A3:G3">
    <cfRule type="cellIs" dxfId="6" priority="1" stopIfTrue="1" operator="lessThan">
      <formula>5</formula>
    </cfRule>
  </conditionalFormatting>
  <printOptions horizontalCentered="1" gridLines="1"/>
  <pageMargins left="0.23622047244094491" right="0.23622047244094491" top="0.74803149606299213" bottom="0.74803149606299213" header="0.31496062992125984" footer="0.31496062992125984"/>
  <pageSetup paperSize="9" scale="53"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2024.'</oddFooter>
  </headerFooter>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D0C55-53B4-449E-9D0B-3ED3DE19B7A7}">
  <sheetPr>
    <tabColor theme="0" tint="-0.14999847407452621"/>
    <outlinePr summaryBelow="0" summaryRight="0"/>
    <pageSetUpPr autoPageBreaks="0" fitToPage="1"/>
  </sheetPr>
  <dimension ref="A1:F1082"/>
  <sheetViews>
    <sheetView workbookViewId="0">
      <selection activeCell="G37" sqref="G37"/>
    </sheetView>
  </sheetViews>
  <sheetFormatPr defaultRowHeight="12.75" customHeight="1" x14ac:dyDescent="0.2"/>
  <cols>
    <col min="1" max="16384" width="9.140625" style="48"/>
  </cols>
  <sheetData>
    <row r="1" spans="1:6" x14ac:dyDescent="0.2">
      <c r="A1" s="50" t="s">
        <v>4689</v>
      </c>
    </row>
    <row r="2" spans="1:6" x14ac:dyDescent="0.2">
      <c r="A2" s="50" t="s">
        <v>3139</v>
      </c>
    </row>
    <row r="3" spans="1:6" x14ac:dyDescent="0.2">
      <c r="A3" s="50" t="s">
        <v>4688</v>
      </c>
      <c r="B3" s="50" t="s">
        <v>4687</v>
      </c>
      <c r="C3" s="50" t="s">
        <v>4686</v>
      </c>
      <c r="D3" s="50" t="s">
        <v>4685</v>
      </c>
      <c r="E3" s="50" t="s">
        <v>4684</v>
      </c>
      <c r="F3" s="50" t="s">
        <v>4683</v>
      </c>
    </row>
    <row r="4" spans="1:6" x14ac:dyDescent="0.2">
      <c r="A4" s="50" t="s">
        <v>4682</v>
      </c>
      <c r="B4" s="50" t="s">
        <v>3139</v>
      </c>
      <c r="C4" s="50" t="s">
        <v>3139</v>
      </c>
      <c r="D4" s="50" t="s">
        <v>3139</v>
      </c>
      <c r="E4" s="50" t="s">
        <v>4681</v>
      </c>
      <c r="F4" s="49">
        <v>45695</v>
      </c>
    </row>
    <row r="5" spans="1:6" x14ac:dyDescent="0.2">
      <c r="A5" s="48" t="s">
        <v>4680</v>
      </c>
      <c r="B5" s="48" t="s">
        <v>3568</v>
      </c>
      <c r="C5" s="48" t="s">
        <v>3233</v>
      </c>
      <c r="D5" s="48" t="s">
        <v>4679</v>
      </c>
      <c r="E5" s="48" t="s">
        <v>3140</v>
      </c>
      <c r="F5" s="49">
        <v>300</v>
      </c>
    </row>
    <row r="6" spans="1:6" x14ac:dyDescent="0.2">
      <c r="A6" s="48" t="s">
        <v>4678</v>
      </c>
      <c r="B6" s="48" t="s">
        <v>3234</v>
      </c>
      <c r="C6" s="48" t="s">
        <v>3233</v>
      </c>
      <c r="D6" s="48" t="s">
        <v>3906</v>
      </c>
      <c r="E6" s="48" t="s">
        <v>3140</v>
      </c>
      <c r="F6" s="49">
        <v>300</v>
      </c>
    </row>
    <row r="7" spans="1:6" x14ac:dyDescent="0.2">
      <c r="A7" s="48" t="s">
        <v>4677</v>
      </c>
      <c r="B7" s="48" t="s">
        <v>3182</v>
      </c>
      <c r="C7" s="48" t="s">
        <v>3182</v>
      </c>
      <c r="D7" s="48" t="s">
        <v>4332</v>
      </c>
      <c r="E7" s="48" t="s">
        <v>3140</v>
      </c>
      <c r="F7" s="49">
        <v>300</v>
      </c>
    </row>
    <row r="8" spans="1:6" x14ac:dyDescent="0.2">
      <c r="A8" s="48" t="s">
        <v>4676</v>
      </c>
      <c r="B8" s="48" t="s">
        <v>3327</v>
      </c>
      <c r="C8" s="48" t="s">
        <v>3327</v>
      </c>
      <c r="D8" s="48" t="s">
        <v>3475</v>
      </c>
      <c r="E8" s="48" t="s">
        <v>3140</v>
      </c>
      <c r="F8" s="49">
        <v>300</v>
      </c>
    </row>
    <row r="9" spans="1:6" x14ac:dyDescent="0.2">
      <c r="A9" s="48" t="s">
        <v>4675</v>
      </c>
      <c r="B9" s="48" t="s">
        <v>3500</v>
      </c>
      <c r="C9" s="48" t="s">
        <v>3233</v>
      </c>
      <c r="D9" s="48" t="s">
        <v>3517</v>
      </c>
      <c r="E9" s="48" t="s">
        <v>3140</v>
      </c>
      <c r="F9" s="49">
        <v>300</v>
      </c>
    </row>
    <row r="10" spans="1:6" x14ac:dyDescent="0.2">
      <c r="A10" s="48" t="s">
        <v>4674</v>
      </c>
      <c r="B10" s="48" t="s">
        <v>3160</v>
      </c>
      <c r="C10" s="48" t="s">
        <v>3160</v>
      </c>
      <c r="D10" s="48" t="s">
        <v>4282</v>
      </c>
      <c r="E10" s="48" t="s">
        <v>3140</v>
      </c>
      <c r="F10" s="49">
        <v>300</v>
      </c>
    </row>
    <row r="11" spans="1:6" x14ac:dyDescent="0.2">
      <c r="A11" s="48" t="s">
        <v>4673</v>
      </c>
      <c r="B11" s="48" t="s">
        <v>3500</v>
      </c>
      <c r="C11" s="48" t="s">
        <v>3233</v>
      </c>
      <c r="D11" s="48" t="s">
        <v>4114</v>
      </c>
      <c r="E11" s="48" t="s">
        <v>3140</v>
      </c>
      <c r="F11" s="49">
        <v>300</v>
      </c>
    </row>
    <row r="12" spans="1:6" x14ac:dyDescent="0.2">
      <c r="A12" s="48" t="s">
        <v>4672</v>
      </c>
      <c r="B12" s="48" t="s">
        <v>3294</v>
      </c>
      <c r="C12" s="48" t="s">
        <v>3346</v>
      </c>
      <c r="D12" s="48" t="s">
        <v>4671</v>
      </c>
      <c r="E12" s="48" t="s">
        <v>3140</v>
      </c>
      <c r="F12" s="49">
        <v>300</v>
      </c>
    </row>
    <row r="13" spans="1:6" x14ac:dyDescent="0.2">
      <c r="A13" s="48" t="s">
        <v>4670</v>
      </c>
      <c r="B13" s="48" t="s">
        <v>3406</v>
      </c>
      <c r="C13" s="48" t="s">
        <v>3233</v>
      </c>
      <c r="D13" s="48" t="s">
        <v>4669</v>
      </c>
      <c r="E13" s="48" t="s">
        <v>3140</v>
      </c>
      <c r="F13" s="49">
        <v>300</v>
      </c>
    </row>
    <row r="14" spans="1:6" x14ac:dyDescent="0.2">
      <c r="A14" s="48" t="s">
        <v>4668</v>
      </c>
      <c r="B14" s="48" t="s">
        <v>3327</v>
      </c>
      <c r="C14" s="48" t="s">
        <v>3327</v>
      </c>
      <c r="D14" s="48" t="s">
        <v>3847</v>
      </c>
      <c r="E14" s="48" t="s">
        <v>3140</v>
      </c>
      <c r="F14" s="49">
        <v>300</v>
      </c>
    </row>
    <row r="15" spans="1:6" x14ac:dyDescent="0.2">
      <c r="A15" s="48" t="s">
        <v>4667</v>
      </c>
      <c r="B15" s="48" t="s">
        <v>3253</v>
      </c>
      <c r="C15" s="48" t="s">
        <v>3253</v>
      </c>
      <c r="D15" s="48" t="s">
        <v>4196</v>
      </c>
      <c r="E15" s="48" t="s">
        <v>3140</v>
      </c>
      <c r="F15" s="49">
        <v>300</v>
      </c>
    </row>
    <row r="16" spans="1:6" x14ac:dyDescent="0.2">
      <c r="A16" s="48" t="s">
        <v>4666</v>
      </c>
      <c r="B16" s="48" t="s">
        <v>3210</v>
      </c>
      <c r="C16" s="48" t="s">
        <v>3209</v>
      </c>
      <c r="D16" s="48" t="s">
        <v>4464</v>
      </c>
      <c r="E16" s="48" t="s">
        <v>3140</v>
      </c>
      <c r="F16" s="49">
        <v>300</v>
      </c>
    </row>
    <row r="17" spans="1:6" x14ac:dyDescent="0.2">
      <c r="A17" s="48" t="s">
        <v>4665</v>
      </c>
      <c r="B17" s="48" t="s">
        <v>3253</v>
      </c>
      <c r="C17" s="48" t="s">
        <v>3253</v>
      </c>
      <c r="D17" s="48" t="s">
        <v>3816</v>
      </c>
      <c r="E17" s="48" t="s">
        <v>3140</v>
      </c>
      <c r="F17" s="49">
        <v>300</v>
      </c>
    </row>
    <row r="18" spans="1:6" x14ac:dyDescent="0.2">
      <c r="A18" s="48" t="s">
        <v>4664</v>
      </c>
      <c r="B18" s="48" t="s">
        <v>3500</v>
      </c>
      <c r="C18" s="48" t="s">
        <v>3233</v>
      </c>
      <c r="D18" s="48" t="s">
        <v>4663</v>
      </c>
      <c r="E18" s="48" t="s">
        <v>3140</v>
      </c>
      <c r="F18" s="49">
        <v>300</v>
      </c>
    </row>
    <row r="19" spans="1:6" x14ac:dyDescent="0.2">
      <c r="A19" s="48" t="s">
        <v>4662</v>
      </c>
      <c r="B19" s="48" t="s">
        <v>3182</v>
      </c>
      <c r="C19" s="48" t="s">
        <v>3233</v>
      </c>
      <c r="D19" s="48" t="s">
        <v>4169</v>
      </c>
      <c r="E19" s="48" t="s">
        <v>3140</v>
      </c>
      <c r="F19" s="49">
        <v>300</v>
      </c>
    </row>
    <row r="20" spans="1:6" x14ac:dyDescent="0.2">
      <c r="A20" s="48" t="s">
        <v>4661</v>
      </c>
      <c r="B20" s="48" t="s">
        <v>3177</v>
      </c>
      <c r="C20" s="48" t="s">
        <v>3219</v>
      </c>
      <c r="D20" s="48" t="s">
        <v>4660</v>
      </c>
      <c r="E20" s="48" t="s">
        <v>3140</v>
      </c>
      <c r="F20" s="49">
        <v>300</v>
      </c>
    </row>
    <row r="21" spans="1:6" x14ac:dyDescent="0.2">
      <c r="A21" s="48" t="s">
        <v>4659</v>
      </c>
      <c r="B21" s="48" t="s">
        <v>3274</v>
      </c>
      <c r="C21" s="48" t="s">
        <v>3233</v>
      </c>
      <c r="D21" s="48" t="s">
        <v>3646</v>
      </c>
      <c r="E21" s="48" t="s">
        <v>3140</v>
      </c>
      <c r="F21" s="49">
        <v>300</v>
      </c>
    </row>
    <row r="22" spans="1:6" x14ac:dyDescent="0.2">
      <c r="A22" s="48" t="s">
        <v>4658</v>
      </c>
      <c r="B22" s="48" t="s">
        <v>3142</v>
      </c>
      <c r="C22" s="48" t="s">
        <v>3142</v>
      </c>
      <c r="D22" s="48" t="s">
        <v>3428</v>
      </c>
      <c r="E22" s="48" t="s">
        <v>3140</v>
      </c>
      <c r="F22" s="49">
        <v>298</v>
      </c>
    </row>
    <row r="23" spans="1:6" x14ac:dyDescent="0.2">
      <c r="A23" s="48" t="s">
        <v>4657</v>
      </c>
      <c r="B23" s="48" t="s">
        <v>3156</v>
      </c>
      <c r="C23" s="48" t="s">
        <v>3156</v>
      </c>
      <c r="D23" s="48" t="s">
        <v>3410</v>
      </c>
      <c r="E23" s="48" t="s">
        <v>3140</v>
      </c>
      <c r="F23" s="49">
        <v>283</v>
      </c>
    </row>
    <row r="24" spans="1:6" x14ac:dyDescent="0.2">
      <c r="A24" s="48" t="s">
        <v>4656</v>
      </c>
      <c r="B24" s="48" t="s">
        <v>3177</v>
      </c>
      <c r="C24" s="48" t="s">
        <v>3176</v>
      </c>
      <c r="D24" s="48" t="s">
        <v>3917</v>
      </c>
      <c r="E24" s="48" t="s">
        <v>3140</v>
      </c>
      <c r="F24" s="49">
        <v>280</v>
      </c>
    </row>
    <row r="25" spans="1:6" x14ac:dyDescent="0.2">
      <c r="A25" s="48" t="s">
        <v>4655</v>
      </c>
      <c r="B25" s="48" t="s">
        <v>3324</v>
      </c>
      <c r="C25" s="48" t="s">
        <v>3209</v>
      </c>
      <c r="D25" s="48" t="s">
        <v>3609</v>
      </c>
      <c r="E25" s="48" t="s">
        <v>3140</v>
      </c>
      <c r="F25" s="49">
        <v>278</v>
      </c>
    </row>
    <row r="26" spans="1:6" x14ac:dyDescent="0.2">
      <c r="A26" s="48" t="s">
        <v>4654</v>
      </c>
      <c r="B26" s="48" t="s">
        <v>3253</v>
      </c>
      <c r="C26" s="48" t="s">
        <v>3253</v>
      </c>
      <c r="D26" s="48" t="s">
        <v>3816</v>
      </c>
      <c r="E26" s="48" t="s">
        <v>3140</v>
      </c>
      <c r="F26" s="49">
        <v>265</v>
      </c>
    </row>
    <row r="27" spans="1:6" x14ac:dyDescent="0.2">
      <c r="A27" s="48" t="s">
        <v>4653</v>
      </c>
      <c r="B27" s="48" t="s">
        <v>3142</v>
      </c>
      <c r="C27" s="48" t="s">
        <v>3142</v>
      </c>
      <c r="D27" s="48" t="s">
        <v>4045</v>
      </c>
      <c r="E27" s="48" t="s">
        <v>3140</v>
      </c>
      <c r="F27" s="49">
        <v>260</v>
      </c>
    </row>
    <row r="28" spans="1:6" x14ac:dyDescent="0.2">
      <c r="A28" s="48" t="s">
        <v>4652</v>
      </c>
      <c r="B28" s="48" t="s">
        <v>3210</v>
      </c>
      <c r="C28" s="48" t="s">
        <v>3209</v>
      </c>
      <c r="D28" s="48" t="s">
        <v>4364</v>
      </c>
      <c r="E28" s="48" t="s">
        <v>3140</v>
      </c>
      <c r="F28" s="49">
        <v>250</v>
      </c>
    </row>
    <row r="29" spans="1:6" x14ac:dyDescent="0.2">
      <c r="A29" s="48" t="s">
        <v>4651</v>
      </c>
      <c r="B29" s="48" t="s">
        <v>3149</v>
      </c>
      <c r="C29" s="48" t="s">
        <v>3196</v>
      </c>
      <c r="D29" s="48" t="s">
        <v>3380</v>
      </c>
      <c r="E29" s="48" t="s">
        <v>3140</v>
      </c>
      <c r="F29" s="49">
        <v>245</v>
      </c>
    </row>
    <row r="30" spans="1:6" x14ac:dyDescent="0.2">
      <c r="A30" s="48" t="s">
        <v>4650</v>
      </c>
      <c r="B30" s="48" t="s">
        <v>3327</v>
      </c>
      <c r="C30" s="48" t="s">
        <v>3327</v>
      </c>
      <c r="D30" s="48" t="s">
        <v>3326</v>
      </c>
      <c r="E30" s="48" t="s">
        <v>3140</v>
      </c>
      <c r="F30" s="49">
        <v>240</v>
      </c>
    </row>
    <row r="31" spans="1:6" x14ac:dyDescent="0.2">
      <c r="A31" s="48" t="s">
        <v>4649</v>
      </c>
      <c r="B31" s="48" t="s">
        <v>3142</v>
      </c>
      <c r="C31" s="48" t="s">
        <v>3142</v>
      </c>
      <c r="D31" s="48" t="s">
        <v>4288</v>
      </c>
      <c r="E31" s="48" t="s">
        <v>3140</v>
      </c>
      <c r="F31" s="49">
        <v>232</v>
      </c>
    </row>
    <row r="32" spans="1:6" x14ac:dyDescent="0.2">
      <c r="A32" s="48" t="s">
        <v>4648</v>
      </c>
      <c r="B32" s="48" t="s">
        <v>3156</v>
      </c>
      <c r="C32" s="48" t="s">
        <v>3156</v>
      </c>
      <c r="D32" s="48" t="s">
        <v>3410</v>
      </c>
      <c r="E32" s="48" t="s">
        <v>3140</v>
      </c>
      <c r="F32" s="49">
        <v>232</v>
      </c>
    </row>
    <row r="33" spans="1:6" x14ac:dyDescent="0.2">
      <c r="A33" s="48" t="s">
        <v>4647</v>
      </c>
      <c r="B33" s="48" t="s">
        <v>3167</v>
      </c>
      <c r="C33" s="48" t="s">
        <v>3166</v>
      </c>
      <c r="D33" s="48" t="s">
        <v>4362</v>
      </c>
      <c r="E33" s="48" t="s">
        <v>3140</v>
      </c>
      <c r="F33" s="49">
        <v>229</v>
      </c>
    </row>
    <row r="34" spans="1:6" x14ac:dyDescent="0.2">
      <c r="A34" s="48" t="s">
        <v>4646</v>
      </c>
      <c r="B34" s="48" t="s">
        <v>3324</v>
      </c>
      <c r="C34" s="48" t="s">
        <v>3209</v>
      </c>
      <c r="D34" s="48" t="s">
        <v>3721</v>
      </c>
      <c r="E34" s="48" t="s">
        <v>3140</v>
      </c>
      <c r="F34" s="49">
        <v>225</v>
      </c>
    </row>
    <row r="35" spans="1:6" x14ac:dyDescent="0.2">
      <c r="A35" s="48" t="s">
        <v>4645</v>
      </c>
      <c r="B35" s="48" t="s">
        <v>3210</v>
      </c>
      <c r="C35" s="48" t="s">
        <v>3209</v>
      </c>
      <c r="D35" s="48" t="s">
        <v>3485</v>
      </c>
      <c r="E35" s="48" t="s">
        <v>3140</v>
      </c>
      <c r="F35" s="49">
        <v>218</v>
      </c>
    </row>
    <row r="36" spans="1:6" x14ac:dyDescent="0.2">
      <c r="A36" s="48" t="s">
        <v>4644</v>
      </c>
      <c r="B36" s="48" t="s">
        <v>3177</v>
      </c>
      <c r="C36" s="48" t="s">
        <v>3219</v>
      </c>
      <c r="D36" s="48" t="s">
        <v>4643</v>
      </c>
      <c r="E36" s="48" t="s">
        <v>3140</v>
      </c>
      <c r="F36" s="49">
        <v>218</v>
      </c>
    </row>
    <row r="37" spans="1:6" x14ac:dyDescent="0.2">
      <c r="A37" s="48" t="s">
        <v>4642</v>
      </c>
      <c r="B37" s="48" t="s">
        <v>3182</v>
      </c>
      <c r="C37" s="48" t="s">
        <v>3182</v>
      </c>
      <c r="D37" s="48" t="s">
        <v>3288</v>
      </c>
      <c r="E37" s="48" t="s">
        <v>3140</v>
      </c>
      <c r="F37" s="49">
        <v>212</v>
      </c>
    </row>
    <row r="38" spans="1:6" x14ac:dyDescent="0.2">
      <c r="A38" s="48" t="s">
        <v>4641</v>
      </c>
      <c r="B38" s="48" t="s">
        <v>3500</v>
      </c>
      <c r="C38" s="48" t="s">
        <v>3233</v>
      </c>
      <c r="D38" s="48" t="s">
        <v>4556</v>
      </c>
      <c r="E38" s="48" t="s">
        <v>3140</v>
      </c>
      <c r="F38" s="49">
        <v>210</v>
      </c>
    </row>
    <row r="39" spans="1:6" x14ac:dyDescent="0.2">
      <c r="A39" s="48" t="s">
        <v>4640</v>
      </c>
      <c r="B39" s="48" t="s">
        <v>3327</v>
      </c>
      <c r="C39" s="48" t="s">
        <v>3327</v>
      </c>
      <c r="D39" s="48" t="s">
        <v>4200</v>
      </c>
      <c r="E39" s="48" t="s">
        <v>3140</v>
      </c>
      <c r="F39" s="49">
        <v>210</v>
      </c>
    </row>
    <row r="40" spans="1:6" x14ac:dyDescent="0.2">
      <c r="A40" s="48" t="s">
        <v>4639</v>
      </c>
      <c r="B40" s="48" t="s">
        <v>3294</v>
      </c>
      <c r="C40" s="48" t="s">
        <v>3346</v>
      </c>
      <c r="D40" s="48" t="s">
        <v>4638</v>
      </c>
      <c r="E40" s="48" t="s">
        <v>3140</v>
      </c>
      <c r="F40" s="49">
        <v>200</v>
      </c>
    </row>
    <row r="41" spans="1:6" x14ac:dyDescent="0.2">
      <c r="A41" s="48" t="s">
        <v>4637</v>
      </c>
      <c r="B41" s="48" t="s">
        <v>3160</v>
      </c>
      <c r="C41" s="48" t="s">
        <v>3160</v>
      </c>
      <c r="D41" s="48" t="s">
        <v>3339</v>
      </c>
      <c r="E41" s="48" t="s">
        <v>3140</v>
      </c>
      <c r="F41" s="49">
        <v>200</v>
      </c>
    </row>
    <row r="42" spans="1:6" x14ac:dyDescent="0.2">
      <c r="A42" s="48" t="s">
        <v>4636</v>
      </c>
      <c r="B42" s="48" t="s">
        <v>3274</v>
      </c>
      <c r="C42" s="48" t="s">
        <v>3551</v>
      </c>
      <c r="D42" s="48" t="s">
        <v>4380</v>
      </c>
      <c r="E42" s="48" t="s">
        <v>3140</v>
      </c>
      <c r="F42" s="49">
        <v>200</v>
      </c>
    </row>
    <row r="43" spans="1:6" x14ac:dyDescent="0.2">
      <c r="A43" s="48" t="s">
        <v>4635</v>
      </c>
      <c r="B43" s="48" t="s">
        <v>3294</v>
      </c>
      <c r="C43" s="48" t="s">
        <v>3346</v>
      </c>
      <c r="D43" s="48" t="s">
        <v>4158</v>
      </c>
      <c r="E43" s="48" t="s">
        <v>3140</v>
      </c>
      <c r="F43" s="49">
        <v>200</v>
      </c>
    </row>
    <row r="44" spans="1:6" x14ac:dyDescent="0.2">
      <c r="A44" s="48" t="s">
        <v>4634</v>
      </c>
      <c r="B44" s="48" t="s">
        <v>3182</v>
      </c>
      <c r="C44" s="48" t="s">
        <v>3182</v>
      </c>
      <c r="D44" s="48" t="s">
        <v>3504</v>
      </c>
      <c r="E44" s="48" t="s">
        <v>3140</v>
      </c>
      <c r="F44" s="49">
        <v>200</v>
      </c>
    </row>
    <row r="45" spans="1:6" x14ac:dyDescent="0.2">
      <c r="A45" s="48" t="s">
        <v>4633</v>
      </c>
      <c r="B45" s="48" t="s">
        <v>3167</v>
      </c>
      <c r="C45" s="48" t="s">
        <v>3166</v>
      </c>
      <c r="D45" s="48" t="s">
        <v>4609</v>
      </c>
      <c r="E45" s="48" t="s">
        <v>3140</v>
      </c>
      <c r="F45" s="49">
        <v>200</v>
      </c>
    </row>
    <row r="46" spans="1:6" x14ac:dyDescent="0.2">
      <c r="A46" s="48" t="s">
        <v>4632</v>
      </c>
      <c r="B46" s="48" t="s">
        <v>3274</v>
      </c>
      <c r="C46" s="48" t="s">
        <v>3551</v>
      </c>
      <c r="D46" s="48" t="s">
        <v>4083</v>
      </c>
      <c r="E46" s="48" t="s">
        <v>3140</v>
      </c>
      <c r="F46" s="49">
        <v>200</v>
      </c>
    </row>
    <row r="47" spans="1:6" x14ac:dyDescent="0.2">
      <c r="A47" s="48" t="s">
        <v>4631</v>
      </c>
      <c r="B47" s="48" t="s">
        <v>3327</v>
      </c>
      <c r="C47" s="48" t="s">
        <v>3510</v>
      </c>
      <c r="D47" s="48" t="s">
        <v>3724</v>
      </c>
      <c r="E47" s="48" t="s">
        <v>3140</v>
      </c>
      <c r="F47" s="49">
        <v>195</v>
      </c>
    </row>
    <row r="48" spans="1:6" x14ac:dyDescent="0.2">
      <c r="A48" s="48" t="s">
        <v>4630</v>
      </c>
      <c r="B48" s="48" t="s">
        <v>3253</v>
      </c>
      <c r="C48" s="48" t="s">
        <v>3253</v>
      </c>
      <c r="D48" s="48" t="s">
        <v>4062</v>
      </c>
      <c r="E48" s="48" t="s">
        <v>3140</v>
      </c>
      <c r="F48" s="49">
        <v>193</v>
      </c>
    </row>
    <row r="49" spans="1:6" x14ac:dyDescent="0.2">
      <c r="A49" s="48" t="s">
        <v>4629</v>
      </c>
      <c r="B49" s="48" t="s">
        <v>3182</v>
      </c>
      <c r="C49" s="48" t="s">
        <v>3182</v>
      </c>
      <c r="D49" s="48" t="s">
        <v>3504</v>
      </c>
      <c r="E49" s="48" t="s">
        <v>3140</v>
      </c>
      <c r="F49" s="49">
        <v>190</v>
      </c>
    </row>
    <row r="50" spans="1:6" x14ac:dyDescent="0.2">
      <c r="A50" s="48" t="s">
        <v>4628</v>
      </c>
      <c r="B50" s="48" t="s">
        <v>3568</v>
      </c>
      <c r="C50" s="48" t="s">
        <v>3233</v>
      </c>
      <c r="D50" s="48" t="s">
        <v>3746</v>
      </c>
      <c r="E50" s="48" t="s">
        <v>3140</v>
      </c>
      <c r="F50" s="49">
        <v>184</v>
      </c>
    </row>
    <row r="51" spans="1:6" x14ac:dyDescent="0.2">
      <c r="A51" s="48" t="s">
        <v>4627</v>
      </c>
      <c r="B51" s="48" t="s">
        <v>3324</v>
      </c>
      <c r="C51" s="48" t="s">
        <v>3209</v>
      </c>
      <c r="D51" s="48" t="s">
        <v>4626</v>
      </c>
      <c r="E51" s="48" t="s">
        <v>3140</v>
      </c>
      <c r="F51" s="49">
        <v>180</v>
      </c>
    </row>
    <row r="52" spans="1:6" x14ac:dyDescent="0.2">
      <c r="A52" s="48" t="s">
        <v>4625</v>
      </c>
      <c r="B52" s="48" t="s">
        <v>3253</v>
      </c>
      <c r="C52" s="48" t="s">
        <v>3253</v>
      </c>
      <c r="D52" s="48" t="s">
        <v>3816</v>
      </c>
      <c r="E52" s="48" t="s">
        <v>3140</v>
      </c>
      <c r="F52" s="49">
        <v>180</v>
      </c>
    </row>
    <row r="53" spans="1:6" x14ac:dyDescent="0.2">
      <c r="A53" s="48" t="s">
        <v>4624</v>
      </c>
      <c r="B53" s="48" t="s">
        <v>3274</v>
      </c>
      <c r="C53" s="48" t="s">
        <v>3551</v>
      </c>
      <c r="D53" s="48" t="s">
        <v>3754</v>
      </c>
      <c r="E53" s="48" t="s">
        <v>3140</v>
      </c>
      <c r="F53" s="49">
        <v>170</v>
      </c>
    </row>
    <row r="54" spans="1:6" x14ac:dyDescent="0.2">
      <c r="A54" s="48" t="s">
        <v>4623</v>
      </c>
      <c r="B54" s="48" t="s">
        <v>3210</v>
      </c>
      <c r="C54" s="48" t="s">
        <v>3209</v>
      </c>
      <c r="D54" s="48" t="s">
        <v>3420</v>
      </c>
      <c r="E54" s="48" t="s">
        <v>3140</v>
      </c>
      <c r="F54" s="49">
        <v>168</v>
      </c>
    </row>
    <row r="55" spans="1:6" x14ac:dyDescent="0.2">
      <c r="A55" s="48" t="s">
        <v>4622</v>
      </c>
      <c r="B55" s="48" t="s">
        <v>3406</v>
      </c>
      <c r="C55" s="48" t="s">
        <v>3233</v>
      </c>
      <c r="D55" s="48" t="s">
        <v>4222</v>
      </c>
      <c r="E55" s="48" t="s">
        <v>3140</v>
      </c>
      <c r="F55" s="49">
        <v>163</v>
      </c>
    </row>
    <row r="56" spans="1:6" x14ac:dyDescent="0.2">
      <c r="A56" s="48" t="s">
        <v>4621</v>
      </c>
      <c r="B56" s="48" t="s">
        <v>3177</v>
      </c>
      <c r="C56" s="48" t="s">
        <v>3219</v>
      </c>
      <c r="D56" s="48" t="s">
        <v>3219</v>
      </c>
      <c r="E56" s="48" t="s">
        <v>3140</v>
      </c>
      <c r="F56" s="49">
        <v>160</v>
      </c>
    </row>
    <row r="57" spans="1:6" x14ac:dyDescent="0.2">
      <c r="A57" s="48" t="s">
        <v>4620</v>
      </c>
      <c r="B57" s="48" t="s">
        <v>3182</v>
      </c>
      <c r="C57" s="48" t="s">
        <v>3233</v>
      </c>
      <c r="D57" s="48" t="s">
        <v>4169</v>
      </c>
      <c r="E57" s="48" t="s">
        <v>3140</v>
      </c>
      <c r="F57" s="49">
        <v>158</v>
      </c>
    </row>
    <row r="58" spans="1:6" x14ac:dyDescent="0.2">
      <c r="A58" s="48" t="s">
        <v>4619</v>
      </c>
      <c r="B58" s="48" t="s">
        <v>3253</v>
      </c>
      <c r="C58" s="48" t="s">
        <v>3253</v>
      </c>
      <c r="D58" s="48" t="s">
        <v>3506</v>
      </c>
      <c r="E58" s="48" t="s">
        <v>3140</v>
      </c>
      <c r="F58" s="49">
        <v>157</v>
      </c>
    </row>
    <row r="59" spans="1:6" x14ac:dyDescent="0.2">
      <c r="A59" s="48" t="s">
        <v>4618</v>
      </c>
      <c r="B59" s="48" t="s">
        <v>3253</v>
      </c>
      <c r="C59" s="48" t="s">
        <v>3253</v>
      </c>
      <c r="D59" s="48" t="s">
        <v>3583</v>
      </c>
      <c r="E59" s="48" t="s">
        <v>3140</v>
      </c>
      <c r="F59" s="49">
        <v>150</v>
      </c>
    </row>
    <row r="60" spans="1:6" x14ac:dyDescent="0.2">
      <c r="A60" s="48" t="s">
        <v>4617</v>
      </c>
      <c r="B60" s="48" t="s">
        <v>3210</v>
      </c>
      <c r="C60" s="48" t="s">
        <v>3209</v>
      </c>
      <c r="D60" s="48" t="s">
        <v>3769</v>
      </c>
      <c r="E60" s="48" t="s">
        <v>3140</v>
      </c>
      <c r="F60" s="49">
        <v>150</v>
      </c>
    </row>
    <row r="61" spans="1:6" x14ac:dyDescent="0.2">
      <c r="A61" s="48" t="s">
        <v>4616</v>
      </c>
      <c r="B61" s="48" t="s">
        <v>3149</v>
      </c>
      <c r="C61" s="48" t="s">
        <v>3196</v>
      </c>
      <c r="D61" s="48" t="s">
        <v>3195</v>
      </c>
      <c r="E61" s="48" t="s">
        <v>3140</v>
      </c>
      <c r="F61" s="49">
        <v>150</v>
      </c>
    </row>
    <row r="62" spans="1:6" x14ac:dyDescent="0.2">
      <c r="A62" s="48" t="s">
        <v>4615</v>
      </c>
      <c r="B62" s="48" t="s">
        <v>3406</v>
      </c>
      <c r="C62" s="48" t="s">
        <v>3233</v>
      </c>
      <c r="D62" s="48" t="s">
        <v>4614</v>
      </c>
      <c r="E62" s="48" t="s">
        <v>3140</v>
      </c>
      <c r="F62" s="49">
        <v>145</v>
      </c>
    </row>
    <row r="63" spans="1:6" x14ac:dyDescent="0.2">
      <c r="A63" s="48" t="s">
        <v>4613</v>
      </c>
      <c r="B63" s="48" t="s">
        <v>3294</v>
      </c>
      <c r="C63" s="48" t="s">
        <v>3346</v>
      </c>
      <c r="D63" s="48" t="s">
        <v>4158</v>
      </c>
      <c r="E63" s="48" t="s">
        <v>3140</v>
      </c>
      <c r="F63" s="49">
        <v>144</v>
      </c>
    </row>
    <row r="64" spans="1:6" x14ac:dyDescent="0.2">
      <c r="A64" s="48" t="s">
        <v>4612</v>
      </c>
      <c r="B64" s="48" t="s">
        <v>3149</v>
      </c>
      <c r="C64" s="48" t="s">
        <v>3148</v>
      </c>
      <c r="D64" s="48" t="s">
        <v>3795</v>
      </c>
      <c r="E64" s="48" t="s">
        <v>3140</v>
      </c>
      <c r="F64" s="49">
        <v>139</v>
      </c>
    </row>
    <row r="65" spans="1:6" x14ac:dyDescent="0.2">
      <c r="A65" s="48" t="s">
        <v>4611</v>
      </c>
      <c r="B65" s="48" t="s">
        <v>3160</v>
      </c>
      <c r="C65" s="48" t="s">
        <v>3160</v>
      </c>
      <c r="D65" s="48" t="s">
        <v>4179</v>
      </c>
      <c r="E65" s="48" t="s">
        <v>3140</v>
      </c>
      <c r="F65" s="49">
        <v>138</v>
      </c>
    </row>
    <row r="66" spans="1:6" x14ac:dyDescent="0.2">
      <c r="A66" s="48" t="s">
        <v>4610</v>
      </c>
      <c r="B66" s="48" t="s">
        <v>3167</v>
      </c>
      <c r="C66" s="48" t="s">
        <v>3166</v>
      </c>
      <c r="D66" s="48" t="s">
        <v>4609</v>
      </c>
      <c r="E66" s="48" t="s">
        <v>3140</v>
      </c>
      <c r="F66" s="49">
        <v>136</v>
      </c>
    </row>
    <row r="67" spans="1:6" x14ac:dyDescent="0.2">
      <c r="A67" s="48" t="s">
        <v>4608</v>
      </c>
      <c r="B67" s="48" t="s">
        <v>3568</v>
      </c>
      <c r="C67" s="48" t="s">
        <v>3233</v>
      </c>
      <c r="D67" s="48" t="s">
        <v>4284</v>
      </c>
      <c r="E67" s="48" t="s">
        <v>3140</v>
      </c>
      <c r="F67" s="49">
        <v>136</v>
      </c>
    </row>
    <row r="68" spans="1:6" x14ac:dyDescent="0.2">
      <c r="A68" s="48" t="s">
        <v>4607</v>
      </c>
      <c r="B68" s="48" t="s">
        <v>3153</v>
      </c>
      <c r="C68" s="48" t="s">
        <v>4037</v>
      </c>
      <c r="D68" s="48" t="s">
        <v>4037</v>
      </c>
      <c r="E68" s="48" t="s">
        <v>3140</v>
      </c>
      <c r="F68" s="49">
        <v>131</v>
      </c>
    </row>
    <row r="69" spans="1:6" x14ac:dyDescent="0.2">
      <c r="A69" s="48" t="s">
        <v>4606</v>
      </c>
      <c r="B69" s="48" t="s">
        <v>3177</v>
      </c>
      <c r="C69" s="48" t="s">
        <v>3176</v>
      </c>
      <c r="D69" s="48" t="s">
        <v>3572</v>
      </c>
      <c r="E69" s="48" t="s">
        <v>3140</v>
      </c>
      <c r="F69" s="49">
        <v>130</v>
      </c>
    </row>
    <row r="70" spans="1:6" x14ac:dyDescent="0.2">
      <c r="A70" s="48" t="s">
        <v>4605</v>
      </c>
      <c r="B70" s="48" t="s">
        <v>3406</v>
      </c>
      <c r="C70" s="48" t="s">
        <v>3233</v>
      </c>
      <c r="D70" s="48" t="s">
        <v>4398</v>
      </c>
      <c r="E70" s="48" t="s">
        <v>3140</v>
      </c>
      <c r="F70" s="49">
        <v>122</v>
      </c>
    </row>
    <row r="71" spans="1:6" x14ac:dyDescent="0.2">
      <c r="A71" s="48" t="s">
        <v>4604</v>
      </c>
      <c r="B71" s="48" t="s">
        <v>3210</v>
      </c>
      <c r="C71" s="48" t="s">
        <v>3209</v>
      </c>
      <c r="D71" s="48" t="s">
        <v>3485</v>
      </c>
      <c r="E71" s="48" t="s">
        <v>3140</v>
      </c>
      <c r="F71" s="49">
        <v>120</v>
      </c>
    </row>
    <row r="72" spans="1:6" x14ac:dyDescent="0.2">
      <c r="A72" s="48" t="s">
        <v>4603</v>
      </c>
      <c r="B72" s="48" t="s">
        <v>3327</v>
      </c>
      <c r="C72" s="48" t="s">
        <v>3327</v>
      </c>
      <c r="D72" s="48" t="s">
        <v>4602</v>
      </c>
      <c r="E72" s="48" t="s">
        <v>3140</v>
      </c>
      <c r="F72" s="49">
        <v>120</v>
      </c>
    </row>
    <row r="73" spans="1:6" x14ac:dyDescent="0.2">
      <c r="A73" s="48" t="s">
        <v>4601</v>
      </c>
      <c r="B73" s="48" t="s">
        <v>3177</v>
      </c>
      <c r="C73" s="48" t="s">
        <v>3176</v>
      </c>
      <c r="D73" s="48" t="s">
        <v>3438</v>
      </c>
      <c r="E73" s="48" t="s">
        <v>3140</v>
      </c>
      <c r="F73" s="49">
        <v>115</v>
      </c>
    </row>
    <row r="74" spans="1:6" x14ac:dyDescent="0.2">
      <c r="A74" s="48" t="s">
        <v>4600</v>
      </c>
      <c r="B74" s="48" t="s">
        <v>3142</v>
      </c>
      <c r="C74" s="48" t="s">
        <v>3142</v>
      </c>
      <c r="D74" s="48" t="s">
        <v>4599</v>
      </c>
      <c r="E74" s="48" t="s">
        <v>3140</v>
      </c>
      <c r="F74" s="49">
        <v>110</v>
      </c>
    </row>
    <row r="75" spans="1:6" x14ac:dyDescent="0.2">
      <c r="A75" s="48" t="s">
        <v>4598</v>
      </c>
      <c r="B75" s="48" t="s">
        <v>3153</v>
      </c>
      <c r="C75" s="48" t="s">
        <v>4037</v>
      </c>
      <c r="D75" s="48" t="s">
        <v>4037</v>
      </c>
      <c r="E75" s="48" t="s">
        <v>3140</v>
      </c>
      <c r="F75" s="49">
        <v>105</v>
      </c>
    </row>
    <row r="76" spans="1:6" x14ac:dyDescent="0.2">
      <c r="A76" s="48" t="s">
        <v>4597</v>
      </c>
      <c r="B76" s="48" t="s">
        <v>3274</v>
      </c>
      <c r="C76" s="48" t="s">
        <v>3233</v>
      </c>
      <c r="D76" s="48" t="s">
        <v>3273</v>
      </c>
      <c r="E76" s="48" t="s">
        <v>3140</v>
      </c>
      <c r="F76" s="49">
        <v>105</v>
      </c>
    </row>
    <row r="77" spans="1:6" x14ac:dyDescent="0.2">
      <c r="A77" s="48" t="s">
        <v>4596</v>
      </c>
      <c r="B77" s="48" t="s">
        <v>3406</v>
      </c>
      <c r="C77" s="48" t="s">
        <v>3233</v>
      </c>
      <c r="D77" s="48" t="s">
        <v>3964</v>
      </c>
      <c r="E77" s="48" t="s">
        <v>3140</v>
      </c>
      <c r="F77" s="49">
        <v>103</v>
      </c>
    </row>
    <row r="78" spans="1:6" x14ac:dyDescent="0.2">
      <c r="A78" s="48" t="s">
        <v>4595</v>
      </c>
      <c r="B78" s="48" t="s">
        <v>3149</v>
      </c>
      <c r="C78" s="48" t="s">
        <v>3185</v>
      </c>
      <c r="D78" s="48" t="s">
        <v>3185</v>
      </c>
      <c r="E78" s="48" t="s">
        <v>3140</v>
      </c>
      <c r="F78" s="49">
        <v>103</v>
      </c>
    </row>
    <row r="79" spans="1:6" x14ac:dyDescent="0.2">
      <c r="A79" s="48" t="s">
        <v>4594</v>
      </c>
      <c r="B79" s="48" t="s">
        <v>3294</v>
      </c>
      <c r="C79" s="48" t="s">
        <v>3346</v>
      </c>
      <c r="D79" s="48" t="s">
        <v>4171</v>
      </c>
      <c r="E79" s="48" t="s">
        <v>3140</v>
      </c>
      <c r="F79" s="49">
        <v>100</v>
      </c>
    </row>
    <row r="80" spans="1:6" x14ac:dyDescent="0.2">
      <c r="A80" s="48" t="s">
        <v>4593</v>
      </c>
      <c r="B80" s="48" t="s">
        <v>3253</v>
      </c>
      <c r="C80" s="48" t="s">
        <v>3253</v>
      </c>
      <c r="D80" s="48" t="s">
        <v>3816</v>
      </c>
      <c r="E80" s="48" t="s">
        <v>3140</v>
      </c>
      <c r="F80" s="49">
        <v>100</v>
      </c>
    </row>
    <row r="81" spans="1:6" x14ac:dyDescent="0.2">
      <c r="A81" s="48" t="s">
        <v>4592</v>
      </c>
      <c r="B81" s="48" t="s">
        <v>3274</v>
      </c>
      <c r="C81" s="48" t="s">
        <v>3551</v>
      </c>
      <c r="D81" s="48" t="s">
        <v>3594</v>
      </c>
      <c r="E81" s="48" t="s">
        <v>3140</v>
      </c>
      <c r="F81" s="49">
        <v>100</v>
      </c>
    </row>
    <row r="82" spans="1:6" x14ac:dyDescent="0.2">
      <c r="A82" s="48" t="s">
        <v>4591</v>
      </c>
      <c r="B82" s="48" t="s">
        <v>3177</v>
      </c>
      <c r="C82" s="48" t="s">
        <v>3191</v>
      </c>
      <c r="D82" s="48" t="s">
        <v>3212</v>
      </c>
      <c r="E82" s="48" t="s">
        <v>3140</v>
      </c>
      <c r="F82" s="49">
        <v>98</v>
      </c>
    </row>
    <row r="83" spans="1:6" x14ac:dyDescent="0.2">
      <c r="A83" s="48" t="s">
        <v>4590</v>
      </c>
      <c r="B83" s="48" t="s">
        <v>3500</v>
      </c>
      <c r="C83" s="48" t="s">
        <v>3233</v>
      </c>
      <c r="D83" s="48" t="s">
        <v>4589</v>
      </c>
      <c r="E83" s="48" t="s">
        <v>3140</v>
      </c>
      <c r="F83" s="49">
        <v>95</v>
      </c>
    </row>
    <row r="84" spans="1:6" x14ac:dyDescent="0.2">
      <c r="A84" s="48" t="s">
        <v>4588</v>
      </c>
      <c r="B84" s="48" t="s">
        <v>3160</v>
      </c>
      <c r="C84" s="48" t="s">
        <v>3160</v>
      </c>
      <c r="D84" s="48" t="s">
        <v>4587</v>
      </c>
      <c r="E84" s="48" t="s">
        <v>3140</v>
      </c>
      <c r="F84" s="49">
        <v>93</v>
      </c>
    </row>
    <row r="85" spans="1:6" x14ac:dyDescent="0.2">
      <c r="A85" s="48" t="s">
        <v>4586</v>
      </c>
      <c r="B85" s="48" t="s">
        <v>3157</v>
      </c>
      <c r="C85" s="48" t="s">
        <v>3244</v>
      </c>
      <c r="D85" s="48" t="s">
        <v>3774</v>
      </c>
      <c r="E85" s="48" t="s">
        <v>3140</v>
      </c>
      <c r="F85" s="49">
        <v>93</v>
      </c>
    </row>
    <row r="86" spans="1:6" x14ac:dyDescent="0.2">
      <c r="A86" s="48" t="s">
        <v>4585</v>
      </c>
      <c r="B86" s="48" t="s">
        <v>3167</v>
      </c>
      <c r="C86" s="48" t="s">
        <v>3166</v>
      </c>
      <c r="D86" s="48" t="s">
        <v>4485</v>
      </c>
      <c r="E86" s="48" t="s">
        <v>3140</v>
      </c>
      <c r="F86" s="49">
        <v>92</v>
      </c>
    </row>
    <row r="87" spans="1:6" x14ac:dyDescent="0.2">
      <c r="A87" s="48" t="s">
        <v>4584</v>
      </c>
      <c r="B87" s="48" t="s">
        <v>3234</v>
      </c>
      <c r="C87" s="48" t="s">
        <v>3233</v>
      </c>
      <c r="D87" s="48" t="s">
        <v>4583</v>
      </c>
      <c r="E87" s="48" t="s">
        <v>3140</v>
      </c>
      <c r="F87" s="49">
        <v>91</v>
      </c>
    </row>
    <row r="88" spans="1:6" x14ac:dyDescent="0.2">
      <c r="A88" s="48" t="s">
        <v>4582</v>
      </c>
      <c r="B88" s="48" t="s">
        <v>3327</v>
      </c>
      <c r="C88" s="48" t="s">
        <v>3327</v>
      </c>
      <c r="D88" s="48" t="s">
        <v>3978</v>
      </c>
      <c r="E88" s="48" t="s">
        <v>3140</v>
      </c>
      <c r="F88" s="49">
        <v>90</v>
      </c>
    </row>
    <row r="89" spans="1:6" x14ac:dyDescent="0.2">
      <c r="A89" s="48" t="s">
        <v>4581</v>
      </c>
      <c r="B89" s="48" t="s">
        <v>3167</v>
      </c>
      <c r="C89" s="48" t="s">
        <v>3237</v>
      </c>
      <c r="D89" s="48" t="s">
        <v>3359</v>
      </c>
      <c r="E89" s="48" t="s">
        <v>3140</v>
      </c>
      <c r="F89" s="49">
        <v>90</v>
      </c>
    </row>
    <row r="90" spans="1:6" x14ac:dyDescent="0.2">
      <c r="A90" s="48" t="s">
        <v>4580</v>
      </c>
      <c r="B90" s="48" t="s">
        <v>3160</v>
      </c>
      <c r="C90" s="48" t="s">
        <v>3160</v>
      </c>
      <c r="D90" s="48" t="s">
        <v>3696</v>
      </c>
      <c r="E90" s="48" t="s">
        <v>3140</v>
      </c>
      <c r="F90" s="49">
        <v>90</v>
      </c>
    </row>
    <row r="91" spans="1:6" x14ac:dyDescent="0.2">
      <c r="A91" s="48" t="s">
        <v>4579</v>
      </c>
      <c r="B91" s="48" t="s">
        <v>3406</v>
      </c>
      <c r="C91" s="48" t="s">
        <v>3233</v>
      </c>
      <c r="D91" s="48" t="s">
        <v>3461</v>
      </c>
      <c r="E91" s="48" t="s">
        <v>3140</v>
      </c>
      <c r="F91" s="49">
        <v>88</v>
      </c>
    </row>
    <row r="92" spans="1:6" x14ac:dyDescent="0.2">
      <c r="A92" s="48" t="s">
        <v>4578</v>
      </c>
      <c r="B92" s="48" t="s">
        <v>3156</v>
      </c>
      <c r="C92" s="48" t="s">
        <v>3156</v>
      </c>
      <c r="D92" s="48" t="s">
        <v>4233</v>
      </c>
      <c r="E92" s="48" t="s">
        <v>3140</v>
      </c>
      <c r="F92" s="49">
        <v>86</v>
      </c>
    </row>
    <row r="93" spans="1:6" x14ac:dyDescent="0.2">
      <c r="A93" s="48" t="s">
        <v>4577</v>
      </c>
      <c r="B93" s="48" t="s">
        <v>3294</v>
      </c>
      <c r="C93" s="48" t="s">
        <v>3346</v>
      </c>
      <c r="D93" s="48" t="s">
        <v>4080</v>
      </c>
      <c r="E93" s="48" t="s">
        <v>3140</v>
      </c>
      <c r="F93" s="49">
        <v>81</v>
      </c>
    </row>
    <row r="94" spans="1:6" x14ac:dyDescent="0.2">
      <c r="A94" s="48" t="s">
        <v>4576</v>
      </c>
      <c r="B94" s="48" t="s">
        <v>3327</v>
      </c>
      <c r="C94" s="48" t="s">
        <v>3327</v>
      </c>
      <c r="D94" s="48" t="s">
        <v>3477</v>
      </c>
      <c r="E94" s="48" t="s">
        <v>3140</v>
      </c>
      <c r="F94" s="49">
        <v>80</v>
      </c>
    </row>
    <row r="95" spans="1:6" x14ac:dyDescent="0.2">
      <c r="A95" s="48" t="s">
        <v>4575</v>
      </c>
      <c r="B95" s="48" t="s">
        <v>3160</v>
      </c>
      <c r="C95" s="48" t="s">
        <v>3373</v>
      </c>
      <c r="D95" s="48" t="s">
        <v>3372</v>
      </c>
      <c r="E95" s="48" t="s">
        <v>3140</v>
      </c>
      <c r="F95" s="49">
        <v>80</v>
      </c>
    </row>
    <row r="96" spans="1:6" x14ac:dyDescent="0.2">
      <c r="A96" s="48" t="s">
        <v>4574</v>
      </c>
      <c r="B96" s="48" t="s">
        <v>3149</v>
      </c>
      <c r="C96" s="48" t="s">
        <v>3196</v>
      </c>
      <c r="D96" s="48" t="s">
        <v>3224</v>
      </c>
      <c r="E96" s="48" t="s">
        <v>3140</v>
      </c>
      <c r="F96" s="49">
        <v>80</v>
      </c>
    </row>
    <row r="97" spans="1:6" x14ac:dyDescent="0.2">
      <c r="A97" s="48" t="s">
        <v>4573</v>
      </c>
      <c r="B97" s="48" t="s">
        <v>3177</v>
      </c>
      <c r="C97" s="48" t="s">
        <v>3219</v>
      </c>
      <c r="D97" s="48" t="s">
        <v>3705</v>
      </c>
      <c r="E97" s="48" t="s">
        <v>3140</v>
      </c>
      <c r="F97" s="49">
        <v>80</v>
      </c>
    </row>
    <row r="98" spans="1:6" x14ac:dyDescent="0.2">
      <c r="A98" s="48" t="s">
        <v>4572</v>
      </c>
      <c r="B98" s="48" t="s">
        <v>3406</v>
      </c>
      <c r="C98" s="48" t="s">
        <v>3233</v>
      </c>
      <c r="D98" s="48" t="s">
        <v>3981</v>
      </c>
      <c r="E98" s="48" t="s">
        <v>3140</v>
      </c>
      <c r="F98" s="49">
        <v>80</v>
      </c>
    </row>
    <row r="99" spans="1:6" x14ac:dyDescent="0.2">
      <c r="A99" s="48" t="s">
        <v>4571</v>
      </c>
      <c r="B99" s="48" t="s">
        <v>3274</v>
      </c>
      <c r="C99" s="48" t="s">
        <v>3233</v>
      </c>
      <c r="D99" s="48" t="s">
        <v>4058</v>
      </c>
      <c r="E99" s="48" t="s">
        <v>3140</v>
      </c>
      <c r="F99" s="49">
        <v>75</v>
      </c>
    </row>
    <row r="100" spans="1:6" x14ac:dyDescent="0.2">
      <c r="A100" s="48" t="s">
        <v>4570</v>
      </c>
      <c r="B100" s="48" t="s">
        <v>3500</v>
      </c>
      <c r="C100" s="48" t="s">
        <v>3233</v>
      </c>
      <c r="D100" s="48" t="s">
        <v>3828</v>
      </c>
      <c r="E100" s="48" t="s">
        <v>3140</v>
      </c>
      <c r="F100" s="49">
        <v>75</v>
      </c>
    </row>
    <row r="101" spans="1:6" x14ac:dyDescent="0.2">
      <c r="A101" s="48" t="s">
        <v>4569</v>
      </c>
      <c r="B101" s="48" t="s">
        <v>3157</v>
      </c>
      <c r="C101" s="48" t="s">
        <v>3244</v>
      </c>
      <c r="D101" s="48" t="s">
        <v>3774</v>
      </c>
      <c r="E101" s="48" t="s">
        <v>3140</v>
      </c>
      <c r="F101" s="49">
        <v>74</v>
      </c>
    </row>
    <row r="102" spans="1:6" x14ac:dyDescent="0.2">
      <c r="A102" s="48" t="s">
        <v>4568</v>
      </c>
      <c r="B102" s="48" t="s">
        <v>3160</v>
      </c>
      <c r="C102" s="48" t="s">
        <v>3789</v>
      </c>
      <c r="D102" s="48" t="s">
        <v>3789</v>
      </c>
      <c r="E102" s="48" t="s">
        <v>3140</v>
      </c>
      <c r="F102" s="49">
        <v>73</v>
      </c>
    </row>
    <row r="103" spans="1:6" x14ac:dyDescent="0.2">
      <c r="A103" s="48" t="s">
        <v>4567</v>
      </c>
      <c r="B103" s="48" t="s">
        <v>3253</v>
      </c>
      <c r="C103" s="48" t="s">
        <v>3253</v>
      </c>
      <c r="D103" s="48" t="s">
        <v>4566</v>
      </c>
      <c r="E103" s="48" t="s">
        <v>3140</v>
      </c>
      <c r="F103" s="49">
        <v>72</v>
      </c>
    </row>
    <row r="104" spans="1:6" x14ac:dyDescent="0.2">
      <c r="A104" s="48" t="s">
        <v>4565</v>
      </c>
      <c r="B104" s="48" t="s">
        <v>3500</v>
      </c>
      <c r="C104" s="48" t="s">
        <v>3233</v>
      </c>
      <c r="D104" s="48" t="s">
        <v>4564</v>
      </c>
      <c r="E104" s="48" t="s">
        <v>3140</v>
      </c>
      <c r="F104" s="49">
        <v>70</v>
      </c>
    </row>
    <row r="105" spans="1:6" x14ac:dyDescent="0.2">
      <c r="A105" s="48" t="s">
        <v>4563</v>
      </c>
      <c r="B105" s="48" t="s">
        <v>3142</v>
      </c>
      <c r="C105" s="48" t="s">
        <v>3141</v>
      </c>
      <c r="D105" s="48" t="s">
        <v>3966</v>
      </c>
      <c r="E105" s="48" t="s">
        <v>3140</v>
      </c>
      <c r="F105" s="49">
        <v>70</v>
      </c>
    </row>
    <row r="106" spans="1:6" x14ac:dyDescent="0.2">
      <c r="A106" s="48" t="s">
        <v>4562</v>
      </c>
      <c r="B106" s="48" t="s">
        <v>3294</v>
      </c>
      <c r="C106" s="48" t="s">
        <v>3181</v>
      </c>
      <c r="D106" s="48" t="s">
        <v>3293</v>
      </c>
      <c r="E106" s="48" t="s">
        <v>3140</v>
      </c>
      <c r="F106" s="49">
        <v>70</v>
      </c>
    </row>
    <row r="107" spans="1:6" x14ac:dyDescent="0.2">
      <c r="A107" s="48" t="s">
        <v>4561</v>
      </c>
      <c r="B107" s="48" t="s">
        <v>3253</v>
      </c>
      <c r="C107" s="48" t="s">
        <v>3253</v>
      </c>
      <c r="D107" s="48" t="s">
        <v>3589</v>
      </c>
      <c r="E107" s="48" t="s">
        <v>3140</v>
      </c>
      <c r="F107" s="49">
        <v>70</v>
      </c>
    </row>
    <row r="108" spans="1:6" x14ac:dyDescent="0.2">
      <c r="A108" s="48" t="s">
        <v>4560</v>
      </c>
      <c r="B108" s="48" t="s">
        <v>3327</v>
      </c>
      <c r="C108" s="48" t="s">
        <v>3327</v>
      </c>
      <c r="D108" s="48" t="s">
        <v>3847</v>
      </c>
      <c r="E108" s="48" t="s">
        <v>3140</v>
      </c>
      <c r="F108" s="49">
        <v>70</v>
      </c>
    </row>
    <row r="109" spans="1:6" x14ac:dyDescent="0.2">
      <c r="A109" s="48" t="s">
        <v>4559</v>
      </c>
      <c r="B109" s="48" t="s">
        <v>3167</v>
      </c>
      <c r="C109" s="48" t="s">
        <v>3166</v>
      </c>
      <c r="D109" s="48" t="s">
        <v>4160</v>
      </c>
      <c r="E109" s="48" t="s">
        <v>3140</v>
      </c>
      <c r="F109" s="49">
        <v>70</v>
      </c>
    </row>
    <row r="110" spans="1:6" x14ac:dyDescent="0.2">
      <c r="A110" s="48" t="s">
        <v>4558</v>
      </c>
      <c r="B110" s="48" t="s">
        <v>3253</v>
      </c>
      <c r="C110" s="48" t="s">
        <v>3253</v>
      </c>
      <c r="D110" s="48" t="s">
        <v>4319</v>
      </c>
      <c r="E110" s="48" t="s">
        <v>3140</v>
      </c>
      <c r="F110" s="49">
        <v>70</v>
      </c>
    </row>
    <row r="111" spans="1:6" x14ac:dyDescent="0.2">
      <c r="A111" s="48" t="s">
        <v>4557</v>
      </c>
      <c r="B111" s="48" t="s">
        <v>3500</v>
      </c>
      <c r="C111" s="48" t="s">
        <v>3233</v>
      </c>
      <c r="D111" s="48" t="s">
        <v>4556</v>
      </c>
      <c r="E111" s="48" t="s">
        <v>3140</v>
      </c>
      <c r="F111" s="49">
        <v>70</v>
      </c>
    </row>
    <row r="112" spans="1:6" x14ac:dyDescent="0.2">
      <c r="A112" s="48" t="s">
        <v>4555</v>
      </c>
      <c r="B112" s="48" t="s">
        <v>3210</v>
      </c>
      <c r="C112" s="48" t="s">
        <v>3209</v>
      </c>
      <c r="D112" s="48" t="s">
        <v>3479</v>
      </c>
      <c r="E112" s="48" t="s">
        <v>3140</v>
      </c>
      <c r="F112" s="49">
        <v>70</v>
      </c>
    </row>
    <row r="113" spans="1:6" x14ac:dyDescent="0.2">
      <c r="A113" s="48" t="s">
        <v>4554</v>
      </c>
      <c r="B113" s="48" t="s">
        <v>3294</v>
      </c>
      <c r="C113" s="48" t="s">
        <v>3346</v>
      </c>
      <c r="D113" s="48" t="s">
        <v>4171</v>
      </c>
      <c r="E113" s="48" t="s">
        <v>3140</v>
      </c>
      <c r="F113" s="49">
        <v>70</v>
      </c>
    </row>
    <row r="114" spans="1:6" x14ac:dyDescent="0.2">
      <c r="A114" s="48" t="s">
        <v>4553</v>
      </c>
      <c r="B114" s="48" t="s">
        <v>3177</v>
      </c>
      <c r="C114" s="48" t="s">
        <v>3176</v>
      </c>
      <c r="D114" s="48" t="s">
        <v>3917</v>
      </c>
      <c r="E114" s="48" t="s">
        <v>3140</v>
      </c>
      <c r="F114" s="49">
        <v>70</v>
      </c>
    </row>
    <row r="115" spans="1:6" x14ac:dyDescent="0.2">
      <c r="A115" s="48" t="s">
        <v>4552</v>
      </c>
      <c r="B115" s="48" t="s">
        <v>3142</v>
      </c>
      <c r="C115" s="48" t="s">
        <v>3142</v>
      </c>
      <c r="D115" s="48" t="s">
        <v>4551</v>
      </c>
      <c r="E115" s="48" t="s">
        <v>3140</v>
      </c>
      <c r="F115" s="49">
        <v>70</v>
      </c>
    </row>
    <row r="116" spans="1:6" x14ac:dyDescent="0.2">
      <c r="A116" s="48" t="s">
        <v>4550</v>
      </c>
      <c r="B116" s="48" t="s">
        <v>3327</v>
      </c>
      <c r="C116" s="48" t="s">
        <v>3327</v>
      </c>
      <c r="D116" s="48" t="s">
        <v>3475</v>
      </c>
      <c r="E116" s="48" t="s">
        <v>3140</v>
      </c>
      <c r="F116" s="49">
        <v>69</v>
      </c>
    </row>
    <row r="117" spans="1:6" x14ac:dyDescent="0.2">
      <c r="A117" s="48" t="s">
        <v>4549</v>
      </c>
      <c r="B117" s="48" t="s">
        <v>3160</v>
      </c>
      <c r="C117" s="48" t="s">
        <v>3160</v>
      </c>
      <c r="D117" s="48" t="s">
        <v>3813</v>
      </c>
      <c r="E117" s="48" t="s">
        <v>3140</v>
      </c>
      <c r="F117" s="49">
        <v>67</v>
      </c>
    </row>
    <row r="118" spans="1:6" x14ac:dyDescent="0.2">
      <c r="A118" s="48" t="s">
        <v>4548</v>
      </c>
      <c r="B118" s="48" t="s">
        <v>3177</v>
      </c>
      <c r="C118" s="48" t="s">
        <v>3191</v>
      </c>
      <c r="D118" s="48" t="s">
        <v>3212</v>
      </c>
      <c r="E118" s="48" t="s">
        <v>3140</v>
      </c>
      <c r="F118" s="49">
        <v>65</v>
      </c>
    </row>
    <row r="119" spans="1:6" x14ac:dyDescent="0.2">
      <c r="A119" s="48" t="s">
        <v>4547</v>
      </c>
      <c r="B119" s="48" t="s">
        <v>3327</v>
      </c>
      <c r="C119" s="48" t="s">
        <v>3327</v>
      </c>
      <c r="D119" s="48" t="s">
        <v>3926</v>
      </c>
      <c r="E119" s="48" t="s">
        <v>3140</v>
      </c>
      <c r="F119" s="49">
        <v>62</v>
      </c>
    </row>
    <row r="120" spans="1:6" x14ac:dyDescent="0.2">
      <c r="A120" s="48" t="s">
        <v>4546</v>
      </c>
      <c r="B120" s="48" t="s">
        <v>3177</v>
      </c>
      <c r="C120" s="48" t="s">
        <v>3279</v>
      </c>
      <c r="D120" s="48" t="s">
        <v>3843</v>
      </c>
      <c r="E120" s="48" t="s">
        <v>3140</v>
      </c>
      <c r="F120" s="49">
        <v>61</v>
      </c>
    </row>
    <row r="121" spans="1:6" x14ac:dyDescent="0.2">
      <c r="A121" s="48" t="s">
        <v>4545</v>
      </c>
      <c r="B121" s="48" t="s">
        <v>3182</v>
      </c>
      <c r="C121" s="48" t="s">
        <v>3182</v>
      </c>
      <c r="D121" s="48" t="s">
        <v>4110</v>
      </c>
      <c r="E121" s="48" t="s">
        <v>3140</v>
      </c>
      <c r="F121" s="49">
        <v>61</v>
      </c>
    </row>
    <row r="122" spans="1:6" x14ac:dyDescent="0.2">
      <c r="A122" s="48" t="s">
        <v>4544</v>
      </c>
      <c r="B122" s="48" t="s">
        <v>3253</v>
      </c>
      <c r="C122" s="48" t="s">
        <v>3253</v>
      </c>
      <c r="D122" s="48" t="s">
        <v>4090</v>
      </c>
      <c r="E122" s="48" t="s">
        <v>3140</v>
      </c>
      <c r="F122" s="49">
        <v>60</v>
      </c>
    </row>
    <row r="123" spans="1:6" x14ac:dyDescent="0.2">
      <c r="A123" s="48" t="s">
        <v>4543</v>
      </c>
      <c r="B123" s="48" t="s">
        <v>3142</v>
      </c>
      <c r="C123" s="48" t="s">
        <v>3142</v>
      </c>
      <c r="D123" s="48" t="s">
        <v>4542</v>
      </c>
      <c r="E123" s="48" t="s">
        <v>3140</v>
      </c>
      <c r="F123" s="49">
        <v>60</v>
      </c>
    </row>
    <row r="124" spans="1:6" x14ac:dyDescent="0.2">
      <c r="A124" s="48" t="s">
        <v>4541</v>
      </c>
      <c r="B124" s="48" t="s">
        <v>3160</v>
      </c>
      <c r="C124" s="48" t="s">
        <v>3525</v>
      </c>
      <c r="D124" s="48" t="s">
        <v>3524</v>
      </c>
      <c r="E124" s="48" t="s">
        <v>3140</v>
      </c>
      <c r="F124" s="49">
        <v>60</v>
      </c>
    </row>
    <row r="125" spans="1:6" x14ac:dyDescent="0.2">
      <c r="A125" s="48" t="s">
        <v>4540</v>
      </c>
      <c r="B125" s="48" t="s">
        <v>3149</v>
      </c>
      <c r="C125" s="48" t="s">
        <v>3196</v>
      </c>
      <c r="D125" s="48" t="s">
        <v>3299</v>
      </c>
      <c r="E125" s="48" t="s">
        <v>3140</v>
      </c>
      <c r="F125" s="49">
        <v>60</v>
      </c>
    </row>
    <row r="126" spans="1:6" x14ac:dyDescent="0.2">
      <c r="A126" s="48" t="s">
        <v>4539</v>
      </c>
      <c r="B126" s="48" t="s">
        <v>3177</v>
      </c>
      <c r="C126" s="48" t="s">
        <v>3176</v>
      </c>
      <c r="D126" s="48" t="s">
        <v>3438</v>
      </c>
      <c r="E126" s="48" t="s">
        <v>3140</v>
      </c>
      <c r="F126" s="49">
        <v>60</v>
      </c>
    </row>
    <row r="127" spans="1:6" x14ac:dyDescent="0.2">
      <c r="A127" s="48" t="s">
        <v>4538</v>
      </c>
      <c r="B127" s="48" t="s">
        <v>3157</v>
      </c>
      <c r="C127" s="48" t="s">
        <v>3244</v>
      </c>
      <c r="D127" s="48" t="s">
        <v>3354</v>
      </c>
      <c r="E127" s="48" t="s">
        <v>3140</v>
      </c>
      <c r="F127" s="49">
        <v>60</v>
      </c>
    </row>
    <row r="128" spans="1:6" x14ac:dyDescent="0.2">
      <c r="A128" s="48" t="s">
        <v>4537</v>
      </c>
      <c r="B128" s="48" t="s">
        <v>3253</v>
      </c>
      <c r="C128" s="48" t="s">
        <v>3253</v>
      </c>
      <c r="D128" s="48" t="s">
        <v>1815</v>
      </c>
      <c r="E128" s="48" t="s">
        <v>3140</v>
      </c>
      <c r="F128" s="49">
        <v>59</v>
      </c>
    </row>
    <row r="129" spans="1:6" x14ac:dyDescent="0.2">
      <c r="A129" s="48" t="s">
        <v>4536</v>
      </c>
      <c r="B129" s="48" t="s">
        <v>3182</v>
      </c>
      <c r="C129" s="48" t="s">
        <v>3182</v>
      </c>
      <c r="D129" s="48" t="s">
        <v>4535</v>
      </c>
      <c r="E129" s="48" t="s">
        <v>3140</v>
      </c>
      <c r="F129" s="49">
        <v>58</v>
      </c>
    </row>
    <row r="130" spans="1:6" x14ac:dyDescent="0.2">
      <c r="A130" s="48" t="s">
        <v>4534</v>
      </c>
      <c r="B130" s="48" t="s">
        <v>3177</v>
      </c>
      <c r="C130" s="48" t="s">
        <v>3219</v>
      </c>
      <c r="D130" s="48" t="s">
        <v>3705</v>
      </c>
      <c r="E130" s="48" t="s">
        <v>3140</v>
      </c>
      <c r="F130" s="49">
        <v>56</v>
      </c>
    </row>
    <row r="131" spans="1:6" x14ac:dyDescent="0.2">
      <c r="A131" s="48" t="s">
        <v>4533</v>
      </c>
      <c r="B131" s="48" t="s">
        <v>3167</v>
      </c>
      <c r="C131" s="48" t="s">
        <v>3166</v>
      </c>
      <c r="D131" s="48" t="s">
        <v>4532</v>
      </c>
      <c r="E131" s="48" t="s">
        <v>3140</v>
      </c>
      <c r="F131" s="49">
        <v>55</v>
      </c>
    </row>
    <row r="132" spans="1:6" x14ac:dyDescent="0.2">
      <c r="A132" s="48" t="s">
        <v>4531</v>
      </c>
      <c r="B132" s="48" t="s">
        <v>3253</v>
      </c>
      <c r="C132" s="48" t="s">
        <v>3253</v>
      </c>
      <c r="D132" s="48" t="s">
        <v>3802</v>
      </c>
      <c r="E132" s="48" t="s">
        <v>3140</v>
      </c>
      <c r="F132" s="49">
        <v>53</v>
      </c>
    </row>
    <row r="133" spans="1:6" x14ac:dyDescent="0.2">
      <c r="A133" s="48" t="s">
        <v>4530</v>
      </c>
      <c r="B133" s="48" t="s">
        <v>3253</v>
      </c>
      <c r="C133" s="48" t="s">
        <v>3253</v>
      </c>
      <c r="D133" s="48" t="s">
        <v>3693</v>
      </c>
      <c r="E133" s="48" t="s">
        <v>3140</v>
      </c>
      <c r="F133" s="49">
        <v>52</v>
      </c>
    </row>
    <row r="134" spans="1:6" x14ac:dyDescent="0.2">
      <c r="A134" s="48" t="s">
        <v>4529</v>
      </c>
      <c r="B134" s="48" t="s">
        <v>3157</v>
      </c>
      <c r="C134" s="48" t="s">
        <v>3173</v>
      </c>
      <c r="D134" s="48" t="s">
        <v>3263</v>
      </c>
      <c r="E134" s="48" t="s">
        <v>3140</v>
      </c>
      <c r="F134" s="49">
        <v>50</v>
      </c>
    </row>
    <row r="135" spans="1:6" x14ac:dyDescent="0.2">
      <c r="A135" s="48" t="s">
        <v>4528</v>
      </c>
      <c r="B135" s="48" t="s">
        <v>3253</v>
      </c>
      <c r="C135" s="48" t="s">
        <v>3253</v>
      </c>
      <c r="D135" s="48" t="s">
        <v>3886</v>
      </c>
      <c r="E135" s="48" t="s">
        <v>3140</v>
      </c>
      <c r="F135" s="49">
        <v>50</v>
      </c>
    </row>
    <row r="136" spans="1:6" x14ac:dyDescent="0.2">
      <c r="A136" s="48" t="s">
        <v>4527</v>
      </c>
      <c r="B136" s="48" t="s">
        <v>3500</v>
      </c>
      <c r="C136" s="48" t="s">
        <v>3233</v>
      </c>
      <c r="D136" s="48" t="s">
        <v>4526</v>
      </c>
      <c r="E136" s="48" t="s">
        <v>3140</v>
      </c>
      <c r="F136" s="49">
        <v>50</v>
      </c>
    </row>
    <row r="137" spans="1:6" x14ac:dyDescent="0.2">
      <c r="A137" s="48" t="s">
        <v>4525</v>
      </c>
      <c r="B137" s="48" t="s">
        <v>3253</v>
      </c>
      <c r="C137" s="48" t="s">
        <v>3253</v>
      </c>
      <c r="D137" s="48" t="s">
        <v>4101</v>
      </c>
      <c r="E137" s="48" t="s">
        <v>3140</v>
      </c>
      <c r="F137" s="49">
        <v>50</v>
      </c>
    </row>
    <row r="138" spans="1:6" x14ac:dyDescent="0.2">
      <c r="A138" s="48" t="s">
        <v>4524</v>
      </c>
      <c r="B138" s="48" t="s">
        <v>3294</v>
      </c>
      <c r="C138" s="48" t="s">
        <v>3346</v>
      </c>
      <c r="D138" s="48" t="s">
        <v>4275</v>
      </c>
      <c r="E138" s="48" t="s">
        <v>3140</v>
      </c>
      <c r="F138" s="49">
        <v>50</v>
      </c>
    </row>
    <row r="139" spans="1:6" x14ac:dyDescent="0.2">
      <c r="A139" s="48" t="s">
        <v>4523</v>
      </c>
      <c r="B139" s="48" t="s">
        <v>3253</v>
      </c>
      <c r="C139" s="48" t="s">
        <v>3253</v>
      </c>
      <c r="D139" s="48" t="s">
        <v>1815</v>
      </c>
      <c r="E139" s="48" t="s">
        <v>3140</v>
      </c>
      <c r="F139" s="49">
        <v>50</v>
      </c>
    </row>
    <row r="140" spans="1:6" x14ac:dyDescent="0.2">
      <c r="A140" s="48" t="s">
        <v>4522</v>
      </c>
      <c r="B140" s="48" t="s">
        <v>3177</v>
      </c>
      <c r="C140" s="48" t="s">
        <v>3191</v>
      </c>
      <c r="D140" s="48" t="s">
        <v>3422</v>
      </c>
      <c r="E140" s="48" t="s">
        <v>3140</v>
      </c>
      <c r="F140" s="49">
        <v>50</v>
      </c>
    </row>
    <row r="141" spans="1:6" x14ac:dyDescent="0.2">
      <c r="A141" s="48" t="s">
        <v>4521</v>
      </c>
      <c r="B141" s="48" t="s">
        <v>3160</v>
      </c>
      <c r="C141" s="48" t="s">
        <v>3373</v>
      </c>
      <c r="D141" s="48" t="s">
        <v>3372</v>
      </c>
      <c r="E141" s="48" t="s">
        <v>3140</v>
      </c>
      <c r="F141" s="49">
        <v>50</v>
      </c>
    </row>
    <row r="142" spans="1:6" x14ac:dyDescent="0.2">
      <c r="A142" s="48" t="s">
        <v>4520</v>
      </c>
      <c r="B142" s="48" t="s">
        <v>3157</v>
      </c>
      <c r="C142" s="48" t="s">
        <v>3156</v>
      </c>
      <c r="D142" s="48" t="s">
        <v>3193</v>
      </c>
      <c r="E142" s="48" t="s">
        <v>3140</v>
      </c>
      <c r="F142" s="49">
        <v>50</v>
      </c>
    </row>
    <row r="143" spans="1:6" x14ac:dyDescent="0.2">
      <c r="A143" s="48" t="s">
        <v>4519</v>
      </c>
      <c r="B143" s="48" t="s">
        <v>3406</v>
      </c>
      <c r="C143" s="48" t="s">
        <v>3233</v>
      </c>
      <c r="D143" s="48" t="s">
        <v>4301</v>
      </c>
      <c r="E143" s="48" t="s">
        <v>3140</v>
      </c>
      <c r="F143" s="49">
        <v>50</v>
      </c>
    </row>
    <row r="144" spans="1:6" x14ac:dyDescent="0.2">
      <c r="A144" s="48" t="s">
        <v>4518</v>
      </c>
      <c r="B144" s="48" t="s">
        <v>3253</v>
      </c>
      <c r="C144" s="48" t="s">
        <v>3253</v>
      </c>
      <c r="D144" s="48" t="s">
        <v>3802</v>
      </c>
      <c r="E144" s="48" t="s">
        <v>3140</v>
      </c>
      <c r="F144" s="49">
        <v>49</v>
      </c>
    </row>
    <row r="145" spans="1:6" x14ac:dyDescent="0.2">
      <c r="A145" s="48" t="s">
        <v>4517</v>
      </c>
      <c r="B145" s="48" t="s">
        <v>3327</v>
      </c>
      <c r="C145" s="48" t="s">
        <v>3327</v>
      </c>
      <c r="D145" s="48" t="s">
        <v>3643</v>
      </c>
      <c r="E145" s="48" t="s">
        <v>3140</v>
      </c>
      <c r="F145" s="49">
        <v>48</v>
      </c>
    </row>
    <row r="146" spans="1:6" x14ac:dyDescent="0.2">
      <c r="A146" s="48" t="s">
        <v>4516</v>
      </c>
      <c r="B146" s="48" t="s">
        <v>3167</v>
      </c>
      <c r="C146" s="48" t="s">
        <v>3426</v>
      </c>
      <c r="D146" s="48" t="s">
        <v>3617</v>
      </c>
      <c r="E146" s="48" t="s">
        <v>3140</v>
      </c>
      <c r="F146" s="49">
        <v>46</v>
      </c>
    </row>
    <row r="147" spans="1:6" x14ac:dyDescent="0.2">
      <c r="A147" s="48" t="s">
        <v>4515</v>
      </c>
      <c r="B147" s="48" t="s">
        <v>3160</v>
      </c>
      <c r="C147" s="48" t="s">
        <v>3542</v>
      </c>
      <c r="D147" s="48" t="s">
        <v>3541</v>
      </c>
      <c r="E147" s="48" t="s">
        <v>3140</v>
      </c>
      <c r="F147" s="49">
        <v>46</v>
      </c>
    </row>
    <row r="148" spans="1:6" x14ac:dyDescent="0.2">
      <c r="A148" s="48" t="s">
        <v>4514</v>
      </c>
      <c r="B148" s="48" t="s">
        <v>3500</v>
      </c>
      <c r="C148" s="48" t="s">
        <v>3233</v>
      </c>
      <c r="D148" s="48" t="s">
        <v>3828</v>
      </c>
      <c r="E148" s="48" t="s">
        <v>3140</v>
      </c>
      <c r="F148" s="49">
        <v>45</v>
      </c>
    </row>
    <row r="149" spans="1:6" x14ac:dyDescent="0.2">
      <c r="A149" s="48" t="s">
        <v>4513</v>
      </c>
      <c r="B149" s="48" t="s">
        <v>3167</v>
      </c>
      <c r="C149" s="48" t="s">
        <v>3426</v>
      </c>
      <c r="D149" s="48" t="s">
        <v>3617</v>
      </c>
      <c r="E149" s="48" t="s">
        <v>3140</v>
      </c>
      <c r="F149" s="49">
        <v>45</v>
      </c>
    </row>
    <row r="150" spans="1:6" x14ac:dyDescent="0.2">
      <c r="A150" s="48" t="s">
        <v>4512</v>
      </c>
      <c r="B150" s="48" t="s">
        <v>3324</v>
      </c>
      <c r="C150" s="48" t="s">
        <v>3209</v>
      </c>
      <c r="D150" s="48" t="s">
        <v>4511</v>
      </c>
      <c r="E150" s="48" t="s">
        <v>3140</v>
      </c>
      <c r="F150" s="49">
        <v>45</v>
      </c>
    </row>
    <row r="151" spans="1:6" x14ac:dyDescent="0.2">
      <c r="A151" s="48" t="s">
        <v>4510</v>
      </c>
      <c r="B151" s="48" t="s">
        <v>3153</v>
      </c>
      <c r="C151" s="48" t="s">
        <v>3686</v>
      </c>
      <c r="D151" s="48" t="s">
        <v>3686</v>
      </c>
      <c r="E151" s="48" t="s">
        <v>3140</v>
      </c>
      <c r="F151" s="49">
        <v>45</v>
      </c>
    </row>
    <row r="152" spans="1:6" x14ac:dyDescent="0.2">
      <c r="A152" s="48" t="s">
        <v>4509</v>
      </c>
      <c r="B152" s="48" t="s">
        <v>3234</v>
      </c>
      <c r="C152" s="48" t="s">
        <v>3233</v>
      </c>
      <c r="D152" s="48" t="s">
        <v>4028</v>
      </c>
      <c r="E152" s="48" t="s">
        <v>3140</v>
      </c>
      <c r="F152" s="49">
        <v>45</v>
      </c>
    </row>
    <row r="153" spans="1:6" x14ac:dyDescent="0.2">
      <c r="A153" s="48" t="s">
        <v>4508</v>
      </c>
      <c r="B153" s="48" t="s">
        <v>3234</v>
      </c>
      <c r="C153" s="48" t="s">
        <v>3233</v>
      </c>
      <c r="D153" s="48" t="s">
        <v>4507</v>
      </c>
      <c r="E153" s="48" t="s">
        <v>3140</v>
      </c>
      <c r="F153" s="49">
        <v>45</v>
      </c>
    </row>
    <row r="154" spans="1:6" x14ac:dyDescent="0.2">
      <c r="A154" s="48" t="s">
        <v>4506</v>
      </c>
      <c r="B154" s="48" t="s">
        <v>3274</v>
      </c>
      <c r="C154" s="48" t="s">
        <v>3551</v>
      </c>
      <c r="D154" s="48" t="s">
        <v>4505</v>
      </c>
      <c r="E154" s="48" t="s">
        <v>3140</v>
      </c>
      <c r="F154" s="49">
        <v>45</v>
      </c>
    </row>
    <row r="155" spans="1:6" x14ac:dyDescent="0.2">
      <c r="A155" s="48" t="s">
        <v>4504</v>
      </c>
      <c r="B155" s="48" t="s">
        <v>3167</v>
      </c>
      <c r="C155" s="48" t="s">
        <v>3166</v>
      </c>
      <c r="D155" s="48" t="s">
        <v>4503</v>
      </c>
      <c r="E155" s="48" t="s">
        <v>3140</v>
      </c>
      <c r="F155" s="49">
        <v>45</v>
      </c>
    </row>
    <row r="156" spans="1:6" x14ac:dyDescent="0.2">
      <c r="A156" s="48" t="s">
        <v>4502</v>
      </c>
      <c r="B156" s="48" t="s">
        <v>3253</v>
      </c>
      <c r="C156" s="48" t="s">
        <v>3253</v>
      </c>
      <c r="D156" s="48" t="s">
        <v>4344</v>
      </c>
      <c r="E156" s="48" t="s">
        <v>3140</v>
      </c>
      <c r="F156" s="49">
        <v>45</v>
      </c>
    </row>
    <row r="157" spans="1:6" x14ac:dyDescent="0.2">
      <c r="A157" s="48" t="s">
        <v>4501</v>
      </c>
      <c r="B157" s="48" t="s">
        <v>3253</v>
      </c>
      <c r="C157" s="48" t="s">
        <v>3253</v>
      </c>
      <c r="D157" s="48" t="s">
        <v>3781</v>
      </c>
      <c r="E157" s="48" t="s">
        <v>3140</v>
      </c>
      <c r="F157" s="49">
        <v>45</v>
      </c>
    </row>
    <row r="158" spans="1:6" x14ac:dyDescent="0.2">
      <c r="A158" s="48" t="s">
        <v>4500</v>
      </c>
      <c r="B158" s="48" t="s">
        <v>3406</v>
      </c>
      <c r="C158" s="48" t="s">
        <v>3233</v>
      </c>
      <c r="D158" s="48" t="s">
        <v>4222</v>
      </c>
      <c r="E158" s="48" t="s">
        <v>3140</v>
      </c>
      <c r="F158" s="49">
        <v>45</v>
      </c>
    </row>
    <row r="159" spans="1:6" x14ac:dyDescent="0.2">
      <c r="A159" s="48" t="s">
        <v>4499</v>
      </c>
      <c r="B159" s="48" t="s">
        <v>3327</v>
      </c>
      <c r="C159" s="48" t="s">
        <v>3327</v>
      </c>
      <c r="D159" s="48" t="s">
        <v>4493</v>
      </c>
      <c r="E159" s="48" t="s">
        <v>3140</v>
      </c>
      <c r="F159" s="49">
        <v>45</v>
      </c>
    </row>
    <row r="160" spans="1:6" x14ac:dyDescent="0.2">
      <c r="A160" s="48" t="s">
        <v>4498</v>
      </c>
      <c r="B160" s="48" t="s">
        <v>3167</v>
      </c>
      <c r="C160" s="48" t="s">
        <v>3166</v>
      </c>
      <c r="D160" s="48" t="s">
        <v>3166</v>
      </c>
      <c r="E160" s="48" t="s">
        <v>3140</v>
      </c>
      <c r="F160" s="49">
        <v>45</v>
      </c>
    </row>
    <row r="161" spans="1:6" x14ac:dyDescent="0.2">
      <c r="A161" s="48" t="s">
        <v>4497</v>
      </c>
      <c r="B161" s="48" t="s">
        <v>3160</v>
      </c>
      <c r="C161" s="48" t="s">
        <v>3160</v>
      </c>
      <c r="D161" s="48" t="s">
        <v>4496</v>
      </c>
      <c r="E161" s="48" t="s">
        <v>3140</v>
      </c>
      <c r="F161" s="49">
        <v>45</v>
      </c>
    </row>
    <row r="162" spans="1:6" x14ac:dyDescent="0.2">
      <c r="A162" s="48" t="s">
        <v>4495</v>
      </c>
      <c r="B162" s="48" t="s">
        <v>3177</v>
      </c>
      <c r="C162" s="48" t="s">
        <v>3219</v>
      </c>
      <c r="D162" s="48" t="s">
        <v>3705</v>
      </c>
      <c r="E162" s="48" t="s">
        <v>3140</v>
      </c>
      <c r="F162" s="49">
        <v>45</v>
      </c>
    </row>
    <row r="163" spans="1:6" x14ac:dyDescent="0.2">
      <c r="A163" s="48" t="s">
        <v>4494</v>
      </c>
      <c r="B163" s="48" t="s">
        <v>3327</v>
      </c>
      <c r="C163" s="48" t="s">
        <v>3327</v>
      </c>
      <c r="D163" s="48" t="s">
        <v>4493</v>
      </c>
      <c r="E163" s="48" t="s">
        <v>3140</v>
      </c>
      <c r="F163" s="49">
        <v>45</v>
      </c>
    </row>
    <row r="164" spans="1:6" x14ac:dyDescent="0.2">
      <c r="A164" s="48" t="s">
        <v>4492</v>
      </c>
      <c r="B164" s="48" t="s">
        <v>3149</v>
      </c>
      <c r="C164" s="48" t="s">
        <v>3196</v>
      </c>
      <c r="D164" s="48" t="s">
        <v>3195</v>
      </c>
      <c r="E164" s="48" t="s">
        <v>3140</v>
      </c>
      <c r="F164" s="49">
        <v>45</v>
      </c>
    </row>
    <row r="165" spans="1:6" x14ac:dyDescent="0.2">
      <c r="A165" s="48" t="s">
        <v>4491</v>
      </c>
      <c r="B165" s="48" t="s">
        <v>3177</v>
      </c>
      <c r="C165" s="48" t="s">
        <v>3176</v>
      </c>
      <c r="D165" s="48" t="s">
        <v>3917</v>
      </c>
      <c r="E165" s="48" t="s">
        <v>3140</v>
      </c>
      <c r="F165" s="49">
        <v>45</v>
      </c>
    </row>
    <row r="166" spans="1:6" x14ac:dyDescent="0.2">
      <c r="A166" s="48" t="s">
        <v>4490</v>
      </c>
      <c r="B166" s="48" t="s">
        <v>3177</v>
      </c>
      <c r="C166" s="48" t="s">
        <v>3176</v>
      </c>
      <c r="D166" s="48" t="s">
        <v>3572</v>
      </c>
      <c r="E166" s="48" t="s">
        <v>3140</v>
      </c>
      <c r="F166" s="49">
        <v>45</v>
      </c>
    </row>
    <row r="167" spans="1:6" x14ac:dyDescent="0.2">
      <c r="A167" s="48" t="s">
        <v>4489</v>
      </c>
      <c r="B167" s="48" t="s">
        <v>3253</v>
      </c>
      <c r="C167" s="48" t="s">
        <v>3253</v>
      </c>
      <c r="D167" s="48" t="s">
        <v>3950</v>
      </c>
      <c r="E167" s="48" t="s">
        <v>3140</v>
      </c>
      <c r="F167" s="49">
        <v>45</v>
      </c>
    </row>
    <row r="168" spans="1:6" x14ac:dyDescent="0.2">
      <c r="A168" s="48" t="s">
        <v>4488</v>
      </c>
      <c r="B168" s="48" t="s">
        <v>3149</v>
      </c>
      <c r="C168" s="48" t="s">
        <v>3196</v>
      </c>
      <c r="D168" s="48" t="s">
        <v>4487</v>
      </c>
      <c r="E168" s="48" t="s">
        <v>3140</v>
      </c>
      <c r="F168" s="49">
        <v>45</v>
      </c>
    </row>
    <row r="169" spans="1:6" x14ac:dyDescent="0.2">
      <c r="A169" s="48" t="s">
        <v>4486</v>
      </c>
      <c r="B169" s="48" t="s">
        <v>3167</v>
      </c>
      <c r="C169" s="48" t="s">
        <v>3166</v>
      </c>
      <c r="D169" s="48" t="s">
        <v>4485</v>
      </c>
      <c r="E169" s="48" t="s">
        <v>3140</v>
      </c>
      <c r="F169" s="49">
        <v>45</v>
      </c>
    </row>
    <row r="170" spans="1:6" x14ac:dyDescent="0.2">
      <c r="A170" s="48" t="s">
        <v>4484</v>
      </c>
      <c r="B170" s="48" t="s">
        <v>3327</v>
      </c>
      <c r="C170" s="48" t="s">
        <v>3327</v>
      </c>
      <c r="D170" s="48" t="s">
        <v>4483</v>
      </c>
      <c r="E170" s="48" t="s">
        <v>3140</v>
      </c>
      <c r="F170" s="49">
        <v>45</v>
      </c>
    </row>
    <row r="171" spans="1:6" x14ac:dyDescent="0.2">
      <c r="A171" s="48" t="s">
        <v>4482</v>
      </c>
      <c r="B171" s="48" t="s">
        <v>3142</v>
      </c>
      <c r="C171" s="48" t="s">
        <v>3142</v>
      </c>
      <c r="D171" s="48" t="s">
        <v>3853</v>
      </c>
      <c r="E171" s="48" t="s">
        <v>3140</v>
      </c>
      <c r="F171" s="49">
        <v>45</v>
      </c>
    </row>
    <row r="172" spans="1:6" x14ac:dyDescent="0.2">
      <c r="A172" s="48" t="s">
        <v>4481</v>
      </c>
      <c r="B172" s="48" t="s">
        <v>3167</v>
      </c>
      <c r="C172" s="48" t="s">
        <v>3426</v>
      </c>
      <c r="D172" s="48" t="s">
        <v>3678</v>
      </c>
      <c r="E172" s="48" t="s">
        <v>3140</v>
      </c>
      <c r="F172" s="49">
        <v>45</v>
      </c>
    </row>
    <row r="173" spans="1:6" x14ac:dyDescent="0.2">
      <c r="A173" s="48" t="s">
        <v>4480</v>
      </c>
      <c r="B173" s="48" t="s">
        <v>3406</v>
      </c>
      <c r="C173" s="48" t="s">
        <v>3233</v>
      </c>
      <c r="D173" s="48" t="s">
        <v>4479</v>
      </c>
      <c r="E173" s="48" t="s">
        <v>3140</v>
      </c>
      <c r="F173" s="49">
        <v>45</v>
      </c>
    </row>
    <row r="174" spans="1:6" x14ac:dyDescent="0.2">
      <c r="A174" s="48" t="s">
        <v>4478</v>
      </c>
      <c r="B174" s="48" t="s">
        <v>3294</v>
      </c>
      <c r="C174" s="48" t="s">
        <v>3346</v>
      </c>
      <c r="D174" s="48" t="s">
        <v>4477</v>
      </c>
      <c r="E174" s="48" t="s">
        <v>3140</v>
      </c>
      <c r="F174" s="49">
        <v>45</v>
      </c>
    </row>
    <row r="175" spans="1:6" x14ac:dyDescent="0.2">
      <c r="A175" s="48" t="s">
        <v>4476</v>
      </c>
      <c r="B175" s="48" t="s">
        <v>3327</v>
      </c>
      <c r="C175" s="48" t="s">
        <v>3327</v>
      </c>
      <c r="D175" s="48" t="s">
        <v>3454</v>
      </c>
      <c r="E175" s="48" t="s">
        <v>3140</v>
      </c>
      <c r="F175" s="49">
        <v>45</v>
      </c>
    </row>
    <row r="176" spans="1:6" x14ac:dyDescent="0.2">
      <c r="A176" s="48" t="s">
        <v>4475</v>
      </c>
      <c r="B176" s="48" t="s">
        <v>3156</v>
      </c>
      <c r="C176" s="48" t="s">
        <v>3156</v>
      </c>
      <c r="D176" s="48" t="s">
        <v>3410</v>
      </c>
      <c r="E176" s="48" t="s">
        <v>3140</v>
      </c>
      <c r="F176" s="49">
        <v>45</v>
      </c>
    </row>
    <row r="177" spans="1:6" x14ac:dyDescent="0.2">
      <c r="A177" s="48" t="s">
        <v>4474</v>
      </c>
      <c r="B177" s="48" t="s">
        <v>3253</v>
      </c>
      <c r="C177" s="48" t="s">
        <v>3253</v>
      </c>
      <c r="D177" s="48" t="s">
        <v>3886</v>
      </c>
      <c r="E177" s="48" t="s">
        <v>3140</v>
      </c>
      <c r="F177" s="49">
        <v>45</v>
      </c>
    </row>
    <row r="178" spans="1:6" x14ac:dyDescent="0.2">
      <c r="A178" s="48" t="s">
        <v>4473</v>
      </c>
      <c r="B178" s="48" t="s">
        <v>3253</v>
      </c>
      <c r="C178" s="48" t="s">
        <v>3253</v>
      </c>
      <c r="D178" s="48" t="s">
        <v>3886</v>
      </c>
      <c r="E178" s="48" t="s">
        <v>3140</v>
      </c>
      <c r="F178" s="49">
        <v>45</v>
      </c>
    </row>
    <row r="179" spans="1:6" x14ac:dyDescent="0.2">
      <c r="A179" s="48" t="s">
        <v>4472</v>
      </c>
      <c r="B179" s="48" t="s">
        <v>3500</v>
      </c>
      <c r="C179" s="48" t="s">
        <v>3233</v>
      </c>
      <c r="D179" s="48" t="s">
        <v>4471</v>
      </c>
      <c r="E179" s="48" t="s">
        <v>3140</v>
      </c>
      <c r="F179" s="49">
        <v>45</v>
      </c>
    </row>
    <row r="180" spans="1:6" x14ac:dyDescent="0.2">
      <c r="A180" s="48" t="s">
        <v>4470</v>
      </c>
      <c r="B180" s="48" t="s">
        <v>3327</v>
      </c>
      <c r="C180" s="48" t="s">
        <v>3327</v>
      </c>
      <c r="D180" s="48" t="s">
        <v>3475</v>
      </c>
      <c r="E180" s="48" t="s">
        <v>3140</v>
      </c>
      <c r="F180" s="49">
        <v>45</v>
      </c>
    </row>
    <row r="181" spans="1:6" x14ac:dyDescent="0.2">
      <c r="A181" s="48" t="s">
        <v>4469</v>
      </c>
      <c r="B181" s="48" t="s">
        <v>3500</v>
      </c>
      <c r="C181" s="48" t="s">
        <v>3233</v>
      </c>
      <c r="D181" s="48" t="s">
        <v>4468</v>
      </c>
      <c r="E181" s="48" t="s">
        <v>3140</v>
      </c>
      <c r="F181" s="49">
        <v>45</v>
      </c>
    </row>
    <row r="182" spans="1:6" x14ac:dyDescent="0.2">
      <c r="A182" s="48" t="s">
        <v>4467</v>
      </c>
      <c r="B182" s="48" t="s">
        <v>3167</v>
      </c>
      <c r="C182" s="48" t="s">
        <v>3426</v>
      </c>
      <c r="D182" s="48" t="s">
        <v>3617</v>
      </c>
      <c r="E182" s="48" t="s">
        <v>3140</v>
      </c>
      <c r="F182" s="49">
        <v>45</v>
      </c>
    </row>
    <row r="183" spans="1:6" x14ac:dyDescent="0.2">
      <c r="A183" s="48" t="s">
        <v>4466</v>
      </c>
      <c r="B183" s="48" t="s">
        <v>3274</v>
      </c>
      <c r="C183" s="48" t="s">
        <v>3551</v>
      </c>
      <c r="D183" s="48" t="s">
        <v>4380</v>
      </c>
      <c r="E183" s="48" t="s">
        <v>3140</v>
      </c>
      <c r="F183" s="49">
        <v>45</v>
      </c>
    </row>
    <row r="184" spans="1:6" x14ac:dyDescent="0.2">
      <c r="A184" s="48" t="s">
        <v>4465</v>
      </c>
      <c r="B184" s="48" t="s">
        <v>3210</v>
      </c>
      <c r="C184" s="48" t="s">
        <v>3209</v>
      </c>
      <c r="D184" s="48" t="s">
        <v>4464</v>
      </c>
      <c r="E184" s="48" t="s">
        <v>3140</v>
      </c>
      <c r="F184" s="49">
        <v>45</v>
      </c>
    </row>
    <row r="185" spans="1:6" x14ac:dyDescent="0.2">
      <c r="A185" s="48" t="s">
        <v>4463</v>
      </c>
      <c r="B185" s="48" t="s">
        <v>3177</v>
      </c>
      <c r="C185" s="48" t="s">
        <v>3176</v>
      </c>
      <c r="D185" s="48" t="s">
        <v>3438</v>
      </c>
      <c r="E185" s="48" t="s">
        <v>3140</v>
      </c>
      <c r="F185" s="49">
        <v>45</v>
      </c>
    </row>
    <row r="186" spans="1:6" x14ac:dyDescent="0.2">
      <c r="A186" s="48" t="s">
        <v>4462</v>
      </c>
      <c r="B186" s="48" t="s">
        <v>3182</v>
      </c>
      <c r="C186" s="48" t="s">
        <v>3233</v>
      </c>
      <c r="D186" s="48" t="s">
        <v>3468</v>
      </c>
      <c r="E186" s="48" t="s">
        <v>3140</v>
      </c>
      <c r="F186" s="49">
        <v>45</v>
      </c>
    </row>
    <row r="187" spans="1:6" x14ac:dyDescent="0.2">
      <c r="A187" s="48" t="s">
        <v>4461</v>
      </c>
      <c r="B187" s="48" t="s">
        <v>3157</v>
      </c>
      <c r="C187" s="48" t="s">
        <v>3244</v>
      </c>
      <c r="D187" s="48" t="s">
        <v>3243</v>
      </c>
      <c r="E187" s="48" t="s">
        <v>3140</v>
      </c>
      <c r="F187" s="49">
        <v>45</v>
      </c>
    </row>
    <row r="188" spans="1:6" x14ac:dyDescent="0.2">
      <c r="A188" s="48" t="s">
        <v>4460</v>
      </c>
      <c r="B188" s="48" t="s">
        <v>3274</v>
      </c>
      <c r="C188" s="48" t="s">
        <v>3551</v>
      </c>
      <c r="D188" s="48" t="s">
        <v>3754</v>
      </c>
      <c r="E188" s="48" t="s">
        <v>3140</v>
      </c>
      <c r="F188" s="49">
        <v>45</v>
      </c>
    </row>
    <row r="189" spans="1:6" x14ac:dyDescent="0.2">
      <c r="A189" s="48" t="s">
        <v>4459</v>
      </c>
      <c r="B189" s="48" t="s">
        <v>3294</v>
      </c>
      <c r="C189" s="48" t="s">
        <v>3346</v>
      </c>
      <c r="D189" s="48" t="s">
        <v>4335</v>
      </c>
      <c r="E189" s="48" t="s">
        <v>3140</v>
      </c>
      <c r="F189" s="49">
        <v>45</v>
      </c>
    </row>
    <row r="190" spans="1:6" x14ac:dyDescent="0.2">
      <c r="A190" s="48" t="s">
        <v>4458</v>
      </c>
      <c r="B190" s="48" t="s">
        <v>3157</v>
      </c>
      <c r="C190" s="48" t="s">
        <v>3286</v>
      </c>
      <c r="D190" s="48" t="s">
        <v>3537</v>
      </c>
      <c r="E190" s="48" t="s">
        <v>3140</v>
      </c>
      <c r="F190" s="49">
        <v>45</v>
      </c>
    </row>
    <row r="191" spans="1:6" x14ac:dyDescent="0.2">
      <c r="A191" s="48" t="s">
        <v>4457</v>
      </c>
      <c r="B191" s="48" t="s">
        <v>3210</v>
      </c>
      <c r="C191" s="48" t="s">
        <v>3209</v>
      </c>
      <c r="D191" s="48" t="s">
        <v>3479</v>
      </c>
      <c r="E191" s="48" t="s">
        <v>3140</v>
      </c>
      <c r="F191" s="49">
        <v>45</v>
      </c>
    </row>
    <row r="192" spans="1:6" x14ac:dyDescent="0.2">
      <c r="A192" s="48" t="s">
        <v>4456</v>
      </c>
      <c r="B192" s="48" t="s">
        <v>3253</v>
      </c>
      <c r="C192" s="48" t="s">
        <v>3253</v>
      </c>
      <c r="D192" s="48" t="s">
        <v>3655</v>
      </c>
      <c r="E192" s="48" t="s">
        <v>3140</v>
      </c>
      <c r="F192" s="49">
        <v>45</v>
      </c>
    </row>
    <row r="193" spans="1:6" x14ac:dyDescent="0.2">
      <c r="A193" s="48" t="s">
        <v>4455</v>
      </c>
      <c r="B193" s="48" t="s">
        <v>3253</v>
      </c>
      <c r="C193" s="48" t="s">
        <v>3253</v>
      </c>
      <c r="D193" s="48" t="s">
        <v>3655</v>
      </c>
      <c r="E193" s="48" t="s">
        <v>3140</v>
      </c>
      <c r="F193" s="49">
        <v>45</v>
      </c>
    </row>
    <row r="194" spans="1:6" x14ac:dyDescent="0.2">
      <c r="A194" s="48" t="s">
        <v>4454</v>
      </c>
      <c r="B194" s="48" t="s">
        <v>3327</v>
      </c>
      <c r="C194" s="48" t="s">
        <v>3327</v>
      </c>
      <c r="D194" s="48" t="s">
        <v>3643</v>
      </c>
      <c r="E194" s="48" t="s">
        <v>3140</v>
      </c>
      <c r="F194" s="49">
        <v>45</v>
      </c>
    </row>
    <row r="195" spans="1:6" x14ac:dyDescent="0.2">
      <c r="A195" s="48" t="s">
        <v>4453</v>
      </c>
      <c r="B195" s="48" t="s">
        <v>3253</v>
      </c>
      <c r="C195" s="48" t="s">
        <v>3253</v>
      </c>
      <c r="D195" s="48" t="s">
        <v>4085</v>
      </c>
      <c r="E195" s="48" t="s">
        <v>3140</v>
      </c>
      <c r="F195" s="49">
        <v>45</v>
      </c>
    </row>
    <row r="196" spans="1:6" x14ac:dyDescent="0.2">
      <c r="A196" s="48" t="s">
        <v>4452</v>
      </c>
      <c r="B196" s="48" t="s">
        <v>3324</v>
      </c>
      <c r="C196" s="48" t="s">
        <v>3209</v>
      </c>
      <c r="D196" s="48" t="s">
        <v>3323</v>
      </c>
      <c r="E196" s="48" t="s">
        <v>3140</v>
      </c>
      <c r="F196" s="49">
        <v>45</v>
      </c>
    </row>
    <row r="197" spans="1:6" x14ac:dyDescent="0.2">
      <c r="A197" s="48" t="s">
        <v>4451</v>
      </c>
      <c r="B197" s="48" t="s">
        <v>3156</v>
      </c>
      <c r="C197" s="48" t="s">
        <v>3156</v>
      </c>
      <c r="D197" s="48" t="s">
        <v>3410</v>
      </c>
      <c r="E197" s="48" t="s">
        <v>3140</v>
      </c>
      <c r="F197" s="49">
        <v>45</v>
      </c>
    </row>
    <row r="198" spans="1:6" x14ac:dyDescent="0.2">
      <c r="A198" s="48" t="s">
        <v>4450</v>
      </c>
      <c r="B198" s="48" t="s">
        <v>3324</v>
      </c>
      <c r="C198" s="48" t="s">
        <v>3209</v>
      </c>
      <c r="D198" s="48" t="s">
        <v>4449</v>
      </c>
      <c r="E198" s="48" t="s">
        <v>3140</v>
      </c>
      <c r="F198" s="49">
        <v>45</v>
      </c>
    </row>
    <row r="199" spans="1:6" x14ac:dyDescent="0.2">
      <c r="A199" s="48" t="s">
        <v>4448</v>
      </c>
      <c r="B199" s="48" t="s">
        <v>3142</v>
      </c>
      <c r="C199" s="48" t="s">
        <v>3142</v>
      </c>
      <c r="D199" s="48" t="s">
        <v>3376</v>
      </c>
      <c r="E199" s="48" t="s">
        <v>3140</v>
      </c>
      <c r="F199" s="49">
        <v>45</v>
      </c>
    </row>
    <row r="200" spans="1:6" x14ac:dyDescent="0.2">
      <c r="A200" s="48" t="s">
        <v>4447</v>
      </c>
      <c r="B200" s="48" t="s">
        <v>3210</v>
      </c>
      <c r="C200" s="48" t="s">
        <v>3209</v>
      </c>
      <c r="D200" s="48" t="s">
        <v>4205</v>
      </c>
      <c r="E200" s="48" t="s">
        <v>3140</v>
      </c>
      <c r="F200" s="49">
        <v>45</v>
      </c>
    </row>
    <row r="201" spans="1:6" x14ac:dyDescent="0.2">
      <c r="A201" s="48" t="s">
        <v>4446</v>
      </c>
      <c r="B201" s="48" t="s">
        <v>3253</v>
      </c>
      <c r="C201" s="48" t="s">
        <v>3253</v>
      </c>
      <c r="D201" s="48" t="s">
        <v>4175</v>
      </c>
      <c r="E201" s="48" t="s">
        <v>3140</v>
      </c>
      <c r="F201" s="49">
        <v>45</v>
      </c>
    </row>
    <row r="202" spans="1:6" x14ac:dyDescent="0.2">
      <c r="A202" s="48" t="s">
        <v>4445</v>
      </c>
      <c r="B202" s="48" t="s">
        <v>3253</v>
      </c>
      <c r="C202" s="48" t="s">
        <v>3253</v>
      </c>
      <c r="D202" s="48" t="s">
        <v>3779</v>
      </c>
      <c r="E202" s="48" t="s">
        <v>3140</v>
      </c>
      <c r="F202" s="49">
        <v>45</v>
      </c>
    </row>
    <row r="203" spans="1:6" x14ac:dyDescent="0.2">
      <c r="A203" s="48" t="s">
        <v>4444</v>
      </c>
      <c r="B203" s="48" t="s">
        <v>3253</v>
      </c>
      <c r="C203" s="48" t="s">
        <v>3253</v>
      </c>
      <c r="D203" s="48" t="s">
        <v>4443</v>
      </c>
      <c r="E203" s="48" t="s">
        <v>3140</v>
      </c>
      <c r="F203" s="49">
        <v>45</v>
      </c>
    </row>
    <row r="204" spans="1:6" x14ac:dyDescent="0.2">
      <c r="A204" s="48" t="s">
        <v>4442</v>
      </c>
      <c r="B204" s="48" t="s">
        <v>3294</v>
      </c>
      <c r="C204" s="48" t="s">
        <v>3346</v>
      </c>
      <c r="D204" s="48" t="s">
        <v>4218</v>
      </c>
      <c r="E204" s="48" t="s">
        <v>3140</v>
      </c>
      <c r="F204" s="49">
        <v>45</v>
      </c>
    </row>
    <row r="205" spans="1:6" x14ac:dyDescent="0.2">
      <c r="A205" s="48" t="s">
        <v>4441</v>
      </c>
      <c r="B205" s="48" t="s">
        <v>3324</v>
      </c>
      <c r="C205" s="48" t="s">
        <v>3209</v>
      </c>
      <c r="D205" s="48" t="s">
        <v>3323</v>
      </c>
      <c r="E205" s="48" t="s">
        <v>3140</v>
      </c>
      <c r="F205" s="49">
        <v>45</v>
      </c>
    </row>
    <row r="206" spans="1:6" x14ac:dyDescent="0.2">
      <c r="A206" s="48" t="s">
        <v>4440</v>
      </c>
      <c r="B206" s="48" t="s">
        <v>3182</v>
      </c>
      <c r="C206" s="48" t="s">
        <v>3182</v>
      </c>
      <c r="D206" s="48" t="s">
        <v>4330</v>
      </c>
      <c r="E206" s="48" t="s">
        <v>3140</v>
      </c>
      <c r="F206" s="49">
        <v>45</v>
      </c>
    </row>
    <row r="207" spans="1:6" x14ac:dyDescent="0.2">
      <c r="A207" s="48" t="s">
        <v>4439</v>
      </c>
      <c r="B207" s="48" t="s">
        <v>3160</v>
      </c>
      <c r="C207" s="48" t="s">
        <v>3160</v>
      </c>
      <c r="D207" s="48" t="s">
        <v>4438</v>
      </c>
      <c r="E207" s="48" t="s">
        <v>3140</v>
      </c>
      <c r="F207" s="49">
        <v>45</v>
      </c>
    </row>
    <row r="208" spans="1:6" x14ac:dyDescent="0.2">
      <c r="A208" s="48" t="s">
        <v>4437</v>
      </c>
      <c r="B208" s="48" t="s">
        <v>3149</v>
      </c>
      <c r="C208" s="48" t="s">
        <v>3215</v>
      </c>
      <c r="D208" s="48" t="s">
        <v>3464</v>
      </c>
      <c r="E208" s="48" t="s">
        <v>3140</v>
      </c>
      <c r="F208" s="49">
        <v>45</v>
      </c>
    </row>
    <row r="209" spans="1:6" x14ac:dyDescent="0.2">
      <c r="A209" s="48" t="s">
        <v>4436</v>
      </c>
      <c r="B209" s="48" t="s">
        <v>3149</v>
      </c>
      <c r="C209" s="48" t="s">
        <v>3215</v>
      </c>
      <c r="D209" s="48" t="s">
        <v>3464</v>
      </c>
      <c r="E209" s="48" t="s">
        <v>3140</v>
      </c>
      <c r="F209" s="49">
        <v>45</v>
      </c>
    </row>
    <row r="210" spans="1:6" x14ac:dyDescent="0.2">
      <c r="A210" s="48" t="s">
        <v>4435</v>
      </c>
      <c r="B210" s="48" t="s">
        <v>3406</v>
      </c>
      <c r="C210" s="48" t="s">
        <v>3233</v>
      </c>
      <c r="D210" s="48" t="s">
        <v>4434</v>
      </c>
      <c r="E210" s="48" t="s">
        <v>3140</v>
      </c>
      <c r="F210" s="49">
        <v>45</v>
      </c>
    </row>
    <row r="211" spans="1:6" x14ac:dyDescent="0.2">
      <c r="A211" s="48" t="s">
        <v>4433</v>
      </c>
      <c r="B211" s="48" t="s">
        <v>3182</v>
      </c>
      <c r="C211" s="48" t="s">
        <v>3182</v>
      </c>
      <c r="D211" s="48" t="s">
        <v>3288</v>
      </c>
      <c r="E211" s="48" t="s">
        <v>3140</v>
      </c>
      <c r="F211" s="49">
        <v>45</v>
      </c>
    </row>
    <row r="212" spans="1:6" x14ac:dyDescent="0.2">
      <c r="A212" s="48" t="s">
        <v>4432</v>
      </c>
      <c r="B212" s="48" t="s">
        <v>3156</v>
      </c>
      <c r="C212" s="48" t="s">
        <v>3156</v>
      </c>
      <c r="D212" s="48" t="s">
        <v>4358</v>
      </c>
      <c r="E212" s="48" t="s">
        <v>3140</v>
      </c>
      <c r="F212" s="49">
        <v>45</v>
      </c>
    </row>
    <row r="213" spans="1:6" x14ac:dyDescent="0.2">
      <c r="A213" s="48" t="s">
        <v>4431</v>
      </c>
      <c r="B213" s="48" t="s">
        <v>3156</v>
      </c>
      <c r="C213" s="48" t="s">
        <v>3156</v>
      </c>
      <c r="D213" s="48" t="s">
        <v>3923</v>
      </c>
      <c r="E213" s="48" t="s">
        <v>3140</v>
      </c>
      <c r="F213" s="49">
        <v>45</v>
      </c>
    </row>
    <row r="214" spans="1:6" x14ac:dyDescent="0.2">
      <c r="A214" s="48" t="s">
        <v>4430</v>
      </c>
      <c r="B214" s="48" t="s">
        <v>3156</v>
      </c>
      <c r="C214" s="48" t="s">
        <v>3156</v>
      </c>
      <c r="D214" s="48" t="s">
        <v>4429</v>
      </c>
      <c r="E214" s="48" t="s">
        <v>3140</v>
      </c>
      <c r="F214" s="49">
        <v>45</v>
      </c>
    </row>
    <row r="215" spans="1:6" x14ac:dyDescent="0.2">
      <c r="A215" s="48" t="s">
        <v>4428</v>
      </c>
      <c r="B215" s="48" t="s">
        <v>3253</v>
      </c>
      <c r="C215" s="48" t="s">
        <v>3253</v>
      </c>
      <c r="D215" s="48" t="s">
        <v>4224</v>
      </c>
      <c r="E215" s="48" t="s">
        <v>3140</v>
      </c>
      <c r="F215" s="49">
        <v>45</v>
      </c>
    </row>
    <row r="216" spans="1:6" x14ac:dyDescent="0.2">
      <c r="A216" s="48" t="s">
        <v>4427</v>
      </c>
      <c r="B216" s="48" t="s">
        <v>3294</v>
      </c>
      <c r="C216" s="48" t="s">
        <v>3346</v>
      </c>
      <c r="D216" s="48" t="s">
        <v>4426</v>
      </c>
      <c r="E216" s="48" t="s">
        <v>3140</v>
      </c>
      <c r="F216" s="49">
        <v>45</v>
      </c>
    </row>
    <row r="217" spans="1:6" x14ac:dyDescent="0.2">
      <c r="A217" s="48" t="s">
        <v>4425</v>
      </c>
      <c r="B217" s="48" t="s">
        <v>3156</v>
      </c>
      <c r="C217" s="48" t="s">
        <v>3156</v>
      </c>
      <c r="D217" s="48" t="s">
        <v>3410</v>
      </c>
      <c r="E217" s="48" t="s">
        <v>3140</v>
      </c>
      <c r="F217" s="49">
        <v>45</v>
      </c>
    </row>
    <row r="218" spans="1:6" x14ac:dyDescent="0.2">
      <c r="A218" s="48" t="s">
        <v>4424</v>
      </c>
      <c r="B218" s="48" t="s">
        <v>3294</v>
      </c>
      <c r="C218" s="48" t="s">
        <v>3346</v>
      </c>
      <c r="D218" s="48" t="s">
        <v>4423</v>
      </c>
      <c r="E218" s="48" t="s">
        <v>3140</v>
      </c>
      <c r="F218" s="49">
        <v>45</v>
      </c>
    </row>
    <row r="219" spans="1:6" x14ac:dyDescent="0.2">
      <c r="A219" s="48" t="s">
        <v>4422</v>
      </c>
      <c r="B219" s="48" t="s">
        <v>3294</v>
      </c>
      <c r="C219" s="48" t="s">
        <v>3346</v>
      </c>
      <c r="D219" s="48" t="s">
        <v>4421</v>
      </c>
      <c r="E219" s="48" t="s">
        <v>3140</v>
      </c>
      <c r="F219" s="49">
        <v>45</v>
      </c>
    </row>
    <row r="220" spans="1:6" x14ac:dyDescent="0.2">
      <c r="A220" s="48" t="s">
        <v>4420</v>
      </c>
      <c r="B220" s="48" t="s">
        <v>3182</v>
      </c>
      <c r="C220" s="48" t="s">
        <v>3233</v>
      </c>
      <c r="D220" s="48" t="s">
        <v>4392</v>
      </c>
      <c r="E220" s="48" t="s">
        <v>3140</v>
      </c>
      <c r="F220" s="49">
        <v>45</v>
      </c>
    </row>
    <row r="221" spans="1:6" x14ac:dyDescent="0.2">
      <c r="A221" s="48" t="s">
        <v>4419</v>
      </c>
      <c r="B221" s="48" t="s">
        <v>3324</v>
      </c>
      <c r="C221" s="48" t="s">
        <v>3209</v>
      </c>
      <c r="D221" s="48" t="s">
        <v>3323</v>
      </c>
      <c r="E221" s="48" t="s">
        <v>3140</v>
      </c>
      <c r="F221" s="49">
        <v>45</v>
      </c>
    </row>
    <row r="222" spans="1:6" x14ac:dyDescent="0.2">
      <c r="A222" s="48" t="s">
        <v>4418</v>
      </c>
      <c r="B222" s="48" t="s">
        <v>3149</v>
      </c>
      <c r="C222" s="48" t="s">
        <v>3185</v>
      </c>
      <c r="D222" s="48" t="s">
        <v>3185</v>
      </c>
      <c r="E222" s="48" t="s">
        <v>3140</v>
      </c>
      <c r="F222" s="49">
        <v>45</v>
      </c>
    </row>
    <row r="223" spans="1:6" x14ac:dyDescent="0.2">
      <c r="A223" s="48" t="s">
        <v>4417</v>
      </c>
      <c r="B223" s="48" t="s">
        <v>3500</v>
      </c>
      <c r="C223" s="48" t="s">
        <v>3233</v>
      </c>
      <c r="D223" s="48" t="s">
        <v>4416</v>
      </c>
      <c r="E223" s="48" t="s">
        <v>3140</v>
      </c>
      <c r="F223" s="49">
        <v>45</v>
      </c>
    </row>
    <row r="224" spans="1:6" x14ac:dyDescent="0.2">
      <c r="A224" s="48" t="s">
        <v>4415</v>
      </c>
      <c r="B224" s="48" t="s">
        <v>3149</v>
      </c>
      <c r="C224" s="48" t="s">
        <v>3196</v>
      </c>
      <c r="D224" s="48" t="s">
        <v>3592</v>
      </c>
      <c r="E224" s="48" t="s">
        <v>3140</v>
      </c>
      <c r="F224" s="49">
        <v>45</v>
      </c>
    </row>
    <row r="225" spans="1:6" x14ac:dyDescent="0.2">
      <c r="A225" s="48" t="s">
        <v>4414</v>
      </c>
      <c r="B225" s="48" t="s">
        <v>3327</v>
      </c>
      <c r="C225" s="48" t="s">
        <v>3327</v>
      </c>
      <c r="D225" s="48" t="s">
        <v>3475</v>
      </c>
      <c r="E225" s="48" t="s">
        <v>3140</v>
      </c>
      <c r="F225" s="49">
        <v>45</v>
      </c>
    </row>
    <row r="226" spans="1:6" x14ac:dyDescent="0.2">
      <c r="A226" s="48" t="s">
        <v>4413</v>
      </c>
      <c r="B226" s="48" t="s">
        <v>3149</v>
      </c>
      <c r="C226" s="48" t="s">
        <v>3196</v>
      </c>
      <c r="D226" s="48" t="s">
        <v>3363</v>
      </c>
      <c r="E226" s="48" t="s">
        <v>3140</v>
      </c>
      <c r="F226" s="49">
        <v>45</v>
      </c>
    </row>
    <row r="227" spans="1:6" x14ac:dyDescent="0.2">
      <c r="A227" s="48" t="s">
        <v>4412</v>
      </c>
      <c r="B227" s="48" t="s">
        <v>3167</v>
      </c>
      <c r="C227" s="48" t="s">
        <v>3426</v>
      </c>
      <c r="D227" s="48" t="s">
        <v>3678</v>
      </c>
      <c r="E227" s="48" t="s">
        <v>3140</v>
      </c>
      <c r="F227" s="49">
        <v>45</v>
      </c>
    </row>
    <row r="228" spans="1:6" x14ac:dyDescent="0.2">
      <c r="A228" s="48" t="s">
        <v>4411</v>
      </c>
      <c r="B228" s="48" t="s">
        <v>3294</v>
      </c>
      <c r="C228" s="48" t="s">
        <v>3346</v>
      </c>
      <c r="D228" s="48" t="s">
        <v>4410</v>
      </c>
      <c r="E228" s="48" t="s">
        <v>3140</v>
      </c>
      <c r="F228" s="49">
        <v>45</v>
      </c>
    </row>
    <row r="229" spans="1:6" x14ac:dyDescent="0.2">
      <c r="A229" s="48" t="s">
        <v>4409</v>
      </c>
      <c r="B229" s="48" t="s">
        <v>3274</v>
      </c>
      <c r="C229" s="48" t="s">
        <v>3233</v>
      </c>
      <c r="D229" s="48" t="s">
        <v>4408</v>
      </c>
      <c r="E229" s="48" t="s">
        <v>3140</v>
      </c>
      <c r="F229" s="49">
        <v>45</v>
      </c>
    </row>
    <row r="230" spans="1:6" x14ac:dyDescent="0.2">
      <c r="A230" s="48" t="s">
        <v>4407</v>
      </c>
      <c r="B230" s="48" t="s">
        <v>3234</v>
      </c>
      <c r="C230" s="48" t="s">
        <v>3233</v>
      </c>
      <c r="D230" s="48" t="s">
        <v>4406</v>
      </c>
      <c r="E230" s="48" t="s">
        <v>3140</v>
      </c>
      <c r="F230" s="49">
        <v>45</v>
      </c>
    </row>
    <row r="231" spans="1:6" x14ac:dyDescent="0.2">
      <c r="A231" s="48" t="s">
        <v>4405</v>
      </c>
      <c r="B231" s="48" t="s">
        <v>3149</v>
      </c>
      <c r="C231" s="48" t="s">
        <v>3185</v>
      </c>
      <c r="D231" s="48" t="s">
        <v>4404</v>
      </c>
      <c r="E231" s="48" t="s">
        <v>3140</v>
      </c>
      <c r="F231" s="49">
        <v>45</v>
      </c>
    </row>
    <row r="232" spans="1:6" x14ac:dyDescent="0.2">
      <c r="A232" s="48" t="s">
        <v>4403</v>
      </c>
      <c r="B232" s="48" t="s">
        <v>3253</v>
      </c>
      <c r="C232" s="48" t="s">
        <v>3253</v>
      </c>
      <c r="D232" s="48" t="s">
        <v>4062</v>
      </c>
      <c r="E232" s="48" t="s">
        <v>3140</v>
      </c>
      <c r="F232" s="49">
        <v>45</v>
      </c>
    </row>
    <row r="233" spans="1:6" x14ac:dyDescent="0.2">
      <c r="A233" s="48" t="s">
        <v>4402</v>
      </c>
      <c r="B233" s="48" t="s">
        <v>3253</v>
      </c>
      <c r="C233" s="48" t="s">
        <v>3253</v>
      </c>
      <c r="D233" s="48" t="s">
        <v>4196</v>
      </c>
      <c r="E233" s="48" t="s">
        <v>3140</v>
      </c>
      <c r="F233" s="49">
        <v>45</v>
      </c>
    </row>
    <row r="234" spans="1:6" x14ac:dyDescent="0.2">
      <c r="A234" s="48" t="s">
        <v>4401</v>
      </c>
      <c r="B234" s="48" t="s">
        <v>3500</v>
      </c>
      <c r="C234" s="48" t="s">
        <v>3233</v>
      </c>
      <c r="D234" s="48" t="s">
        <v>4400</v>
      </c>
      <c r="E234" s="48" t="s">
        <v>3140</v>
      </c>
      <c r="F234" s="49">
        <v>45</v>
      </c>
    </row>
    <row r="235" spans="1:6" x14ac:dyDescent="0.2">
      <c r="A235" s="48" t="s">
        <v>4399</v>
      </c>
      <c r="B235" s="48" t="s">
        <v>3406</v>
      </c>
      <c r="C235" s="48" t="s">
        <v>3233</v>
      </c>
      <c r="D235" s="48" t="s">
        <v>4398</v>
      </c>
      <c r="E235" s="48" t="s">
        <v>3140</v>
      </c>
      <c r="F235" s="49">
        <v>45</v>
      </c>
    </row>
    <row r="236" spans="1:6" x14ac:dyDescent="0.2">
      <c r="A236" s="48" t="s">
        <v>4397</v>
      </c>
      <c r="B236" s="48" t="s">
        <v>3234</v>
      </c>
      <c r="C236" s="48" t="s">
        <v>3233</v>
      </c>
      <c r="D236" s="48" t="s">
        <v>4396</v>
      </c>
      <c r="E236" s="48" t="s">
        <v>3140</v>
      </c>
      <c r="F236" s="49">
        <v>45</v>
      </c>
    </row>
    <row r="237" spans="1:6" x14ac:dyDescent="0.2">
      <c r="A237" s="48" t="s">
        <v>4395</v>
      </c>
      <c r="B237" s="48" t="s">
        <v>3294</v>
      </c>
      <c r="C237" s="48" t="s">
        <v>3346</v>
      </c>
      <c r="D237" s="48" t="s">
        <v>4394</v>
      </c>
      <c r="E237" s="48" t="s">
        <v>3140</v>
      </c>
      <c r="F237" s="49">
        <v>45</v>
      </c>
    </row>
    <row r="238" spans="1:6" x14ac:dyDescent="0.2">
      <c r="A238" s="48" t="s">
        <v>4393</v>
      </c>
      <c r="B238" s="48" t="s">
        <v>3182</v>
      </c>
      <c r="C238" s="48" t="s">
        <v>3233</v>
      </c>
      <c r="D238" s="48" t="s">
        <v>4392</v>
      </c>
      <c r="E238" s="48" t="s">
        <v>3140</v>
      </c>
      <c r="F238" s="49">
        <v>45</v>
      </c>
    </row>
    <row r="239" spans="1:6" x14ac:dyDescent="0.2">
      <c r="A239" s="48" t="s">
        <v>4391</v>
      </c>
      <c r="B239" s="48" t="s">
        <v>3142</v>
      </c>
      <c r="C239" s="48" t="s">
        <v>3142</v>
      </c>
      <c r="D239" s="48" t="s">
        <v>4265</v>
      </c>
      <c r="E239" s="48" t="s">
        <v>3140</v>
      </c>
      <c r="F239" s="49">
        <v>45</v>
      </c>
    </row>
    <row r="240" spans="1:6" x14ac:dyDescent="0.2">
      <c r="A240" s="48" t="s">
        <v>4390</v>
      </c>
      <c r="B240" s="48" t="s">
        <v>3153</v>
      </c>
      <c r="C240" s="48" t="s">
        <v>4037</v>
      </c>
      <c r="D240" s="48" t="s">
        <v>4037</v>
      </c>
      <c r="E240" s="48" t="s">
        <v>3140</v>
      </c>
      <c r="F240" s="49">
        <v>45</v>
      </c>
    </row>
    <row r="241" spans="1:6" x14ac:dyDescent="0.2">
      <c r="A241" s="48" t="s">
        <v>4389</v>
      </c>
      <c r="B241" s="48" t="s">
        <v>3294</v>
      </c>
      <c r="C241" s="48" t="s">
        <v>3346</v>
      </c>
      <c r="D241" s="48" t="s">
        <v>3382</v>
      </c>
      <c r="E241" s="48" t="s">
        <v>3140</v>
      </c>
      <c r="F241" s="49">
        <v>45</v>
      </c>
    </row>
    <row r="242" spans="1:6" x14ac:dyDescent="0.2">
      <c r="A242" s="48" t="s">
        <v>4388</v>
      </c>
      <c r="B242" s="48" t="s">
        <v>3568</v>
      </c>
      <c r="C242" s="48" t="s">
        <v>3233</v>
      </c>
      <c r="D242" s="48" t="s">
        <v>4387</v>
      </c>
      <c r="E242" s="48" t="s">
        <v>3140</v>
      </c>
      <c r="F242" s="49">
        <v>45</v>
      </c>
    </row>
    <row r="243" spans="1:6" x14ac:dyDescent="0.2">
      <c r="A243" s="48" t="s">
        <v>4386</v>
      </c>
      <c r="B243" s="48" t="s">
        <v>3167</v>
      </c>
      <c r="C243" s="48" t="s">
        <v>3426</v>
      </c>
      <c r="D243" s="48" t="s">
        <v>3617</v>
      </c>
      <c r="E243" s="48" t="s">
        <v>3140</v>
      </c>
      <c r="F243" s="49">
        <v>45</v>
      </c>
    </row>
    <row r="244" spans="1:6" x14ac:dyDescent="0.2">
      <c r="A244" s="48" t="s">
        <v>4385</v>
      </c>
      <c r="B244" s="48" t="s">
        <v>3324</v>
      </c>
      <c r="C244" s="48" t="s">
        <v>3209</v>
      </c>
      <c r="D244" s="48" t="s">
        <v>3609</v>
      </c>
      <c r="E244" s="48" t="s">
        <v>3140</v>
      </c>
      <c r="F244" s="49">
        <v>45</v>
      </c>
    </row>
    <row r="245" spans="1:6" x14ac:dyDescent="0.2">
      <c r="A245" s="48" t="s">
        <v>4384</v>
      </c>
      <c r="B245" s="48" t="s">
        <v>3294</v>
      </c>
      <c r="C245" s="48" t="s">
        <v>3346</v>
      </c>
      <c r="D245" s="48" t="s">
        <v>4383</v>
      </c>
      <c r="E245" s="48" t="s">
        <v>3140</v>
      </c>
      <c r="F245" s="49">
        <v>45</v>
      </c>
    </row>
    <row r="246" spans="1:6" x14ac:dyDescent="0.2">
      <c r="A246" s="48" t="s">
        <v>4382</v>
      </c>
      <c r="B246" s="48" t="s">
        <v>3142</v>
      </c>
      <c r="C246" s="48" t="s">
        <v>3142</v>
      </c>
      <c r="D246" s="48" t="s">
        <v>4288</v>
      </c>
      <c r="E246" s="48" t="s">
        <v>3140</v>
      </c>
      <c r="F246" s="49">
        <v>45</v>
      </c>
    </row>
    <row r="247" spans="1:6" x14ac:dyDescent="0.2">
      <c r="A247" s="48" t="s">
        <v>4381</v>
      </c>
      <c r="B247" s="48" t="s">
        <v>3274</v>
      </c>
      <c r="C247" s="48" t="s">
        <v>3551</v>
      </c>
      <c r="D247" s="48" t="s">
        <v>4380</v>
      </c>
      <c r="E247" s="48" t="s">
        <v>3140</v>
      </c>
      <c r="F247" s="49">
        <v>45</v>
      </c>
    </row>
    <row r="248" spans="1:6" x14ac:dyDescent="0.2">
      <c r="A248" s="48" t="s">
        <v>4379</v>
      </c>
      <c r="B248" s="48" t="s">
        <v>3324</v>
      </c>
      <c r="C248" s="48" t="s">
        <v>3209</v>
      </c>
      <c r="D248" s="48" t="s">
        <v>4378</v>
      </c>
      <c r="E248" s="48" t="s">
        <v>3140</v>
      </c>
      <c r="F248" s="49">
        <v>45</v>
      </c>
    </row>
    <row r="249" spans="1:6" x14ac:dyDescent="0.2">
      <c r="A249" s="48" t="s">
        <v>4377</v>
      </c>
      <c r="B249" s="48" t="s">
        <v>3294</v>
      </c>
      <c r="C249" s="48" t="s">
        <v>3346</v>
      </c>
      <c r="D249" s="48" t="s">
        <v>4376</v>
      </c>
      <c r="E249" s="48" t="s">
        <v>3140</v>
      </c>
      <c r="F249" s="49">
        <v>45</v>
      </c>
    </row>
    <row r="250" spans="1:6" x14ac:dyDescent="0.2">
      <c r="A250" s="48" t="s">
        <v>4375</v>
      </c>
      <c r="B250" s="48" t="s">
        <v>3500</v>
      </c>
      <c r="C250" s="48" t="s">
        <v>3233</v>
      </c>
      <c r="D250" s="48" t="s">
        <v>4374</v>
      </c>
      <c r="E250" s="48" t="s">
        <v>3140</v>
      </c>
      <c r="F250" s="49">
        <v>45</v>
      </c>
    </row>
    <row r="251" spans="1:6" x14ac:dyDescent="0.2">
      <c r="A251" s="48" t="s">
        <v>4373</v>
      </c>
      <c r="B251" s="48" t="s">
        <v>3167</v>
      </c>
      <c r="C251" s="48" t="s">
        <v>3166</v>
      </c>
      <c r="D251" s="48" t="s">
        <v>3166</v>
      </c>
      <c r="E251" s="48" t="s">
        <v>3140</v>
      </c>
      <c r="F251" s="49">
        <v>45</v>
      </c>
    </row>
    <row r="252" spans="1:6" x14ac:dyDescent="0.2">
      <c r="A252" s="48" t="s">
        <v>4372</v>
      </c>
      <c r="B252" s="48" t="s">
        <v>3324</v>
      </c>
      <c r="C252" s="48" t="s">
        <v>3209</v>
      </c>
      <c r="D252" s="48" t="s">
        <v>4371</v>
      </c>
      <c r="E252" s="48" t="s">
        <v>3140</v>
      </c>
      <c r="F252" s="49">
        <v>45</v>
      </c>
    </row>
    <row r="253" spans="1:6" x14ac:dyDescent="0.2">
      <c r="A253" s="48" t="s">
        <v>4370</v>
      </c>
      <c r="B253" s="48" t="s">
        <v>3253</v>
      </c>
      <c r="C253" s="48" t="s">
        <v>3253</v>
      </c>
      <c r="D253" s="48" t="s">
        <v>4369</v>
      </c>
      <c r="E253" s="48" t="s">
        <v>3140</v>
      </c>
      <c r="F253" s="49">
        <v>45</v>
      </c>
    </row>
    <row r="254" spans="1:6" x14ac:dyDescent="0.2">
      <c r="A254" s="48" t="s">
        <v>4368</v>
      </c>
      <c r="B254" s="48" t="s">
        <v>3253</v>
      </c>
      <c r="C254" s="48" t="s">
        <v>3253</v>
      </c>
      <c r="D254" s="48" t="s">
        <v>3583</v>
      </c>
      <c r="E254" s="48" t="s">
        <v>3140</v>
      </c>
      <c r="F254" s="49">
        <v>45</v>
      </c>
    </row>
    <row r="255" spans="1:6" x14ac:dyDescent="0.2">
      <c r="A255" s="48" t="s">
        <v>4367</v>
      </c>
      <c r="B255" s="48" t="s">
        <v>3210</v>
      </c>
      <c r="C255" s="48" t="s">
        <v>3209</v>
      </c>
      <c r="D255" s="48" t="s">
        <v>4366</v>
      </c>
      <c r="E255" s="48" t="s">
        <v>3140</v>
      </c>
      <c r="F255" s="49">
        <v>45</v>
      </c>
    </row>
    <row r="256" spans="1:6" x14ac:dyDescent="0.2">
      <c r="A256" s="48" t="s">
        <v>4365</v>
      </c>
      <c r="B256" s="48" t="s">
        <v>3210</v>
      </c>
      <c r="C256" s="48" t="s">
        <v>3209</v>
      </c>
      <c r="D256" s="48" t="s">
        <v>4364</v>
      </c>
      <c r="E256" s="48" t="s">
        <v>3140</v>
      </c>
      <c r="F256" s="49">
        <v>45</v>
      </c>
    </row>
    <row r="257" spans="1:6" x14ac:dyDescent="0.2">
      <c r="A257" s="48" t="s">
        <v>4363</v>
      </c>
      <c r="B257" s="48" t="s">
        <v>3167</v>
      </c>
      <c r="C257" s="48" t="s">
        <v>3166</v>
      </c>
      <c r="D257" s="48" t="s">
        <v>4362</v>
      </c>
      <c r="E257" s="48" t="s">
        <v>3140</v>
      </c>
      <c r="F257" s="49">
        <v>45</v>
      </c>
    </row>
    <row r="258" spans="1:6" x14ac:dyDescent="0.2">
      <c r="A258" s="48" t="s">
        <v>4361</v>
      </c>
      <c r="B258" s="48" t="s">
        <v>3210</v>
      </c>
      <c r="C258" s="48" t="s">
        <v>3209</v>
      </c>
      <c r="D258" s="48" t="s">
        <v>4360</v>
      </c>
      <c r="E258" s="48" t="s">
        <v>3140</v>
      </c>
      <c r="F258" s="49">
        <v>45</v>
      </c>
    </row>
    <row r="259" spans="1:6" x14ac:dyDescent="0.2">
      <c r="A259" s="48" t="s">
        <v>4359</v>
      </c>
      <c r="B259" s="48" t="s">
        <v>3156</v>
      </c>
      <c r="C259" s="48" t="s">
        <v>3156</v>
      </c>
      <c r="D259" s="48" t="s">
        <v>4358</v>
      </c>
      <c r="E259" s="48" t="s">
        <v>3140</v>
      </c>
      <c r="F259" s="49">
        <v>45</v>
      </c>
    </row>
    <row r="260" spans="1:6" x14ac:dyDescent="0.2">
      <c r="A260" s="48" t="s">
        <v>4357</v>
      </c>
      <c r="B260" s="48" t="s">
        <v>3327</v>
      </c>
      <c r="C260" s="48" t="s">
        <v>3510</v>
      </c>
      <c r="D260" s="48" t="s">
        <v>3835</v>
      </c>
      <c r="E260" s="48" t="s">
        <v>3140</v>
      </c>
      <c r="F260" s="49">
        <v>45</v>
      </c>
    </row>
    <row r="261" spans="1:6" x14ac:dyDescent="0.2">
      <c r="A261" s="48" t="s">
        <v>4356</v>
      </c>
      <c r="B261" s="48" t="s">
        <v>3142</v>
      </c>
      <c r="C261" s="48" t="s">
        <v>3142</v>
      </c>
      <c r="D261" s="48" t="s">
        <v>4067</v>
      </c>
      <c r="E261" s="48" t="s">
        <v>3140</v>
      </c>
      <c r="F261" s="49">
        <v>45</v>
      </c>
    </row>
    <row r="262" spans="1:6" x14ac:dyDescent="0.2">
      <c r="A262" s="48" t="s">
        <v>4355</v>
      </c>
      <c r="B262" s="48" t="s">
        <v>3406</v>
      </c>
      <c r="C262" s="48" t="s">
        <v>3233</v>
      </c>
      <c r="D262" s="48" t="s">
        <v>3405</v>
      </c>
      <c r="E262" s="48" t="s">
        <v>3140</v>
      </c>
      <c r="F262" s="49">
        <v>45</v>
      </c>
    </row>
    <row r="263" spans="1:6" x14ac:dyDescent="0.2">
      <c r="A263" s="48" t="s">
        <v>4354</v>
      </c>
      <c r="B263" s="48" t="s">
        <v>3182</v>
      </c>
      <c r="C263" s="48" t="s">
        <v>3182</v>
      </c>
      <c r="D263" s="48" t="s">
        <v>4306</v>
      </c>
      <c r="E263" s="48" t="s">
        <v>3140</v>
      </c>
      <c r="F263" s="49">
        <v>45</v>
      </c>
    </row>
    <row r="264" spans="1:6" x14ac:dyDescent="0.2">
      <c r="A264" s="48" t="s">
        <v>4353</v>
      </c>
      <c r="B264" s="48" t="s">
        <v>3253</v>
      </c>
      <c r="C264" s="48" t="s">
        <v>3253</v>
      </c>
      <c r="D264" s="48" t="s">
        <v>4194</v>
      </c>
      <c r="E264" s="48" t="s">
        <v>3140</v>
      </c>
      <c r="F264" s="49">
        <v>45</v>
      </c>
    </row>
    <row r="265" spans="1:6" x14ac:dyDescent="0.2">
      <c r="A265" s="48" t="s">
        <v>4352</v>
      </c>
      <c r="B265" s="48" t="s">
        <v>3500</v>
      </c>
      <c r="C265" s="48" t="s">
        <v>3233</v>
      </c>
      <c r="D265" s="48" t="s">
        <v>3862</v>
      </c>
      <c r="E265" s="48" t="s">
        <v>3140</v>
      </c>
      <c r="F265" s="49">
        <v>45</v>
      </c>
    </row>
    <row r="266" spans="1:6" x14ac:dyDescent="0.2">
      <c r="A266" s="48" t="s">
        <v>4351</v>
      </c>
      <c r="B266" s="48" t="s">
        <v>3253</v>
      </c>
      <c r="C266" s="48" t="s">
        <v>3253</v>
      </c>
      <c r="D266" s="48" t="s">
        <v>4350</v>
      </c>
      <c r="E266" s="48" t="s">
        <v>3140</v>
      </c>
      <c r="F266" s="49">
        <v>45</v>
      </c>
    </row>
    <row r="267" spans="1:6" x14ac:dyDescent="0.2">
      <c r="A267" s="48" t="s">
        <v>4349</v>
      </c>
      <c r="B267" s="48" t="s">
        <v>3253</v>
      </c>
      <c r="C267" s="48" t="s">
        <v>3253</v>
      </c>
      <c r="D267" s="48" t="s">
        <v>1815</v>
      </c>
      <c r="E267" s="48" t="s">
        <v>3140</v>
      </c>
      <c r="F267" s="49">
        <v>45</v>
      </c>
    </row>
    <row r="268" spans="1:6" x14ac:dyDescent="0.2">
      <c r="A268" s="48" t="s">
        <v>4348</v>
      </c>
      <c r="B268" s="48" t="s">
        <v>3149</v>
      </c>
      <c r="C268" s="48" t="s">
        <v>3196</v>
      </c>
      <c r="D268" s="48" t="s">
        <v>4347</v>
      </c>
      <c r="E268" s="48" t="s">
        <v>3140</v>
      </c>
      <c r="F268" s="49">
        <v>45</v>
      </c>
    </row>
    <row r="269" spans="1:6" x14ac:dyDescent="0.2">
      <c r="A269" s="48" t="s">
        <v>4346</v>
      </c>
      <c r="B269" s="48" t="s">
        <v>3253</v>
      </c>
      <c r="C269" s="48" t="s">
        <v>3253</v>
      </c>
      <c r="D269" s="48" t="s">
        <v>4344</v>
      </c>
      <c r="E269" s="48" t="s">
        <v>3140</v>
      </c>
      <c r="F269" s="49">
        <v>45</v>
      </c>
    </row>
    <row r="270" spans="1:6" x14ac:dyDescent="0.2">
      <c r="A270" s="48" t="s">
        <v>4345</v>
      </c>
      <c r="B270" s="48" t="s">
        <v>3253</v>
      </c>
      <c r="C270" s="48" t="s">
        <v>3253</v>
      </c>
      <c r="D270" s="48" t="s">
        <v>4344</v>
      </c>
      <c r="E270" s="48" t="s">
        <v>3140</v>
      </c>
      <c r="F270" s="49">
        <v>45</v>
      </c>
    </row>
    <row r="271" spans="1:6" x14ac:dyDescent="0.2">
      <c r="A271" s="48" t="s">
        <v>4343</v>
      </c>
      <c r="B271" s="48" t="s">
        <v>3568</v>
      </c>
      <c r="C271" s="48" t="s">
        <v>3233</v>
      </c>
      <c r="D271" s="48" t="s">
        <v>4167</v>
      </c>
      <c r="E271" s="48" t="s">
        <v>3140</v>
      </c>
      <c r="F271" s="49">
        <v>45</v>
      </c>
    </row>
    <row r="272" spans="1:6" x14ac:dyDescent="0.2">
      <c r="A272" s="48" t="s">
        <v>4342</v>
      </c>
      <c r="B272" s="48" t="s">
        <v>3253</v>
      </c>
      <c r="C272" s="48" t="s">
        <v>3253</v>
      </c>
      <c r="D272" s="48" t="s">
        <v>4341</v>
      </c>
      <c r="E272" s="48" t="s">
        <v>3140</v>
      </c>
      <c r="F272" s="49">
        <v>45</v>
      </c>
    </row>
    <row r="273" spans="1:6" x14ac:dyDescent="0.2">
      <c r="A273" s="48" t="s">
        <v>4340</v>
      </c>
      <c r="B273" s="48" t="s">
        <v>3253</v>
      </c>
      <c r="C273" s="48" t="s">
        <v>3253</v>
      </c>
      <c r="D273" s="48" t="s">
        <v>4339</v>
      </c>
      <c r="E273" s="48" t="s">
        <v>3140</v>
      </c>
      <c r="F273" s="49">
        <v>45</v>
      </c>
    </row>
    <row r="274" spans="1:6" x14ac:dyDescent="0.2">
      <c r="A274" s="48" t="s">
        <v>4338</v>
      </c>
      <c r="B274" s="48" t="s">
        <v>3182</v>
      </c>
      <c r="C274" s="48" t="s">
        <v>3182</v>
      </c>
      <c r="D274" s="48" t="s">
        <v>4110</v>
      </c>
      <c r="E274" s="48" t="s">
        <v>3140</v>
      </c>
      <c r="F274" s="49">
        <v>45</v>
      </c>
    </row>
    <row r="275" spans="1:6" x14ac:dyDescent="0.2">
      <c r="A275" s="48" t="s">
        <v>4337</v>
      </c>
      <c r="B275" s="48" t="s">
        <v>3406</v>
      </c>
      <c r="C275" s="48" t="s">
        <v>3233</v>
      </c>
      <c r="D275" s="48" t="s">
        <v>3964</v>
      </c>
      <c r="E275" s="48" t="s">
        <v>3140</v>
      </c>
      <c r="F275" s="49">
        <v>45</v>
      </c>
    </row>
    <row r="276" spans="1:6" x14ac:dyDescent="0.2">
      <c r="A276" s="48" t="s">
        <v>4336</v>
      </c>
      <c r="B276" s="48" t="s">
        <v>3294</v>
      </c>
      <c r="C276" s="48" t="s">
        <v>3346</v>
      </c>
      <c r="D276" s="48" t="s">
        <v>4335</v>
      </c>
      <c r="E276" s="48" t="s">
        <v>3140</v>
      </c>
      <c r="F276" s="49">
        <v>45</v>
      </c>
    </row>
    <row r="277" spans="1:6" x14ac:dyDescent="0.2">
      <c r="A277" s="48" t="s">
        <v>4334</v>
      </c>
      <c r="B277" s="48" t="s">
        <v>3182</v>
      </c>
      <c r="C277" s="48" t="s">
        <v>3182</v>
      </c>
      <c r="D277" s="48" t="s">
        <v>4110</v>
      </c>
      <c r="E277" s="48" t="s">
        <v>3140</v>
      </c>
      <c r="F277" s="49">
        <v>45</v>
      </c>
    </row>
    <row r="278" spans="1:6" x14ac:dyDescent="0.2">
      <c r="A278" s="48" t="s">
        <v>4333</v>
      </c>
      <c r="B278" s="48" t="s">
        <v>3182</v>
      </c>
      <c r="C278" s="48" t="s">
        <v>3182</v>
      </c>
      <c r="D278" s="48" t="s">
        <v>4332</v>
      </c>
      <c r="E278" s="48" t="s">
        <v>3140</v>
      </c>
      <c r="F278" s="49">
        <v>45</v>
      </c>
    </row>
    <row r="279" spans="1:6" x14ac:dyDescent="0.2">
      <c r="A279" s="48" t="s">
        <v>4331</v>
      </c>
      <c r="B279" s="48" t="s">
        <v>3182</v>
      </c>
      <c r="C279" s="48" t="s">
        <v>3182</v>
      </c>
      <c r="D279" s="48" t="s">
        <v>4330</v>
      </c>
      <c r="E279" s="48" t="s">
        <v>3140</v>
      </c>
      <c r="F279" s="49">
        <v>45</v>
      </c>
    </row>
    <row r="280" spans="1:6" x14ac:dyDescent="0.2">
      <c r="A280" s="48" t="s">
        <v>4329</v>
      </c>
      <c r="B280" s="48" t="s">
        <v>3274</v>
      </c>
      <c r="C280" s="48" t="s">
        <v>3551</v>
      </c>
      <c r="D280" s="48" t="s">
        <v>4122</v>
      </c>
      <c r="E280" s="48" t="s">
        <v>3140</v>
      </c>
      <c r="F280" s="49">
        <v>45</v>
      </c>
    </row>
    <row r="281" spans="1:6" x14ac:dyDescent="0.2">
      <c r="A281" s="48" t="s">
        <v>4328</v>
      </c>
      <c r="B281" s="48" t="s">
        <v>3294</v>
      </c>
      <c r="C281" s="48" t="s">
        <v>3346</v>
      </c>
      <c r="D281" s="48" t="s">
        <v>4171</v>
      </c>
      <c r="E281" s="48" t="s">
        <v>3140</v>
      </c>
      <c r="F281" s="49">
        <v>45</v>
      </c>
    </row>
    <row r="282" spans="1:6" x14ac:dyDescent="0.2">
      <c r="A282" s="48" t="s">
        <v>4327</v>
      </c>
      <c r="B282" s="48" t="s">
        <v>3294</v>
      </c>
      <c r="C282" s="48" t="s">
        <v>3346</v>
      </c>
      <c r="D282" s="48" t="s">
        <v>4326</v>
      </c>
      <c r="E282" s="48" t="s">
        <v>3140</v>
      </c>
      <c r="F282" s="49">
        <v>45</v>
      </c>
    </row>
    <row r="283" spans="1:6" x14ac:dyDescent="0.2">
      <c r="A283" s="48" t="s">
        <v>4325</v>
      </c>
      <c r="B283" s="48" t="s">
        <v>3234</v>
      </c>
      <c r="C283" s="48" t="s">
        <v>3233</v>
      </c>
      <c r="D283" s="48" t="s">
        <v>3276</v>
      </c>
      <c r="E283" s="48" t="s">
        <v>3140</v>
      </c>
      <c r="F283" s="49">
        <v>45</v>
      </c>
    </row>
    <row r="284" spans="1:6" x14ac:dyDescent="0.2">
      <c r="A284" s="48" t="s">
        <v>4324</v>
      </c>
      <c r="B284" s="48" t="s">
        <v>3234</v>
      </c>
      <c r="C284" s="48" t="s">
        <v>3233</v>
      </c>
      <c r="D284" s="48" t="s">
        <v>3913</v>
      </c>
      <c r="E284" s="48" t="s">
        <v>3140</v>
      </c>
      <c r="F284" s="49">
        <v>45</v>
      </c>
    </row>
    <row r="285" spans="1:6" x14ac:dyDescent="0.2">
      <c r="A285" s="48" t="s">
        <v>4323</v>
      </c>
      <c r="B285" s="48" t="s">
        <v>3294</v>
      </c>
      <c r="C285" s="48" t="s">
        <v>3346</v>
      </c>
      <c r="D285" s="48" t="s">
        <v>4171</v>
      </c>
      <c r="E285" s="48" t="s">
        <v>3140</v>
      </c>
      <c r="F285" s="49">
        <v>45</v>
      </c>
    </row>
    <row r="286" spans="1:6" x14ac:dyDescent="0.2">
      <c r="A286" s="48" t="s">
        <v>4322</v>
      </c>
      <c r="B286" s="48" t="s">
        <v>3253</v>
      </c>
      <c r="C286" s="48" t="s">
        <v>3253</v>
      </c>
      <c r="D286" s="48" t="s">
        <v>4321</v>
      </c>
      <c r="E286" s="48" t="s">
        <v>3140</v>
      </c>
      <c r="F286" s="49">
        <v>45</v>
      </c>
    </row>
    <row r="287" spans="1:6" x14ac:dyDescent="0.2">
      <c r="A287" s="48" t="s">
        <v>4320</v>
      </c>
      <c r="B287" s="48" t="s">
        <v>3253</v>
      </c>
      <c r="C287" s="48" t="s">
        <v>3253</v>
      </c>
      <c r="D287" s="48" t="s">
        <v>4319</v>
      </c>
      <c r="E287" s="48" t="s">
        <v>3140</v>
      </c>
      <c r="F287" s="49">
        <v>45</v>
      </c>
    </row>
    <row r="288" spans="1:6" x14ac:dyDescent="0.2">
      <c r="A288" s="48" t="s">
        <v>4318</v>
      </c>
      <c r="B288" s="48" t="s">
        <v>3500</v>
      </c>
      <c r="C288" s="48" t="s">
        <v>3233</v>
      </c>
      <c r="D288" s="48" t="s">
        <v>4317</v>
      </c>
      <c r="E288" s="48" t="s">
        <v>3140</v>
      </c>
      <c r="F288" s="49">
        <v>45</v>
      </c>
    </row>
    <row r="289" spans="1:6" x14ac:dyDescent="0.2">
      <c r="A289" s="48" t="s">
        <v>4316</v>
      </c>
      <c r="B289" s="48" t="s">
        <v>3500</v>
      </c>
      <c r="C289" s="48" t="s">
        <v>3233</v>
      </c>
      <c r="D289" s="48" t="s">
        <v>3825</v>
      </c>
      <c r="E289" s="48" t="s">
        <v>3140</v>
      </c>
      <c r="F289" s="49">
        <v>45</v>
      </c>
    </row>
    <row r="290" spans="1:6" x14ac:dyDescent="0.2">
      <c r="A290" s="48" t="s">
        <v>4315</v>
      </c>
      <c r="B290" s="48" t="s">
        <v>3210</v>
      </c>
      <c r="C290" s="48" t="s">
        <v>3209</v>
      </c>
      <c r="D290" s="48" t="s">
        <v>3624</v>
      </c>
      <c r="E290" s="48" t="s">
        <v>3140</v>
      </c>
      <c r="F290" s="49">
        <v>45</v>
      </c>
    </row>
    <row r="291" spans="1:6" x14ac:dyDescent="0.2">
      <c r="A291" s="48" t="s">
        <v>4314</v>
      </c>
      <c r="B291" s="48" t="s">
        <v>3156</v>
      </c>
      <c r="C291" s="48" t="s">
        <v>3156</v>
      </c>
      <c r="D291" s="48" t="s">
        <v>3410</v>
      </c>
      <c r="E291" s="48" t="s">
        <v>3140</v>
      </c>
      <c r="F291" s="49">
        <v>45</v>
      </c>
    </row>
    <row r="292" spans="1:6" x14ac:dyDescent="0.2">
      <c r="A292" s="48" t="s">
        <v>4313</v>
      </c>
      <c r="B292" s="48" t="s">
        <v>3253</v>
      </c>
      <c r="C292" s="48" t="s">
        <v>3253</v>
      </c>
      <c r="D292" s="48" t="s">
        <v>3707</v>
      </c>
      <c r="E292" s="48" t="s">
        <v>3140</v>
      </c>
      <c r="F292" s="49">
        <v>45</v>
      </c>
    </row>
    <row r="293" spans="1:6" x14ac:dyDescent="0.2">
      <c r="A293" s="48" t="s">
        <v>4312</v>
      </c>
      <c r="B293" s="48" t="s">
        <v>3160</v>
      </c>
      <c r="C293" s="48" t="s">
        <v>3160</v>
      </c>
      <c r="D293" s="48" t="s">
        <v>3696</v>
      </c>
      <c r="E293" s="48" t="s">
        <v>3140</v>
      </c>
      <c r="F293" s="49">
        <v>45</v>
      </c>
    </row>
    <row r="294" spans="1:6" x14ac:dyDescent="0.2">
      <c r="A294" s="48" t="s">
        <v>4311</v>
      </c>
      <c r="B294" s="48" t="s">
        <v>3156</v>
      </c>
      <c r="C294" s="48" t="s">
        <v>3156</v>
      </c>
      <c r="D294" s="48" t="s">
        <v>4310</v>
      </c>
      <c r="E294" s="48" t="s">
        <v>3140</v>
      </c>
      <c r="F294" s="49">
        <v>45</v>
      </c>
    </row>
    <row r="295" spans="1:6" x14ac:dyDescent="0.2">
      <c r="A295" s="48" t="s">
        <v>4309</v>
      </c>
      <c r="B295" s="48" t="s">
        <v>3253</v>
      </c>
      <c r="C295" s="48" t="s">
        <v>3253</v>
      </c>
      <c r="D295" s="48" t="s">
        <v>4308</v>
      </c>
      <c r="E295" s="48" t="s">
        <v>3140</v>
      </c>
      <c r="F295" s="49">
        <v>45</v>
      </c>
    </row>
    <row r="296" spans="1:6" x14ac:dyDescent="0.2">
      <c r="A296" s="48" t="s">
        <v>4307</v>
      </c>
      <c r="B296" s="48" t="s">
        <v>3182</v>
      </c>
      <c r="C296" s="48" t="s">
        <v>3182</v>
      </c>
      <c r="D296" s="48" t="s">
        <v>4306</v>
      </c>
      <c r="E296" s="48" t="s">
        <v>3140</v>
      </c>
      <c r="F296" s="49">
        <v>45</v>
      </c>
    </row>
    <row r="297" spans="1:6" x14ac:dyDescent="0.2">
      <c r="A297" s="48" t="s">
        <v>4305</v>
      </c>
      <c r="B297" s="48" t="s">
        <v>3182</v>
      </c>
      <c r="C297" s="48" t="s">
        <v>3182</v>
      </c>
      <c r="D297" s="48" t="s">
        <v>4304</v>
      </c>
      <c r="E297" s="48" t="s">
        <v>3140</v>
      </c>
      <c r="F297" s="49">
        <v>45</v>
      </c>
    </row>
    <row r="298" spans="1:6" x14ac:dyDescent="0.2">
      <c r="A298" s="48" t="s">
        <v>4303</v>
      </c>
      <c r="B298" s="48" t="s">
        <v>3294</v>
      </c>
      <c r="C298" s="48" t="s">
        <v>3346</v>
      </c>
      <c r="D298" s="48" t="s">
        <v>1443</v>
      </c>
      <c r="E298" s="48" t="s">
        <v>3140</v>
      </c>
      <c r="F298" s="49">
        <v>45</v>
      </c>
    </row>
    <row r="299" spans="1:6" x14ac:dyDescent="0.2">
      <c r="A299" s="48" t="s">
        <v>4302</v>
      </c>
      <c r="B299" s="48" t="s">
        <v>3406</v>
      </c>
      <c r="C299" s="48" t="s">
        <v>3233</v>
      </c>
      <c r="D299" s="48" t="s">
        <v>4301</v>
      </c>
      <c r="E299" s="48" t="s">
        <v>3140</v>
      </c>
      <c r="F299" s="49">
        <v>45</v>
      </c>
    </row>
    <row r="300" spans="1:6" x14ac:dyDescent="0.2">
      <c r="A300" s="48" t="s">
        <v>4300</v>
      </c>
      <c r="B300" s="48" t="s">
        <v>3500</v>
      </c>
      <c r="C300" s="48" t="s">
        <v>3233</v>
      </c>
      <c r="D300" s="48" t="s">
        <v>4299</v>
      </c>
      <c r="E300" s="48" t="s">
        <v>3140</v>
      </c>
      <c r="F300" s="49">
        <v>45</v>
      </c>
    </row>
    <row r="301" spans="1:6" x14ac:dyDescent="0.2">
      <c r="A301" s="48" t="s">
        <v>4298</v>
      </c>
      <c r="B301" s="48" t="s">
        <v>3253</v>
      </c>
      <c r="C301" s="48" t="s">
        <v>3253</v>
      </c>
      <c r="D301" s="48" t="s">
        <v>3589</v>
      </c>
      <c r="E301" s="48" t="s">
        <v>3140</v>
      </c>
      <c r="F301" s="49">
        <v>45</v>
      </c>
    </row>
    <row r="302" spans="1:6" x14ac:dyDescent="0.2">
      <c r="A302" s="48" t="s">
        <v>4297</v>
      </c>
      <c r="B302" s="48" t="s">
        <v>3406</v>
      </c>
      <c r="C302" s="48" t="s">
        <v>3233</v>
      </c>
      <c r="D302" s="48" t="s">
        <v>4296</v>
      </c>
      <c r="E302" s="48" t="s">
        <v>3140</v>
      </c>
      <c r="F302" s="49">
        <v>45</v>
      </c>
    </row>
    <row r="303" spans="1:6" x14ac:dyDescent="0.2">
      <c r="A303" s="48" t="s">
        <v>4295</v>
      </c>
      <c r="B303" s="48" t="s">
        <v>3210</v>
      </c>
      <c r="C303" s="48" t="s">
        <v>3233</v>
      </c>
      <c r="D303" s="48" t="s">
        <v>4294</v>
      </c>
      <c r="E303" s="48" t="s">
        <v>3140</v>
      </c>
      <c r="F303" s="49">
        <v>45</v>
      </c>
    </row>
    <row r="304" spans="1:6" x14ac:dyDescent="0.2">
      <c r="A304" s="48" t="s">
        <v>4293</v>
      </c>
      <c r="B304" s="48" t="s">
        <v>3149</v>
      </c>
      <c r="C304" s="48" t="s">
        <v>3185</v>
      </c>
      <c r="D304" s="48" t="s">
        <v>4292</v>
      </c>
      <c r="E304" s="48" t="s">
        <v>3140</v>
      </c>
      <c r="F304" s="49">
        <v>45</v>
      </c>
    </row>
    <row r="305" spans="1:6" x14ac:dyDescent="0.2">
      <c r="A305" s="48" t="s">
        <v>4291</v>
      </c>
      <c r="B305" s="48" t="s">
        <v>3327</v>
      </c>
      <c r="C305" s="48" t="s">
        <v>3327</v>
      </c>
      <c r="D305" s="48" t="s">
        <v>3978</v>
      </c>
      <c r="E305" s="48" t="s">
        <v>3140</v>
      </c>
      <c r="F305" s="49">
        <v>45</v>
      </c>
    </row>
    <row r="306" spans="1:6" x14ac:dyDescent="0.2">
      <c r="A306" s="48" t="s">
        <v>4290</v>
      </c>
      <c r="B306" s="48" t="s">
        <v>3157</v>
      </c>
      <c r="C306" s="48" t="s">
        <v>3173</v>
      </c>
      <c r="D306" s="48" t="s">
        <v>3341</v>
      </c>
      <c r="E306" s="48" t="s">
        <v>3140</v>
      </c>
      <c r="F306" s="49">
        <v>45</v>
      </c>
    </row>
    <row r="307" spans="1:6" x14ac:dyDescent="0.2">
      <c r="A307" s="48" t="s">
        <v>4289</v>
      </c>
      <c r="B307" s="48" t="s">
        <v>3142</v>
      </c>
      <c r="C307" s="48" t="s">
        <v>3142</v>
      </c>
      <c r="D307" s="48" t="s">
        <v>4288</v>
      </c>
      <c r="E307" s="48" t="s">
        <v>3140</v>
      </c>
      <c r="F307" s="49">
        <v>45</v>
      </c>
    </row>
    <row r="308" spans="1:6" x14ac:dyDescent="0.2">
      <c r="A308" s="48" t="s">
        <v>4287</v>
      </c>
      <c r="B308" s="48" t="s">
        <v>3177</v>
      </c>
      <c r="C308" s="48" t="s">
        <v>3176</v>
      </c>
      <c r="D308" s="48" t="s">
        <v>3452</v>
      </c>
      <c r="E308" s="48" t="s">
        <v>3140</v>
      </c>
      <c r="F308" s="49">
        <v>45</v>
      </c>
    </row>
    <row r="309" spans="1:6" x14ac:dyDescent="0.2">
      <c r="A309" s="48" t="s">
        <v>4286</v>
      </c>
      <c r="B309" s="48" t="s">
        <v>3253</v>
      </c>
      <c r="C309" s="48" t="s">
        <v>3253</v>
      </c>
      <c r="D309" s="48" t="s">
        <v>3802</v>
      </c>
      <c r="E309" s="48" t="s">
        <v>3140</v>
      </c>
      <c r="F309" s="49">
        <v>45</v>
      </c>
    </row>
    <row r="310" spans="1:6" x14ac:dyDescent="0.2">
      <c r="A310" s="48" t="s">
        <v>4285</v>
      </c>
      <c r="B310" s="48" t="s">
        <v>3568</v>
      </c>
      <c r="C310" s="48" t="s">
        <v>3233</v>
      </c>
      <c r="D310" s="48" t="s">
        <v>4284</v>
      </c>
      <c r="E310" s="48" t="s">
        <v>3140</v>
      </c>
      <c r="F310" s="49">
        <v>45</v>
      </c>
    </row>
    <row r="311" spans="1:6" x14ac:dyDescent="0.2">
      <c r="A311" s="48" t="s">
        <v>4283</v>
      </c>
      <c r="B311" s="48" t="s">
        <v>3160</v>
      </c>
      <c r="C311" s="48" t="s">
        <v>3160</v>
      </c>
      <c r="D311" s="48" t="s">
        <v>4282</v>
      </c>
      <c r="E311" s="48" t="s">
        <v>3140</v>
      </c>
      <c r="F311" s="49">
        <v>45</v>
      </c>
    </row>
    <row r="312" spans="1:6" x14ac:dyDescent="0.2">
      <c r="A312" s="48" t="s">
        <v>4281</v>
      </c>
      <c r="B312" s="48" t="s">
        <v>3160</v>
      </c>
      <c r="C312" s="48" t="s">
        <v>3160</v>
      </c>
      <c r="D312" s="48" t="s">
        <v>3813</v>
      </c>
      <c r="E312" s="48" t="s">
        <v>3140</v>
      </c>
      <c r="F312" s="49">
        <v>45</v>
      </c>
    </row>
    <row r="313" spans="1:6" x14ac:dyDescent="0.2">
      <c r="A313" s="48" t="s">
        <v>4280</v>
      </c>
      <c r="B313" s="48" t="s">
        <v>3253</v>
      </c>
      <c r="C313" s="48" t="s">
        <v>3253</v>
      </c>
      <c r="D313" s="48" t="s">
        <v>3655</v>
      </c>
      <c r="E313" s="48" t="s">
        <v>3140</v>
      </c>
      <c r="F313" s="49">
        <v>45</v>
      </c>
    </row>
    <row r="314" spans="1:6" x14ac:dyDescent="0.2">
      <c r="A314" s="48" t="s">
        <v>4279</v>
      </c>
      <c r="B314" s="48" t="s">
        <v>3156</v>
      </c>
      <c r="C314" s="48" t="s">
        <v>3156</v>
      </c>
      <c r="D314" s="48" t="s">
        <v>4233</v>
      </c>
      <c r="E314" s="48" t="s">
        <v>3140</v>
      </c>
      <c r="F314" s="49">
        <v>45</v>
      </c>
    </row>
    <row r="315" spans="1:6" x14ac:dyDescent="0.2">
      <c r="A315" s="48" t="s">
        <v>4278</v>
      </c>
      <c r="B315" s="48" t="s">
        <v>3327</v>
      </c>
      <c r="C315" s="48" t="s">
        <v>3327</v>
      </c>
      <c r="D315" s="48" t="s">
        <v>4011</v>
      </c>
      <c r="E315" s="48" t="s">
        <v>3140</v>
      </c>
      <c r="F315" s="49">
        <v>45</v>
      </c>
    </row>
    <row r="316" spans="1:6" x14ac:dyDescent="0.2">
      <c r="A316" s="48" t="s">
        <v>4277</v>
      </c>
      <c r="B316" s="48" t="s">
        <v>3253</v>
      </c>
      <c r="C316" s="48" t="s">
        <v>3253</v>
      </c>
      <c r="D316" s="48" t="s">
        <v>3802</v>
      </c>
      <c r="E316" s="48" t="s">
        <v>3140</v>
      </c>
      <c r="F316" s="49">
        <v>45</v>
      </c>
    </row>
    <row r="317" spans="1:6" x14ac:dyDescent="0.2">
      <c r="A317" s="48" t="s">
        <v>4276</v>
      </c>
      <c r="B317" s="48" t="s">
        <v>3294</v>
      </c>
      <c r="C317" s="48" t="s">
        <v>3346</v>
      </c>
      <c r="D317" s="48" t="s">
        <v>4275</v>
      </c>
      <c r="E317" s="48" t="s">
        <v>3140</v>
      </c>
      <c r="F317" s="49">
        <v>45</v>
      </c>
    </row>
    <row r="318" spans="1:6" x14ac:dyDescent="0.2">
      <c r="A318" s="48" t="s">
        <v>4274</v>
      </c>
      <c r="B318" s="48" t="s">
        <v>3210</v>
      </c>
      <c r="C318" s="48" t="s">
        <v>3209</v>
      </c>
      <c r="D318" s="48" t="s">
        <v>3857</v>
      </c>
      <c r="E318" s="48" t="s">
        <v>3140</v>
      </c>
      <c r="F318" s="49">
        <v>45</v>
      </c>
    </row>
    <row r="319" spans="1:6" x14ac:dyDescent="0.2">
      <c r="A319" s="48" t="s">
        <v>4273</v>
      </c>
      <c r="B319" s="48" t="s">
        <v>3253</v>
      </c>
      <c r="C319" s="48" t="s">
        <v>3253</v>
      </c>
      <c r="D319" s="48" t="s">
        <v>4224</v>
      </c>
      <c r="E319" s="48" t="s">
        <v>3140</v>
      </c>
      <c r="F319" s="49">
        <v>45</v>
      </c>
    </row>
    <row r="320" spans="1:6" x14ac:dyDescent="0.2">
      <c r="A320" s="48" t="s">
        <v>4272</v>
      </c>
      <c r="B320" s="48" t="s">
        <v>3142</v>
      </c>
      <c r="C320" s="48" t="s">
        <v>3142</v>
      </c>
      <c r="D320" s="48" t="s">
        <v>3393</v>
      </c>
      <c r="E320" s="48" t="s">
        <v>3140</v>
      </c>
      <c r="F320" s="49">
        <v>45</v>
      </c>
    </row>
    <row r="321" spans="1:6" x14ac:dyDescent="0.2">
      <c r="A321" s="48" t="s">
        <v>4271</v>
      </c>
      <c r="B321" s="48" t="s">
        <v>3142</v>
      </c>
      <c r="C321" s="48" t="s">
        <v>3142</v>
      </c>
      <c r="D321" s="48" t="s">
        <v>4263</v>
      </c>
      <c r="E321" s="48" t="s">
        <v>3140</v>
      </c>
      <c r="F321" s="49">
        <v>45</v>
      </c>
    </row>
    <row r="322" spans="1:6" x14ac:dyDescent="0.2">
      <c r="A322" s="48" t="s">
        <v>4270</v>
      </c>
      <c r="B322" s="48" t="s">
        <v>3177</v>
      </c>
      <c r="C322" s="48" t="s">
        <v>3176</v>
      </c>
      <c r="D322" s="48" t="s">
        <v>3452</v>
      </c>
      <c r="E322" s="48" t="s">
        <v>3140</v>
      </c>
      <c r="F322" s="49">
        <v>45</v>
      </c>
    </row>
    <row r="323" spans="1:6" x14ac:dyDescent="0.2">
      <c r="A323" s="48" t="s">
        <v>4269</v>
      </c>
      <c r="B323" s="48" t="s">
        <v>3160</v>
      </c>
      <c r="C323" s="48" t="s">
        <v>3160</v>
      </c>
      <c r="D323" s="48" t="s">
        <v>3813</v>
      </c>
      <c r="E323" s="48" t="s">
        <v>3140</v>
      </c>
      <c r="F323" s="49">
        <v>45</v>
      </c>
    </row>
    <row r="324" spans="1:6" x14ac:dyDescent="0.2">
      <c r="A324" s="48" t="s">
        <v>4268</v>
      </c>
      <c r="B324" s="48" t="s">
        <v>3253</v>
      </c>
      <c r="C324" s="48" t="s">
        <v>3253</v>
      </c>
      <c r="D324" s="48" t="s">
        <v>4090</v>
      </c>
      <c r="E324" s="48" t="s">
        <v>3140</v>
      </c>
      <c r="F324" s="49">
        <v>45</v>
      </c>
    </row>
    <row r="325" spans="1:6" x14ac:dyDescent="0.2">
      <c r="A325" s="48" t="s">
        <v>4267</v>
      </c>
      <c r="B325" s="48" t="s">
        <v>3142</v>
      </c>
      <c r="C325" s="48" t="s">
        <v>3142</v>
      </c>
      <c r="D325" s="48" t="s">
        <v>4265</v>
      </c>
      <c r="E325" s="48" t="s">
        <v>3140</v>
      </c>
      <c r="F325" s="49">
        <v>45</v>
      </c>
    </row>
    <row r="326" spans="1:6" x14ac:dyDescent="0.2">
      <c r="A326" s="48" t="s">
        <v>4266</v>
      </c>
      <c r="B326" s="48" t="s">
        <v>3142</v>
      </c>
      <c r="C326" s="48" t="s">
        <v>3142</v>
      </c>
      <c r="D326" s="48" t="s">
        <v>4265</v>
      </c>
      <c r="E326" s="48" t="s">
        <v>3140</v>
      </c>
      <c r="F326" s="49">
        <v>45</v>
      </c>
    </row>
    <row r="327" spans="1:6" x14ac:dyDescent="0.2">
      <c r="A327" s="48" t="s">
        <v>4264</v>
      </c>
      <c r="B327" s="48" t="s">
        <v>3142</v>
      </c>
      <c r="C327" s="48" t="s">
        <v>3142</v>
      </c>
      <c r="D327" s="48" t="s">
        <v>4263</v>
      </c>
      <c r="E327" s="48" t="s">
        <v>3140</v>
      </c>
      <c r="F327" s="49">
        <v>45</v>
      </c>
    </row>
    <row r="328" spans="1:6" x14ac:dyDescent="0.2">
      <c r="A328" s="48" t="s">
        <v>4262</v>
      </c>
      <c r="B328" s="48" t="s">
        <v>3274</v>
      </c>
      <c r="C328" s="48" t="s">
        <v>3551</v>
      </c>
      <c r="D328" s="48" t="s">
        <v>3594</v>
      </c>
      <c r="E328" s="48" t="s">
        <v>3140</v>
      </c>
      <c r="F328" s="49">
        <v>45</v>
      </c>
    </row>
    <row r="329" spans="1:6" x14ac:dyDescent="0.2">
      <c r="A329" s="48" t="s">
        <v>4261</v>
      </c>
      <c r="B329" s="48" t="s">
        <v>3327</v>
      </c>
      <c r="C329" s="48" t="s">
        <v>3510</v>
      </c>
      <c r="D329" s="48" t="s">
        <v>3509</v>
      </c>
      <c r="E329" s="48" t="s">
        <v>3140</v>
      </c>
      <c r="F329" s="49">
        <v>45</v>
      </c>
    </row>
    <row r="330" spans="1:6" x14ac:dyDescent="0.2">
      <c r="A330" s="48" t="s">
        <v>4260</v>
      </c>
      <c r="B330" s="48" t="s">
        <v>3253</v>
      </c>
      <c r="C330" s="48" t="s">
        <v>3253</v>
      </c>
      <c r="D330" s="48" t="s">
        <v>3430</v>
      </c>
      <c r="E330" s="48" t="s">
        <v>3140</v>
      </c>
      <c r="F330" s="49">
        <v>45</v>
      </c>
    </row>
    <row r="331" spans="1:6" x14ac:dyDescent="0.2">
      <c r="A331" s="48" t="s">
        <v>4259</v>
      </c>
      <c r="B331" s="48" t="s">
        <v>3324</v>
      </c>
      <c r="C331" s="48" t="s">
        <v>3209</v>
      </c>
      <c r="D331" s="48" t="s">
        <v>4258</v>
      </c>
      <c r="E331" s="48" t="s">
        <v>3140</v>
      </c>
      <c r="F331" s="49">
        <v>45</v>
      </c>
    </row>
    <row r="332" spans="1:6" x14ac:dyDescent="0.2">
      <c r="A332" s="48" t="s">
        <v>4257</v>
      </c>
      <c r="B332" s="48" t="s">
        <v>3274</v>
      </c>
      <c r="C332" s="48" t="s">
        <v>3233</v>
      </c>
      <c r="D332" s="48" t="s">
        <v>3273</v>
      </c>
      <c r="E332" s="48" t="s">
        <v>3140</v>
      </c>
      <c r="F332" s="49">
        <v>45</v>
      </c>
    </row>
    <row r="333" spans="1:6" x14ac:dyDescent="0.2">
      <c r="A333" s="48" t="s">
        <v>4256</v>
      </c>
      <c r="B333" s="48" t="s">
        <v>3156</v>
      </c>
      <c r="C333" s="48" t="s">
        <v>3156</v>
      </c>
      <c r="D333" s="48" t="s">
        <v>4255</v>
      </c>
      <c r="E333" s="48" t="s">
        <v>3140</v>
      </c>
      <c r="F333" s="49">
        <v>45</v>
      </c>
    </row>
    <row r="334" spans="1:6" x14ac:dyDescent="0.2">
      <c r="A334" s="48" t="s">
        <v>4254</v>
      </c>
      <c r="B334" s="48" t="s">
        <v>3160</v>
      </c>
      <c r="C334" s="48" t="s">
        <v>3160</v>
      </c>
      <c r="D334" s="48" t="s">
        <v>4253</v>
      </c>
      <c r="E334" s="48" t="s">
        <v>3140</v>
      </c>
      <c r="F334" s="49">
        <v>45</v>
      </c>
    </row>
    <row r="335" spans="1:6" x14ac:dyDescent="0.2">
      <c r="A335" s="48" t="s">
        <v>4252</v>
      </c>
      <c r="B335" s="48" t="s">
        <v>3294</v>
      </c>
      <c r="C335" s="48" t="s">
        <v>3346</v>
      </c>
      <c r="D335" s="48" t="s">
        <v>4251</v>
      </c>
      <c r="E335" s="48" t="s">
        <v>3140</v>
      </c>
      <c r="F335" s="49">
        <v>45</v>
      </c>
    </row>
    <row r="336" spans="1:6" x14ac:dyDescent="0.2">
      <c r="A336" s="48" t="s">
        <v>4250</v>
      </c>
      <c r="B336" s="48" t="s">
        <v>3160</v>
      </c>
      <c r="C336" s="48" t="s">
        <v>3160</v>
      </c>
      <c r="D336" s="48" t="s">
        <v>3756</v>
      </c>
      <c r="E336" s="48" t="s">
        <v>3140</v>
      </c>
      <c r="F336" s="49">
        <v>45</v>
      </c>
    </row>
    <row r="337" spans="1:6" x14ac:dyDescent="0.2">
      <c r="A337" s="48" t="s">
        <v>4249</v>
      </c>
      <c r="B337" s="48" t="s">
        <v>3149</v>
      </c>
      <c r="C337" s="48" t="s">
        <v>3318</v>
      </c>
      <c r="D337" s="48" t="s">
        <v>3751</v>
      </c>
      <c r="E337" s="48" t="s">
        <v>3140</v>
      </c>
      <c r="F337" s="49">
        <v>44</v>
      </c>
    </row>
    <row r="338" spans="1:6" x14ac:dyDescent="0.2">
      <c r="A338" s="48" t="s">
        <v>4248</v>
      </c>
      <c r="B338" s="48" t="s">
        <v>3253</v>
      </c>
      <c r="C338" s="48" t="s">
        <v>3253</v>
      </c>
      <c r="D338" s="48" t="s">
        <v>4196</v>
      </c>
      <c r="E338" s="48" t="s">
        <v>3140</v>
      </c>
      <c r="F338" s="49">
        <v>44</v>
      </c>
    </row>
    <row r="339" spans="1:6" x14ac:dyDescent="0.2">
      <c r="A339" s="48" t="s">
        <v>4247</v>
      </c>
      <c r="B339" s="48" t="s">
        <v>3153</v>
      </c>
      <c r="C339" s="48" t="s">
        <v>3398</v>
      </c>
      <c r="D339" s="48" t="s">
        <v>3398</v>
      </c>
      <c r="E339" s="48" t="s">
        <v>3140</v>
      </c>
      <c r="F339" s="49">
        <v>44</v>
      </c>
    </row>
    <row r="340" spans="1:6" x14ac:dyDescent="0.2">
      <c r="A340" s="48" t="s">
        <v>4246</v>
      </c>
      <c r="B340" s="48" t="s">
        <v>3160</v>
      </c>
      <c r="C340" s="48" t="s">
        <v>3525</v>
      </c>
      <c r="D340" s="48" t="s">
        <v>3524</v>
      </c>
      <c r="E340" s="48" t="s">
        <v>3140</v>
      </c>
      <c r="F340" s="49">
        <v>44</v>
      </c>
    </row>
    <row r="341" spans="1:6" x14ac:dyDescent="0.2">
      <c r="A341" s="48" t="s">
        <v>4245</v>
      </c>
      <c r="B341" s="48" t="s">
        <v>3149</v>
      </c>
      <c r="C341" s="48" t="s">
        <v>3185</v>
      </c>
      <c r="D341" s="48" t="s">
        <v>3185</v>
      </c>
      <c r="E341" s="48" t="s">
        <v>3140</v>
      </c>
      <c r="F341" s="49">
        <v>44</v>
      </c>
    </row>
    <row r="342" spans="1:6" x14ac:dyDescent="0.2">
      <c r="A342" s="48" t="s">
        <v>4244</v>
      </c>
      <c r="B342" s="48" t="s">
        <v>3167</v>
      </c>
      <c r="C342" s="48" t="s">
        <v>3166</v>
      </c>
      <c r="D342" s="48" t="s">
        <v>3648</v>
      </c>
      <c r="E342" s="48" t="s">
        <v>3140</v>
      </c>
      <c r="F342" s="49">
        <v>43</v>
      </c>
    </row>
    <row r="343" spans="1:6" x14ac:dyDescent="0.2">
      <c r="A343" s="48" t="s">
        <v>4243</v>
      </c>
      <c r="B343" s="48" t="s">
        <v>3167</v>
      </c>
      <c r="C343" s="48" t="s">
        <v>3426</v>
      </c>
      <c r="D343" s="48" t="s">
        <v>3544</v>
      </c>
      <c r="E343" s="48" t="s">
        <v>3140</v>
      </c>
      <c r="F343" s="49">
        <v>43</v>
      </c>
    </row>
    <row r="344" spans="1:6" x14ac:dyDescent="0.2">
      <c r="A344" s="48" t="s">
        <v>4242</v>
      </c>
      <c r="B344" s="48" t="s">
        <v>3182</v>
      </c>
      <c r="C344" s="48" t="s">
        <v>3182</v>
      </c>
      <c r="D344" s="48" t="s">
        <v>4078</v>
      </c>
      <c r="E344" s="48" t="s">
        <v>3140</v>
      </c>
      <c r="F344" s="49">
        <v>43</v>
      </c>
    </row>
    <row r="345" spans="1:6" x14ac:dyDescent="0.2">
      <c r="A345" s="48" t="s">
        <v>4241</v>
      </c>
      <c r="B345" s="48" t="s">
        <v>3142</v>
      </c>
      <c r="C345" s="48" t="s">
        <v>3142</v>
      </c>
      <c r="D345" s="48" t="s">
        <v>4240</v>
      </c>
      <c r="E345" s="48" t="s">
        <v>3140</v>
      </c>
      <c r="F345" s="49">
        <v>43</v>
      </c>
    </row>
    <row r="346" spans="1:6" x14ac:dyDescent="0.2">
      <c r="A346" s="48" t="s">
        <v>4239</v>
      </c>
      <c r="B346" s="48" t="s">
        <v>3182</v>
      </c>
      <c r="C346" s="48" t="s">
        <v>3233</v>
      </c>
      <c r="D346" s="48" t="s">
        <v>4238</v>
      </c>
      <c r="E346" s="48" t="s">
        <v>3140</v>
      </c>
      <c r="F346" s="49">
        <v>43</v>
      </c>
    </row>
    <row r="347" spans="1:6" x14ac:dyDescent="0.2">
      <c r="A347" s="48" t="s">
        <v>4237</v>
      </c>
      <c r="B347" s="48" t="s">
        <v>3149</v>
      </c>
      <c r="C347" s="48" t="s">
        <v>3148</v>
      </c>
      <c r="D347" s="48" t="s">
        <v>3795</v>
      </c>
      <c r="E347" s="48" t="s">
        <v>3140</v>
      </c>
      <c r="F347" s="49">
        <v>43</v>
      </c>
    </row>
    <row r="348" spans="1:6" x14ac:dyDescent="0.2">
      <c r="A348" s="48" t="s">
        <v>4236</v>
      </c>
      <c r="B348" s="48" t="s">
        <v>3234</v>
      </c>
      <c r="C348" s="48" t="s">
        <v>3233</v>
      </c>
      <c r="D348" s="48" t="s">
        <v>4156</v>
      </c>
      <c r="E348" s="48" t="s">
        <v>3140</v>
      </c>
      <c r="F348" s="49">
        <v>43</v>
      </c>
    </row>
    <row r="349" spans="1:6" x14ac:dyDescent="0.2">
      <c r="A349" s="48" t="s">
        <v>4235</v>
      </c>
      <c r="B349" s="48" t="s">
        <v>3182</v>
      </c>
      <c r="C349" s="48" t="s">
        <v>3182</v>
      </c>
      <c r="D349" s="48" t="s">
        <v>398</v>
      </c>
      <c r="E349" s="48" t="s">
        <v>3140</v>
      </c>
      <c r="F349" s="49">
        <v>43</v>
      </c>
    </row>
    <row r="350" spans="1:6" x14ac:dyDescent="0.2">
      <c r="A350" s="48" t="s">
        <v>4234</v>
      </c>
      <c r="B350" s="48" t="s">
        <v>3156</v>
      </c>
      <c r="C350" s="48" t="s">
        <v>3156</v>
      </c>
      <c r="D350" s="48" t="s">
        <v>4233</v>
      </c>
      <c r="E350" s="48" t="s">
        <v>3140</v>
      </c>
      <c r="F350" s="49">
        <v>43</v>
      </c>
    </row>
    <row r="351" spans="1:6" x14ac:dyDescent="0.2">
      <c r="A351" s="48" t="s">
        <v>4232</v>
      </c>
      <c r="B351" s="48" t="s">
        <v>3177</v>
      </c>
      <c r="C351" s="48" t="s">
        <v>3176</v>
      </c>
      <c r="D351" s="48" t="s">
        <v>3572</v>
      </c>
      <c r="E351" s="48" t="s">
        <v>3140</v>
      </c>
      <c r="F351" s="49">
        <v>42</v>
      </c>
    </row>
    <row r="352" spans="1:6" x14ac:dyDescent="0.2">
      <c r="A352" s="48" t="s">
        <v>4231</v>
      </c>
      <c r="B352" s="48" t="s">
        <v>3149</v>
      </c>
      <c r="C352" s="48" t="s">
        <v>3196</v>
      </c>
      <c r="D352" s="48" t="s">
        <v>3299</v>
      </c>
      <c r="E352" s="48" t="s">
        <v>3140</v>
      </c>
      <c r="F352" s="49">
        <v>42</v>
      </c>
    </row>
    <row r="353" spans="1:6" x14ac:dyDescent="0.2">
      <c r="A353" s="48" t="s">
        <v>4230</v>
      </c>
      <c r="B353" s="48" t="s">
        <v>3153</v>
      </c>
      <c r="C353" s="48" t="s">
        <v>4037</v>
      </c>
      <c r="D353" s="48" t="s">
        <v>4037</v>
      </c>
      <c r="E353" s="48" t="s">
        <v>3140</v>
      </c>
      <c r="F353" s="49">
        <v>42</v>
      </c>
    </row>
    <row r="354" spans="1:6" x14ac:dyDescent="0.2">
      <c r="A354" s="48" t="s">
        <v>4229</v>
      </c>
      <c r="B354" s="48" t="s">
        <v>3234</v>
      </c>
      <c r="C354" s="48" t="s">
        <v>3233</v>
      </c>
      <c r="D354" s="48" t="s">
        <v>3913</v>
      </c>
      <c r="E354" s="48" t="s">
        <v>3140</v>
      </c>
      <c r="F354" s="49">
        <v>42</v>
      </c>
    </row>
    <row r="355" spans="1:6" x14ac:dyDescent="0.2">
      <c r="A355" s="48" t="s">
        <v>4228</v>
      </c>
      <c r="B355" s="48" t="s">
        <v>3253</v>
      </c>
      <c r="C355" s="48" t="s">
        <v>3253</v>
      </c>
      <c r="D355" s="48" t="s">
        <v>3583</v>
      </c>
      <c r="E355" s="48" t="s">
        <v>3140</v>
      </c>
      <c r="F355" s="49">
        <v>41</v>
      </c>
    </row>
    <row r="356" spans="1:6" x14ac:dyDescent="0.2">
      <c r="A356" s="48" t="s">
        <v>4227</v>
      </c>
      <c r="B356" s="48" t="s">
        <v>3157</v>
      </c>
      <c r="C356" s="48" t="s">
        <v>3286</v>
      </c>
      <c r="D356" s="48" t="s">
        <v>3537</v>
      </c>
      <c r="E356" s="48" t="s">
        <v>3140</v>
      </c>
      <c r="F356" s="49">
        <v>41</v>
      </c>
    </row>
    <row r="357" spans="1:6" x14ac:dyDescent="0.2">
      <c r="A357" s="48" t="s">
        <v>4226</v>
      </c>
      <c r="B357" s="48" t="s">
        <v>3149</v>
      </c>
      <c r="C357" s="48" t="s">
        <v>3196</v>
      </c>
      <c r="D357" s="48" t="s">
        <v>3416</v>
      </c>
      <c r="E357" s="48" t="s">
        <v>3140</v>
      </c>
      <c r="F357" s="49">
        <v>40</v>
      </c>
    </row>
    <row r="358" spans="1:6" x14ac:dyDescent="0.2">
      <c r="A358" s="48" t="s">
        <v>4225</v>
      </c>
      <c r="B358" s="48" t="s">
        <v>3253</v>
      </c>
      <c r="C358" s="48" t="s">
        <v>3253</v>
      </c>
      <c r="D358" s="48" t="s">
        <v>4224</v>
      </c>
      <c r="E358" s="48" t="s">
        <v>3140</v>
      </c>
      <c r="F358" s="49">
        <v>40</v>
      </c>
    </row>
    <row r="359" spans="1:6" x14ac:dyDescent="0.2">
      <c r="A359" s="48" t="s">
        <v>4223</v>
      </c>
      <c r="B359" s="48" t="s">
        <v>3406</v>
      </c>
      <c r="C359" s="48" t="s">
        <v>3233</v>
      </c>
      <c r="D359" s="48" t="s">
        <v>4222</v>
      </c>
      <c r="E359" s="48" t="s">
        <v>3140</v>
      </c>
      <c r="F359" s="49">
        <v>40</v>
      </c>
    </row>
    <row r="360" spans="1:6" x14ac:dyDescent="0.2">
      <c r="A360" s="48" t="s">
        <v>4221</v>
      </c>
      <c r="B360" s="48" t="s">
        <v>3234</v>
      </c>
      <c r="C360" s="48" t="s">
        <v>3233</v>
      </c>
      <c r="D360" s="48" t="s">
        <v>4156</v>
      </c>
      <c r="E360" s="48" t="s">
        <v>3140</v>
      </c>
      <c r="F360" s="49">
        <v>40</v>
      </c>
    </row>
    <row r="361" spans="1:6" x14ac:dyDescent="0.2">
      <c r="A361" s="48" t="s">
        <v>4220</v>
      </c>
      <c r="B361" s="48" t="s">
        <v>3177</v>
      </c>
      <c r="C361" s="48" t="s">
        <v>3219</v>
      </c>
      <c r="D361" s="48" t="s">
        <v>3705</v>
      </c>
      <c r="E361" s="48" t="s">
        <v>3140</v>
      </c>
      <c r="F361" s="49">
        <v>40</v>
      </c>
    </row>
    <row r="362" spans="1:6" x14ac:dyDescent="0.2">
      <c r="A362" s="48" t="s">
        <v>4219</v>
      </c>
      <c r="B362" s="48" t="s">
        <v>3294</v>
      </c>
      <c r="C362" s="48" t="s">
        <v>3346</v>
      </c>
      <c r="D362" s="48" t="s">
        <v>4218</v>
      </c>
      <c r="E362" s="48" t="s">
        <v>3140</v>
      </c>
      <c r="F362" s="49">
        <v>40</v>
      </c>
    </row>
    <row r="363" spans="1:6" x14ac:dyDescent="0.2">
      <c r="A363" s="48" t="s">
        <v>4217</v>
      </c>
      <c r="B363" s="48" t="s">
        <v>3568</v>
      </c>
      <c r="C363" s="48" t="s">
        <v>3233</v>
      </c>
      <c r="D363" s="48" t="s">
        <v>4032</v>
      </c>
      <c r="E363" s="48" t="s">
        <v>3140</v>
      </c>
      <c r="F363" s="49">
        <v>40</v>
      </c>
    </row>
    <row r="364" spans="1:6" x14ac:dyDescent="0.2">
      <c r="A364" s="48" t="s">
        <v>4216</v>
      </c>
      <c r="B364" s="48" t="s">
        <v>3210</v>
      </c>
      <c r="C364" s="48" t="s">
        <v>3209</v>
      </c>
      <c r="D364" s="48" t="s">
        <v>3857</v>
      </c>
      <c r="E364" s="48" t="s">
        <v>3140</v>
      </c>
      <c r="F364" s="49">
        <v>40</v>
      </c>
    </row>
    <row r="365" spans="1:6" x14ac:dyDescent="0.2">
      <c r="A365" s="48" t="s">
        <v>4215</v>
      </c>
      <c r="B365" s="48" t="s">
        <v>3167</v>
      </c>
      <c r="C365" s="48" t="s">
        <v>3237</v>
      </c>
      <c r="D365" s="48" t="s">
        <v>3359</v>
      </c>
      <c r="E365" s="48" t="s">
        <v>3140</v>
      </c>
      <c r="F365" s="49">
        <v>40</v>
      </c>
    </row>
    <row r="366" spans="1:6" x14ac:dyDescent="0.2">
      <c r="A366" s="48" t="s">
        <v>4214</v>
      </c>
      <c r="B366" s="48" t="s">
        <v>3149</v>
      </c>
      <c r="C366" s="48" t="s">
        <v>3215</v>
      </c>
      <c r="D366" s="48" t="s">
        <v>3265</v>
      </c>
      <c r="E366" s="48" t="s">
        <v>3140</v>
      </c>
      <c r="F366" s="49">
        <v>40</v>
      </c>
    </row>
    <row r="367" spans="1:6" x14ac:dyDescent="0.2">
      <c r="A367" s="48" t="s">
        <v>4213</v>
      </c>
      <c r="B367" s="48" t="s">
        <v>3406</v>
      </c>
      <c r="C367" s="48" t="s">
        <v>3233</v>
      </c>
      <c r="D367" s="48" t="s">
        <v>4212</v>
      </c>
      <c r="E367" s="48" t="s">
        <v>3140</v>
      </c>
      <c r="F367" s="49">
        <v>40</v>
      </c>
    </row>
    <row r="368" spans="1:6" x14ac:dyDescent="0.2">
      <c r="A368" s="48" t="s">
        <v>4211</v>
      </c>
      <c r="B368" s="48" t="s">
        <v>3167</v>
      </c>
      <c r="C368" s="48" t="s">
        <v>3166</v>
      </c>
      <c r="D368" s="48" t="s">
        <v>3648</v>
      </c>
      <c r="E368" s="48" t="s">
        <v>3140</v>
      </c>
      <c r="F368" s="49">
        <v>40</v>
      </c>
    </row>
    <row r="369" spans="1:6" x14ac:dyDescent="0.2">
      <c r="A369" s="48" t="s">
        <v>4210</v>
      </c>
      <c r="B369" s="48" t="s">
        <v>3210</v>
      </c>
      <c r="C369" s="48" t="s">
        <v>3209</v>
      </c>
      <c r="D369" s="48" t="s">
        <v>3485</v>
      </c>
      <c r="E369" s="48" t="s">
        <v>3140</v>
      </c>
      <c r="F369" s="49">
        <v>40</v>
      </c>
    </row>
    <row r="370" spans="1:6" x14ac:dyDescent="0.2">
      <c r="A370" s="48" t="s">
        <v>4209</v>
      </c>
      <c r="B370" s="48" t="s">
        <v>3406</v>
      </c>
      <c r="C370" s="48" t="s">
        <v>3233</v>
      </c>
      <c r="D370" s="48" t="s">
        <v>3560</v>
      </c>
      <c r="E370" s="48" t="s">
        <v>3140</v>
      </c>
      <c r="F370" s="49">
        <v>40</v>
      </c>
    </row>
    <row r="371" spans="1:6" x14ac:dyDescent="0.2">
      <c r="A371" s="48" t="s">
        <v>4208</v>
      </c>
      <c r="B371" s="48" t="s">
        <v>3327</v>
      </c>
      <c r="C371" s="48" t="s">
        <v>3327</v>
      </c>
      <c r="D371" s="48" t="s">
        <v>4207</v>
      </c>
      <c r="E371" s="48" t="s">
        <v>3140</v>
      </c>
      <c r="F371" s="49">
        <v>40</v>
      </c>
    </row>
    <row r="372" spans="1:6" x14ac:dyDescent="0.2">
      <c r="A372" s="48" t="s">
        <v>4206</v>
      </c>
      <c r="B372" s="48" t="s">
        <v>3210</v>
      </c>
      <c r="C372" s="48" t="s">
        <v>3209</v>
      </c>
      <c r="D372" s="48" t="s">
        <v>4205</v>
      </c>
      <c r="E372" s="48" t="s">
        <v>3140</v>
      </c>
      <c r="F372" s="49">
        <v>40</v>
      </c>
    </row>
    <row r="373" spans="1:6" x14ac:dyDescent="0.2">
      <c r="A373" s="48" t="s">
        <v>4204</v>
      </c>
      <c r="B373" s="48" t="s">
        <v>3210</v>
      </c>
      <c r="C373" s="48" t="s">
        <v>3209</v>
      </c>
      <c r="D373" s="48" t="s">
        <v>3528</v>
      </c>
      <c r="E373" s="48" t="s">
        <v>3140</v>
      </c>
      <c r="F373" s="49">
        <v>40</v>
      </c>
    </row>
    <row r="374" spans="1:6" x14ac:dyDescent="0.2">
      <c r="A374" s="48" t="s">
        <v>4203</v>
      </c>
      <c r="B374" s="48" t="s">
        <v>3500</v>
      </c>
      <c r="C374" s="48" t="s">
        <v>3233</v>
      </c>
      <c r="D374" s="48" t="s">
        <v>4202</v>
      </c>
      <c r="E374" s="48" t="s">
        <v>3140</v>
      </c>
      <c r="F374" s="49">
        <v>40</v>
      </c>
    </row>
    <row r="375" spans="1:6" x14ac:dyDescent="0.2">
      <c r="A375" s="48" t="s">
        <v>4201</v>
      </c>
      <c r="B375" s="48" t="s">
        <v>3327</v>
      </c>
      <c r="C375" s="48" t="s">
        <v>3327</v>
      </c>
      <c r="D375" s="48" t="s">
        <v>4200</v>
      </c>
      <c r="E375" s="48" t="s">
        <v>3140</v>
      </c>
      <c r="F375" s="49">
        <v>40</v>
      </c>
    </row>
    <row r="376" spans="1:6" x14ac:dyDescent="0.2">
      <c r="A376" s="48" t="s">
        <v>4199</v>
      </c>
      <c r="B376" s="48" t="s">
        <v>3500</v>
      </c>
      <c r="C376" s="48" t="s">
        <v>3233</v>
      </c>
      <c r="D376" s="48" t="s">
        <v>4097</v>
      </c>
      <c r="E376" s="48" t="s">
        <v>3140</v>
      </c>
      <c r="F376" s="49">
        <v>40</v>
      </c>
    </row>
    <row r="377" spans="1:6" x14ac:dyDescent="0.2">
      <c r="A377" s="48" t="s">
        <v>4198</v>
      </c>
      <c r="B377" s="48" t="s">
        <v>3149</v>
      </c>
      <c r="C377" s="48" t="s">
        <v>3185</v>
      </c>
      <c r="D377" s="48" t="s">
        <v>3185</v>
      </c>
      <c r="E377" s="48" t="s">
        <v>3140</v>
      </c>
      <c r="F377" s="49">
        <v>40</v>
      </c>
    </row>
    <row r="378" spans="1:6" x14ac:dyDescent="0.2">
      <c r="A378" s="48" t="s">
        <v>4197</v>
      </c>
      <c r="B378" s="48" t="s">
        <v>3253</v>
      </c>
      <c r="C378" s="48" t="s">
        <v>3253</v>
      </c>
      <c r="D378" s="48" t="s">
        <v>4196</v>
      </c>
      <c r="E378" s="48" t="s">
        <v>3140</v>
      </c>
      <c r="F378" s="49">
        <v>40</v>
      </c>
    </row>
    <row r="379" spans="1:6" x14ac:dyDescent="0.2">
      <c r="A379" s="48" t="s">
        <v>4195</v>
      </c>
      <c r="B379" s="48" t="s">
        <v>3253</v>
      </c>
      <c r="C379" s="48" t="s">
        <v>3253</v>
      </c>
      <c r="D379" s="48" t="s">
        <v>4194</v>
      </c>
      <c r="E379" s="48" t="s">
        <v>3140</v>
      </c>
      <c r="F379" s="49">
        <v>40</v>
      </c>
    </row>
    <row r="380" spans="1:6" x14ac:dyDescent="0.2">
      <c r="A380" s="48" t="s">
        <v>4193</v>
      </c>
      <c r="B380" s="48" t="s">
        <v>3142</v>
      </c>
      <c r="C380" s="48" t="s">
        <v>3141</v>
      </c>
      <c r="D380" s="48" t="s">
        <v>3966</v>
      </c>
      <c r="E380" s="48" t="s">
        <v>3140</v>
      </c>
      <c r="F380" s="49">
        <v>40</v>
      </c>
    </row>
    <row r="381" spans="1:6" x14ac:dyDescent="0.2">
      <c r="A381" s="48" t="s">
        <v>4192</v>
      </c>
      <c r="B381" s="48" t="s">
        <v>3160</v>
      </c>
      <c r="C381" s="48" t="s">
        <v>3373</v>
      </c>
      <c r="D381" s="48" t="s">
        <v>3372</v>
      </c>
      <c r="E381" s="48" t="s">
        <v>3140</v>
      </c>
      <c r="F381" s="49">
        <v>40</v>
      </c>
    </row>
    <row r="382" spans="1:6" x14ac:dyDescent="0.2">
      <c r="A382" s="48" t="s">
        <v>4191</v>
      </c>
      <c r="B382" s="48" t="s">
        <v>3234</v>
      </c>
      <c r="C382" s="48" t="s">
        <v>3233</v>
      </c>
      <c r="D382" s="48" t="s">
        <v>4009</v>
      </c>
      <c r="E382" s="48" t="s">
        <v>3140</v>
      </c>
      <c r="F382" s="49">
        <v>40</v>
      </c>
    </row>
    <row r="383" spans="1:6" x14ac:dyDescent="0.2">
      <c r="A383" s="48" t="s">
        <v>4190</v>
      </c>
      <c r="B383" s="48" t="s">
        <v>3157</v>
      </c>
      <c r="C383" s="48" t="s">
        <v>3173</v>
      </c>
      <c r="D383" s="48" t="s">
        <v>3341</v>
      </c>
      <c r="E383" s="48" t="s">
        <v>3140</v>
      </c>
      <c r="F383" s="49">
        <v>40</v>
      </c>
    </row>
    <row r="384" spans="1:6" x14ac:dyDescent="0.2">
      <c r="A384" s="48" t="s">
        <v>4189</v>
      </c>
      <c r="B384" s="48" t="s">
        <v>3324</v>
      </c>
      <c r="C384" s="48" t="s">
        <v>3209</v>
      </c>
      <c r="D384" s="48" t="s">
        <v>3609</v>
      </c>
      <c r="E384" s="48" t="s">
        <v>3140</v>
      </c>
      <c r="F384" s="49">
        <v>40</v>
      </c>
    </row>
    <row r="385" spans="1:6" x14ac:dyDescent="0.2">
      <c r="A385" s="48" t="s">
        <v>4188</v>
      </c>
      <c r="B385" s="48" t="s">
        <v>3160</v>
      </c>
      <c r="C385" s="48" t="s">
        <v>3160</v>
      </c>
      <c r="D385" s="48" t="s">
        <v>3813</v>
      </c>
      <c r="E385" s="48" t="s">
        <v>3140</v>
      </c>
      <c r="F385" s="49">
        <v>40</v>
      </c>
    </row>
    <row r="386" spans="1:6" x14ac:dyDescent="0.2">
      <c r="A386" s="48" t="s">
        <v>4187</v>
      </c>
      <c r="B386" s="48" t="s">
        <v>3177</v>
      </c>
      <c r="C386" s="48" t="s">
        <v>3219</v>
      </c>
      <c r="D386" s="48" t="s">
        <v>3921</v>
      </c>
      <c r="E386" s="48" t="s">
        <v>3140</v>
      </c>
      <c r="F386" s="49">
        <v>40</v>
      </c>
    </row>
    <row r="387" spans="1:6" x14ac:dyDescent="0.2">
      <c r="A387" s="48" t="s">
        <v>4186</v>
      </c>
      <c r="B387" s="48" t="s">
        <v>3406</v>
      </c>
      <c r="C387" s="48" t="s">
        <v>3233</v>
      </c>
      <c r="D387" s="48" t="s">
        <v>3657</v>
      </c>
      <c r="E387" s="48" t="s">
        <v>3140</v>
      </c>
      <c r="F387" s="49">
        <v>40</v>
      </c>
    </row>
    <row r="388" spans="1:6" x14ac:dyDescent="0.2">
      <c r="A388" s="48" t="s">
        <v>4185</v>
      </c>
      <c r="B388" s="48" t="s">
        <v>3234</v>
      </c>
      <c r="C388" s="48" t="s">
        <v>3233</v>
      </c>
      <c r="D388" s="48" t="s">
        <v>3232</v>
      </c>
      <c r="E388" s="48" t="s">
        <v>3140</v>
      </c>
      <c r="F388" s="49">
        <v>40</v>
      </c>
    </row>
    <row r="389" spans="1:6" x14ac:dyDescent="0.2">
      <c r="A389" s="48" t="s">
        <v>4184</v>
      </c>
      <c r="B389" s="48" t="s">
        <v>3568</v>
      </c>
      <c r="C389" s="48" t="s">
        <v>3233</v>
      </c>
      <c r="D389" s="48" t="s">
        <v>3935</v>
      </c>
      <c r="E389" s="48" t="s">
        <v>3140</v>
      </c>
      <c r="F389" s="49">
        <v>40</v>
      </c>
    </row>
    <row r="390" spans="1:6" x14ac:dyDescent="0.2">
      <c r="A390" s="48" t="s">
        <v>4183</v>
      </c>
      <c r="B390" s="48" t="s">
        <v>3160</v>
      </c>
      <c r="C390" s="48" t="s">
        <v>3160</v>
      </c>
      <c r="D390" s="48" t="s">
        <v>3813</v>
      </c>
      <c r="E390" s="48" t="s">
        <v>3140</v>
      </c>
      <c r="F390" s="49">
        <v>40</v>
      </c>
    </row>
    <row r="391" spans="1:6" x14ac:dyDescent="0.2">
      <c r="A391" s="48" t="s">
        <v>4182</v>
      </c>
      <c r="B391" s="48" t="s">
        <v>3160</v>
      </c>
      <c r="C391" s="48" t="s">
        <v>3160</v>
      </c>
      <c r="D391" s="48" t="s">
        <v>4179</v>
      </c>
      <c r="E391" s="48" t="s">
        <v>3140</v>
      </c>
      <c r="F391" s="49">
        <v>40</v>
      </c>
    </row>
    <row r="392" spans="1:6" x14ac:dyDescent="0.2">
      <c r="A392" s="48" t="s">
        <v>4181</v>
      </c>
      <c r="B392" s="48" t="s">
        <v>3149</v>
      </c>
      <c r="C392" s="48" t="s">
        <v>3185</v>
      </c>
      <c r="D392" s="48" t="s">
        <v>3185</v>
      </c>
      <c r="E392" s="48" t="s">
        <v>3140</v>
      </c>
      <c r="F392" s="49">
        <v>40</v>
      </c>
    </row>
    <row r="393" spans="1:6" x14ac:dyDescent="0.2">
      <c r="A393" s="48" t="s">
        <v>4180</v>
      </c>
      <c r="B393" s="48" t="s">
        <v>3160</v>
      </c>
      <c r="C393" s="48" t="s">
        <v>3160</v>
      </c>
      <c r="D393" s="48" t="s">
        <v>4179</v>
      </c>
      <c r="E393" s="48" t="s">
        <v>3140</v>
      </c>
      <c r="F393" s="49">
        <v>40</v>
      </c>
    </row>
    <row r="394" spans="1:6" x14ac:dyDescent="0.2">
      <c r="A394" s="48" t="s">
        <v>4178</v>
      </c>
      <c r="B394" s="48" t="s">
        <v>3142</v>
      </c>
      <c r="C394" s="48" t="s">
        <v>3142</v>
      </c>
      <c r="D394" s="48" t="s">
        <v>4177</v>
      </c>
      <c r="E394" s="48" t="s">
        <v>3140</v>
      </c>
      <c r="F394" s="49">
        <v>40</v>
      </c>
    </row>
    <row r="395" spans="1:6" x14ac:dyDescent="0.2">
      <c r="A395" s="48" t="s">
        <v>4176</v>
      </c>
      <c r="B395" s="48" t="s">
        <v>3253</v>
      </c>
      <c r="C395" s="48" t="s">
        <v>3253</v>
      </c>
      <c r="D395" s="48" t="s">
        <v>4175</v>
      </c>
      <c r="E395" s="48" t="s">
        <v>3140</v>
      </c>
      <c r="F395" s="49">
        <v>40</v>
      </c>
    </row>
    <row r="396" spans="1:6" x14ac:dyDescent="0.2">
      <c r="A396" s="48" t="s">
        <v>4174</v>
      </c>
      <c r="B396" s="48" t="s">
        <v>3182</v>
      </c>
      <c r="C396" s="48" t="s">
        <v>3233</v>
      </c>
      <c r="D396" s="48" t="s">
        <v>3468</v>
      </c>
      <c r="E396" s="48" t="s">
        <v>3140</v>
      </c>
      <c r="F396" s="49">
        <v>40</v>
      </c>
    </row>
    <row r="397" spans="1:6" x14ac:dyDescent="0.2">
      <c r="A397" s="48" t="s">
        <v>4173</v>
      </c>
      <c r="B397" s="48" t="s">
        <v>3234</v>
      </c>
      <c r="C397" s="48" t="s">
        <v>3233</v>
      </c>
      <c r="D397" s="48" t="s">
        <v>3248</v>
      </c>
      <c r="E397" s="48" t="s">
        <v>3140</v>
      </c>
      <c r="F397" s="49">
        <v>40</v>
      </c>
    </row>
    <row r="398" spans="1:6" x14ac:dyDescent="0.2">
      <c r="A398" s="48" t="s">
        <v>4172</v>
      </c>
      <c r="B398" s="48" t="s">
        <v>3294</v>
      </c>
      <c r="C398" s="48" t="s">
        <v>3346</v>
      </c>
      <c r="D398" s="48" t="s">
        <v>4171</v>
      </c>
      <c r="E398" s="48" t="s">
        <v>3140</v>
      </c>
      <c r="F398" s="49">
        <v>40</v>
      </c>
    </row>
    <row r="399" spans="1:6" x14ac:dyDescent="0.2">
      <c r="A399" s="48" t="s">
        <v>4170</v>
      </c>
      <c r="B399" s="48" t="s">
        <v>3182</v>
      </c>
      <c r="C399" s="48" t="s">
        <v>3233</v>
      </c>
      <c r="D399" s="48" t="s">
        <v>4169</v>
      </c>
      <c r="E399" s="48" t="s">
        <v>3140</v>
      </c>
      <c r="F399" s="49">
        <v>40</v>
      </c>
    </row>
    <row r="400" spans="1:6" x14ac:dyDescent="0.2">
      <c r="A400" s="48" t="s">
        <v>4168</v>
      </c>
      <c r="B400" s="48" t="s">
        <v>3568</v>
      </c>
      <c r="C400" s="48" t="s">
        <v>3233</v>
      </c>
      <c r="D400" s="48" t="s">
        <v>4167</v>
      </c>
      <c r="E400" s="48" t="s">
        <v>3140</v>
      </c>
      <c r="F400" s="49">
        <v>40</v>
      </c>
    </row>
    <row r="401" spans="1:6" x14ac:dyDescent="0.2">
      <c r="A401" s="48" t="s">
        <v>4166</v>
      </c>
      <c r="B401" s="48" t="s">
        <v>3253</v>
      </c>
      <c r="C401" s="48" t="s">
        <v>3253</v>
      </c>
      <c r="D401" s="48" t="s">
        <v>3693</v>
      </c>
      <c r="E401" s="48" t="s">
        <v>3140</v>
      </c>
      <c r="F401" s="49">
        <v>40</v>
      </c>
    </row>
    <row r="402" spans="1:6" x14ac:dyDescent="0.2">
      <c r="A402" s="48" t="s">
        <v>4165</v>
      </c>
      <c r="B402" s="48" t="s">
        <v>3568</v>
      </c>
      <c r="C402" s="48" t="s">
        <v>3233</v>
      </c>
      <c r="D402" s="48" t="s">
        <v>4164</v>
      </c>
      <c r="E402" s="48" t="s">
        <v>3140</v>
      </c>
      <c r="F402" s="49">
        <v>40</v>
      </c>
    </row>
    <row r="403" spans="1:6" x14ac:dyDescent="0.2">
      <c r="A403" s="48" t="s">
        <v>4163</v>
      </c>
      <c r="B403" s="48" t="s">
        <v>3327</v>
      </c>
      <c r="C403" s="48" t="s">
        <v>3327</v>
      </c>
      <c r="D403" s="48" t="s">
        <v>3475</v>
      </c>
      <c r="E403" s="48" t="s">
        <v>3140</v>
      </c>
      <c r="F403" s="49">
        <v>40</v>
      </c>
    </row>
    <row r="404" spans="1:6" x14ac:dyDescent="0.2">
      <c r="A404" s="48" t="s">
        <v>4162</v>
      </c>
      <c r="B404" s="48" t="s">
        <v>3253</v>
      </c>
      <c r="C404" s="48" t="s">
        <v>3253</v>
      </c>
      <c r="D404" s="48" t="s">
        <v>3655</v>
      </c>
      <c r="E404" s="48" t="s">
        <v>3140</v>
      </c>
      <c r="F404" s="49">
        <v>40</v>
      </c>
    </row>
    <row r="405" spans="1:6" x14ac:dyDescent="0.2">
      <c r="A405" s="48" t="s">
        <v>4161</v>
      </c>
      <c r="B405" s="48" t="s">
        <v>3167</v>
      </c>
      <c r="C405" s="48" t="s">
        <v>3166</v>
      </c>
      <c r="D405" s="48" t="s">
        <v>4160</v>
      </c>
      <c r="E405" s="48" t="s">
        <v>3140</v>
      </c>
      <c r="F405" s="49">
        <v>40</v>
      </c>
    </row>
    <row r="406" spans="1:6" x14ac:dyDescent="0.2">
      <c r="A406" s="48" t="s">
        <v>4159</v>
      </c>
      <c r="B406" s="48" t="s">
        <v>3294</v>
      </c>
      <c r="C406" s="48" t="s">
        <v>3346</v>
      </c>
      <c r="D406" s="48" t="s">
        <v>4158</v>
      </c>
      <c r="E406" s="48" t="s">
        <v>3140</v>
      </c>
      <c r="F406" s="49">
        <v>40</v>
      </c>
    </row>
    <row r="407" spans="1:6" x14ac:dyDescent="0.2">
      <c r="A407" s="48" t="s">
        <v>4157</v>
      </c>
      <c r="B407" s="48" t="s">
        <v>3234</v>
      </c>
      <c r="C407" s="48" t="s">
        <v>3233</v>
      </c>
      <c r="D407" s="48" t="s">
        <v>4156</v>
      </c>
      <c r="E407" s="48" t="s">
        <v>3140</v>
      </c>
      <c r="F407" s="49">
        <v>40</v>
      </c>
    </row>
    <row r="408" spans="1:6" x14ac:dyDescent="0.2">
      <c r="A408" s="48" t="s">
        <v>4155</v>
      </c>
      <c r="B408" s="48" t="s">
        <v>3167</v>
      </c>
      <c r="C408" s="48" t="s">
        <v>3426</v>
      </c>
      <c r="D408" s="48" t="s">
        <v>3617</v>
      </c>
      <c r="E408" s="48" t="s">
        <v>3140</v>
      </c>
      <c r="F408" s="49">
        <v>40</v>
      </c>
    </row>
    <row r="409" spans="1:6" x14ac:dyDescent="0.2">
      <c r="A409" s="48" t="s">
        <v>4154</v>
      </c>
      <c r="B409" s="48" t="s">
        <v>3167</v>
      </c>
      <c r="C409" s="48" t="s">
        <v>3166</v>
      </c>
      <c r="D409" s="48" t="s">
        <v>3166</v>
      </c>
      <c r="E409" s="48" t="s">
        <v>3140</v>
      </c>
      <c r="F409" s="49">
        <v>40</v>
      </c>
    </row>
    <row r="410" spans="1:6" x14ac:dyDescent="0.2">
      <c r="A410" s="48" t="s">
        <v>4153</v>
      </c>
      <c r="B410" s="48" t="s">
        <v>3182</v>
      </c>
      <c r="C410" s="48" t="s">
        <v>3182</v>
      </c>
      <c r="D410" s="48" t="s">
        <v>4152</v>
      </c>
      <c r="E410" s="48" t="s">
        <v>3140</v>
      </c>
      <c r="F410" s="49">
        <v>40</v>
      </c>
    </row>
    <row r="411" spans="1:6" x14ac:dyDescent="0.2">
      <c r="A411" s="48" t="s">
        <v>4151</v>
      </c>
      <c r="B411" s="48" t="s">
        <v>3327</v>
      </c>
      <c r="C411" s="48" t="s">
        <v>3327</v>
      </c>
      <c r="D411" s="48" t="s">
        <v>3978</v>
      </c>
      <c r="E411" s="48" t="s">
        <v>3140</v>
      </c>
      <c r="F411" s="49">
        <v>40</v>
      </c>
    </row>
    <row r="412" spans="1:6" x14ac:dyDescent="0.2">
      <c r="A412" s="48" t="s">
        <v>4150</v>
      </c>
      <c r="B412" s="48" t="s">
        <v>3327</v>
      </c>
      <c r="C412" s="48" t="s">
        <v>3327</v>
      </c>
      <c r="D412" s="48" t="s">
        <v>3978</v>
      </c>
      <c r="E412" s="48" t="s">
        <v>3140</v>
      </c>
      <c r="F412" s="49">
        <v>40</v>
      </c>
    </row>
    <row r="413" spans="1:6" x14ac:dyDescent="0.2">
      <c r="A413" s="48" t="s">
        <v>4149</v>
      </c>
      <c r="B413" s="48" t="s">
        <v>3500</v>
      </c>
      <c r="C413" s="48" t="s">
        <v>3233</v>
      </c>
      <c r="D413" s="48" t="s">
        <v>4148</v>
      </c>
      <c r="E413" s="48" t="s">
        <v>3140</v>
      </c>
      <c r="F413" s="49">
        <v>40</v>
      </c>
    </row>
    <row r="414" spans="1:6" x14ac:dyDescent="0.2">
      <c r="A414" s="48" t="s">
        <v>4147</v>
      </c>
      <c r="B414" s="48" t="s">
        <v>3160</v>
      </c>
      <c r="C414" s="48" t="s">
        <v>3160</v>
      </c>
      <c r="D414" s="48" t="s">
        <v>4146</v>
      </c>
      <c r="E414" s="48" t="s">
        <v>3140</v>
      </c>
      <c r="F414" s="49">
        <v>40</v>
      </c>
    </row>
    <row r="415" spans="1:6" x14ac:dyDescent="0.2">
      <c r="A415" s="48" t="s">
        <v>4145</v>
      </c>
      <c r="B415" s="48" t="s">
        <v>3177</v>
      </c>
      <c r="C415" s="48" t="s">
        <v>3279</v>
      </c>
      <c r="D415" s="48" t="s">
        <v>3278</v>
      </c>
      <c r="E415" s="48" t="s">
        <v>3140</v>
      </c>
      <c r="F415" s="49">
        <v>40</v>
      </c>
    </row>
    <row r="416" spans="1:6" x14ac:dyDescent="0.2">
      <c r="A416" s="48" t="s">
        <v>4144</v>
      </c>
      <c r="B416" s="48" t="s">
        <v>3324</v>
      </c>
      <c r="C416" s="48" t="s">
        <v>3209</v>
      </c>
      <c r="D416" s="48" t="s">
        <v>4143</v>
      </c>
      <c r="E416" s="48" t="s">
        <v>3140</v>
      </c>
      <c r="F416" s="49">
        <v>40</v>
      </c>
    </row>
    <row r="417" spans="1:6" x14ac:dyDescent="0.2">
      <c r="A417" s="48" t="s">
        <v>4142</v>
      </c>
      <c r="B417" s="48" t="s">
        <v>3234</v>
      </c>
      <c r="C417" s="48" t="s">
        <v>3233</v>
      </c>
      <c r="D417" s="48" t="s">
        <v>4141</v>
      </c>
      <c r="E417" s="48" t="s">
        <v>3140</v>
      </c>
      <c r="F417" s="49">
        <v>40</v>
      </c>
    </row>
    <row r="418" spans="1:6" x14ac:dyDescent="0.2">
      <c r="A418" s="48" t="s">
        <v>4140</v>
      </c>
      <c r="B418" s="48" t="s">
        <v>3500</v>
      </c>
      <c r="C418" s="48" t="s">
        <v>3233</v>
      </c>
      <c r="D418" s="48" t="s">
        <v>4139</v>
      </c>
      <c r="E418" s="48" t="s">
        <v>3140</v>
      </c>
      <c r="F418" s="49">
        <v>40</v>
      </c>
    </row>
    <row r="419" spans="1:6" x14ac:dyDescent="0.2">
      <c r="A419" s="48" t="s">
        <v>4138</v>
      </c>
      <c r="B419" s="48" t="s">
        <v>3153</v>
      </c>
      <c r="C419" s="48" t="s">
        <v>4037</v>
      </c>
      <c r="D419" s="48" t="s">
        <v>4037</v>
      </c>
      <c r="E419" s="48" t="s">
        <v>3140</v>
      </c>
      <c r="F419" s="49">
        <v>40</v>
      </c>
    </row>
    <row r="420" spans="1:6" x14ac:dyDescent="0.2">
      <c r="A420" s="48" t="s">
        <v>4137</v>
      </c>
      <c r="B420" s="48" t="s">
        <v>3234</v>
      </c>
      <c r="C420" s="48" t="s">
        <v>3233</v>
      </c>
      <c r="D420" s="48" t="s">
        <v>4136</v>
      </c>
      <c r="E420" s="48" t="s">
        <v>3140</v>
      </c>
      <c r="F420" s="49">
        <v>40</v>
      </c>
    </row>
    <row r="421" spans="1:6" x14ac:dyDescent="0.2">
      <c r="A421" s="48" t="s">
        <v>4135</v>
      </c>
      <c r="B421" s="48" t="s">
        <v>3182</v>
      </c>
      <c r="C421" s="48" t="s">
        <v>3233</v>
      </c>
      <c r="D421" s="48" t="s">
        <v>4108</v>
      </c>
      <c r="E421" s="48" t="s">
        <v>3140</v>
      </c>
      <c r="F421" s="49">
        <v>40</v>
      </c>
    </row>
    <row r="422" spans="1:6" x14ac:dyDescent="0.2">
      <c r="A422" s="48" t="s">
        <v>4134</v>
      </c>
      <c r="B422" s="48" t="s">
        <v>3327</v>
      </c>
      <c r="C422" s="48" t="s">
        <v>3327</v>
      </c>
      <c r="D422" s="48" t="s">
        <v>4133</v>
      </c>
      <c r="E422" s="48" t="s">
        <v>3140</v>
      </c>
      <c r="F422" s="49">
        <v>40</v>
      </c>
    </row>
    <row r="423" spans="1:6" x14ac:dyDescent="0.2">
      <c r="A423" s="48" t="s">
        <v>4132</v>
      </c>
      <c r="B423" s="48" t="s">
        <v>3327</v>
      </c>
      <c r="C423" s="48" t="s">
        <v>3327</v>
      </c>
      <c r="D423" s="48" t="s">
        <v>3477</v>
      </c>
      <c r="E423" s="48" t="s">
        <v>3140</v>
      </c>
      <c r="F423" s="49">
        <v>40</v>
      </c>
    </row>
    <row r="424" spans="1:6" x14ac:dyDescent="0.2">
      <c r="A424" s="48" t="s">
        <v>4131</v>
      </c>
      <c r="B424" s="48" t="s">
        <v>3324</v>
      </c>
      <c r="C424" s="48" t="s">
        <v>3209</v>
      </c>
      <c r="D424" s="48" t="s">
        <v>4130</v>
      </c>
      <c r="E424" s="48" t="s">
        <v>3140</v>
      </c>
      <c r="F424" s="49">
        <v>40</v>
      </c>
    </row>
    <row r="425" spans="1:6" x14ac:dyDescent="0.2">
      <c r="A425" s="48" t="s">
        <v>4129</v>
      </c>
      <c r="B425" s="48" t="s">
        <v>3182</v>
      </c>
      <c r="C425" s="48" t="s">
        <v>3227</v>
      </c>
      <c r="D425" s="48" t="s">
        <v>3386</v>
      </c>
      <c r="E425" s="48" t="s">
        <v>3140</v>
      </c>
      <c r="F425" s="49">
        <v>40</v>
      </c>
    </row>
    <row r="426" spans="1:6" x14ac:dyDescent="0.2">
      <c r="A426" s="48" t="s">
        <v>4128</v>
      </c>
      <c r="B426" s="48" t="s">
        <v>3294</v>
      </c>
      <c r="C426" s="48" t="s">
        <v>3346</v>
      </c>
      <c r="D426" s="48" t="s">
        <v>3911</v>
      </c>
      <c r="E426" s="48" t="s">
        <v>3140</v>
      </c>
      <c r="F426" s="49">
        <v>40</v>
      </c>
    </row>
    <row r="427" spans="1:6" x14ac:dyDescent="0.2">
      <c r="A427" s="48" t="s">
        <v>4127</v>
      </c>
      <c r="B427" s="48" t="s">
        <v>3149</v>
      </c>
      <c r="C427" s="48" t="s">
        <v>3196</v>
      </c>
      <c r="D427" s="48" t="s">
        <v>3380</v>
      </c>
      <c r="E427" s="48" t="s">
        <v>3140</v>
      </c>
      <c r="F427" s="49">
        <v>40</v>
      </c>
    </row>
    <row r="428" spans="1:6" x14ac:dyDescent="0.2">
      <c r="A428" s="48" t="s">
        <v>4126</v>
      </c>
      <c r="B428" s="48" t="s">
        <v>3160</v>
      </c>
      <c r="C428" s="48" t="s">
        <v>3160</v>
      </c>
      <c r="D428" s="48" t="s">
        <v>3339</v>
      </c>
      <c r="E428" s="48" t="s">
        <v>3140</v>
      </c>
      <c r="F428" s="49">
        <v>40</v>
      </c>
    </row>
    <row r="429" spans="1:6" x14ac:dyDescent="0.2">
      <c r="A429" s="48" t="s">
        <v>4125</v>
      </c>
      <c r="B429" s="48" t="s">
        <v>3160</v>
      </c>
      <c r="C429" s="48" t="s">
        <v>3160</v>
      </c>
      <c r="D429" s="48" t="s">
        <v>4124</v>
      </c>
      <c r="E429" s="48" t="s">
        <v>3140</v>
      </c>
      <c r="F429" s="49">
        <v>40</v>
      </c>
    </row>
    <row r="430" spans="1:6" x14ac:dyDescent="0.2">
      <c r="A430" s="48" t="s">
        <v>4123</v>
      </c>
      <c r="B430" s="48" t="s">
        <v>3274</v>
      </c>
      <c r="C430" s="48" t="s">
        <v>3551</v>
      </c>
      <c r="D430" s="48" t="s">
        <v>4122</v>
      </c>
      <c r="E430" s="48" t="s">
        <v>3140</v>
      </c>
      <c r="F430" s="49">
        <v>40</v>
      </c>
    </row>
    <row r="431" spans="1:6" x14ac:dyDescent="0.2">
      <c r="A431" s="48" t="s">
        <v>4121</v>
      </c>
      <c r="B431" s="48" t="s">
        <v>3253</v>
      </c>
      <c r="C431" s="48" t="s">
        <v>3253</v>
      </c>
      <c r="D431" s="48" t="s">
        <v>3779</v>
      </c>
      <c r="E431" s="48" t="s">
        <v>3140</v>
      </c>
      <c r="F431" s="49">
        <v>40</v>
      </c>
    </row>
    <row r="432" spans="1:6" x14ac:dyDescent="0.2">
      <c r="A432" s="48" t="s">
        <v>4120</v>
      </c>
      <c r="B432" s="48" t="s">
        <v>3149</v>
      </c>
      <c r="C432" s="48" t="s">
        <v>3185</v>
      </c>
      <c r="D432" s="48" t="s">
        <v>3957</v>
      </c>
      <c r="E432" s="48" t="s">
        <v>3140</v>
      </c>
      <c r="F432" s="49">
        <v>40</v>
      </c>
    </row>
    <row r="433" spans="1:6" x14ac:dyDescent="0.2">
      <c r="A433" s="48" t="s">
        <v>4119</v>
      </c>
      <c r="B433" s="48" t="s">
        <v>3156</v>
      </c>
      <c r="C433" s="48" t="s">
        <v>3156</v>
      </c>
      <c r="D433" s="48" t="s">
        <v>3684</v>
      </c>
      <c r="E433" s="48" t="s">
        <v>3140</v>
      </c>
      <c r="F433" s="49">
        <v>40</v>
      </c>
    </row>
    <row r="434" spans="1:6" x14ac:dyDescent="0.2">
      <c r="A434" s="48" t="s">
        <v>4118</v>
      </c>
      <c r="B434" s="48" t="s">
        <v>3327</v>
      </c>
      <c r="C434" s="48" t="s">
        <v>3327</v>
      </c>
      <c r="D434" s="48" t="s">
        <v>3847</v>
      </c>
      <c r="E434" s="48" t="s">
        <v>3140</v>
      </c>
      <c r="F434" s="49">
        <v>40</v>
      </c>
    </row>
    <row r="435" spans="1:6" x14ac:dyDescent="0.2">
      <c r="A435" s="48" t="s">
        <v>4117</v>
      </c>
      <c r="B435" s="48" t="s">
        <v>3142</v>
      </c>
      <c r="C435" s="48" t="s">
        <v>3142</v>
      </c>
      <c r="D435" s="48" t="s">
        <v>3428</v>
      </c>
      <c r="E435" s="48" t="s">
        <v>3140</v>
      </c>
      <c r="F435" s="49">
        <v>40</v>
      </c>
    </row>
    <row r="436" spans="1:6" x14ac:dyDescent="0.2">
      <c r="A436" s="48" t="s">
        <v>4116</v>
      </c>
      <c r="B436" s="48" t="s">
        <v>3167</v>
      </c>
      <c r="C436" s="48" t="s">
        <v>3166</v>
      </c>
      <c r="D436" s="48" t="s">
        <v>3648</v>
      </c>
      <c r="E436" s="48" t="s">
        <v>3140</v>
      </c>
      <c r="F436" s="49">
        <v>40</v>
      </c>
    </row>
    <row r="437" spans="1:6" x14ac:dyDescent="0.2">
      <c r="A437" s="48" t="s">
        <v>4115</v>
      </c>
      <c r="B437" s="48" t="s">
        <v>3500</v>
      </c>
      <c r="C437" s="48" t="s">
        <v>3233</v>
      </c>
      <c r="D437" s="48" t="s">
        <v>4114</v>
      </c>
      <c r="E437" s="48" t="s">
        <v>3140</v>
      </c>
      <c r="F437" s="49">
        <v>40</v>
      </c>
    </row>
    <row r="438" spans="1:6" x14ac:dyDescent="0.2">
      <c r="A438" s="48" t="s">
        <v>4113</v>
      </c>
      <c r="B438" s="48" t="s">
        <v>3177</v>
      </c>
      <c r="C438" s="48" t="s">
        <v>3219</v>
      </c>
      <c r="D438" s="48" t="s">
        <v>4112</v>
      </c>
      <c r="E438" s="48" t="s">
        <v>3140</v>
      </c>
      <c r="F438" s="49">
        <v>40</v>
      </c>
    </row>
    <row r="439" spans="1:6" x14ac:dyDescent="0.2">
      <c r="A439" s="48" t="s">
        <v>4111</v>
      </c>
      <c r="B439" s="48" t="s">
        <v>3182</v>
      </c>
      <c r="C439" s="48" t="s">
        <v>3182</v>
      </c>
      <c r="D439" s="48" t="s">
        <v>4110</v>
      </c>
      <c r="E439" s="48" t="s">
        <v>3140</v>
      </c>
      <c r="F439" s="49">
        <v>40</v>
      </c>
    </row>
    <row r="440" spans="1:6" x14ac:dyDescent="0.2">
      <c r="A440" s="48" t="s">
        <v>4109</v>
      </c>
      <c r="B440" s="48" t="s">
        <v>3182</v>
      </c>
      <c r="C440" s="48" t="s">
        <v>3233</v>
      </c>
      <c r="D440" s="48" t="s">
        <v>4108</v>
      </c>
      <c r="E440" s="48" t="s">
        <v>3140</v>
      </c>
      <c r="F440" s="49">
        <v>40</v>
      </c>
    </row>
    <row r="441" spans="1:6" x14ac:dyDescent="0.2">
      <c r="A441" s="48" t="s">
        <v>4107</v>
      </c>
      <c r="B441" s="48" t="s">
        <v>3253</v>
      </c>
      <c r="C441" s="48" t="s">
        <v>3253</v>
      </c>
      <c r="D441" s="48" t="s">
        <v>3252</v>
      </c>
      <c r="E441" s="48" t="s">
        <v>3140</v>
      </c>
      <c r="F441" s="49">
        <v>40</v>
      </c>
    </row>
    <row r="442" spans="1:6" x14ac:dyDescent="0.2">
      <c r="A442" s="48" t="s">
        <v>4106</v>
      </c>
      <c r="B442" s="48" t="s">
        <v>3253</v>
      </c>
      <c r="C442" s="48" t="s">
        <v>3253</v>
      </c>
      <c r="D442" s="48" t="s">
        <v>3589</v>
      </c>
      <c r="E442" s="48" t="s">
        <v>3140</v>
      </c>
      <c r="F442" s="49">
        <v>40</v>
      </c>
    </row>
    <row r="443" spans="1:6" x14ac:dyDescent="0.2">
      <c r="A443" s="48" t="s">
        <v>4105</v>
      </c>
      <c r="B443" s="48" t="s">
        <v>3327</v>
      </c>
      <c r="C443" s="48" t="s">
        <v>3327</v>
      </c>
      <c r="D443" s="48" t="s">
        <v>3454</v>
      </c>
      <c r="E443" s="48" t="s">
        <v>3140</v>
      </c>
      <c r="F443" s="49">
        <v>40</v>
      </c>
    </row>
    <row r="444" spans="1:6" x14ac:dyDescent="0.2">
      <c r="A444" s="48" t="s">
        <v>4104</v>
      </c>
      <c r="B444" s="48" t="s">
        <v>3234</v>
      </c>
      <c r="C444" s="48" t="s">
        <v>3233</v>
      </c>
      <c r="D444" s="48" t="s">
        <v>4103</v>
      </c>
      <c r="E444" s="48" t="s">
        <v>3140</v>
      </c>
      <c r="F444" s="49">
        <v>40</v>
      </c>
    </row>
    <row r="445" spans="1:6" x14ac:dyDescent="0.2">
      <c r="A445" s="48" t="s">
        <v>4102</v>
      </c>
      <c r="B445" s="48" t="s">
        <v>3253</v>
      </c>
      <c r="C445" s="48" t="s">
        <v>3253</v>
      </c>
      <c r="D445" s="48" t="s">
        <v>4101</v>
      </c>
      <c r="E445" s="48" t="s">
        <v>3140</v>
      </c>
      <c r="F445" s="49">
        <v>40</v>
      </c>
    </row>
    <row r="446" spans="1:6" x14ac:dyDescent="0.2">
      <c r="A446" s="48" t="s">
        <v>4100</v>
      </c>
      <c r="B446" s="48" t="s">
        <v>3253</v>
      </c>
      <c r="C446" s="48" t="s">
        <v>3253</v>
      </c>
      <c r="D446" s="48" t="s">
        <v>3874</v>
      </c>
      <c r="E446" s="48" t="s">
        <v>3140</v>
      </c>
      <c r="F446" s="49">
        <v>40</v>
      </c>
    </row>
    <row r="447" spans="1:6" x14ac:dyDescent="0.2">
      <c r="A447" s="48" t="s">
        <v>4099</v>
      </c>
      <c r="B447" s="48" t="s">
        <v>3167</v>
      </c>
      <c r="C447" s="48" t="s">
        <v>3237</v>
      </c>
      <c r="D447" s="48" t="s">
        <v>3236</v>
      </c>
      <c r="E447" s="48" t="s">
        <v>3140</v>
      </c>
      <c r="F447" s="49">
        <v>40</v>
      </c>
    </row>
    <row r="448" spans="1:6" x14ac:dyDescent="0.2">
      <c r="A448" s="48" t="s">
        <v>4098</v>
      </c>
      <c r="B448" s="48" t="s">
        <v>3500</v>
      </c>
      <c r="C448" s="48" t="s">
        <v>3233</v>
      </c>
      <c r="D448" s="48" t="s">
        <v>4097</v>
      </c>
      <c r="E448" s="48" t="s">
        <v>3140</v>
      </c>
      <c r="F448" s="49">
        <v>40</v>
      </c>
    </row>
    <row r="449" spans="1:6" x14ac:dyDescent="0.2">
      <c r="A449" s="48" t="s">
        <v>4096</v>
      </c>
      <c r="B449" s="48" t="s">
        <v>3274</v>
      </c>
      <c r="C449" s="48" t="s">
        <v>3233</v>
      </c>
      <c r="D449" s="48" t="s">
        <v>4006</v>
      </c>
      <c r="E449" s="48" t="s">
        <v>3140</v>
      </c>
      <c r="F449" s="49">
        <v>40</v>
      </c>
    </row>
    <row r="450" spans="1:6" x14ac:dyDescent="0.2">
      <c r="A450" s="48" t="s">
        <v>4095</v>
      </c>
      <c r="B450" s="48" t="s">
        <v>3142</v>
      </c>
      <c r="C450" s="48" t="s">
        <v>3142</v>
      </c>
      <c r="D450" s="48" t="s">
        <v>3291</v>
      </c>
      <c r="E450" s="48" t="s">
        <v>3140</v>
      </c>
      <c r="F450" s="49">
        <v>40</v>
      </c>
    </row>
    <row r="451" spans="1:6" x14ac:dyDescent="0.2">
      <c r="A451" s="48" t="s">
        <v>4094</v>
      </c>
      <c r="B451" s="48" t="s">
        <v>3327</v>
      </c>
      <c r="C451" s="48" t="s">
        <v>3327</v>
      </c>
      <c r="D451" s="48" t="s">
        <v>3978</v>
      </c>
      <c r="E451" s="48" t="s">
        <v>3140</v>
      </c>
      <c r="F451" s="49">
        <v>40</v>
      </c>
    </row>
    <row r="452" spans="1:6" x14ac:dyDescent="0.2">
      <c r="A452" s="48" t="s">
        <v>4093</v>
      </c>
      <c r="B452" s="48" t="s">
        <v>3160</v>
      </c>
      <c r="C452" s="48" t="s">
        <v>3160</v>
      </c>
      <c r="D452" s="48" t="s">
        <v>3696</v>
      </c>
      <c r="E452" s="48" t="s">
        <v>3140</v>
      </c>
      <c r="F452" s="49">
        <v>40</v>
      </c>
    </row>
    <row r="453" spans="1:6" x14ac:dyDescent="0.2">
      <c r="A453" s="48" t="s">
        <v>4092</v>
      </c>
      <c r="B453" s="48" t="s">
        <v>3253</v>
      </c>
      <c r="C453" s="48" t="s">
        <v>3253</v>
      </c>
      <c r="D453" s="48" t="s">
        <v>3506</v>
      </c>
      <c r="E453" s="48" t="s">
        <v>3140</v>
      </c>
      <c r="F453" s="49">
        <v>40</v>
      </c>
    </row>
    <row r="454" spans="1:6" x14ac:dyDescent="0.2">
      <c r="A454" s="48" t="s">
        <v>4091</v>
      </c>
      <c r="B454" s="48" t="s">
        <v>3253</v>
      </c>
      <c r="C454" s="48" t="s">
        <v>3253</v>
      </c>
      <c r="D454" s="48" t="s">
        <v>4090</v>
      </c>
      <c r="E454" s="48" t="s">
        <v>3140</v>
      </c>
      <c r="F454" s="49">
        <v>40</v>
      </c>
    </row>
    <row r="455" spans="1:6" x14ac:dyDescent="0.2">
      <c r="A455" s="48" t="s">
        <v>4089</v>
      </c>
      <c r="B455" s="48" t="s">
        <v>3253</v>
      </c>
      <c r="C455" s="48" t="s">
        <v>3253</v>
      </c>
      <c r="D455" s="48" t="s">
        <v>3693</v>
      </c>
      <c r="E455" s="48" t="s">
        <v>3140</v>
      </c>
      <c r="F455" s="49">
        <v>40</v>
      </c>
    </row>
    <row r="456" spans="1:6" x14ac:dyDescent="0.2">
      <c r="A456" s="48" t="s">
        <v>4088</v>
      </c>
      <c r="B456" s="48" t="s">
        <v>3327</v>
      </c>
      <c r="C456" s="48" t="s">
        <v>3327</v>
      </c>
      <c r="D456" s="48" t="s">
        <v>4087</v>
      </c>
      <c r="E456" s="48" t="s">
        <v>3140</v>
      </c>
      <c r="F456" s="49">
        <v>40</v>
      </c>
    </row>
    <row r="457" spans="1:6" x14ac:dyDescent="0.2">
      <c r="A457" s="48" t="s">
        <v>4086</v>
      </c>
      <c r="B457" s="48" t="s">
        <v>3253</v>
      </c>
      <c r="C457" s="48" t="s">
        <v>3253</v>
      </c>
      <c r="D457" s="48" t="s">
        <v>4085</v>
      </c>
      <c r="E457" s="48" t="s">
        <v>3140</v>
      </c>
      <c r="F457" s="49">
        <v>40</v>
      </c>
    </row>
    <row r="458" spans="1:6" x14ac:dyDescent="0.2">
      <c r="A458" s="48" t="s">
        <v>4084</v>
      </c>
      <c r="B458" s="48" t="s">
        <v>3274</v>
      </c>
      <c r="C458" s="48" t="s">
        <v>3551</v>
      </c>
      <c r="D458" s="48" t="s">
        <v>4083</v>
      </c>
      <c r="E458" s="48" t="s">
        <v>3140</v>
      </c>
      <c r="F458" s="49">
        <v>40</v>
      </c>
    </row>
    <row r="459" spans="1:6" x14ac:dyDescent="0.2">
      <c r="A459" s="48" t="s">
        <v>4082</v>
      </c>
      <c r="B459" s="48" t="s">
        <v>3167</v>
      </c>
      <c r="C459" s="48" t="s">
        <v>3426</v>
      </c>
      <c r="D459" s="48" t="s">
        <v>3617</v>
      </c>
      <c r="E459" s="48" t="s">
        <v>3140</v>
      </c>
      <c r="F459" s="49">
        <v>40</v>
      </c>
    </row>
    <row r="460" spans="1:6" x14ac:dyDescent="0.2">
      <c r="A460" s="48" t="s">
        <v>4081</v>
      </c>
      <c r="B460" s="48" t="s">
        <v>3294</v>
      </c>
      <c r="C460" s="48" t="s">
        <v>3346</v>
      </c>
      <c r="D460" s="48" t="s">
        <v>4080</v>
      </c>
      <c r="E460" s="48" t="s">
        <v>3140</v>
      </c>
      <c r="F460" s="49">
        <v>40</v>
      </c>
    </row>
    <row r="461" spans="1:6" x14ac:dyDescent="0.2">
      <c r="A461" s="48" t="s">
        <v>4079</v>
      </c>
      <c r="B461" s="48" t="s">
        <v>3182</v>
      </c>
      <c r="C461" s="48" t="s">
        <v>3182</v>
      </c>
      <c r="D461" s="48" t="s">
        <v>4078</v>
      </c>
      <c r="E461" s="48" t="s">
        <v>3140</v>
      </c>
      <c r="F461" s="49">
        <v>40</v>
      </c>
    </row>
    <row r="462" spans="1:6" x14ac:dyDescent="0.2">
      <c r="A462" s="48" t="s">
        <v>4077</v>
      </c>
      <c r="B462" s="48" t="s">
        <v>3149</v>
      </c>
      <c r="C462" s="48" t="s">
        <v>3148</v>
      </c>
      <c r="D462" s="48" t="s">
        <v>3795</v>
      </c>
      <c r="E462" s="48" t="s">
        <v>3140</v>
      </c>
      <c r="F462" s="49">
        <v>39</v>
      </c>
    </row>
    <row r="463" spans="1:6" x14ac:dyDescent="0.2">
      <c r="A463" s="48" t="s">
        <v>4076</v>
      </c>
      <c r="B463" s="48" t="s">
        <v>3210</v>
      </c>
      <c r="C463" s="48" t="s">
        <v>3209</v>
      </c>
      <c r="D463" s="48" t="s">
        <v>3624</v>
      </c>
      <c r="E463" s="48" t="s">
        <v>3140</v>
      </c>
      <c r="F463" s="49">
        <v>39</v>
      </c>
    </row>
    <row r="464" spans="1:6" x14ac:dyDescent="0.2">
      <c r="A464" s="48" t="s">
        <v>4075</v>
      </c>
      <c r="B464" s="48" t="s">
        <v>3253</v>
      </c>
      <c r="C464" s="48" t="s">
        <v>3253</v>
      </c>
      <c r="D464" s="48" t="s">
        <v>4074</v>
      </c>
      <c r="E464" s="48" t="s">
        <v>3140</v>
      </c>
      <c r="F464" s="49">
        <v>39</v>
      </c>
    </row>
    <row r="465" spans="1:6" x14ac:dyDescent="0.2">
      <c r="A465" s="48" t="s">
        <v>4073</v>
      </c>
      <c r="B465" s="48" t="s">
        <v>3160</v>
      </c>
      <c r="C465" s="48" t="s">
        <v>3789</v>
      </c>
      <c r="D465" s="48" t="s">
        <v>3789</v>
      </c>
      <c r="E465" s="48" t="s">
        <v>3140</v>
      </c>
      <c r="F465" s="49">
        <v>39</v>
      </c>
    </row>
    <row r="466" spans="1:6" x14ac:dyDescent="0.2">
      <c r="A466" s="48" t="s">
        <v>4072</v>
      </c>
      <c r="B466" s="48" t="s">
        <v>3153</v>
      </c>
      <c r="C466" s="48" t="s">
        <v>3398</v>
      </c>
      <c r="D466" s="48" t="s">
        <v>3398</v>
      </c>
      <c r="E466" s="48" t="s">
        <v>3140</v>
      </c>
      <c r="F466" s="49">
        <v>39</v>
      </c>
    </row>
    <row r="467" spans="1:6" x14ac:dyDescent="0.2">
      <c r="A467" s="48" t="s">
        <v>4071</v>
      </c>
      <c r="B467" s="48" t="s">
        <v>3253</v>
      </c>
      <c r="C467" s="48" t="s">
        <v>3253</v>
      </c>
      <c r="D467" s="48" t="s">
        <v>3802</v>
      </c>
      <c r="E467" s="48" t="s">
        <v>3140</v>
      </c>
      <c r="F467" s="49">
        <v>39</v>
      </c>
    </row>
    <row r="468" spans="1:6" x14ac:dyDescent="0.2">
      <c r="A468" s="48" t="s">
        <v>4070</v>
      </c>
      <c r="B468" s="48" t="s">
        <v>3327</v>
      </c>
      <c r="C468" s="48" t="s">
        <v>3327</v>
      </c>
      <c r="D468" s="48" t="s">
        <v>3489</v>
      </c>
      <c r="E468" s="48" t="s">
        <v>3140</v>
      </c>
      <c r="F468" s="49">
        <v>38</v>
      </c>
    </row>
    <row r="469" spans="1:6" x14ac:dyDescent="0.2">
      <c r="A469" s="48" t="s">
        <v>4069</v>
      </c>
      <c r="B469" s="48" t="s">
        <v>3149</v>
      </c>
      <c r="C469" s="48" t="s">
        <v>3215</v>
      </c>
      <c r="D469" s="48" t="s">
        <v>3265</v>
      </c>
      <c r="E469" s="48" t="s">
        <v>3140</v>
      </c>
      <c r="F469" s="49">
        <v>38</v>
      </c>
    </row>
    <row r="470" spans="1:6" x14ac:dyDescent="0.2">
      <c r="A470" s="48" t="s">
        <v>4068</v>
      </c>
      <c r="B470" s="48" t="s">
        <v>3142</v>
      </c>
      <c r="C470" s="48" t="s">
        <v>3142</v>
      </c>
      <c r="D470" s="48" t="s">
        <v>4067</v>
      </c>
      <c r="E470" s="48" t="s">
        <v>3140</v>
      </c>
      <c r="F470" s="49">
        <v>38</v>
      </c>
    </row>
    <row r="471" spans="1:6" x14ac:dyDescent="0.2">
      <c r="A471" s="48" t="s">
        <v>4066</v>
      </c>
      <c r="B471" s="48" t="s">
        <v>3157</v>
      </c>
      <c r="C471" s="48" t="s">
        <v>3173</v>
      </c>
      <c r="D471" s="48" t="s">
        <v>3263</v>
      </c>
      <c r="E471" s="48" t="s">
        <v>3140</v>
      </c>
      <c r="F471" s="49">
        <v>38</v>
      </c>
    </row>
    <row r="472" spans="1:6" x14ac:dyDescent="0.2">
      <c r="A472" s="48" t="s">
        <v>4065</v>
      </c>
      <c r="B472" s="48" t="s">
        <v>3253</v>
      </c>
      <c r="C472" s="48" t="s">
        <v>3253</v>
      </c>
      <c r="D472" s="48" t="s">
        <v>3802</v>
      </c>
      <c r="E472" s="48" t="s">
        <v>3140</v>
      </c>
      <c r="F472" s="49">
        <v>38</v>
      </c>
    </row>
    <row r="473" spans="1:6" x14ac:dyDescent="0.2">
      <c r="A473" s="48" t="s">
        <v>4064</v>
      </c>
      <c r="B473" s="48" t="s">
        <v>3149</v>
      </c>
      <c r="C473" s="48" t="s">
        <v>3148</v>
      </c>
      <c r="D473" s="48" t="s">
        <v>3795</v>
      </c>
      <c r="E473" s="48" t="s">
        <v>3140</v>
      </c>
      <c r="F473" s="49">
        <v>38</v>
      </c>
    </row>
    <row r="474" spans="1:6" x14ac:dyDescent="0.2">
      <c r="A474" s="48" t="s">
        <v>4063</v>
      </c>
      <c r="B474" s="48" t="s">
        <v>3253</v>
      </c>
      <c r="C474" s="48" t="s">
        <v>3253</v>
      </c>
      <c r="D474" s="48" t="s">
        <v>4062</v>
      </c>
      <c r="E474" s="48" t="s">
        <v>3140</v>
      </c>
      <c r="F474" s="49">
        <v>38</v>
      </c>
    </row>
    <row r="475" spans="1:6" x14ac:dyDescent="0.2">
      <c r="A475" s="48" t="s">
        <v>4061</v>
      </c>
      <c r="B475" s="48" t="s">
        <v>3210</v>
      </c>
      <c r="C475" s="48" t="s">
        <v>3209</v>
      </c>
      <c r="D475" s="48" t="s">
        <v>3769</v>
      </c>
      <c r="E475" s="48" t="s">
        <v>3140</v>
      </c>
      <c r="F475" s="49">
        <v>38</v>
      </c>
    </row>
    <row r="476" spans="1:6" x14ac:dyDescent="0.2">
      <c r="A476" s="48" t="s">
        <v>4060</v>
      </c>
      <c r="B476" s="48" t="s">
        <v>3157</v>
      </c>
      <c r="C476" s="48" t="s">
        <v>3173</v>
      </c>
      <c r="D476" s="48" t="s">
        <v>3341</v>
      </c>
      <c r="E476" s="48" t="s">
        <v>3140</v>
      </c>
      <c r="F476" s="49">
        <v>38</v>
      </c>
    </row>
    <row r="477" spans="1:6" x14ac:dyDescent="0.2">
      <c r="A477" s="48" t="s">
        <v>4059</v>
      </c>
      <c r="B477" s="48" t="s">
        <v>3274</v>
      </c>
      <c r="C477" s="48" t="s">
        <v>3233</v>
      </c>
      <c r="D477" s="48" t="s">
        <v>4058</v>
      </c>
      <c r="E477" s="48" t="s">
        <v>3140</v>
      </c>
      <c r="F477" s="49">
        <v>38</v>
      </c>
    </row>
    <row r="478" spans="1:6" x14ac:dyDescent="0.2">
      <c r="A478" s="48" t="s">
        <v>4057</v>
      </c>
      <c r="B478" s="48" t="s">
        <v>3153</v>
      </c>
      <c r="C478" s="48" t="s">
        <v>3312</v>
      </c>
      <c r="D478" s="48" t="s">
        <v>3311</v>
      </c>
      <c r="E478" s="48" t="s">
        <v>3140</v>
      </c>
      <c r="F478" s="49">
        <v>37</v>
      </c>
    </row>
    <row r="479" spans="1:6" x14ac:dyDescent="0.2">
      <c r="A479" s="48" t="s">
        <v>4056</v>
      </c>
      <c r="B479" s="48" t="s">
        <v>3327</v>
      </c>
      <c r="C479" s="48" t="s">
        <v>3327</v>
      </c>
      <c r="D479" s="48" t="s">
        <v>3326</v>
      </c>
      <c r="E479" s="48" t="s">
        <v>3140</v>
      </c>
      <c r="F479" s="49">
        <v>37</v>
      </c>
    </row>
    <row r="480" spans="1:6" x14ac:dyDescent="0.2">
      <c r="A480" s="48" t="s">
        <v>4055</v>
      </c>
      <c r="B480" s="48" t="s">
        <v>3253</v>
      </c>
      <c r="C480" s="48" t="s">
        <v>3253</v>
      </c>
      <c r="D480" s="48" t="s">
        <v>1815</v>
      </c>
      <c r="E480" s="48" t="s">
        <v>3140</v>
      </c>
      <c r="F480" s="49">
        <v>37</v>
      </c>
    </row>
    <row r="481" spans="1:6" x14ac:dyDescent="0.2">
      <c r="A481" s="48" t="s">
        <v>4054</v>
      </c>
      <c r="B481" s="48" t="s">
        <v>3160</v>
      </c>
      <c r="C481" s="48" t="s">
        <v>3160</v>
      </c>
      <c r="D481" s="48" t="s">
        <v>3669</v>
      </c>
      <c r="E481" s="48" t="s">
        <v>3140</v>
      </c>
      <c r="F481" s="49">
        <v>37</v>
      </c>
    </row>
    <row r="482" spans="1:6" x14ac:dyDescent="0.2">
      <c r="A482" s="48" t="s">
        <v>4053</v>
      </c>
      <c r="B482" s="48" t="s">
        <v>3324</v>
      </c>
      <c r="C482" s="48" t="s">
        <v>3209</v>
      </c>
      <c r="D482" s="48" t="s">
        <v>4052</v>
      </c>
      <c r="E482" s="48" t="s">
        <v>3140</v>
      </c>
      <c r="F482" s="49">
        <v>37</v>
      </c>
    </row>
    <row r="483" spans="1:6" x14ac:dyDescent="0.2">
      <c r="A483" s="48" t="s">
        <v>4051</v>
      </c>
      <c r="B483" s="48" t="s">
        <v>3167</v>
      </c>
      <c r="C483" s="48" t="s">
        <v>3166</v>
      </c>
      <c r="D483" s="48" t="s">
        <v>4050</v>
      </c>
      <c r="E483" s="48" t="s">
        <v>3140</v>
      </c>
      <c r="F483" s="49">
        <v>37</v>
      </c>
    </row>
    <row r="484" spans="1:6" x14ac:dyDescent="0.2">
      <c r="A484" s="48" t="s">
        <v>4049</v>
      </c>
      <c r="B484" s="48" t="s">
        <v>3253</v>
      </c>
      <c r="C484" s="48" t="s">
        <v>3253</v>
      </c>
      <c r="D484" s="48" t="s">
        <v>3874</v>
      </c>
      <c r="E484" s="48" t="s">
        <v>3140</v>
      </c>
      <c r="F484" s="49">
        <v>37</v>
      </c>
    </row>
    <row r="485" spans="1:6" x14ac:dyDescent="0.2">
      <c r="A485" s="48" t="s">
        <v>4048</v>
      </c>
      <c r="B485" s="48" t="s">
        <v>3149</v>
      </c>
      <c r="C485" s="48" t="s">
        <v>3196</v>
      </c>
      <c r="D485" s="48" t="s">
        <v>3363</v>
      </c>
      <c r="E485" s="48" t="s">
        <v>3140</v>
      </c>
      <c r="F485" s="49">
        <v>37</v>
      </c>
    </row>
    <row r="486" spans="1:6" x14ac:dyDescent="0.2">
      <c r="A486" s="48" t="s">
        <v>4047</v>
      </c>
      <c r="B486" s="48" t="s">
        <v>3253</v>
      </c>
      <c r="C486" s="48" t="s">
        <v>3253</v>
      </c>
      <c r="D486" s="48" t="s">
        <v>3506</v>
      </c>
      <c r="E486" s="48" t="s">
        <v>3140</v>
      </c>
      <c r="F486" s="49">
        <v>37</v>
      </c>
    </row>
    <row r="487" spans="1:6" x14ac:dyDescent="0.2">
      <c r="A487" s="48" t="s">
        <v>4046</v>
      </c>
      <c r="B487" s="48" t="s">
        <v>3142</v>
      </c>
      <c r="C487" s="48" t="s">
        <v>3142</v>
      </c>
      <c r="D487" s="48" t="s">
        <v>4045</v>
      </c>
      <c r="E487" s="48" t="s">
        <v>3140</v>
      </c>
      <c r="F487" s="49">
        <v>36</v>
      </c>
    </row>
    <row r="488" spans="1:6" x14ac:dyDescent="0.2">
      <c r="A488" s="48" t="s">
        <v>4044</v>
      </c>
      <c r="B488" s="48" t="s">
        <v>3327</v>
      </c>
      <c r="C488" s="48" t="s">
        <v>3327</v>
      </c>
      <c r="D488" s="48" t="s">
        <v>3643</v>
      </c>
      <c r="E488" s="48" t="s">
        <v>3140</v>
      </c>
      <c r="F488" s="49">
        <v>36</v>
      </c>
    </row>
    <row r="489" spans="1:6" x14ac:dyDescent="0.2">
      <c r="A489" s="48" t="s">
        <v>4043</v>
      </c>
      <c r="B489" s="48" t="s">
        <v>3327</v>
      </c>
      <c r="C489" s="48" t="s">
        <v>3327</v>
      </c>
      <c r="D489" s="48" t="s">
        <v>3727</v>
      </c>
      <c r="E489" s="48" t="s">
        <v>3140</v>
      </c>
      <c r="F489" s="49">
        <v>36</v>
      </c>
    </row>
    <row r="490" spans="1:6" x14ac:dyDescent="0.2">
      <c r="A490" s="48" t="s">
        <v>4042</v>
      </c>
      <c r="B490" s="48" t="s">
        <v>3234</v>
      </c>
      <c r="C490" s="48" t="s">
        <v>3233</v>
      </c>
      <c r="D490" s="48" t="s">
        <v>3483</v>
      </c>
      <c r="E490" s="48" t="s">
        <v>3140</v>
      </c>
      <c r="F490" s="49">
        <v>36</v>
      </c>
    </row>
    <row r="491" spans="1:6" x14ac:dyDescent="0.2">
      <c r="A491" s="48" t="s">
        <v>4041</v>
      </c>
      <c r="B491" s="48" t="s">
        <v>3142</v>
      </c>
      <c r="C491" s="48" t="s">
        <v>3142</v>
      </c>
      <c r="D491" s="48" t="s">
        <v>3542</v>
      </c>
      <c r="E491" s="48" t="s">
        <v>3140</v>
      </c>
      <c r="F491" s="49">
        <v>36</v>
      </c>
    </row>
    <row r="492" spans="1:6" x14ac:dyDescent="0.2">
      <c r="A492" s="48" t="s">
        <v>4040</v>
      </c>
      <c r="B492" s="48" t="s">
        <v>3157</v>
      </c>
      <c r="C492" s="48" t="s">
        <v>3255</v>
      </c>
      <c r="D492" s="48" t="s">
        <v>3255</v>
      </c>
      <c r="E492" s="48" t="s">
        <v>3140</v>
      </c>
      <c r="F492" s="49">
        <v>36</v>
      </c>
    </row>
    <row r="493" spans="1:6" x14ac:dyDescent="0.2">
      <c r="A493" s="48" t="s">
        <v>4039</v>
      </c>
      <c r="B493" s="48" t="s">
        <v>3160</v>
      </c>
      <c r="C493" s="48" t="s">
        <v>3373</v>
      </c>
      <c r="D493" s="48" t="s">
        <v>3604</v>
      </c>
      <c r="E493" s="48" t="s">
        <v>3140</v>
      </c>
      <c r="F493" s="49">
        <v>36</v>
      </c>
    </row>
    <row r="494" spans="1:6" x14ac:dyDescent="0.2">
      <c r="A494" s="48" t="s">
        <v>4038</v>
      </c>
      <c r="B494" s="48" t="s">
        <v>3153</v>
      </c>
      <c r="C494" s="48" t="s">
        <v>4037</v>
      </c>
      <c r="D494" s="48" t="s">
        <v>4037</v>
      </c>
      <c r="E494" s="48" t="s">
        <v>3140</v>
      </c>
      <c r="F494" s="49">
        <v>35</v>
      </c>
    </row>
    <row r="495" spans="1:6" x14ac:dyDescent="0.2">
      <c r="A495" s="48" t="s">
        <v>4036</v>
      </c>
      <c r="B495" s="48" t="s">
        <v>3160</v>
      </c>
      <c r="C495" s="48" t="s">
        <v>3160</v>
      </c>
      <c r="D495" s="48" t="s">
        <v>4035</v>
      </c>
      <c r="E495" s="48" t="s">
        <v>3140</v>
      </c>
      <c r="F495" s="49">
        <v>35</v>
      </c>
    </row>
    <row r="496" spans="1:6" x14ac:dyDescent="0.2">
      <c r="A496" s="48" t="s">
        <v>4034</v>
      </c>
      <c r="B496" s="48" t="s">
        <v>3294</v>
      </c>
      <c r="C496" s="48" t="s">
        <v>3181</v>
      </c>
      <c r="D496" s="48" t="s">
        <v>3293</v>
      </c>
      <c r="E496" s="48" t="s">
        <v>3140</v>
      </c>
      <c r="F496" s="49">
        <v>35</v>
      </c>
    </row>
    <row r="497" spans="1:6" x14ac:dyDescent="0.2">
      <c r="A497" s="48" t="s">
        <v>4033</v>
      </c>
      <c r="B497" s="48" t="s">
        <v>3568</v>
      </c>
      <c r="C497" s="48" t="s">
        <v>3233</v>
      </c>
      <c r="D497" s="48" t="s">
        <v>4032</v>
      </c>
      <c r="E497" s="48" t="s">
        <v>3140</v>
      </c>
      <c r="F497" s="49">
        <v>35</v>
      </c>
    </row>
    <row r="498" spans="1:6" x14ac:dyDescent="0.2">
      <c r="A498" s="48" t="s">
        <v>4031</v>
      </c>
      <c r="B498" s="48" t="s">
        <v>3156</v>
      </c>
      <c r="C498" s="48" t="s">
        <v>3156</v>
      </c>
      <c r="D498" s="48" t="s">
        <v>3684</v>
      </c>
      <c r="E498" s="48" t="s">
        <v>3140</v>
      </c>
      <c r="F498" s="49">
        <v>35</v>
      </c>
    </row>
    <row r="499" spans="1:6" x14ac:dyDescent="0.2">
      <c r="A499" s="48" t="s">
        <v>4030</v>
      </c>
      <c r="B499" s="48" t="s">
        <v>3210</v>
      </c>
      <c r="C499" s="48" t="s">
        <v>3209</v>
      </c>
      <c r="D499" s="48" t="s">
        <v>3485</v>
      </c>
      <c r="E499" s="48" t="s">
        <v>3140</v>
      </c>
      <c r="F499" s="49">
        <v>35</v>
      </c>
    </row>
    <row r="500" spans="1:6" x14ac:dyDescent="0.2">
      <c r="A500" s="48" t="s">
        <v>4029</v>
      </c>
      <c r="B500" s="48" t="s">
        <v>3234</v>
      </c>
      <c r="C500" s="48" t="s">
        <v>3233</v>
      </c>
      <c r="D500" s="48" t="s">
        <v>4028</v>
      </c>
      <c r="E500" s="48" t="s">
        <v>3140</v>
      </c>
      <c r="F500" s="49">
        <v>35</v>
      </c>
    </row>
    <row r="501" spans="1:6" x14ac:dyDescent="0.2">
      <c r="A501" s="48" t="s">
        <v>4027</v>
      </c>
      <c r="B501" s="48" t="s">
        <v>3234</v>
      </c>
      <c r="C501" s="48" t="s">
        <v>3233</v>
      </c>
      <c r="D501" s="48" t="s">
        <v>3361</v>
      </c>
      <c r="E501" s="48" t="s">
        <v>3140</v>
      </c>
      <c r="F501" s="49">
        <v>35</v>
      </c>
    </row>
    <row r="502" spans="1:6" x14ac:dyDescent="0.2">
      <c r="A502" s="48" t="s">
        <v>4026</v>
      </c>
      <c r="B502" s="48" t="s">
        <v>3294</v>
      </c>
      <c r="C502" s="48" t="s">
        <v>3346</v>
      </c>
      <c r="D502" s="48" t="s">
        <v>1443</v>
      </c>
      <c r="E502" s="48" t="s">
        <v>3140</v>
      </c>
      <c r="F502" s="49">
        <v>35</v>
      </c>
    </row>
    <row r="503" spans="1:6" x14ac:dyDescent="0.2">
      <c r="A503" s="48" t="s">
        <v>4025</v>
      </c>
      <c r="B503" s="48" t="s">
        <v>3182</v>
      </c>
      <c r="C503" s="48" t="s">
        <v>3182</v>
      </c>
      <c r="D503" s="48" t="s">
        <v>3230</v>
      </c>
      <c r="E503" s="48" t="s">
        <v>3140</v>
      </c>
      <c r="F503" s="49">
        <v>35</v>
      </c>
    </row>
    <row r="504" spans="1:6" x14ac:dyDescent="0.2">
      <c r="A504" s="48" t="s">
        <v>4024</v>
      </c>
      <c r="B504" s="48" t="s">
        <v>3327</v>
      </c>
      <c r="C504" s="48" t="s">
        <v>3510</v>
      </c>
      <c r="D504" s="48" t="s">
        <v>3641</v>
      </c>
      <c r="E504" s="48" t="s">
        <v>3140</v>
      </c>
      <c r="F504" s="49">
        <v>35</v>
      </c>
    </row>
    <row r="505" spans="1:6" x14ac:dyDescent="0.2">
      <c r="A505" s="48" t="s">
        <v>4023</v>
      </c>
      <c r="B505" s="48" t="s">
        <v>3157</v>
      </c>
      <c r="C505" s="48" t="s">
        <v>3244</v>
      </c>
      <c r="D505" s="48" t="s">
        <v>3774</v>
      </c>
      <c r="E505" s="48" t="s">
        <v>3140</v>
      </c>
      <c r="F505" s="49">
        <v>35</v>
      </c>
    </row>
    <row r="506" spans="1:6" x14ac:dyDescent="0.2">
      <c r="A506" s="48" t="s">
        <v>4022</v>
      </c>
      <c r="B506" s="48" t="s">
        <v>3156</v>
      </c>
      <c r="C506" s="48" t="s">
        <v>3227</v>
      </c>
      <c r="D506" s="48" t="s">
        <v>3621</v>
      </c>
      <c r="E506" s="48" t="s">
        <v>3140</v>
      </c>
      <c r="F506" s="49">
        <v>35</v>
      </c>
    </row>
    <row r="507" spans="1:6" x14ac:dyDescent="0.2">
      <c r="A507" s="48" t="s">
        <v>3623</v>
      </c>
      <c r="B507" s="48" t="s">
        <v>3153</v>
      </c>
      <c r="C507" s="48" t="s">
        <v>3398</v>
      </c>
      <c r="D507" s="48" t="s">
        <v>3398</v>
      </c>
      <c r="E507" s="48" t="s">
        <v>3140</v>
      </c>
      <c r="F507" s="49">
        <v>35</v>
      </c>
    </row>
    <row r="508" spans="1:6" x14ac:dyDescent="0.2">
      <c r="A508" s="48" t="s">
        <v>4021</v>
      </c>
      <c r="B508" s="48" t="s">
        <v>3274</v>
      </c>
      <c r="C508" s="48" t="s">
        <v>3551</v>
      </c>
      <c r="D508" s="48" t="s">
        <v>3754</v>
      </c>
      <c r="E508" s="48" t="s">
        <v>3140</v>
      </c>
      <c r="F508" s="49">
        <v>35</v>
      </c>
    </row>
    <row r="509" spans="1:6" x14ac:dyDescent="0.2">
      <c r="A509" s="48" t="s">
        <v>4020</v>
      </c>
      <c r="B509" s="48" t="s">
        <v>3167</v>
      </c>
      <c r="C509" s="48" t="s">
        <v>3166</v>
      </c>
      <c r="D509" s="48" t="s">
        <v>3535</v>
      </c>
      <c r="E509" s="48" t="s">
        <v>3140</v>
      </c>
      <c r="F509" s="49">
        <v>35</v>
      </c>
    </row>
    <row r="510" spans="1:6" x14ac:dyDescent="0.2">
      <c r="A510" s="48" t="s">
        <v>4019</v>
      </c>
      <c r="B510" s="48" t="s">
        <v>3156</v>
      </c>
      <c r="C510" s="48" t="s">
        <v>3156</v>
      </c>
      <c r="D510" s="48" t="s">
        <v>3309</v>
      </c>
      <c r="E510" s="48" t="s">
        <v>3140</v>
      </c>
      <c r="F510" s="49">
        <v>35</v>
      </c>
    </row>
    <row r="511" spans="1:6" x14ac:dyDescent="0.2">
      <c r="A511" s="48" t="s">
        <v>4018</v>
      </c>
      <c r="B511" s="48" t="s">
        <v>3149</v>
      </c>
      <c r="C511" s="48" t="s">
        <v>3215</v>
      </c>
      <c r="D511" s="48" t="s">
        <v>3464</v>
      </c>
      <c r="E511" s="48" t="s">
        <v>3140</v>
      </c>
      <c r="F511" s="49">
        <v>35</v>
      </c>
    </row>
    <row r="512" spans="1:6" x14ac:dyDescent="0.2">
      <c r="A512" s="48" t="s">
        <v>4017</v>
      </c>
      <c r="B512" s="48" t="s">
        <v>3327</v>
      </c>
      <c r="C512" s="48" t="s">
        <v>3327</v>
      </c>
      <c r="D512" s="48" t="s">
        <v>3847</v>
      </c>
      <c r="E512" s="48" t="s">
        <v>3140</v>
      </c>
      <c r="F512" s="49">
        <v>35</v>
      </c>
    </row>
    <row r="513" spans="1:6" x14ac:dyDescent="0.2">
      <c r="A513" s="48" t="s">
        <v>4016</v>
      </c>
      <c r="B513" s="48" t="s">
        <v>3253</v>
      </c>
      <c r="C513" s="48" t="s">
        <v>3253</v>
      </c>
      <c r="D513" s="48" t="s">
        <v>3816</v>
      </c>
      <c r="E513" s="48" t="s">
        <v>3140</v>
      </c>
      <c r="F513" s="49">
        <v>35</v>
      </c>
    </row>
    <row r="514" spans="1:6" x14ac:dyDescent="0.2">
      <c r="A514" s="48" t="s">
        <v>4015</v>
      </c>
      <c r="B514" s="48" t="s">
        <v>3177</v>
      </c>
      <c r="C514" s="48" t="s">
        <v>3191</v>
      </c>
      <c r="D514" s="48" t="s">
        <v>4014</v>
      </c>
      <c r="E514" s="48" t="s">
        <v>3140</v>
      </c>
      <c r="F514" s="49">
        <v>35</v>
      </c>
    </row>
    <row r="515" spans="1:6" x14ac:dyDescent="0.2">
      <c r="A515" s="48" t="s">
        <v>4013</v>
      </c>
      <c r="B515" s="48" t="s">
        <v>3142</v>
      </c>
      <c r="C515" s="48" t="s">
        <v>3141</v>
      </c>
      <c r="D515" s="48" t="s">
        <v>3966</v>
      </c>
      <c r="E515" s="48" t="s">
        <v>3140</v>
      </c>
      <c r="F515" s="49">
        <v>35</v>
      </c>
    </row>
    <row r="516" spans="1:6" x14ac:dyDescent="0.2">
      <c r="A516" s="48" t="s">
        <v>4012</v>
      </c>
      <c r="B516" s="48" t="s">
        <v>3327</v>
      </c>
      <c r="C516" s="48" t="s">
        <v>3327</v>
      </c>
      <c r="D516" s="48" t="s">
        <v>4011</v>
      </c>
      <c r="E516" s="48" t="s">
        <v>3140</v>
      </c>
      <c r="F516" s="49">
        <v>35</v>
      </c>
    </row>
    <row r="517" spans="1:6" x14ac:dyDescent="0.2">
      <c r="A517" s="48" t="s">
        <v>4010</v>
      </c>
      <c r="B517" s="48" t="s">
        <v>3234</v>
      </c>
      <c r="C517" s="48" t="s">
        <v>3233</v>
      </c>
      <c r="D517" s="48" t="s">
        <v>4009</v>
      </c>
      <c r="E517" s="48" t="s">
        <v>3140</v>
      </c>
      <c r="F517" s="49">
        <v>35</v>
      </c>
    </row>
    <row r="518" spans="1:6" x14ac:dyDescent="0.2">
      <c r="A518" s="48" t="s">
        <v>4008</v>
      </c>
      <c r="B518" s="48" t="s">
        <v>3142</v>
      </c>
      <c r="C518" s="48" t="s">
        <v>3163</v>
      </c>
      <c r="D518" s="48" t="s">
        <v>3162</v>
      </c>
      <c r="E518" s="48" t="s">
        <v>3140</v>
      </c>
      <c r="F518" s="49">
        <v>35</v>
      </c>
    </row>
    <row r="519" spans="1:6" x14ac:dyDescent="0.2">
      <c r="A519" s="48" t="s">
        <v>4007</v>
      </c>
      <c r="B519" s="48" t="s">
        <v>3274</v>
      </c>
      <c r="C519" s="48" t="s">
        <v>3233</v>
      </c>
      <c r="D519" s="48" t="s">
        <v>4006</v>
      </c>
      <c r="E519" s="48" t="s">
        <v>3140</v>
      </c>
      <c r="F519" s="49">
        <v>35</v>
      </c>
    </row>
    <row r="520" spans="1:6" x14ac:dyDescent="0.2">
      <c r="A520" s="48" t="s">
        <v>4005</v>
      </c>
      <c r="B520" s="48" t="s">
        <v>3327</v>
      </c>
      <c r="C520" s="48" t="s">
        <v>3327</v>
      </c>
      <c r="D520" s="48" t="s">
        <v>3847</v>
      </c>
      <c r="E520" s="48" t="s">
        <v>3140</v>
      </c>
      <c r="F520" s="49">
        <v>35</v>
      </c>
    </row>
    <row r="521" spans="1:6" x14ac:dyDescent="0.2">
      <c r="A521" s="48" t="s">
        <v>4004</v>
      </c>
      <c r="B521" s="48" t="s">
        <v>3149</v>
      </c>
      <c r="C521" s="48" t="s">
        <v>3215</v>
      </c>
      <c r="D521" s="48" t="s">
        <v>3464</v>
      </c>
      <c r="E521" s="48" t="s">
        <v>3140</v>
      </c>
      <c r="F521" s="49">
        <v>35</v>
      </c>
    </row>
    <row r="522" spans="1:6" x14ac:dyDescent="0.2">
      <c r="A522" s="48" t="s">
        <v>4003</v>
      </c>
      <c r="B522" s="48" t="s">
        <v>3177</v>
      </c>
      <c r="C522" s="48" t="s">
        <v>3219</v>
      </c>
      <c r="D522" s="48" t="s">
        <v>3219</v>
      </c>
      <c r="E522" s="48" t="s">
        <v>3140</v>
      </c>
      <c r="F522" s="49">
        <v>35</v>
      </c>
    </row>
    <row r="523" spans="1:6" x14ac:dyDescent="0.2">
      <c r="A523" s="48" t="s">
        <v>4002</v>
      </c>
      <c r="B523" s="48" t="s">
        <v>3160</v>
      </c>
      <c r="C523" s="48" t="s">
        <v>3373</v>
      </c>
      <c r="D523" s="48" t="s">
        <v>3604</v>
      </c>
      <c r="E523" s="48" t="s">
        <v>3140</v>
      </c>
      <c r="F523" s="49">
        <v>35</v>
      </c>
    </row>
    <row r="524" spans="1:6" x14ac:dyDescent="0.2">
      <c r="A524" s="48" t="s">
        <v>4001</v>
      </c>
      <c r="B524" s="48" t="s">
        <v>3167</v>
      </c>
      <c r="C524" s="48" t="s">
        <v>3166</v>
      </c>
      <c r="D524" s="48" t="s">
        <v>3166</v>
      </c>
      <c r="E524" s="48" t="s">
        <v>3140</v>
      </c>
      <c r="F524" s="49">
        <v>35</v>
      </c>
    </row>
    <row r="525" spans="1:6" x14ac:dyDescent="0.2">
      <c r="A525" s="48" t="s">
        <v>4000</v>
      </c>
      <c r="B525" s="48" t="s">
        <v>3177</v>
      </c>
      <c r="C525" s="48" t="s">
        <v>3279</v>
      </c>
      <c r="D525" s="48" t="s">
        <v>3316</v>
      </c>
      <c r="E525" s="48" t="s">
        <v>3140</v>
      </c>
      <c r="F525" s="49">
        <v>35</v>
      </c>
    </row>
    <row r="526" spans="1:6" x14ac:dyDescent="0.2">
      <c r="A526" s="48" t="s">
        <v>3999</v>
      </c>
      <c r="B526" s="48" t="s">
        <v>3253</v>
      </c>
      <c r="C526" s="48" t="s">
        <v>3253</v>
      </c>
      <c r="D526" s="48" t="s">
        <v>3707</v>
      </c>
      <c r="E526" s="48" t="s">
        <v>3140</v>
      </c>
      <c r="F526" s="49">
        <v>35</v>
      </c>
    </row>
    <row r="527" spans="1:6" x14ac:dyDescent="0.2">
      <c r="A527" s="48" t="s">
        <v>3998</v>
      </c>
      <c r="B527" s="48" t="s">
        <v>3327</v>
      </c>
      <c r="C527" s="48" t="s">
        <v>3327</v>
      </c>
      <c r="D527" s="48" t="s">
        <v>3727</v>
      </c>
      <c r="E527" s="48" t="s">
        <v>3140</v>
      </c>
      <c r="F527" s="49">
        <v>35</v>
      </c>
    </row>
    <row r="528" spans="1:6" x14ac:dyDescent="0.2">
      <c r="A528" s="48" t="s">
        <v>3997</v>
      </c>
      <c r="B528" s="48" t="s">
        <v>3234</v>
      </c>
      <c r="C528" s="48" t="s">
        <v>3233</v>
      </c>
      <c r="D528" s="48" t="s">
        <v>3996</v>
      </c>
      <c r="E528" s="48" t="s">
        <v>3140</v>
      </c>
      <c r="F528" s="49">
        <v>35</v>
      </c>
    </row>
    <row r="529" spans="1:6" x14ac:dyDescent="0.2">
      <c r="A529" s="48" t="s">
        <v>3995</v>
      </c>
      <c r="B529" s="48" t="s">
        <v>3327</v>
      </c>
      <c r="C529" s="48" t="s">
        <v>3327</v>
      </c>
      <c r="D529" s="48" t="s">
        <v>3994</v>
      </c>
      <c r="E529" s="48" t="s">
        <v>3140</v>
      </c>
      <c r="F529" s="49">
        <v>35</v>
      </c>
    </row>
    <row r="530" spans="1:6" x14ac:dyDescent="0.2">
      <c r="A530" s="48" t="s">
        <v>3993</v>
      </c>
      <c r="B530" s="48" t="s">
        <v>3177</v>
      </c>
      <c r="C530" s="48" t="s">
        <v>3191</v>
      </c>
      <c r="D530" s="48" t="s">
        <v>3212</v>
      </c>
      <c r="E530" s="48" t="s">
        <v>3140</v>
      </c>
      <c r="F530" s="49">
        <v>35</v>
      </c>
    </row>
    <row r="531" spans="1:6" x14ac:dyDescent="0.2">
      <c r="A531" s="48" t="s">
        <v>3992</v>
      </c>
      <c r="B531" s="48" t="s">
        <v>3177</v>
      </c>
      <c r="C531" s="48" t="s">
        <v>3219</v>
      </c>
      <c r="D531" s="48" t="s">
        <v>3219</v>
      </c>
      <c r="E531" s="48" t="s">
        <v>3140</v>
      </c>
      <c r="F531" s="49">
        <v>35</v>
      </c>
    </row>
    <row r="532" spans="1:6" x14ac:dyDescent="0.2">
      <c r="A532" s="48" t="s">
        <v>3991</v>
      </c>
      <c r="B532" s="48" t="s">
        <v>3149</v>
      </c>
      <c r="C532" s="48" t="s">
        <v>3196</v>
      </c>
      <c r="D532" s="48" t="s">
        <v>3416</v>
      </c>
      <c r="E532" s="48" t="s">
        <v>3140</v>
      </c>
      <c r="F532" s="49">
        <v>35</v>
      </c>
    </row>
    <row r="533" spans="1:6" x14ac:dyDescent="0.2">
      <c r="A533" s="48" t="s">
        <v>3990</v>
      </c>
      <c r="B533" s="48" t="s">
        <v>3234</v>
      </c>
      <c r="C533" s="48" t="s">
        <v>3233</v>
      </c>
      <c r="D533" s="48" t="s">
        <v>3276</v>
      </c>
      <c r="E533" s="48" t="s">
        <v>3140</v>
      </c>
      <c r="F533" s="49">
        <v>35</v>
      </c>
    </row>
    <row r="534" spans="1:6" x14ac:dyDescent="0.2">
      <c r="A534" s="48" t="s">
        <v>3989</v>
      </c>
      <c r="B534" s="48" t="s">
        <v>3327</v>
      </c>
      <c r="C534" s="48" t="s">
        <v>3510</v>
      </c>
      <c r="D534" s="48" t="s">
        <v>3724</v>
      </c>
      <c r="E534" s="48" t="s">
        <v>3140</v>
      </c>
      <c r="F534" s="49">
        <v>35</v>
      </c>
    </row>
    <row r="535" spans="1:6" x14ac:dyDescent="0.2">
      <c r="A535" s="48" t="s">
        <v>3988</v>
      </c>
      <c r="B535" s="48" t="s">
        <v>3253</v>
      </c>
      <c r="C535" s="48" t="s">
        <v>3253</v>
      </c>
      <c r="D535" s="48" t="s">
        <v>3802</v>
      </c>
      <c r="E535" s="48" t="s">
        <v>3140</v>
      </c>
      <c r="F535" s="49">
        <v>35</v>
      </c>
    </row>
    <row r="536" spans="1:6" x14ac:dyDescent="0.2">
      <c r="A536" s="48" t="s">
        <v>3987</v>
      </c>
      <c r="B536" s="48" t="s">
        <v>3253</v>
      </c>
      <c r="C536" s="48" t="s">
        <v>3253</v>
      </c>
      <c r="D536" s="48" t="s">
        <v>3589</v>
      </c>
      <c r="E536" s="48" t="s">
        <v>3140</v>
      </c>
      <c r="F536" s="49">
        <v>35</v>
      </c>
    </row>
    <row r="537" spans="1:6" x14ac:dyDescent="0.2">
      <c r="A537" s="48" t="s">
        <v>3986</v>
      </c>
      <c r="B537" s="48" t="s">
        <v>3274</v>
      </c>
      <c r="C537" s="48" t="s">
        <v>3233</v>
      </c>
      <c r="D537" s="48" t="s">
        <v>3985</v>
      </c>
      <c r="E537" s="48" t="s">
        <v>3140</v>
      </c>
      <c r="F537" s="49">
        <v>35</v>
      </c>
    </row>
    <row r="538" spans="1:6" x14ac:dyDescent="0.2">
      <c r="A538" s="48" t="s">
        <v>3984</v>
      </c>
      <c r="B538" s="48" t="s">
        <v>3210</v>
      </c>
      <c r="C538" s="48" t="s">
        <v>3209</v>
      </c>
      <c r="D538" s="48" t="s">
        <v>3420</v>
      </c>
      <c r="E538" s="48" t="s">
        <v>3140</v>
      </c>
      <c r="F538" s="49">
        <v>35</v>
      </c>
    </row>
    <row r="539" spans="1:6" x14ac:dyDescent="0.2">
      <c r="A539" s="48" t="s">
        <v>3983</v>
      </c>
      <c r="B539" s="48" t="s">
        <v>3253</v>
      </c>
      <c r="C539" s="48" t="s">
        <v>3253</v>
      </c>
      <c r="D539" s="48" t="s">
        <v>3816</v>
      </c>
      <c r="E539" s="48" t="s">
        <v>3140</v>
      </c>
      <c r="F539" s="49">
        <v>35</v>
      </c>
    </row>
    <row r="540" spans="1:6" x14ac:dyDescent="0.2">
      <c r="A540" s="48" t="s">
        <v>3982</v>
      </c>
      <c r="B540" s="48" t="s">
        <v>3406</v>
      </c>
      <c r="C540" s="48" t="s">
        <v>3233</v>
      </c>
      <c r="D540" s="48" t="s">
        <v>3981</v>
      </c>
      <c r="E540" s="48" t="s">
        <v>3140</v>
      </c>
      <c r="F540" s="49">
        <v>35</v>
      </c>
    </row>
    <row r="541" spans="1:6" x14ac:dyDescent="0.2">
      <c r="A541" s="48" t="s">
        <v>3980</v>
      </c>
      <c r="B541" s="48" t="s">
        <v>3160</v>
      </c>
      <c r="C541" s="48" t="s">
        <v>3160</v>
      </c>
      <c r="D541" s="48" t="s">
        <v>3813</v>
      </c>
      <c r="E541" s="48" t="s">
        <v>3140</v>
      </c>
      <c r="F541" s="49">
        <v>35</v>
      </c>
    </row>
    <row r="542" spans="1:6" x14ac:dyDescent="0.2">
      <c r="A542" s="48" t="s">
        <v>3979</v>
      </c>
      <c r="B542" s="48" t="s">
        <v>3327</v>
      </c>
      <c r="C542" s="48" t="s">
        <v>3327</v>
      </c>
      <c r="D542" s="48" t="s">
        <v>3978</v>
      </c>
      <c r="E542" s="48" t="s">
        <v>3140</v>
      </c>
      <c r="F542" s="49">
        <v>35</v>
      </c>
    </row>
    <row r="543" spans="1:6" x14ac:dyDescent="0.2">
      <c r="A543" s="48" t="s">
        <v>3977</v>
      </c>
      <c r="B543" s="48" t="s">
        <v>3156</v>
      </c>
      <c r="C543" s="48" t="s">
        <v>3156</v>
      </c>
      <c r="D543" s="48" t="s">
        <v>3410</v>
      </c>
      <c r="E543" s="48" t="s">
        <v>3140</v>
      </c>
      <c r="F543" s="49">
        <v>35</v>
      </c>
    </row>
    <row r="544" spans="1:6" x14ac:dyDescent="0.2">
      <c r="A544" s="48" t="s">
        <v>3976</v>
      </c>
      <c r="B544" s="48" t="s">
        <v>3253</v>
      </c>
      <c r="C544" s="48" t="s">
        <v>3253</v>
      </c>
      <c r="D544" s="48" t="s">
        <v>3886</v>
      </c>
      <c r="E544" s="48" t="s">
        <v>3140</v>
      </c>
      <c r="F544" s="49">
        <v>35</v>
      </c>
    </row>
    <row r="545" spans="1:6" x14ac:dyDescent="0.2">
      <c r="A545" s="48" t="s">
        <v>3975</v>
      </c>
      <c r="B545" s="48" t="s">
        <v>3500</v>
      </c>
      <c r="C545" s="48" t="s">
        <v>3233</v>
      </c>
      <c r="D545" s="48" t="s">
        <v>3974</v>
      </c>
      <c r="E545" s="48" t="s">
        <v>3140</v>
      </c>
      <c r="F545" s="49">
        <v>35</v>
      </c>
    </row>
    <row r="546" spans="1:6" x14ac:dyDescent="0.2">
      <c r="A546" s="48" t="s">
        <v>3973</v>
      </c>
      <c r="B546" s="48" t="s">
        <v>3253</v>
      </c>
      <c r="C546" s="48" t="s">
        <v>3253</v>
      </c>
      <c r="D546" s="48" t="s">
        <v>3589</v>
      </c>
      <c r="E546" s="48" t="s">
        <v>3140</v>
      </c>
      <c r="F546" s="49">
        <v>35</v>
      </c>
    </row>
    <row r="547" spans="1:6" x14ac:dyDescent="0.2">
      <c r="A547" s="48" t="s">
        <v>3972</v>
      </c>
      <c r="B547" s="48" t="s">
        <v>3274</v>
      </c>
      <c r="C547" s="48" t="s">
        <v>3233</v>
      </c>
      <c r="D547" s="48" t="s">
        <v>3718</v>
      </c>
      <c r="E547" s="48" t="s">
        <v>3140</v>
      </c>
      <c r="F547" s="49">
        <v>35</v>
      </c>
    </row>
    <row r="548" spans="1:6" x14ac:dyDescent="0.2">
      <c r="A548" s="48" t="s">
        <v>3971</v>
      </c>
      <c r="B548" s="48" t="s">
        <v>3149</v>
      </c>
      <c r="C548" s="48" t="s">
        <v>3185</v>
      </c>
      <c r="D548" s="48" t="s">
        <v>3185</v>
      </c>
      <c r="E548" s="48" t="s">
        <v>3140</v>
      </c>
      <c r="F548" s="49">
        <v>35</v>
      </c>
    </row>
    <row r="549" spans="1:6" x14ac:dyDescent="0.2">
      <c r="A549" s="48" t="s">
        <v>3970</v>
      </c>
      <c r="B549" s="48" t="s">
        <v>3177</v>
      </c>
      <c r="C549" s="48" t="s">
        <v>3279</v>
      </c>
      <c r="D549" s="48" t="s">
        <v>3843</v>
      </c>
      <c r="E549" s="48" t="s">
        <v>3140</v>
      </c>
      <c r="F549" s="49">
        <v>34</v>
      </c>
    </row>
    <row r="550" spans="1:6" x14ac:dyDescent="0.2">
      <c r="A550" s="48" t="s">
        <v>3969</v>
      </c>
      <c r="B550" s="48" t="s">
        <v>3253</v>
      </c>
      <c r="C550" s="48" t="s">
        <v>3253</v>
      </c>
      <c r="D550" s="48" t="s">
        <v>3513</v>
      </c>
      <c r="E550" s="48" t="s">
        <v>3140</v>
      </c>
      <c r="F550" s="49">
        <v>34</v>
      </c>
    </row>
    <row r="551" spans="1:6" x14ac:dyDescent="0.2">
      <c r="A551" s="48" t="s">
        <v>3968</v>
      </c>
      <c r="B551" s="48" t="s">
        <v>3274</v>
      </c>
      <c r="C551" s="48" t="s">
        <v>3551</v>
      </c>
      <c r="D551" s="48" t="s">
        <v>3578</v>
      </c>
      <c r="E551" s="48" t="s">
        <v>3140</v>
      </c>
      <c r="F551" s="49">
        <v>34</v>
      </c>
    </row>
    <row r="552" spans="1:6" x14ac:dyDescent="0.2">
      <c r="A552" s="48" t="s">
        <v>3967</v>
      </c>
      <c r="B552" s="48" t="s">
        <v>3142</v>
      </c>
      <c r="C552" s="48" t="s">
        <v>3141</v>
      </c>
      <c r="D552" s="48" t="s">
        <v>3966</v>
      </c>
      <c r="E552" s="48" t="s">
        <v>3140</v>
      </c>
      <c r="F552" s="49">
        <v>34</v>
      </c>
    </row>
    <row r="553" spans="1:6" x14ac:dyDescent="0.2">
      <c r="A553" s="48" t="s">
        <v>3965</v>
      </c>
      <c r="B553" s="48" t="s">
        <v>3406</v>
      </c>
      <c r="C553" s="48" t="s">
        <v>3233</v>
      </c>
      <c r="D553" s="48" t="s">
        <v>3964</v>
      </c>
      <c r="E553" s="48" t="s">
        <v>3140</v>
      </c>
      <c r="F553" s="49">
        <v>34</v>
      </c>
    </row>
    <row r="554" spans="1:6" x14ac:dyDescent="0.2">
      <c r="A554" s="48" t="s">
        <v>3963</v>
      </c>
      <c r="B554" s="48" t="s">
        <v>3177</v>
      </c>
      <c r="C554" s="48" t="s">
        <v>3279</v>
      </c>
      <c r="D554" s="48" t="s">
        <v>3278</v>
      </c>
      <c r="E554" s="48" t="s">
        <v>3140</v>
      </c>
      <c r="F554" s="49">
        <v>33</v>
      </c>
    </row>
    <row r="555" spans="1:6" x14ac:dyDescent="0.2">
      <c r="A555" s="48" t="s">
        <v>3962</v>
      </c>
      <c r="B555" s="48" t="s">
        <v>3177</v>
      </c>
      <c r="C555" s="48" t="s">
        <v>3219</v>
      </c>
      <c r="D555" s="48" t="s">
        <v>3705</v>
      </c>
      <c r="E555" s="48" t="s">
        <v>3140</v>
      </c>
      <c r="F555" s="49">
        <v>33</v>
      </c>
    </row>
    <row r="556" spans="1:6" x14ac:dyDescent="0.2">
      <c r="A556" s="48" t="s">
        <v>3961</v>
      </c>
      <c r="B556" s="48" t="s">
        <v>3327</v>
      </c>
      <c r="C556" s="48" t="s">
        <v>3327</v>
      </c>
      <c r="D556" s="48" t="s">
        <v>3475</v>
      </c>
      <c r="E556" s="48" t="s">
        <v>3140</v>
      </c>
      <c r="F556" s="49">
        <v>33</v>
      </c>
    </row>
    <row r="557" spans="1:6" x14ac:dyDescent="0.2">
      <c r="A557" s="48" t="s">
        <v>3960</v>
      </c>
      <c r="B557" s="48" t="s">
        <v>3156</v>
      </c>
      <c r="C557" s="48" t="s">
        <v>3156</v>
      </c>
      <c r="D557" s="48" t="s">
        <v>3410</v>
      </c>
      <c r="E557" s="48" t="s">
        <v>3140</v>
      </c>
      <c r="F557" s="49">
        <v>33</v>
      </c>
    </row>
    <row r="558" spans="1:6" x14ac:dyDescent="0.2">
      <c r="A558" s="48" t="s">
        <v>3959</v>
      </c>
      <c r="B558" s="48" t="s">
        <v>3182</v>
      </c>
      <c r="C558" s="48" t="s">
        <v>3182</v>
      </c>
      <c r="D558" s="48" t="s">
        <v>3366</v>
      </c>
      <c r="E558" s="48" t="s">
        <v>3140</v>
      </c>
      <c r="F558" s="49">
        <v>33</v>
      </c>
    </row>
    <row r="559" spans="1:6" x14ac:dyDescent="0.2">
      <c r="A559" s="48" t="s">
        <v>3958</v>
      </c>
      <c r="B559" s="48" t="s">
        <v>3149</v>
      </c>
      <c r="C559" s="48" t="s">
        <v>3185</v>
      </c>
      <c r="D559" s="48" t="s">
        <v>3957</v>
      </c>
      <c r="E559" s="48" t="s">
        <v>3140</v>
      </c>
      <c r="F559" s="49">
        <v>33</v>
      </c>
    </row>
    <row r="560" spans="1:6" x14ac:dyDescent="0.2">
      <c r="A560" s="48" t="s">
        <v>3956</v>
      </c>
      <c r="B560" s="48" t="s">
        <v>3156</v>
      </c>
      <c r="C560" s="48" t="s">
        <v>3227</v>
      </c>
      <c r="D560" s="48" t="s">
        <v>3621</v>
      </c>
      <c r="E560" s="48" t="s">
        <v>3140</v>
      </c>
      <c r="F560" s="49">
        <v>33</v>
      </c>
    </row>
    <row r="561" spans="1:6" x14ac:dyDescent="0.2">
      <c r="A561" s="48" t="s">
        <v>3955</v>
      </c>
      <c r="B561" s="48" t="s">
        <v>3149</v>
      </c>
      <c r="C561" s="48" t="s">
        <v>3185</v>
      </c>
      <c r="D561" s="48" t="s">
        <v>3241</v>
      </c>
      <c r="E561" s="48" t="s">
        <v>3140</v>
      </c>
      <c r="F561" s="49">
        <v>32</v>
      </c>
    </row>
    <row r="562" spans="1:6" x14ac:dyDescent="0.2">
      <c r="A562" s="48" t="s">
        <v>3954</v>
      </c>
      <c r="B562" s="48" t="s">
        <v>3274</v>
      </c>
      <c r="C562" s="48" t="s">
        <v>3551</v>
      </c>
      <c r="D562" s="48" t="s">
        <v>3953</v>
      </c>
      <c r="E562" s="48" t="s">
        <v>3140</v>
      </c>
      <c r="F562" s="49">
        <v>32</v>
      </c>
    </row>
    <row r="563" spans="1:6" x14ac:dyDescent="0.2">
      <c r="A563" s="48" t="s">
        <v>3952</v>
      </c>
      <c r="B563" s="48" t="s">
        <v>3327</v>
      </c>
      <c r="C563" s="48" t="s">
        <v>3327</v>
      </c>
      <c r="D563" s="48" t="s">
        <v>3682</v>
      </c>
      <c r="E563" s="48" t="s">
        <v>3140</v>
      </c>
      <c r="F563" s="49">
        <v>32</v>
      </c>
    </row>
    <row r="564" spans="1:6" x14ac:dyDescent="0.2">
      <c r="A564" s="48" t="s">
        <v>3951</v>
      </c>
      <c r="B564" s="48" t="s">
        <v>3253</v>
      </c>
      <c r="C564" s="48" t="s">
        <v>3253</v>
      </c>
      <c r="D564" s="48" t="s">
        <v>3950</v>
      </c>
      <c r="E564" s="48" t="s">
        <v>3140</v>
      </c>
      <c r="F564" s="49">
        <v>32</v>
      </c>
    </row>
    <row r="565" spans="1:6" x14ac:dyDescent="0.2">
      <c r="A565" s="48" t="s">
        <v>3949</v>
      </c>
      <c r="B565" s="48" t="s">
        <v>3153</v>
      </c>
      <c r="C565" s="48" t="s">
        <v>3689</v>
      </c>
      <c r="D565" s="48" t="s">
        <v>3689</v>
      </c>
      <c r="E565" s="48" t="s">
        <v>3140</v>
      </c>
      <c r="F565" s="49">
        <v>32</v>
      </c>
    </row>
    <row r="566" spans="1:6" x14ac:dyDescent="0.2">
      <c r="A566" s="48" t="s">
        <v>3948</v>
      </c>
      <c r="B566" s="48" t="s">
        <v>3253</v>
      </c>
      <c r="C566" s="48" t="s">
        <v>3253</v>
      </c>
      <c r="D566" s="48" t="s">
        <v>3802</v>
      </c>
      <c r="E566" s="48" t="s">
        <v>3140</v>
      </c>
      <c r="F566" s="49">
        <v>32</v>
      </c>
    </row>
    <row r="567" spans="1:6" x14ac:dyDescent="0.2">
      <c r="A567" s="48" t="s">
        <v>3947</v>
      </c>
      <c r="B567" s="48" t="s">
        <v>3253</v>
      </c>
      <c r="C567" s="48" t="s">
        <v>3253</v>
      </c>
      <c r="D567" s="48" t="s">
        <v>3802</v>
      </c>
      <c r="E567" s="48" t="s">
        <v>3140</v>
      </c>
      <c r="F567" s="49">
        <v>32</v>
      </c>
    </row>
    <row r="568" spans="1:6" x14ac:dyDescent="0.2">
      <c r="A568" s="48" t="s">
        <v>3946</v>
      </c>
      <c r="B568" s="48" t="s">
        <v>3210</v>
      </c>
      <c r="C568" s="48" t="s">
        <v>3209</v>
      </c>
      <c r="D568" s="48" t="s">
        <v>3420</v>
      </c>
      <c r="E568" s="48" t="s">
        <v>3140</v>
      </c>
      <c r="F568" s="49">
        <v>32</v>
      </c>
    </row>
    <row r="569" spans="1:6" x14ac:dyDescent="0.2">
      <c r="A569" s="48" t="s">
        <v>3945</v>
      </c>
      <c r="B569" s="48" t="s">
        <v>3327</v>
      </c>
      <c r="C569" s="48" t="s">
        <v>3327</v>
      </c>
      <c r="D569" s="48" t="s">
        <v>3847</v>
      </c>
      <c r="E569" s="48" t="s">
        <v>3140</v>
      </c>
      <c r="F569" s="49">
        <v>32</v>
      </c>
    </row>
    <row r="570" spans="1:6" x14ac:dyDescent="0.2">
      <c r="A570" s="48" t="s">
        <v>3944</v>
      </c>
      <c r="B570" s="48" t="s">
        <v>3157</v>
      </c>
      <c r="C570" s="48" t="s">
        <v>3286</v>
      </c>
      <c r="D570" s="48" t="s">
        <v>3537</v>
      </c>
      <c r="E570" s="48" t="s">
        <v>3140</v>
      </c>
      <c r="F570" s="49">
        <v>32</v>
      </c>
    </row>
    <row r="571" spans="1:6" x14ac:dyDescent="0.2">
      <c r="A571" s="48" t="s">
        <v>3943</v>
      </c>
      <c r="B571" s="48" t="s">
        <v>3142</v>
      </c>
      <c r="C571" s="48" t="s">
        <v>3142</v>
      </c>
      <c r="D571" s="48" t="s">
        <v>3376</v>
      </c>
      <c r="E571" s="48" t="s">
        <v>3140</v>
      </c>
      <c r="F571" s="49">
        <v>32</v>
      </c>
    </row>
    <row r="572" spans="1:6" x14ac:dyDescent="0.2">
      <c r="A572" s="48" t="s">
        <v>3942</v>
      </c>
      <c r="B572" s="48" t="s">
        <v>3210</v>
      </c>
      <c r="C572" s="48" t="s">
        <v>3209</v>
      </c>
      <c r="D572" s="48" t="s">
        <v>3208</v>
      </c>
      <c r="E572" s="48" t="s">
        <v>3140</v>
      </c>
      <c r="F572" s="49">
        <v>32</v>
      </c>
    </row>
    <row r="573" spans="1:6" x14ac:dyDescent="0.2">
      <c r="A573" s="48" t="s">
        <v>3941</v>
      </c>
      <c r="B573" s="48" t="s">
        <v>3177</v>
      </c>
      <c r="C573" s="48" t="s">
        <v>3219</v>
      </c>
      <c r="D573" s="48" t="s">
        <v>3599</v>
      </c>
      <c r="E573" s="48" t="s">
        <v>3140</v>
      </c>
      <c r="F573" s="49">
        <v>32</v>
      </c>
    </row>
    <row r="574" spans="1:6" x14ac:dyDescent="0.2">
      <c r="A574" s="48" t="s">
        <v>3940</v>
      </c>
      <c r="B574" s="48" t="s">
        <v>3149</v>
      </c>
      <c r="C574" s="48" t="s">
        <v>3196</v>
      </c>
      <c r="D574" s="48" t="s">
        <v>3380</v>
      </c>
      <c r="E574" s="48" t="s">
        <v>3140</v>
      </c>
      <c r="F574" s="49">
        <v>31</v>
      </c>
    </row>
    <row r="575" spans="1:6" x14ac:dyDescent="0.2">
      <c r="A575" s="48" t="s">
        <v>3939</v>
      </c>
      <c r="B575" s="48" t="s">
        <v>3500</v>
      </c>
      <c r="C575" s="48" t="s">
        <v>3233</v>
      </c>
      <c r="D575" s="48" t="s">
        <v>3938</v>
      </c>
      <c r="E575" s="48" t="s">
        <v>3140</v>
      </c>
      <c r="F575" s="49">
        <v>31</v>
      </c>
    </row>
    <row r="576" spans="1:6" x14ac:dyDescent="0.2">
      <c r="A576" s="48" t="s">
        <v>3937</v>
      </c>
      <c r="B576" s="48" t="s">
        <v>3167</v>
      </c>
      <c r="C576" s="48" t="s">
        <v>3166</v>
      </c>
      <c r="D576" s="48" t="s">
        <v>3535</v>
      </c>
      <c r="E576" s="48" t="s">
        <v>3140</v>
      </c>
      <c r="F576" s="49">
        <v>31</v>
      </c>
    </row>
    <row r="577" spans="1:6" x14ac:dyDescent="0.2">
      <c r="A577" s="48" t="s">
        <v>3936</v>
      </c>
      <c r="B577" s="48" t="s">
        <v>3568</v>
      </c>
      <c r="C577" s="48" t="s">
        <v>3233</v>
      </c>
      <c r="D577" s="48" t="s">
        <v>3935</v>
      </c>
      <c r="E577" s="48" t="s">
        <v>3140</v>
      </c>
      <c r="F577" s="49">
        <v>31</v>
      </c>
    </row>
    <row r="578" spans="1:6" x14ac:dyDescent="0.2">
      <c r="A578" s="48" t="s">
        <v>3934</v>
      </c>
      <c r="B578" s="48" t="s">
        <v>3177</v>
      </c>
      <c r="C578" s="48" t="s">
        <v>3219</v>
      </c>
      <c r="D578" s="48" t="s">
        <v>3331</v>
      </c>
      <c r="E578" s="48" t="s">
        <v>3140</v>
      </c>
      <c r="F578" s="49">
        <v>31</v>
      </c>
    </row>
    <row r="579" spans="1:6" x14ac:dyDescent="0.2">
      <c r="A579" s="48" t="s">
        <v>3933</v>
      </c>
      <c r="B579" s="48" t="s">
        <v>3160</v>
      </c>
      <c r="C579" s="48" t="s">
        <v>3789</v>
      </c>
      <c r="D579" s="48" t="s">
        <v>3932</v>
      </c>
      <c r="E579" s="48" t="s">
        <v>3140</v>
      </c>
      <c r="F579" s="49">
        <v>30</v>
      </c>
    </row>
    <row r="580" spans="1:6" x14ac:dyDescent="0.2">
      <c r="A580" s="48" t="s">
        <v>3931</v>
      </c>
      <c r="B580" s="48" t="s">
        <v>3149</v>
      </c>
      <c r="C580" s="48" t="s">
        <v>3148</v>
      </c>
      <c r="D580" s="48" t="s">
        <v>3795</v>
      </c>
      <c r="E580" s="48" t="s">
        <v>3140</v>
      </c>
      <c r="F580" s="49">
        <v>30</v>
      </c>
    </row>
    <row r="581" spans="1:6" x14ac:dyDescent="0.2">
      <c r="A581" s="48" t="s">
        <v>3930</v>
      </c>
      <c r="B581" s="48" t="s">
        <v>3160</v>
      </c>
      <c r="C581" s="48" t="s">
        <v>3373</v>
      </c>
      <c r="D581" s="48" t="s">
        <v>3372</v>
      </c>
      <c r="E581" s="48" t="s">
        <v>3140</v>
      </c>
      <c r="F581" s="49">
        <v>30</v>
      </c>
    </row>
    <row r="582" spans="1:6" x14ac:dyDescent="0.2">
      <c r="A582" s="48" t="s">
        <v>3929</v>
      </c>
      <c r="B582" s="48" t="s">
        <v>3160</v>
      </c>
      <c r="C582" s="48" t="s">
        <v>3542</v>
      </c>
      <c r="D582" s="48" t="s">
        <v>3562</v>
      </c>
      <c r="E582" s="48" t="s">
        <v>3140</v>
      </c>
      <c r="F582" s="49">
        <v>30</v>
      </c>
    </row>
    <row r="583" spans="1:6" x14ac:dyDescent="0.2">
      <c r="A583" s="48" t="s">
        <v>3928</v>
      </c>
      <c r="B583" s="48" t="s">
        <v>3160</v>
      </c>
      <c r="C583" s="48" t="s">
        <v>3160</v>
      </c>
      <c r="D583" s="48" t="s">
        <v>3813</v>
      </c>
      <c r="E583" s="48" t="s">
        <v>3140</v>
      </c>
      <c r="F583" s="49">
        <v>30</v>
      </c>
    </row>
    <row r="584" spans="1:6" x14ac:dyDescent="0.2">
      <c r="A584" s="48" t="s">
        <v>3927</v>
      </c>
      <c r="B584" s="48" t="s">
        <v>3327</v>
      </c>
      <c r="C584" s="48" t="s">
        <v>3327</v>
      </c>
      <c r="D584" s="48" t="s">
        <v>3926</v>
      </c>
      <c r="E584" s="48" t="s">
        <v>3140</v>
      </c>
      <c r="F584" s="49">
        <v>30</v>
      </c>
    </row>
    <row r="585" spans="1:6" x14ac:dyDescent="0.2">
      <c r="A585" s="48" t="s">
        <v>3925</v>
      </c>
      <c r="B585" s="48" t="s">
        <v>3160</v>
      </c>
      <c r="C585" s="48" t="s">
        <v>3542</v>
      </c>
      <c r="D585" s="48" t="s">
        <v>3562</v>
      </c>
      <c r="E585" s="48" t="s">
        <v>3140</v>
      </c>
      <c r="F585" s="49">
        <v>30</v>
      </c>
    </row>
    <row r="586" spans="1:6" x14ac:dyDescent="0.2">
      <c r="A586" s="48" t="s">
        <v>3924</v>
      </c>
      <c r="B586" s="48" t="s">
        <v>3156</v>
      </c>
      <c r="C586" s="48" t="s">
        <v>3156</v>
      </c>
      <c r="D586" s="48" t="s">
        <v>3923</v>
      </c>
      <c r="E586" s="48" t="s">
        <v>3140</v>
      </c>
      <c r="F586" s="49">
        <v>30</v>
      </c>
    </row>
    <row r="587" spans="1:6" x14ac:dyDescent="0.2">
      <c r="A587" s="48" t="s">
        <v>3922</v>
      </c>
      <c r="B587" s="48" t="s">
        <v>3177</v>
      </c>
      <c r="C587" s="48" t="s">
        <v>3219</v>
      </c>
      <c r="D587" s="48" t="s">
        <v>3921</v>
      </c>
      <c r="E587" s="48" t="s">
        <v>3140</v>
      </c>
      <c r="F587" s="49">
        <v>30</v>
      </c>
    </row>
    <row r="588" spans="1:6" x14ac:dyDescent="0.2">
      <c r="A588" s="48" t="s">
        <v>3920</v>
      </c>
      <c r="B588" s="48" t="s">
        <v>3167</v>
      </c>
      <c r="C588" s="48" t="s">
        <v>3166</v>
      </c>
      <c r="D588" s="48" t="s">
        <v>3166</v>
      </c>
      <c r="E588" s="48" t="s">
        <v>3140</v>
      </c>
      <c r="F588" s="49">
        <v>30</v>
      </c>
    </row>
    <row r="589" spans="1:6" x14ac:dyDescent="0.2">
      <c r="A589" s="48" t="s">
        <v>3919</v>
      </c>
      <c r="B589" s="48" t="s">
        <v>3142</v>
      </c>
      <c r="C589" s="48" t="s">
        <v>3163</v>
      </c>
      <c r="D589" s="48" t="s">
        <v>3162</v>
      </c>
      <c r="E589" s="48" t="s">
        <v>3140</v>
      </c>
      <c r="F589" s="49">
        <v>30</v>
      </c>
    </row>
    <row r="590" spans="1:6" x14ac:dyDescent="0.2">
      <c r="A590" s="48" t="s">
        <v>3918</v>
      </c>
      <c r="B590" s="48" t="s">
        <v>3177</v>
      </c>
      <c r="C590" s="48" t="s">
        <v>3176</v>
      </c>
      <c r="D590" s="48" t="s">
        <v>3917</v>
      </c>
      <c r="E590" s="48" t="s">
        <v>3140</v>
      </c>
      <c r="F590" s="49">
        <v>30</v>
      </c>
    </row>
    <row r="591" spans="1:6" x14ac:dyDescent="0.2">
      <c r="A591" s="48" t="s">
        <v>3916</v>
      </c>
      <c r="B591" s="48" t="s">
        <v>3182</v>
      </c>
      <c r="C591" s="48" t="s">
        <v>3268</v>
      </c>
      <c r="D591" s="48" t="s">
        <v>3267</v>
      </c>
      <c r="E591" s="48" t="s">
        <v>3140</v>
      </c>
      <c r="F591" s="49">
        <v>30</v>
      </c>
    </row>
    <row r="592" spans="1:6" x14ac:dyDescent="0.2">
      <c r="A592" s="48" t="s">
        <v>3915</v>
      </c>
      <c r="B592" s="48" t="s">
        <v>3167</v>
      </c>
      <c r="C592" s="48" t="s">
        <v>3426</v>
      </c>
      <c r="D592" s="48" t="s">
        <v>3425</v>
      </c>
      <c r="E592" s="48" t="s">
        <v>3140</v>
      </c>
      <c r="F592" s="49">
        <v>30</v>
      </c>
    </row>
    <row r="593" spans="1:6" x14ac:dyDescent="0.2">
      <c r="A593" s="48" t="s">
        <v>3914</v>
      </c>
      <c r="B593" s="48" t="s">
        <v>3234</v>
      </c>
      <c r="C593" s="48" t="s">
        <v>3233</v>
      </c>
      <c r="D593" s="48" t="s">
        <v>3913</v>
      </c>
      <c r="E593" s="48" t="s">
        <v>3140</v>
      </c>
      <c r="F593" s="49">
        <v>30</v>
      </c>
    </row>
    <row r="594" spans="1:6" x14ac:dyDescent="0.2">
      <c r="A594" s="48" t="s">
        <v>3912</v>
      </c>
      <c r="B594" s="48" t="s">
        <v>3294</v>
      </c>
      <c r="C594" s="48" t="s">
        <v>3346</v>
      </c>
      <c r="D594" s="48" t="s">
        <v>3911</v>
      </c>
      <c r="E594" s="48" t="s">
        <v>3140</v>
      </c>
      <c r="F594" s="49">
        <v>30</v>
      </c>
    </row>
    <row r="595" spans="1:6" x14ac:dyDescent="0.2">
      <c r="A595" s="48" t="s">
        <v>3910</v>
      </c>
      <c r="B595" s="48" t="s">
        <v>3234</v>
      </c>
      <c r="C595" s="48" t="s">
        <v>3233</v>
      </c>
      <c r="D595" s="48" t="s">
        <v>3909</v>
      </c>
      <c r="E595" s="48" t="s">
        <v>3140</v>
      </c>
      <c r="F595" s="49">
        <v>30</v>
      </c>
    </row>
    <row r="596" spans="1:6" x14ac:dyDescent="0.2">
      <c r="A596" s="48" t="s">
        <v>3908</v>
      </c>
      <c r="B596" s="48" t="s">
        <v>3253</v>
      </c>
      <c r="C596" s="48" t="s">
        <v>3253</v>
      </c>
      <c r="D596" s="48" t="s">
        <v>3802</v>
      </c>
      <c r="E596" s="48" t="s">
        <v>3140</v>
      </c>
      <c r="F596" s="49">
        <v>30</v>
      </c>
    </row>
    <row r="597" spans="1:6" x14ac:dyDescent="0.2">
      <c r="A597" s="48" t="s">
        <v>3907</v>
      </c>
      <c r="B597" s="48" t="s">
        <v>3234</v>
      </c>
      <c r="C597" s="48" t="s">
        <v>3233</v>
      </c>
      <c r="D597" s="48" t="s">
        <v>3906</v>
      </c>
      <c r="E597" s="48" t="s">
        <v>3140</v>
      </c>
      <c r="F597" s="49">
        <v>30</v>
      </c>
    </row>
    <row r="598" spans="1:6" x14ac:dyDescent="0.2">
      <c r="A598" s="48" t="s">
        <v>3905</v>
      </c>
      <c r="B598" s="48" t="s">
        <v>3327</v>
      </c>
      <c r="C598" s="48" t="s">
        <v>3327</v>
      </c>
      <c r="D598" s="48" t="s">
        <v>3388</v>
      </c>
      <c r="E598" s="48" t="s">
        <v>3140</v>
      </c>
      <c r="F598" s="49">
        <v>30</v>
      </c>
    </row>
    <row r="599" spans="1:6" x14ac:dyDescent="0.2">
      <c r="A599" s="48" t="s">
        <v>3904</v>
      </c>
      <c r="B599" s="48" t="s">
        <v>3149</v>
      </c>
      <c r="C599" s="48" t="s">
        <v>3185</v>
      </c>
      <c r="D599" s="48" t="s">
        <v>3185</v>
      </c>
      <c r="E599" s="48" t="s">
        <v>3140</v>
      </c>
      <c r="F599" s="49">
        <v>30</v>
      </c>
    </row>
    <row r="600" spans="1:6" x14ac:dyDescent="0.2">
      <c r="A600" s="48" t="s">
        <v>3903</v>
      </c>
      <c r="B600" s="48" t="s">
        <v>3160</v>
      </c>
      <c r="C600" s="48" t="s">
        <v>3160</v>
      </c>
      <c r="D600" s="48" t="s">
        <v>3813</v>
      </c>
      <c r="E600" s="48" t="s">
        <v>3140</v>
      </c>
      <c r="F600" s="49">
        <v>30</v>
      </c>
    </row>
    <row r="601" spans="1:6" x14ac:dyDescent="0.2">
      <c r="A601" s="48" t="s">
        <v>3902</v>
      </c>
      <c r="B601" s="48" t="s">
        <v>3234</v>
      </c>
      <c r="C601" s="48" t="s">
        <v>3233</v>
      </c>
      <c r="D601" s="48" t="s">
        <v>3248</v>
      </c>
      <c r="E601" s="48" t="s">
        <v>3140</v>
      </c>
      <c r="F601" s="49">
        <v>30</v>
      </c>
    </row>
    <row r="602" spans="1:6" x14ac:dyDescent="0.2">
      <c r="A602" s="48" t="s">
        <v>3901</v>
      </c>
      <c r="B602" s="48" t="s">
        <v>3167</v>
      </c>
      <c r="C602" s="48" t="s">
        <v>3166</v>
      </c>
      <c r="D602" s="48" t="s">
        <v>3535</v>
      </c>
      <c r="E602" s="48" t="s">
        <v>3140</v>
      </c>
      <c r="F602" s="49">
        <v>30</v>
      </c>
    </row>
    <row r="603" spans="1:6" x14ac:dyDescent="0.2">
      <c r="A603" s="48" t="s">
        <v>3900</v>
      </c>
      <c r="B603" s="48" t="s">
        <v>3167</v>
      </c>
      <c r="C603" s="48" t="s">
        <v>3166</v>
      </c>
      <c r="D603" s="48" t="s">
        <v>3535</v>
      </c>
      <c r="E603" s="48" t="s">
        <v>3140</v>
      </c>
      <c r="F603" s="49">
        <v>30</v>
      </c>
    </row>
    <row r="604" spans="1:6" x14ac:dyDescent="0.2">
      <c r="A604" s="48" t="s">
        <v>3899</v>
      </c>
      <c r="B604" s="48" t="s">
        <v>3149</v>
      </c>
      <c r="C604" s="48" t="s">
        <v>3196</v>
      </c>
      <c r="D604" s="48" t="s">
        <v>3224</v>
      </c>
      <c r="E604" s="48" t="s">
        <v>3140</v>
      </c>
      <c r="F604" s="49">
        <v>30</v>
      </c>
    </row>
    <row r="605" spans="1:6" x14ac:dyDescent="0.2">
      <c r="A605" s="48" t="s">
        <v>3898</v>
      </c>
      <c r="B605" s="48" t="s">
        <v>3142</v>
      </c>
      <c r="C605" s="48" t="s">
        <v>3145</v>
      </c>
      <c r="D605" s="48" t="s">
        <v>3145</v>
      </c>
      <c r="E605" s="48" t="s">
        <v>3140</v>
      </c>
      <c r="F605" s="49">
        <v>30</v>
      </c>
    </row>
    <row r="606" spans="1:6" x14ac:dyDescent="0.2">
      <c r="A606" s="48" t="s">
        <v>3897</v>
      </c>
      <c r="B606" s="48" t="s">
        <v>3253</v>
      </c>
      <c r="C606" s="48" t="s">
        <v>3253</v>
      </c>
      <c r="D606" s="48" t="s">
        <v>3896</v>
      </c>
      <c r="E606" s="48" t="s">
        <v>3140</v>
      </c>
      <c r="F606" s="49">
        <v>30</v>
      </c>
    </row>
    <row r="607" spans="1:6" x14ac:dyDescent="0.2">
      <c r="A607" s="48" t="s">
        <v>3895</v>
      </c>
      <c r="B607" s="48" t="s">
        <v>3149</v>
      </c>
      <c r="C607" s="48" t="s">
        <v>3318</v>
      </c>
      <c r="D607" s="48" t="s">
        <v>3318</v>
      </c>
      <c r="E607" s="48" t="s">
        <v>3140</v>
      </c>
      <c r="F607" s="49">
        <v>30</v>
      </c>
    </row>
    <row r="608" spans="1:6" x14ac:dyDescent="0.2">
      <c r="A608" s="48" t="s">
        <v>3894</v>
      </c>
      <c r="B608" s="48" t="s">
        <v>3142</v>
      </c>
      <c r="C608" s="48" t="s">
        <v>3142</v>
      </c>
      <c r="D608" s="48" t="s">
        <v>3428</v>
      </c>
      <c r="E608" s="48" t="s">
        <v>3140</v>
      </c>
      <c r="F608" s="49">
        <v>30</v>
      </c>
    </row>
    <row r="609" spans="1:6" x14ac:dyDescent="0.2">
      <c r="A609" s="48" t="s">
        <v>3893</v>
      </c>
      <c r="B609" s="48" t="s">
        <v>3210</v>
      </c>
      <c r="C609" s="48" t="s">
        <v>3209</v>
      </c>
      <c r="D609" s="48" t="s">
        <v>3420</v>
      </c>
      <c r="E609" s="48" t="s">
        <v>3140</v>
      </c>
      <c r="F609" s="49">
        <v>30</v>
      </c>
    </row>
    <row r="610" spans="1:6" x14ac:dyDescent="0.2">
      <c r="A610" s="48" t="s">
        <v>3892</v>
      </c>
      <c r="B610" s="48" t="s">
        <v>3253</v>
      </c>
      <c r="C610" s="48" t="s">
        <v>3253</v>
      </c>
      <c r="D610" s="48" t="s">
        <v>3589</v>
      </c>
      <c r="E610" s="48" t="s">
        <v>3140</v>
      </c>
      <c r="F610" s="49">
        <v>30</v>
      </c>
    </row>
    <row r="611" spans="1:6" x14ac:dyDescent="0.2">
      <c r="A611" s="48" t="s">
        <v>3891</v>
      </c>
      <c r="B611" s="48" t="s">
        <v>3210</v>
      </c>
      <c r="C611" s="48" t="s">
        <v>3209</v>
      </c>
      <c r="D611" s="48" t="s">
        <v>3479</v>
      </c>
      <c r="E611" s="48" t="s">
        <v>3140</v>
      </c>
      <c r="F611" s="49">
        <v>30</v>
      </c>
    </row>
    <row r="612" spans="1:6" x14ac:dyDescent="0.2">
      <c r="A612" s="48" t="s">
        <v>3890</v>
      </c>
      <c r="B612" s="48" t="s">
        <v>3234</v>
      </c>
      <c r="C612" s="48" t="s">
        <v>3233</v>
      </c>
      <c r="D612" s="48" t="s">
        <v>3232</v>
      </c>
      <c r="E612" s="48" t="s">
        <v>3140</v>
      </c>
      <c r="F612" s="49">
        <v>30</v>
      </c>
    </row>
    <row r="613" spans="1:6" x14ac:dyDescent="0.2">
      <c r="A613" s="48" t="s">
        <v>3889</v>
      </c>
      <c r="B613" s="48" t="s">
        <v>3234</v>
      </c>
      <c r="C613" s="48" t="s">
        <v>3233</v>
      </c>
      <c r="D613" s="48" t="s">
        <v>3232</v>
      </c>
      <c r="E613" s="48" t="s">
        <v>3140</v>
      </c>
      <c r="F613" s="49">
        <v>30</v>
      </c>
    </row>
    <row r="614" spans="1:6" x14ac:dyDescent="0.2">
      <c r="A614" s="48" t="s">
        <v>3888</v>
      </c>
      <c r="B614" s="48" t="s">
        <v>3142</v>
      </c>
      <c r="C614" s="48" t="s">
        <v>3145</v>
      </c>
      <c r="D614" s="48" t="s">
        <v>3145</v>
      </c>
      <c r="E614" s="48" t="s">
        <v>3140</v>
      </c>
      <c r="F614" s="49">
        <v>30</v>
      </c>
    </row>
    <row r="615" spans="1:6" x14ac:dyDescent="0.2">
      <c r="A615" s="48" t="s">
        <v>3887</v>
      </c>
      <c r="B615" s="48" t="s">
        <v>3253</v>
      </c>
      <c r="C615" s="48" t="s">
        <v>3253</v>
      </c>
      <c r="D615" s="48" t="s">
        <v>3886</v>
      </c>
      <c r="E615" s="48" t="s">
        <v>3140</v>
      </c>
      <c r="F615" s="49">
        <v>29</v>
      </c>
    </row>
    <row r="616" spans="1:6" x14ac:dyDescent="0.2">
      <c r="A616" s="48" t="s">
        <v>3885</v>
      </c>
      <c r="B616" s="48" t="s">
        <v>3253</v>
      </c>
      <c r="C616" s="48" t="s">
        <v>3253</v>
      </c>
      <c r="D616" s="48" t="s">
        <v>3589</v>
      </c>
      <c r="E616" s="48" t="s">
        <v>3140</v>
      </c>
      <c r="F616" s="49">
        <v>29</v>
      </c>
    </row>
    <row r="617" spans="1:6" x14ac:dyDescent="0.2">
      <c r="A617" s="48" t="s">
        <v>3884</v>
      </c>
      <c r="B617" s="48" t="s">
        <v>3157</v>
      </c>
      <c r="C617" s="48" t="s">
        <v>3173</v>
      </c>
      <c r="D617" s="48" t="s">
        <v>3341</v>
      </c>
      <c r="E617" s="48" t="s">
        <v>3140</v>
      </c>
      <c r="F617" s="49">
        <v>29</v>
      </c>
    </row>
    <row r="618" spans="1:6" x14ac:dyDescent="0.2">
      <c r="A618" s="48" t="s">
        <v>3883</v>
      </c>
      <c r="B618" s="48" t="s">
        <v>3177</v>
      </c>
      <c r="C618" s="48" t="s">
        <v>3176</v>
      </c>
      <c r="D618" s="48" t="s">
        <v>2777</v>
      </c>
      <c r="E618" s="48" t="s">
        <v>3140</v>
      </c>
      <c r="F618" s="49">
        <v>29</v>
      </c>
    </row>
    <row r="619" spans="1:6" x14ac:dyDescent="0.2">
      <c r="A619" s="48" t="s">
        <v>3882</v>
      </c>
      <c r="B619" s="48" t="s">
        <v>3149</v>
      </c>
      <c r="C619" s="48" t="s">
        <v>3318</v>
      </c>
      <c r="D619" s="48" t="s">
        <v>3751</v>
      </c>
      <c r="E619" s="48" t="s">
        <v>3140</v>
      </c>
      <c r="F619" s="49">
        <v>29</v>
      </c>
    </row>
    <row r="620" spans="1:6" x14ac:dyDescent="0.2">
      <c r="A620" s="48" t="s">
        <v>3881</v>
      </c>
      <c r="B620" s="48" t="s">
        <v>3149</v>
      </c>
      <c r="C620" s="48" t="s">
        <v>3196</v>
      </c>
      <c r="D620" s="48" t="s">
        <v>3195</v>
      </c>
      <c r="E620" s="48" t="s">
        <v>3140</v>
      </c>
      <c r="F620" s="49">
        <v>29</v>
      </c>
    </row>
    <row r="621" spans="1:6" x14ac:dyDescent="0.2">
      <c r="A621" s="48" t="s">
        <v>3880</v>
      </c>
      <c r="B621" s="48" t="s">
        <v>3253</v>
      </c>
      <c r="C621" s="48" t="s">
        <v>3253</v>
      </c>
      <c r="D621" s="48" t="s">
        <v>1815</v>
      </c>
      <c r="E621" s="48" t="s">
        <v>3140</v>
      </c>
      <c r="F621" s="49">
        <v>29</v>
      </c>
    </row>
    <row r="622" spans="1:6" x14ac:dyDescent="0.2">
      <c r="A622" s="48" t="s">
        <v>3879</v>
      </c>
      <c r="B622" s="48" t="s">
        <v>3160</v>
      </c>
      <c r="C622" s="48" t="s">
        <v>3160</v>
      </c>
      <c r="D622" s="48" t="s">
        <v>3709</v>
      </c>
      <c r="E622" s="48" t="s">
        <v>3140</v>
      </c>
      <c r="F622" s="49">
        <v>29</v>
      </c>
    </row>
    <row r="623" spans="1:6" x14ac:dyDescent="0.2">
      <c r="A623" s="48" t="s">
        <v>3878</v>
      </c>
      <c r="B623" s="48" t="s">
        <v>3157</v>
      </c>
      <c r="C623" s="48" t="s">
        <v>3255</v>
      </c>
      <c r="D623" s="48" t="s">
        <v>3255</v>
      </c>
      <c r="E623" s="48" t="s">
        <v>3140</v>
      </c>
      <c r="F623" s="49">
        <v>29</v>
      </c>
    </row>
    <row r="624" spans="1:6" x14ac:dyDescent="0.2">
      <c r="A624" s="48" t="s">
        <v>3877</v>
      </c>
      <c r="B624" s="48" t="s">
        <v>3167</v>
      </c>
      <c r="C624" s="48" t="s">
        <v>3426</v>
      </c>
      <c r="D624" s="48" t="s">
        <v>3678</v>
      </c>
      <c r="E624" s="48" t="s">
        <v>3140</v>
      </c>
      <c r="F624" s="49">
        <v>28</v>
      </c>
    </row>
    <row r="625" spans="1:6" x14ac:dyDescent="0.2">
      <c r="A625" s="48" t="s">
        <v>3876</v>
      </c>
      <c r="B625" s="48" t="s">
        <v>3177</v>
      </c>
      <c r="C625" s="48" t="s">
        <v>3279</v>
      </c>
      <c r="D625" s="48" t="s">
        <v>3843</v>
      </c>
      <c r="E625" s="48" t="s">
        <v>3140</v>
      </c>
      <c r="F625" s="49">
        <v>28</v>
      </c>
    </row>
    <row r="626" spans="1:6" x14ac:dyDescent="0.2">
      <c r="A626" s="48" t="s">
        <v>3875</v>
      </c>
      <c r="B626" s="48" t="s">
        <v>3253</v>
      </c>
      <c r="C626" s="48" t="s">
        <v>3253</v>
      </c>
      <c r="D626" s="48" t="s">
        <v>3874</v>
      </c>
      <c r="E626" s="48" t="s">
        <v>3140</v>
      </c>
      <c r="F626" s="49">
        <v>28</v>
      </c>
    </row>
    <row r="627" spans="1:6" x14ac:dyDescent="0.2">
      <c r="A627" s="48" t="s">
        <v>3873</v>
      </c>
      <c r="B627" s="48" t="s">
        <v>3157</v>
      </c>
      <c r="C627" s="48" t="s">
        <v>3173</v>
      </c>
      <c r="D627" s="48" t="s">
        <v>3341</v>
      </c>
      <c r="E627" s="48" t="s">
        <v>3140</v>
      </c>
      <c r="F627" s="49">
        <v>28</v>
      </c>
    </row>
    <row r="628" spans="1:6" x14ac:dyDescent="0.2">
      <c r="A628" s="48" t="s">
        <v>3872</v>
      </c>
      <c r="B628" s="48" t="s">
        <v>3182</v>
      </c>
      <c r="C628" s="48" t="s">
        <v>3227</v>
      </c>
      <c r="D628" s="48" t="s">
        <v>3386</v>
      </c>
      <c r="E628" s="48" t="s">
        <v>3140</v>
      </c>
      <c r="F628" s="49">
        <v>28</v>
      </c>
    </row>
    <row r="629" spans="1:6" x14ac:dyDescent="0.2">
      <c r="A629" s="48" t="s">
        <v>3871</v>
      </c>
      <c r="B629" s="48" t="s">
        <v>3153</v>
      </c>
      <c r="C629" s="48" t="s">
        <v>3530</v>
      </c>
      <c r="D629" s="48" t="s">
        <v>3530</v>
      </c>
      <c r="E629" s="48" t="s">
        <v>3140</v>
      </c>
      <c r="F629" s="49">
        <v>28</v>
      </c>
    </row>
    <row r="630" spans="1:6" x14ac:dyDescent="0.2">
      <c r="A630" s="48" t="s">
        <v>3870</v>
      </c>
      <c r="B630" s="48" t="s">
        <v>3142</v>
      </c>
      <c r="C630" s="48" t="s">
        <v>3142</v>
      </c>
      <c r="D630" s="48" t="s">
        <v>3869</v>
      </c>
      <c r="E630" s="48" t="s">
        <v>3140</v>
      </c>
      <c r="F630" s="49">
        <v>28</v>
      </c>
    </row>
    <row r="631" spans="1:6" x14ac:dyDescent="0.2">
      <c r="A631" s="48" t="s">
        <v>3868</v>
      </c>
      <c r="B631" s="48" t="s">
        <v>3157</v>
      </c>
      <c r="C631" s="48" t="s">
        <v>3255</v>
      </c>
      <c r="D631" s="48" t="s">
        <v>3255</v>
      </c>
      <c r="E631" s="48" t="s">
        <v>3140</v>
      </c>
      <c r="F631" s="49">
        <v>28</v>
      </c>
    </row>
    <row r="632" spans="1:6" x14ac:dyDescent="0.2">
      <c r="A632" s="48" t="s">
        <v>3867</v>
      </c>
      <c r="B632" s="48" t="s">
        <v>3210</v>
      </c>
      <c r="C632" s="48" t="s">
        <v>3209</v>
      </c>
      <c r="D632" s="48" t="s">
        <v>3485</v>
      </c>
      <c r="E632" s="48" t="s">
        <v>3140</v>
      </c>
      <c r="F632" s="49">
        <v>28</v>
      </c>
    </row>
    <row r="633" spans="1:6" x14ac:dyDescent="0.2">
      <c r="A633" s="48" t="s">
        <v>3866</v>
      </c>
      <c r="B633" s="48" t="s">
        <v>3167</v>
      </c>
      <c r="C633" s="48" t="s">
        <v>3166</v>
      </c>
      <c r="D633" s="48" t="s">
        <v>3166</v>
      </c>
      <c r="E633" s="48" t="s">
        <v>3140</v>
      </c>
      <c r="F633" s="49">
        <v>28</v>
      </c>
    </row>
    <row r="634" spans="1:6" x14ac:dyDescent="0.2">
      <c r="A634" s="48" t="s">
        <v>3865</v>
      </c>
      <c r="B634" s="48" t="s">
        <v>3177</v>
      </c>
      <c r="C634" s="48" t="s">
        <v>3191</v>
      </c>
      <c r="D634" s="48" t="s">
        <v>3422</v>
      </c>
      <c r="E634" s="48" t="s">
        <v>3140</v>
      </c>
      <c r="F634" s="49">
        <v>28</v>
      </c>
    </row>
    <row r="635" spans="1:6" x14ac:dyDescent="0.2">
      <c r="A635" s="48" t="s">
        <v>3864</v>
      </c>
      <c r="B635" s="48" t="s">
        <v>3157</v>
      </c>
      <c r="C635" s="48" t="s">
        <v>3255</v>
      </c>
      <c r="D635" s="48" t="s">
        <v>3255</v>
      </c>
      <c r="E635" s="48" t="s">
        <v>3140</v>
      </c>
      <c r="F635" s="49">
        <v>28</v>
      </c>
    </row>
    <row r="636" spans="1:6" x14ac:dyDescent="0.2">
      <c r="A636" s="48" t="s">
        <v>3863</v>
      </c>
      <c r="B636" s="48" t="s">
        <v>3500</v>
      </c>
      <c r="C636" s="48" t="s">
        <v>3233</v>
      </c>
      <c r="D636" s="48" t="s">
        <v>3862</v>
      </c>
      <c r="E636" s="48" t="s">
        <v>3140</v>
      </c>
      <c r="F636" s="49">
        <v>27</v>
      </c>
    </row>
    <row r="637" spans="1:6" x14ac:dyDescent="0.2">
      <c r="A637" s="48" t="s">
        <v>3861</v>
      </c>
      <c r="B637" s="48" t="s">
        <v>3167</v>
      </c>
      <c r="C637" s="48" t="s">
        <v>3426</v>
      </c>
      <c r="D637" s="48" t="s">
        <v>3678</v>
      </c>
      <c r="E637" s="48" t="s">
        <v>3140</v>
      </c>
      <c r="F637" s="49">
        <v>27</v>
      </c>
    </row>
    <row r="638" spans="1:6" x14ac:dyDescent="0.2">
      <c r="A638" s="48" t="s">
        <v>3860</v>
      </c>
      <c r="B638" s="48" t="s">
        <v>3327</v>
      </c>
      <c r="C638" s="48" t="s">
        <v>3327</v>
      </c>
      <c r="D638" s="48" t="s">
        <v>3326</v>
      </c>
      <c r="E638" s="48" t="s">
        <v>3140</v>
      </c>
      <c r="F638" s="49">
        <v>27</v>
      </c>
    </row>
    <row r="639" spans="1:6" x14ac:dyDescent="0.2">
      <c r="A639" s="48" t="s">
        <v>3859</v>
      </c>
      <c r="B639" s="48" t="s">
        <v>3157</v>
      </c>
      <c r="C639" s="48" t="s">
        <v>3173</v>
      </c>
      <c r="D639" s="48" t="s">
        <v>3263</v>
      </c>
      <c r="E639" s="48" t="s">
        <v>3140</v>
      </c>
      <c r="F639" s="49">
        <v>27</v>
      </c>
    </row>
    <row r="640" spans="1:6" x14ac:dyDescent="0.2">
      <c r="A640" s="48" t="s">
        <v>3858</v>
      </c>
      <c r="B640" s="48" t="s">
        <v>3210</v>
      </c>
      <c r="C640" s="48" t="s">
        <v>3209</v>
      </c>
      <c r="D640" s="48" t="s">
        <v>3857</v>
      </c>
      <c r="E640" s="48" t="s">
        <v>3140</v>
      </c>
      <c r="F640" s="49">
        <v>26</v>
      </c>
    </row>
    <row r="641" spans="1:6" x14ac:dyDescent="0.2">
      <c r="A641" s="48" t="s">
        <v>3856</v>
      </c>
      <c r="B641" s="48" t="s">
        <v>3177</v>
      </c>
      <c r="C641" s="48" t="s">
        <v>3219</v>
      </c>
      <c r="D641" s="48" t="s">
        <v>3219</v>
      </c>
      <c r="E641" s="48" t="s">
        <v>3140</v>
      </c>
      <c r="F641" s="49">
        <v>26</v>
      </c>
    </row>
    <row r="642" spans="1:6" x14ac:dyDescent="0.2">
      <c r="A642" s="48" t="s">
        <v>3855</v>
      </c>
      <c r="B642" s="48" t="s">
        <v>3156</v>
      </c>
      <c r="C642" s="48" t="s">
        <v>3156</v>
      </c>
      <c r="D642" s="48" t="s">
        <v>3410</v>
      </c>
      <c r="E642" s="48" t="s">
        <v>3140</v>
      </c>
      <c r="F642" s="49">
        <v>26</v>
      </c>
    </row>
    <row r="643" spans="1:6" x14ac:dyDescent="0.2">
      <c r="A643" s="48" t="s">
        <v>3854</v>
      </c>
      <c r="B643" s="48" t="s">
        <v>3142</v>
      </c>
      <c r="C643" s="48" t="s">
        <v>3142</v>
      </c>
      <c r="D643" s="48" t="s">
        <v>3853</v>
      </c>
      <c r="E643" s="48" t="s">
        <v>3140</v>
      </c>
      <c r="F643" s="49">
        <v>25</v>
      </c>
    </row>
    <row r="644" spans="1:6" x14ac:dyDescent="0.2">
      <c r="A644" s="48" t="s">
        <v>3852</v>
      </c>
      <c r="B644" s="48" t="s">
        <v>3157</v>
      </c>
      <c r="C644" s="48" t="s">
        <v>3413</v>
      </c>
      <c r="D644" s="48" t="s">
        <v>3413</v>
      </c>
      <c r="E644" s="48" t="s">
        <v>3140</v>
      </c>
      <c r="F644" s="49">
        <v>25</v>
      </c>
    </row>
    <row r="645" spans="1:6" x14ac:dyDescent="0.2">
      <c r="A645" s="48" t="s">
        <v>3851</v>
      </c>
      <c r="B645" s="48" t="s">
        <v>3234</v>
      </c>
      <c r="C645" s="48" t="s">
        <v>3233</v>
      </c>
      <c r="D645" s="48" t="s">
        <v>3676</v>
      </c>
      <c r="E645" s="48" t="s">
        <v>3140</v>
      </c>
      <c r="F645" s="49">
        <v>25</v>
      </c>
    </row>
    <row r="646" spans="1:6" x14ac:dyDescent="0.2">
      <c r="A646" s="48" t="s">
        <v>3850</v>
      </c>
      <c r="B646" s="48" t="s">
        <v>3149</v>
      </c>
      <c r="C646" s="48" t="s">
        <v>3196</v>
      </c>
      <c r="D646" s="48" t="s">
        <v>3416</v>
      </c>
      <c r="E646" s="48" t="s">
        <v>3140</v>
      </c>
      <c r="F646" s="49">
        <v>25</v>
      </c>
    </row>
    <row r="647" spans="1:6" x14ac:dyDescent="0.2">
      <c r="A647" s="48" t="s">
        <v>3849</v>
      </c>
      <c r="B647" s="48" t="s">
        <v>3234</v>
      </c>
      <c r="C647" s="48" t="s">
        <v>3233</v>
      </c>
      <c r="D647" s="48" t="s">
        <v>3232</v>
      </c>
      <c r="E647" s="48" t="s">
        <v>3140</v>
      </c>
      <c r="F647" s="49">
        <v>25</v>
      </c>
    </row>
    <row r="648" spans="1:6" x14ac:dyDescent="0.2">
      <c r="A648" s="48" t="s">
        <v>3848</v>
      </c>
      <c r="B648" s="48" t="s">
        <v>3327</v>
      </c>
      <c r="C648" s="48" t="s">
        <v>3327</v>
      </c>
      <c r="D648" s="48" t="s">
        <v>3847</v>
      </c>
      <c r="E648" s="48" t="s">
        <v>3140</v>
      </c>
      <c r="F648" s="49">
        <v>25</v>
      </c>
    </row>
    <row r="649" spans="1:6" x14ac:dyDescent="0.2">
      <c r="A649" s="48" t="s">
        <v>3846</v>
      </c>
      <c r="B649" s="48" t="s">
        <v>3142</v>
      </c>
      <c r="C649" s="48" t="s">
        <v>3145</v>
      </c>
      <c r="D649" s="48" t="s">
        <v>3145</v>
      </c>
      <c r="E649" s="48" t="s">
        <v>3140</v>
      </c>
      <c r="F649" s="49">
        <v>25</v>
      </c>
    </row>
    <row r="650" spans="1:6" x14ac:dyDescent="0.2">
      <c r="A650" s="48" t="s">
        <v>3845</v>
      </c>
      <c r="B650" s="48" t="s">
        <v>3160</v>
      </c>
      <c r="C650" s="48" t="s">
        <v>3542</v>
      </c>
      <c r="D650" s="48" t="s">
        <v>3562</v>
      </c>
      <c r="E650" s="48" t="s">
        <v>3140</v>
      </c>
      <c r="F650" s="49">
        <v>25</v>
      </c>
    </row>
    <row r="651" spans="1:6" x14ac:dyDescent="0.2">
      <c r="A651" s="48" t="s">
        <v>3844</v>
      </c>
      <c r="B651" s="48" t="s">
        <v>3177</v>
      </c>
      <c r="C651" s="48" t="s">
        <v>3279</v>
      </c>
      <c r="D651" s="48" t="s">
        <v>3843</v>
      </c>
      <c r="E651" s="48" t="s">
        <v>3140</v>
      </c>
      <c r="F651" s="49">
        <v>25</v>
      </c>
    </row>
    <row r="652" spans="1:6" x14ac:dyDescent="0.2">
      <c r="A652" s="48" t="s">
        <v>3842</v>
      </c>
      <c r="B652" s="48" t="s">
        <v>3153</v>
      </c>
      <c r="C652" s="48" t="s">
        <v>3352</v>
      </c>
      <c r="D652" s="48" t="s">
        <v>3351</v>
      </c>
      <c r="E652" s="48" t="s">
        <v>3140</v>
      </c>
      <c r="F652" s="49">
        <v>25</v>
      </c>
    </row>
    <row r="653" spans="1:6" x14ac:dyDescent="0.2">
      <c r="A653" s="48" t="s">
        <v>3841</v>
      </c>
      <c r="B653" s="48" t="s">
        <v>3167</v>
      </c>
      <c r="C653" s="48" t="s">
        <v>3166</v>
      </c>
      <c r="D653" s="48" t="s">
        <v>3840</v>
      </c>
      <c r="E653" s="48" t="s">
        <v>3140</v>
      </c>
      <c r="F653" s="49">
        <v>25</v>
      </c>
    </row>
    <row r="654" spans="1:6" x14ac:dyDescent="0.2">
      <c r="A654" s="48" t="s">
        <v>3839</v>
      </c>
      <c r="B654" s="48" t="s">
        <v>3253</v>
      </c>
      <c r="C654" s="48" t="s">
        <v>3253</v>
      </c>
      <c r="D654" s="48" t="s">
        <v>3838</v>
      </c>
      <c r="E654" s="48" t="s">
        <v>3140</v>
      </c>
      <c r="F654" s="49">
        <v>25</v>
      </c>
    </row>
    <row r="655" spans="1:6" x14ac:dyDescent="0.2">
      <c r="A655" s="48" t="s">
        <v>3837</v>
      </c>
      <c r="B655" s="48" t="s">
        <v>3210</v>
      </c>
      <c r="C655" s="48" t="s">
        <v>3209</v>
      </c>
      <c r="D655" s="48" t="s">
        <v>3418</v>
      </c>
      <c r="E655" s="48" t="s">
        <v>3140</v>
      </c>
      <c r="F655" s="49">
        <v>25</v>
      </c>
    </row>
    <row r="656" spans="1:6" x14ac:dyDescent="0.2">
      <c r="A656" s="48" t="s">
        <v>3836</v>
      </c>
      <c r="B656" s="48" t="s">
        <v>3327</v>
      </c>
      <c r="C656" s="48" t="s">
        <v>3510</v>
      </c>
      <c r="D656" s="48" t="s">
        <v>3835</v>
      </c>
      <c r="E656" s="48" t="s">
        <v>3140</v>
      </c>
      <c r="F656" s="49">
        <v>25</v>
      </c>
    </row>
    <row r="657" spans="1:6" x14ac:dyDescent="0.2">
      <c r="A657" s="48" t="s">
        <v>3834</v>
      </c>
      <c r="B657" s="48" t="s">
        <v>3327</v>
      </c>
      <c r="C657" s="48" t="s">
        <v>3510</v>
      </c>
      <c r="D657" s="48" t="s">
        <v>3509</v>
      </c>
      <c r="E657" s="48" t="s">
        <v>3140</v>
      </c>
      <c r="F657" s="49">
        <v>25</v>
      </c>
    </row>
    <row r="658" spans="1:6" x14ac:dyDescent="0.2">
      <c r="A658" s="48" t="s">
        <v>3833</v>
      </c>
      <c r="B658" s="48" t="s">
        <v>3177</v>
      </c>
      <c r="C658" s="48" t="s">
        <v>3176</v>
      </c>
      <c r="D658" s="48" t="s">
        <v>3438</v>
      </c>
      <c r="E658" s="48" t="s">
        <v>3140</v>
      </c>
      <c r="F658" s="49">
        <v>25</v>
      </c>
    </row>
    <row r="659" spans="1:6" x14ac:dyDescent="0.2">
      <c r="A659" s="48" t="s">
        <v>3832</v>
      </c>
      <c r="B659" s="48" t="s">
        <v>3253</v>
      </c>
      <c r="C659" s="48" t="s">
        <v>3253</v>
      </c>
      <c r="D659" s="48" t="s">
        <v>3743</v>
      </c>
      <c r="E659" s="48" t="s">
        <v>3140</v>
      </c>
      <c r="F659" s="49">
        <v>25</v>
      </c>
    </row>
    <row r="660" spans="1:6" x14ac:dyDescent="0.2">
      <c r="A660" s="48" t="s">
        <v>3831</v>
      </c>
      <c r="B660" s="48" t="s">
        <v>3234</v>
      </c>
      <c r="C660" s="48" t="s">
        <v>3233</v>
      </c>
      <c r="D660" s="48" t="s">
        <v>3361</v>
      </c>
      <c r="E660" s="48" t="s">
        <v>3140</v>
      </c>
      <c r="F660" s="49">
        <v>25</v>
      </c>
    </row>
    <row r="661" spans="1:6" x14ac:dyDescent="0.2">
      <c r="A661" s="48" t="s">
        <v>3830</v>
      </c>
      <c r="B661" s="48" t="s">
        <v>3142</v>
      </c>
      <c r="C661" s="48" t="s">
        <v>3145</v>
      </c>
      <c r="D661" s="48" t="s">
        <v>3145</v>
      </c>
      <c r="E661" s="48" t="s">
        <v>3140</v>
      </c>
      <c r="F661" s="49">
        <v>25</v>
      </c>
    </row>
    <row r="662" spans="1:6" x14ac:dyDescent="0.2">
      <c r="A662" s="48" t="s">
        <v>3829</v>
      </c>
      <c r="B662" s="48" t="s">
        <v>3500</v>
      </c>
      <c r="C662" s="48" t="s">
        <v>3233</v>
      </c>
      <c r="D662" s="48" t="s">
        <v>3828</v>
      </c>
      <c r="E662" s="48" t="s">
        <v>3140</v>
      </c>
      <c r="F662" s="49">
        <v>25</v>
      </c>
    </row>
    <row r="663" spans="1:6" x14ac:dyDescent="0.2">
      <c r="A663" s="48" t="s">
        <v>3827</v>
      </c>
      <c r="B663" s="48" t="s">
        <v>3157</v>
      </c>
      <c r="C663" s="48" t="s">
        <v>3173</v>
      </c>
      <c r="D663" s="48" t="s">
        <v>3341</v>
      </c>
      <c r="E663" s="48" t="s">
        <v>3140</v>
      </c>
      <c r="F663" s="49">
        <v>25</v>
      </c>
    </row>
    <row r="664" spans="1:6" x14ac:dyDescent="0.2">
      <c r="A664" s="48" t="s">
        <v>3826</v>
      </c>
      <c r="B664" s="48" t="s">
        <v>3500</v>
      </c>
      <c r="C664" s="48" t="s">
        <v>3233</v>
      </c>
      <c r="D664" s="48" t="s">
        <v>3825</v>
      </c>
      <c r="E664" s="48" t="s">
        <v>3140</v>
      </c>
      <c r="F664" s="49">
        <v>25</v>
      </c>
    </row>
    <row r="665" spans="1:6" x14ac:dyDescent="0.2">
      <c r="A665" s="48" t="s">
        <v>3824</v>
      </c>
      <c r="B665" s="48" t="s">
        <v>3167</v>
      </c>
      <c r="C665" s="48" t="s">
        <v>3166</v>
      </c>
      <c r="D665" s="48" t="s">
        <v>3200</v>
      </c>
      <c r="E665" s="48" t="s">
        <v>3140</v>
      </c>
      <c r="F665" s="49">
        <v>25</v>
      </c>
    </row>
    <row r="666" spans="1:6" x14ac:dyDescent="0.2">
      <c r="A666" s="48" t="s">
        <v>3823</v>
      </c>
      <c r="B666" s="48" t="s">
        <v>3327</v>
      </c>
      <c r="C666" s="48" t="s">
        <v>3510</v>
      </c>
      <c r="D666" s="48" t="s">
        <v>3822</v>
      </c>
      <c r="E666" s="48" t="s">
        <v>3140</v>
      </c>
      <c r="F666" s="49">
        <v>25</v>
      </c>
    </row>
    <row r="667" spans="1:6" x14ac:dyDescent="0.2">
      <c r="A667" s="48" t="s">
        <v>3821</v>
      </c>
      <c r="B667" s="48" t="s">
        <v>3327</v>
      </c>
      <c r="C667" s="48" t="s">
        <v>3327</v>
      </c>
      <c r="D667" s="48" t="s">
        <v>3727</v>
      </c>
      <c r="E667" s="48" t="s">
        <v>3140</v>
      </c>
      <c r="F667" s="49">
        <v>25</v>
      </c>
    </row>
    <row r="668" spans="1:6" x14ac:dyDescent="0.2">
      <c r="A668" s="48" t="s">
        <v>3820</v>
      </c>
      <c r="B668" s="48" t="s">
        <v>3253</v>
      </c>
      <c r="C668" s="48" t="s">
        <v>3253</v>
      </c>
      <c r="D668" s="48" t="s">
        <v>3819</v>
      </c>
      <c r="E668" s="48" t="s">
        <v>3140</v>
      </c>
      <c r="F668" s="49">
        <v>25</v>
      </c>
    </row>
    <row r="669" spans="1:6" x14ac:dyDescent="0.2">
      <c r="A669" s="48" t="s">
        <v>3818</v>
      </c>
      <c r="B669" s="48" t="s">
        <v>3156</v>
      </c>
      <c r="C669" s="48" t="s">
        <v>3156</v>
      </c>
      <c r="D669" s="48" t="s">
        <v>3410</v>
      </c>
      <c r="E669" s="48" t="s">
        <v>3140</v>
      </c>
      <c r="F669" s="49">
        <v>25</v>
      </c>
    </row>
    <row r="670" spans="1:6" x14ac:dyDescent="0.2">
      <c r="A670" s="48" t="s">
        <v>3817</v>
      </c>
      <c r="B670" s="48" t="s">
        <v>3253</v>
      </c>
      <c r="C670" s="48" t="s">
        <v>3253</v>
      </c>
      <c r="D670" s="48" t="s">
        <v>3816</v>
      </c>
      <c r="E670" s="48" t="s">
        <v>3140</v>
      </c>
      <c r="F670" s="49">
        <v>25</v>
      </c>
    </row>
    <row r="671" spans="1:6" x14ac:dyDescent="0.2">
      <c r="A671" s="48" t="s">
        <v>3815</v>
      </c>
      <c r="B671" s="48" t="s">
        <v>3156</v>
      </c>
      <c r="C671" s="48" t="s">
        <v>3156</v>
      </c>
      <c r="D671" s="48" t="s">
        <v>3410</v>
      </c>
      <c r="E671" s="48" t="s">
        <v>3140</v>
      </c>
      <c r="F671" s="49">
        <v>25</v>
      </c>
    </row>
    <row r="672" spans="1:6" x14ac:dyDescent="0.2">
      <c r="A672" s="48" t="s">
        <v>3814</v>
      </c>
      <c r="B672" s="48" t="s">
        <v>3160</v>
      </c>
      <c r="C672" s="48" t="s">
        <v>3160</v>
      </c>
      <c r="D672" s="48" t="s">
        <v>3813</v>
      </c>
      <c r="E672" s="48" t="s">
        <v>3140</v>
      </c>
      <c r="F672" s="49">
        <v>25</v>
      </c>
    </row>
    <row r="673" spans="1:6" x14ac:dyDescent="0.2">
      <c r="A673" s="48" t="s">
        <v>3812</v>
      </c>
      <c r="B673" s="48" t="s">
        <v>3153</v>
      </c>
      <c r="C673" s="48" t="s">
        <v>3811</v>
      </c>
      <c r="D673" s="48" t="s">
        <v>3281</v>
      </c>
      <c r="E673" s="48" t="s">
        <v>3140</v>
      </c>
      <c r="F673" s="49">
        <v>25</v>
      </c>
    </row>
    <row r="674" spans="1:6" x14ac:dyDescent="0.2">
      <c r="A674" s="48" t="s">
        <v>3810</v>
      </c>
      <c r="B674" s="48" t="s">
        <v>3177</v>
      </c>
      <c r="C674" s="48" t="s">
        <v>3176</v>
      </c>
      <c r="D674" s="48" t="s">
        <v>3809</v>
      </c>
      <c r="E674" s="48" t="s">
        <v>3140</v>
      </c>
      <c r="F674" s="49">
        <v>25</v>
      </c>
    </row>
    <row r="675" spans="1:6" x14ac:dyDescent="0.2">
      <c r="A675" s="48" t="s">
        <v>3808</v>
      </c>
      <c r="B675" s="48" t="s">
        <v>3177</v>
      </c>
      <c r="C675" s="48" t="s">
        <v>3191</v>
      </c>
      <c r="D675" s="48" t="s">
        <v>3212</v>
      </c>
      <c r="E675" s="48" t="s">
        <v>3140</v>
      </c>
      <c r="F675" s="49">
        <v>24</v>
      </c>
    </row>
    <row r="676" spans="1:6" x14ac:dyDescent="0.2">
      <c r="A676" s="48" t="s">
        <v>3807</v>
      </c>
      <c r="B676" s="48" t="s">
        <v>3153</v>
      </c>
      <c r="C676" s="48" t="s">
        <v>3403</v>
      </c>
      <c r="D676" s="48" t="s">
        <v>3402</v>
      </c>
      <c r="E676" s="48" t="s">
        <v>3140</v>
      </c>
      <c r="F676" s="49">
        <v>24</v>
      </c>
    </row>
    <row r="677" spans="1:6" x14ac:dyDescent="0.2">
      <c r="A677" s="48" t="s">
        <v>3806</v>
      </c>
      <c r="B677" s="48" t="s">
        <v>3149</v>
      </c>
      <c r="C677" s="48" t="s">
        <v>3215</v>
      </c>
      <c r="D677" s="48" t="s">
        <v>3464</v>
      </c>
      <c r="E677" s="48" t="s">
        <v>3140</v>
      </c>
      <c r="F677" s="49">
        <v>24</v>
      </c>
    </row>
    <row r="678" spans="1:6" x14ac:dyDescent="0.2">
      <c r="A678" s="48" t="s">
        <v>3805</v>
      </c>
      <c r="B678" s="48" t="s">
        <v>3160</v>
      </c>
      <c r="C678" s="48" t="s">
        <v>3373</v>
      </c>
      <c r="D678" s="48" t="s">
        <v>3604</v>
      </c>
      <c r="E678" s="48" t="s">
        <v>3140</v>
      </c>
      <c r="F678" s="49">
        <v>24</v>
      </c>
    </row>
    <row r="679" spans="1:6" x14ac:dyDescent="0.2">
      <c r="A679" s="48" t="s">
        <v>3804</v>
      </c>
      <c r="B679" s="48" t="s">
        <v>3327</v>
      </c>
      <c r="C679" s="48" t="s">
        <v>3327</v>
      </c>
      <c r="D679" s="48" t="s">
        <v>3494</v>
      </c>
      <c r="E679" s="48" t="s">
        <v>3140</v>
      </c>
      <c r="F679" s="49">
        <v>24</v>
      </c>
    </row>
    <row r="680" spans="1:6" x14ac:dyDescent="0.2">
      <c r="A680" s="48" t="s">
        <v>3803</v>
      </c>
      <c r="B680" s="48" t="s">
        <v>3253</v>
      </c>
      <c r="C680" s="48" t="s">
        <v>3253</v>
      </c>
      <c r="D680" s="48" t="s">
        <v>3802</v>
      </c>
      <c r="E680" s="48" t="s">
        <v>3140</v>
      </c>
      <c r="F680" s="49">
        <v>24</v>
      </c>
    </row>
    <row r="681" spans="1:6" x14ac:dyDescent="0.2">
      <c r="A681" s="48" t="s">
        <v>3801</v>
      </c>
      <c r="B681" s="48" t="s">
        <v>3156</v>
      </c>
      <c r="C681" s="48" t="s">
        <v>3156</v>
      </c>
      <c r="D681" s="48" t="s">
        <v>3410</v>
      </c>
      <c r="E681" s="48" t="s">
        <v>3140</v>
      </c>
      <c r="F681" s="49">
        <v>24</v>
      </c>
    </row>
    <row r="682" spans="1:6" x14ac:dyDescent="0.2">
      <c r="A682" s="48" t="s">
        <v>3800</v>
      </c>
      <c r="B682" s="48" t="s">
        <v>3327</v>
      </c>
      <c r="C682" s="48" t="s">
        <v>3510</v>
      </c>
      <c r="D682" s="48" t="s">
        <v>3799</v>
      </c>
      <c r="E682" s="48" t="s">
        <v>3140</v>
      </c>
      <c r="F682" s="49">
        <v>24</v>
      </c>
    </row>
    <row r="683" spans="1:6" x14ac:dyDescent="0.2">
      <c r="A683" s="48" t="s">
        <v>3798</v>
      </c>
      <c r="B683" s="48" t="s">
        <v>3167</v>
      </c>
      <c r="C683" s="48" t="s">
        <v>3166</v>
      </c>
      <c r="D683" s="48" t="s">
        <v>3547</v>
      </c>
      <c r="E683" s="48" t="s">
        <v>3140</v>
      </c>
      <c r="F683" s="49">
        <v>24</v>
      </c>
    </row>
    <row r="684" spans="1:6" x14ac:dyDescent="0.2">
      <c r="A684" s="48" t="s">
        <v>3797</v>
      </c>
      <c r="B684" s="48" t="s">
        <v>3157</v>
      </c>
      <c r="C684" s="48" t="s">
        <v>3413</v>
      </c>
      <c r="D684" s="48" t="s">
        <v>3413</v>
      </c>
      <c r="E684" s="48" t="s">
        <v>3140</v>
      </c>
      <c r="F684" s="49">
        <v>24</v>
      </c>
    </row>
    <row r="685" spans="1:6" x14ac:dyDescent="0.2">
      <c r="A685" s="48" t="s">
        <v>3796</v>
      </c>
      <c r="B685" s="48" t="s">
        <v>3149</v>
      </c>
      <c r="C685" s="48" t="s">
        <v>3148</v>
      </c>
      <c r="D685" s="48" t="s">
        <v>3795</v>
      </c>
      <c r="E685" s="48" t="s">
        <v>3140</v>
      </c>
      <c r="F685" s="49">
        <v>24</v>
      </c>
    </row>
    <row r="686" spans="1:6" x14ac:dyDescent="0.2">
      <c r="A686" s="48" t="s">
        <v>3794</v>
      </c>
      <c r="B686" s="48" t="s">
        <v>3153</v>
      </c>
      <c r="C686" s="48" t="s">
        <v>3686</v>
      </c>
      <c r="D686" s="48" t="s">
        <v>3686</v>
      </c>
      <c r="E686" s="48" t="s">
        <v>3140</v>
      </c>
      <c r="F686" s="49">
        <v>24</v>
      </c>
    </row>
    <row r="687" spans="1:6" x14ac:dyDescent="0.2">
      <c r="A687" s="48" t="s">
        <v>3793</v>
      </c>
      <c r="B687" s="48" t="s">
        <v>3160</v>
      </c>
      <c r="C687" s="48" t="s">
        <v>3789</v>
      </c>
      <c r="D687" s="48" t="s">
        <v>3789</v>
      </c>
      <c r="E687" s="48" t="s">
        <v>3140</v>
      </c>
      <c r="F687" s="49">
        <v>23</v>
      </c>
    </row>
    <row r="688" spans="1:6" x14ac:dyDescent="0.2">
      <c r="A688" s="48" t="s">
        <v>3792</v>
      </c>
      <c r="B688" s="48" t="s">
        <v>3177</v>
      </c>
      <c r="C688" s="48" t="s">
        <v>3219</v>
      </c>
      <c r="D688" s="48" t="s">
        <v>3705</v>
      </c>
      <c r="E688" s="48" t="s">
        <v>3140</v>
      </c>
      <c r="F688" s="49">
        <v>23</v>
      </c>
    </row>
    <row r="689" spans="1:6" x14ac:dyDescent="0.2">
      <c r="A689" s="48" t="s">
        <v>3791</v>
      </c>
      <c r="B689" s="48" t="s">
        <v>3142</v>
      </c>
      <c r="C689" s="48" t="s">
        <v>3145</v>
      </c>
      <c r="D689" s="48" t="s">
        <v>3145</v>
      </c>
      <c r="E689" s="48" t="s">
        <v>3140</v>
      </c>
      <c r="F689" s="49">
        <v>23</v>
      </c>
    </row>
    <row r="690" spans="1:6" x14ac:dyDescent="0.2">
      <c r="A690" s="48" t="s">
        <v>3790</v>
      </c>
      <c r="B690" s="48" t="s">
        <v>3160</v>
      </c>
      <c r="C690" s="48" t="s">
        <v>3789</v>
      </c>
      <c r="D690" s="48" t="s">
        <v>3789</v>
      </c>
      <c r="E690" s="48" t="s">
        <v>3140</v>
      </c>
      <c r="F690" s="49">
        <v>23</v>
      </c>
    </row>
    <row r="691" spans="1:6" x14ac:dyDescent="0.2">
      <c r="A691" s="48" t="s">
        <v>3788</v>
      </c>
      <c r="B691" s="48" t="s">
        <v>3253</v>
      </c>
      <c r="C691" s="48" t="s">
        <v>3253</v>
      </c>
      <c r="D691" s="48" t="s">
        <v>3506</v>
      </c>
      <c r="E691" s="48" t="s">
        <v>3140</v>
      </c>
      <c r="F691" s="49">
        <v>23</v>
      </c>
    </row>
    <row r="692" spans="1:6" x14ac:dyDescent="0.2">
      <c r="A692" s="48" t="s">
        <v>3787</v>
      </c>
      <c r="B692" s="48" t="s">
        <v>3327</v>
      </c>
      <c r="C692" s="48" t="s">
        <v>3327</v>
      </c>
      <c r="D692" s="48" t="s">
        <v>3611</v>
      </c>
      <c r="E692" s="48" t="s">
        <v>3140</v>
      </c>
      <c r="F692" s="49">
        <v>23</v>
      </c>
    </row>
    <row r="693" spans="1:6" x14ac:dyDescent="0.2">
      <c r="A693" s="48" t="s">
        <v>3786</v>
      </c>
      <c r="B693" s="48" t="s">
        <v>3142</v>
      </c>
      <c r="C693" s="48" t="s">
        <v>3142</v>
      </c>
      <c r="D693" s="48" t="s">
        <v>3785</v>
      </c>
      <c r="E693" s="48" t="s">
        <v>3140</v>
      </c>
      <c r="F693" s="49">
        <v>22</v>
      </c>
    </row>
    <row r="694" spans="1:6" x14ac:dyDescent="0.2">
      <c r="A694" s="48" t="s">
        <v>3784</v>
      </c>
      <c r="B694" s="48" t="s">
        <v>3406</v>
      </c>
      <c r="C694" s="48" t="s">
        <v>3233</v>
      </c>
      <c r="D694" s="48" t="s">
        <v>3405</v>
      </c>
      <c r="E694" s="48" t="s">
        <v>3140</v>
      </c>
      <c r="F694" s="49">
        <v>22</v>
      </c>
    </row>
    <row r="695" spans="1:6" x14ac:dyDescent="0.2">
      <c r="A695" s="48" t="s">
        <v>3783</v>
      </c>
      <c r="B695" s="48" t="s">
        <v>3177</v>
      </c>
      <c r="C695" s="48" t="s">
        <v>3176</v>
      </c>
      <c r="D695" s="48" t="s">
        <v>3335</v>
      </c>
      <c r="E695" s="48" t="s">
        <v>3140</v>
      </c>
      <c r="F695" s="49">
        <v>22</v>
      </c>
    </row>
    <row r="696" spans="1:6" x14ac:dyDescent="0.2">
      <c r="A696" s="48" t="s">
        <v>3782</v>
      </c>
      <c r="B696" s="48" t="s">
        <v>3253</v>
      </c>
      <c r="C696" s="48" t="s">
        <v>3253</v>
      </c>
      <c r="D696" s="48" t="s">
        <v>3781</v>
      </c>
      <c r="E696" s="48" t="s">
        <v>3140</v>
      </c>
      <c r="F696" s="49">
        <v>22</v>
      </c>
    </row>
    <row r="697" spans="1:6" x14ac:dyDescent="0.2">
      <c r="A697" s="48" t="s">
        <v>3780</v>
      </c>
      <c r="B697" s="48" t="s">
        <v>3253</v>
      </c>
      <c r="C697" s="48" t="s">
        <v>3253</v>
      </c>
      <c r="D697" s="48" t="s">
        <v>3779</v>
      </c>
      <c r="E697" s="48" t="s">
        <v>3140</v>
      </c>
      <c r="F697" s="49">
        <v>22</v>
      </c>
    </row>
    <row r="698" spans="1:6" x14ac:dyDescent="0.2">
      <c r="A698" s="48" t="s">
        <v>3778</v>
      </c>
      <c r="B698" s="48" t="s">
        <v>3177</v>
      </c>
      <c r="C698" s="48" t="s">
        <v>3176</v>
      </c>
      <c r="D698" s="48" t="s">
        <v>3777</v>
      </c>
      <c r="E698" s="48" t="s">
        <v>3140</v>
      </c>
      <c r="F698" s="49">
        <v>22</v>
      </c>
    </row>
    <row r="699" spans="1:6" x14ac:dyDescent="0.2">
      <c r="A699" s="48" t="s">
        <v>3776</v>
      </c>
      <c r="B699" s="48" t="s">
        <v>3234</v>
      </c>
      <c r="C699" s="48" t="s">
        <v>3233</v>
      </c>
      <c r="D699" s="48" t="s">
        <v>3232</v>
      </c>
      <c r="E699" s="48" t="s">
        <v>3140</v>
      </c>
      <c r="F699" s="49">
        <v>22</v>
      </c>
    </row>
    <row r="700" spans="1:6" x14ac:dyDescent="0.2">
      <c r="A700" s="48" t="s">
        <v>3775</v>
      </c>
      <c r="B700" s="48" t="s">
        <v>3157</v>
      </c>
      <c r="C700" s="48" t="s">
        <v>3244</v>
      </c>
      <c r="D700" s="48" t="s">
        <v>3774</v>
      </c>
      <c r="E700" s="48" t="s">
        <v>3140</v>
      </c>
      <c r="F700" s="49">
        <v>22</v>
      </c>
    </row>
    <row r="701" spans="1:6" x14ac:dyDescent="0.2">
      <c r="A701" s="48" t="s">
        <v>3773</v>
      </c>
      <c r="B701" s="48" t="s">
        <v>3294</v>
      </c>
      <c r="C701" s="48" t="s">
        <v>3181</v>
      </c>
      <c r="D701" s="48" t="s">
        <v>3293</v>
      </c>
      <c r="E701" s="48" t="s">
        <v>3140</v>
      </c>
      <c r="F701" s="49">
        <v>22</v>
      </c>
    </row>
    <row r="702" spans="1:6" x14ac:dyDescent="0.2">
      <c r="A702" s="48" t="s">
        <v>3772</v>
      </c>
      <c r="B702" s="48" t="s">
        <v>3177</v>
      </c>
      <c r="C702" s="48" t="s">
        <v>3219</v>
      </c>
      <c r="D702" s="48" t="s">
        <v>3219</v>
      </c>
      <c r="E702" s="48" t="s">
        <v>3140</v>
      </c>
      <c r="F702" s="49">
        <v>22</v>
      </c>
    </row>
    <row r="703" spans="1:6" x14ac:dyDescent="0.2">
      <c r="A703" s="48" t="s">
        <v>3771</v>
      </c>
      <c r="B703" s="48" t="s">
        <v>3253</v>
      </c>
      <c r="C703" s="48" t="s">
        <v>3253</v>
      </c>
      <c r="D703" s="48" t="s">
        <v>3506</v>
      </c>
      <c r="E703" s="48" t="s">
        <v>3140</v>
      </c>
      <c r="F703" s="49">
        <v>22</v>
      </c>
    </row>
    <row r="704" spans="1:6" x14ac:dyDescent="0.2">
      <c r="A704" s="48" t="s">
        <v>3770</v>
      </c>
      <c r="B704" s="48" t="s">
        <v>3210</v>
      </c>
      <c r="C704" s="48" t="s">
        <v>3209</v>
      </c>
      <c r="D704" s="48" t="s">
        <v>3769</v>
      </c>
      <c r="E704" s="48" t="s">
        <v>3140</v>
      </c>
      <c r="F704" s="49">
        <v>22</v>
      </c>
    </row>
    <row r="705" spans="1:6" x14ac:dyDescent="0.2">
      <c r="A705" s="48" t="s">
        <v>3768</v>
      </c>
      <c r="B705" s="48" t="s">
        <v>3568</v>
      </c>
      <c r="C705" s="48" t="s">
        <v>3233</v>
      </c>
      <c r="D705" s="48" t="s">
        <v>3767</v>
      </c>
      <c r="E705" s="48" t="s">
        <v>3140</v>
      </c>
      <c r="F705" s="49">
        <v>21</v>
      </c>
    </row>
    <row r="706" spans="1:6" x14ac:dyDescent="0.2">
      <c r="A706" s="48" t="s">
        <v>3766</v>
      </c>
      <c r="B706" s="48" t="s">
        <v>3210</v>
      </c>
      <c r="C706" s="48" t="s">
        <v>3209</v>
      </c>
      <c r="D706" s="48" t="s">
        <v>3208</v>
      </c>
      <c r="E706" s="48" t="s">
        <v>3140</v>
      </c>
      <c r="F706" s="49">
        <v>21</v>
      </c>
    </row>
    <row r="707" spans="1:6" x14ac:dyDescent="0.2">
      <c r="A707" s="48" t="s">
        <v>3765</v>
      </c>
      <c r="B707" s="48" t="s">
        <v>3167</v>
      </c>
      <c r="C707" s="48" t="s">
        <v>3237</v>
      </c>
      <c r="D707" s="48" t="s">
        <v>3556</v>
      </c>
      <c r="E707" s="48" t="s">
        <v>3140</v>
      </c>
      <c r="F707" s="49">
        <v>21</v>
      </c>
    </row>
    <row r="708" spans="1:6" x14ac:dyDescent="0.2">
      <c r="A708" s="48" t="s">
        <v>3764</v>
      </c>
      <c r="B708" s="48" t="s">
        <v>3234</v>
      </c>
      <c r="C708" s="48" t="s">
        <v>3233</v>
      </c>
      <c r="D708" s="48" t="s">
        <v>3564</v>
      </c>
      <c r="E708" s="48" t="s">
        <v>3140</v>
      </c>
      <c r="F708" s="49">
        <v>21</v>
      </c>
    </row>
    <row r="709" spans="1:6" x14ac:dyDescent="0.2">
      <c r="A709" s="48" t="s">
        <v>3763</v>
      </c>
      <c r="B709" s="48" t="s">
        <v>3177</v>
      </c>
      <c r="C709" s="48" t="s">
        <v>3176</v>
      </c>
      <c r="D709" s="48" t="s">
        <v>3438</v>
      </c>
      <c r="E709" s="48" t="s">
        <v>3140</v>
      </c>
      <c r="F709" s="49">
        <v>21</v>
      </c>
    </row>
    <row r="710" spans="1:6" x14ac:dyDescent="0.2">
      <c r="A710" s="48" t="s">
        <v>3762</v>
      </c>
      <c r="B710" s="48" t="s">
        <v>3500</v>
      </c>
      <c r="C710" s="48" t="s">
        <v>3233</v>
      </c>
      <c r="D710" s="48" t="s">
        <v>3499</v>
      </c>
      <c r="E710" s="48" t="s">
        <v>3140</v>
      </c>
      <c r="F710" s="49">
        <v>21</v>
      </c>
    </row>
    <row r="711" spans="1:6" x14ac:dyDescent="0.2">
      <c r="A711" s="48" t="s">
        <v>3761</v>
      </c>
      <c r="B711" s="48" t="s">
        <v>3274</v>
      </c>
      <c r="C711" s="48" t="s">
        <v>3551</v>
      </c>
      <c r="D711" s="48" t="s">
        <v>3550</v>
      </c>
      <c r="E711" s="48" t="s">
        <v>3140</v>
      </c>
      <c r="F711" s="49">
        <v>21</v>
      </c>
    </row>
    <row r="712" spans="1:6" x14ac:dyDescent="0.2">
      <c r="A712" s="48" t="s">
        <v>3760</v>
      </c>
      <c r="B712" s="48" t="s">
        <v>3234</v>
      </c>
      <c r="C712" s="48" t="s">
        <v>3233</v>
      </c>
      <c r="D712" s="48" t="s">
        <v>3483</v>
      </c>
      <c r="E712" s="48" t="s">
        <v>3140</v>
      </c>
      <c r="F712" s="49">
        <v>21</v>
      </c>
    </row>
    <row r="713" spans="1:6" x14ac:dyDescent="0.2">
      <c r="A713" s="48" t="s">
        <v>3759</v>
      </c>
      <c r="B713" s="48" t="s">
        <v>3160</v>
      </c>
      <c r="C713" s="48" t="s">
        <v>3525</v>
      </c>
      <c r="D713" s="48" t="s">
        <v>3524</v>
      </c>
      <c r="E713" s="48" t="s">
        <v>3140</v>
      </c>
      <c r="F713" s="49">
        <v>20</v>
      </c>
    </row>
    <row r="714" spans="1:6" x14ac:dyDescent="0.2">
      <c r="A714" s="48" t="s">
        <v>3758</v>
      </c>
      <c r="B714" s="48" t="s">
        <v>3156</v>
      </c>
      <c r="C714" s="48" t="s">
        <v>3227</v>
      </c>
      <c r="D714" s="48" t="s">
        <v>3621</v>
      </c>
      <c r="E714" s="48" t="s">
        <v>3140</v>
      </c>
      <c r="F714" s="49">
        <v>20</v>
      </c>
    </row>
    <row r="715" spans="1:6" x14ac:dyDescent="0.2">
      <c r="A715" s="48" t="s">
        <v>3757</v>
      </c>
      <c r="B715" s="48" t="s">
        <v>3160</v>
      </c>
      <c r="C715" s="48" t="s">
        <v>3160</v>
      </c>
      <c r="D715" s="48" t="s">
        <v>3756</v>
      </c>
      <c r="E715" s="48" t="s">
        <v>3140</v>
      </c>
      <c r="F715" s="49">
        <v>20</v>
      </c>
    </row>
    <row r="716" spans="1:6" x14ac:dyDescent="0.2">
      <c r="A716" s="48" t="s">
        <v>3755</v>
      </c>
      <c r="B716" s="48" t="s">
        <v>3274</v>
      </c>
      <c r="C716" s="48" t="s">
        <v>3551</v>
      </c>
      <c r="D716" s="48" t="s">
        <v>3754</v>
      </c>
      <c r="E716" s="48" t="s">
        <v>3140</v>
      </c>
      <c r="F716" s="49">
        <v>20</v>
      </c>
    </row>
    <row r="717" spans="1:6" x14ac:dyDescent="0.2">
      <c r="A717" s="48" t="s">
        <v>3753</v>
      </c>
      <c r="B717" s="48" t="s">
        <v>3149</v>
      </c>
      <c r="C717" s="48" t="s">
        <v>3148</v>
      </c>
      <c r="D717" s="48" t="s">
        <v>3306</v>
      </c>
      <c r="E717" s="48" t="s">
        <v>3140</v>
      </c>
      <c r="F717" s="49">
        <v>20</v>
      </c>
    </row>
    <row r="718" spans="1:6" x14ac:dyDescent="0.2">
      <c r="A718" s="48" t="s">
        <v>3752</v>
      </c>
      <c r="B718" s="48" t="s">
        <v>3149</v>
      </c>
      <c r="C718" s="48" t="s">
        <v>3318</v>
      </c>
      <c r="D718" s="48" t="s">
        <v>3751</v>
      </c>
      <c r="E718" s="48" t="s">
        <v>3140</v>
      </c>
      <c r="F718" s="49">
        <v>20</v>
      </c>
    </row>
    <row r="719" spans="1:6" x14ac:dyDescent="0.2">
      <c r="A719" s="48" t="s">
        <v>3750</v>
      </c>
      <c r="B719" s="48" t="s">
        <v>3142</v>
      </c>
      <c r="C719" s="48" t="s">
        <v>3145</v>
      </c>
      <c r="D719" s="48" t="s">
        <v>3145</v>
      </c>
      <c r="E719" s="48" t="s">
        <v>3140</v>
      </c>
      <c r="F719" s="49">
        <v>20</v>
      </c>
    </row>
    <row r="720" spans="1:6" x14ac:dyDescent="0.2">
      <c r="A720" s="48" t="s">
        <v>3749</v>
      </c>
      <c r="B720" s="48" t="s">
        <v>3153</v>
      </c>
      <c r="C720" s="48" t="s">
        <v>3689</v>
      </c>
      <c r="D720" s="48" t="s">
        <v>3689</v>
      </c>
      <c r="E720" s="48" t="s">
        <v>3140</v>
      </c>
      <c r="F720" s="49">
        <v>20</v>
      </c>
    </row>
    <row r="721" spans="1:6" x14ac:dyDescent="0.2">
      <c r="A721" s="48" t="s">
        <v>3748</v>
      </c>
      <c r="B721" s="48" t="s">
        <v>3153</v>
      </c>
      <c r="C721" s="48" t="s">
        <v>3403</v>
      </c>
      <c r="D721" s="48" t="s">
        <v>3402</v>
      </c>
      <c r="E721" s="48" t="s">
        <v>3140</v>
      </c>
      <c r="F721" s="49">
        <v>20</v>
      </c>
    </row>
    <row r="722" spans="1:6" x14ac:dyDescent="0.2">
      <c r="A722" s="48" t="s">
        <v>3747</v>
      </c>
      <c r="B722" s="48" t="s">
        <v>3568</v>
      </c>
      <c r="C722" s="48" t="s">
        <v>3233</v>
      </c>
      <c r="D722" s="48" t="s">
        <v>3746</v>
      </c>
      <c r="E722" s="48" t="s">
        <v>3140</v>
      </c>
      <c r="F722" s="49">
        <v>20</v>
      </c>
    </row>
    <row r="723" spans="1:6" x14ac:dyDescent="0.2">
      <c r="A723" s="48" t="s">
        <v>3745</v>
      </c>
      <c r="B723" s="48" t="s">
        <v>3253</v>
      </c>
      <c r="C723" s="48" t="s">
        <v>3253</v>
      </c>
      <c r="D723" s="48" t="s">
        <v>3506</v>
      </c>
      <c r="E723" s="48" t="s">
        <v>3140</v>
      </c>
      <c r="F723" s="49">
        <v>20</v>
      </c>
    </row>
    <row r="724" spans="1:6" x14ac:dyDescent="0.2">
      <c r="A724" s="48" t="s">
        <v>3744</v>
      </c>
      <c r="B724" s="48" t="s">
        <v>3253</v>
      </c>
      <c r="C724" s="48" t="s">
        <v>3253</v>
      </c>
      <c r="D724" s="48" t="s">
        <v>3743</v>
      </c>
      <c r="E724" s="48" t="s">
        <v>3140</v>
      </c>
      <c r="F724" s="49">
        <v>20</v>
      </c>
    </row>
    <row r="725" spans="1:6" x14ac:dyDescent="0.2">
      <c r="A725" s="48" t="s">
        <v>3742</v>
      </c>
      <c r="B725" s="48" t="s">
        <v>3149</v>
      </c>
      <c r="C725" s="48" t="s">
        <v>3215</v>
      </c>
      <c r="D725" s="48" t="s">
        <v>3214</v>
      </c>
      <c r="E725" s="48" t="s">
        <v>3140</v>
      </c>
      <c r="F725" s="49">
        <v>20</v>
      </c>
    </row>
    <row r="726" spans="1:6" x14ac:dyDescent="0.2">
      <c r="A726" s="48" t="s">
        <v>3741</v>
      </c>
      <c r="B726" s="48" t="s">
        <v>3234</v>
      </c>
      <c r="C726" s="48" t="s">
        <v>3233</v>
      </c>
      <c r="D726" s="48" t="s">
        <v>3232</v>
      </c>
      <c r="E726" s="48" t="s">
        <v>3140</v>
      </c>
      <c r="F726" s="49">
        <v>20</v>
      </c>
    </row>
    <row r="727" spans="1:6" x14ac:dyDescent="0.2">
      <c r="A727" s="48" t="s">
        <v>3740</v>
      </c>
      <c r="B727" s="48" t="s">
        <v>3177</v>
      </c>
      <c r="C727" s="48" t="s">
        <v>3176</v>
      </c>
      <c r="D727" s="48" t="s">
        <v>3452</v>
      </c>
      <c r="E727" s="48" t="s">
        <v>3140</v>
      </c>
      <c r="F727" s="49">
        <v>20</v>
      </c>
    </row>
    <row r="728" spans="1:6" x14ac:dyDescent="0.2">
      <c r="A728" s="48" t="s">
        <v>3739</v>
      </c>
      <c r="B728" s="48" t="s">
        <v>3142</v>
      </c>
      <c r="C728" s="48" t="s">
        <v>3141</v>
      </c>
      <c r="D728" s="48" t="s">
        <v>3141</v>
      </c>
      <c r="E728" s="48" t="s">
        <v>3140</v>
      </c>
      <c r="F728" s="49">
        <v>20</v>
      </c>
    </row>
    <row r="729" spans="1:6" x14ac:dyDescent="0.2">
      <c r="A729" s="48" t="s">
        <v>3738</v>
      </c>
      <c r="B729" s="48" t="s">
        <v>3253</v>
      </c>
      <c r="C729" s="48" t="s">
        <v>3181</v>
      </c>
      <c r="D729" s="48" t="s">
        <v>3713</v>
      </c>
      <c r="E729" s="48" t="s">
        <v>3140</v>
      </c>
      <c r="F729" s="49">
        <v>20</v>
      </c>
    </row>
    <row r="730" spans="1:6" x14ac:dyDescent="0.2">
      <c r="A730" s="48" t="s">
        <v>3737</v>
      </c>
      <c r="B730" s="48" t="s">
        <v>3142</v>
      </c>
      <c r="C730" s="48" t="s">
        <v>3163</v>
      </c>
      <c r="D730" s="48" t="s">
        <v>3162</v>
      </c>
      <c r="E730" s="48" t="s">
        <v>3140</v>
      </c>
      <c r="F730" s="49">
        <v>20</v>
      </c>
    </row>
    <row r="731" spans="1:6" x14ac:dyDescent="0.2">
      <c r="A731" s="48" t="s">
        <v>3736</v>
      </c>
      <c r="B731" s="48" t="s">
        <v>3156</v>
      </c>
      <c r="C731" s="48" t="s">
        <v>3156</v>
      </c>
      <c r="D731" s="48" t="s">
        <v>3410</v>
      </c>
      <c r="E731" s="48" t="s">
        <v>3140</v>
      </c>
      <c r="F731" s="49">
        <v>20</v>
      </c>
    </row>
    <row r="732" spans="1:6" x14ac:dyDescent="0.2">
      <c r="A732" s="48" t="s">
        <v>3735</v>
      </c>
      <c r="B732" s="48" t="s">
        <v>3234</v>
      </c>
      <c r="C732" s="48" t="s">
        <v>3233</v>
      </c>
      <c r="D732" s="48" t="s">
        <v>3232</v>
      </c>
      <c r="E732" s="48" t="s">
        <v>3140</v>
      </c>
      <c r="F732" s="49">
        <v>20</v>
      </c>
    </row>
    <row r="733" spans="1:6" x14ac:dyDescent="0.2">
      <c r="A733" s="48" t="s">
        <v>3734</v>
      </c>
      <c r="B733" s="48" t="s">
        <v>3177</v>
      </c>
      <c r="C733" s="48" t="s">
        <v>3219</v>
      </c>
      <c r="D733" s="48" t="s">
        <v>3331</v>
      </c>
      <c r="E733" s="48" t="s">
        <v>3140</v>
      </c>
      <c r="F733" s="49">
        <v>20</v>
      </c>
    </row>
    <row r="734" spans="1:6" x14ac:dyDescent="0.2">
      <c r="A734" s="48" t="s">
        <v>3733</v>
      </c>
      <c r="B734" s="48" t="s">
        <v>3182</v>
      </c>
      <c r="C734" s="48" t="s">
        <v>3182</v>
      </c>
      <c r="D734" s="48" t="s">
        <v>3732</v>
      </c>
      <c r="E734" s="48" t="s">
        <v>3140</v>
      </c>
      <c r="F734" s="49">
        <v>20</v>
      </c>
    </row>
    <row r="735" spans="1:6" x14ac:dyDescent="0.2">
      <c r="A735" s="48" t="s">
        <v>3731</v>
      </c>
      <c r="B735" s="48" t="s">
        <v>3149</v>
      </c>
      <c r="C735" s="48" t="s">
        <v>3196</v>
      </c>
      <c r="D735" s="48" t="s">
        <v>3224</v>
      </c>
      <c r="E735" s="48" t="s">
        <v>3140</v>
      </c>
      <c r="F735" s="49">
        <v>20</v>
      </c>
    </row>
    <row r="736" spans="1:6" x14ac:dyDescent="0.2">
      <c r="A736" s="48" t="s">
        <v>3730</v>
      </c>
      <c r="B736" s="48" t="s">
        <v>3327</v>
      </c>
      <c r="C736" s="48" t="s">
        <v>3327</v>
      </c>
      <c r="D736" s="48" t="s">
        <v>3729</v>
      </c>
      <c r="E736" s="48" t="s">
        <v>3140</v>
      </c>
      <c r="F736" s="49">
        <v>20</v>
      </c>
    </row>
    <row r="737" spans="1:6" x14ac:dyDescent="0.2">
      <c r="A737" s="48" t="s">
        <v>3728</v>
      </c>
      <c r="B737" s="48" t="s">
        <v>3327</v>
      </c>
      <c r="C737" s="48" t="s">
        <v>3327</v>
      </c>
      <c r="D737" s="48" t="s">
        <v>3727</v>
      </c>
      <c r="E737" s="48" t="s">
        <v>3140</v>
      </c>
      <c r="F737" s="49">
        <v>20</v>
      </c>
    </row>
    <row r="738" spans="1:6" x14ac:dyDescent="0.2">
      <c r="A738" s="48" t="s">
        <v>3726</v>
      </c>
      <c r="B738" s="48" t="s">
        <v>3177</v>
      </c>
      <c r="C738" s="48" t="s">
        <v>3219</v>
      </c>
      <c r="D738" s="48" t="s">
        <v>3219</v>
      </c>
      <c r="E738" s="48" t="s">
        <v>3140</v>
      </c>
      <c r="F738" s="49">
        <v>20</v>
      </c>
    </row>
    <row r="739" spans="1:6" x14ac:dyDescent="0.2">
      <c r="A739" s="48" t="s">
        <v>3725</v>
      </c>
      <c r="B739" s="48" t="s">
        <v>3327</v>
      </c>
      <c r="C739" s="48" t="s">
        <v>3510</v>
      </c>
      <c r="D739" s="48" t="s">
        <v>3724</v>
      </c>
      <c r="E739" s="48" t="s">
        <v>3140</v>
      </c>
      <c r="F739" s="49">
        <v>20</v>
      </c>
    </row>
    <row r="740" spans="1:6" x14ac:dyDescent="0.2">
      <c r="A740" s="48" t="s">
        <v>3723</v>
      </c>
      <c r="B740" s="48" t="s">
        <v>3153</v>
      </c>
      <c r="C740" s="48" t="s">
        <v>3352</v>
      </c>
      <c r="D740" s="48" t="s">
        <v>3351</v>
      </c>
      <c r="E740" s="48" t="s">
        <v>3140</v>
      </c>
      <c r="F740" s="49">
        <v>20</v>
      </c>
    </row>
    <row r="741" spans="1:6" x14ac:dyDescent="0.2">
      <c r="A741" s="48" t="s">
        <v>3722</v>
      </c>
      <c r="B741" s="48" t="s">
        <v>3324</v>
      </c>
      <c r="C741" s="48" t="s">
        <v>3209</v>
      </c>
      <c r="D741" s="48" t="s">
        <v>3721</v>
      </c>
      <c r="E741" s="48" t="s">
        <v>3140</v>
      </c>
      <c r="F741" s="49">
        <v>20</v>
      </c>
    </row>
    <row r="742" spans="1:6" x14ac:dyDescent="0.2">
      <c r="A742" s="48" t="s">
        <v>3720</v>
      </c>
      <c r="B742" s="48" t="s">
        <v>3157</v>
      </c>
      <c r="C742" s="48" t="s">
        <v>3156</v>
      </c>
      <c r="D742" s="48" t="s">
        <v>3297</v>
      </c>
      <c r="E742" s="48" t="s">
        <v>3140</v>
      </c>
      <c r="F742" s="49">
        <v>20</v>
      </c>
    </row>
    <row r="743" spans="1:6" x14ac:dyDescent="0.2">
      <c r="A743" s="48" t="s">
        <v>3719</v>
      </c>
      <c r="B743" s="48" t="s">
        <v>3274</v>
      </c>
      <c r="C743" s="48" t="s">
        <v>3233</v>
      </c>
      <c r="D743" s="48" t="s">
        <v>3718</v>
      </c>
      <c r="E743" s="48" t="s">
        <v>3140</v>
      </c>
      <c r="F743" s="49">
        <v>20</v>
      </c>
    </row>
    <row r="744" spans="1:6" x14ac:dyDescent="0.2">
      <c r="A744" s="48" t="s">
        <v>3717</v>
      </c>
      <c r="B744" s="48" t="s">
        <v>3177</v>
      </c>
      <c r="C744" s="48" t="s">
        <v>3191</v>
      </c>
      <c r="D744" s="48" t="s">
        <v>3422</v>
      </c>
      <c r="E744" s="48" t="s">
        <v>3140</v>
      </c>
      <c r="F744" s="49">
        <v>20</v>
      </c>
    </row>
    <row r="745" spans="1:6" x14ac:dyDescent="0.2">
      <c r="A745" s="48" t="s">
        <v>3716</v>
      </c>
      <c r="B745" s="48" t="s">
        <v>3142</v>
      </c>
      <c r="C745" s="48" t="s">
        <v>3142</v>
      </c>
      <c r="D745" s="48" t="s">
        <v>3376</v>
      </c>
      <c r="E745" s="48" t="s">
        <v>3140</v>
      </c>
      <c r="F745" s="49">
        <v>20</v>
      </c>
    </row>
    <row r="746" spans="1:6" x14ac:dyDescent="0.2">
      <c r="A746" s="48" t="s">
        <v>3715</v>
      </c>
      <c r="B746" s="48" t="s">
        <v>3149</v>
      </c>
      <c r="C746" s="48" t="s">
        <v>3215</v>
      </c>
      <c r="D746" s="48" t="s">
        <v>3214</v>
      </c>
      <c r="E746" s="48" t="s">
        <v>3140</v>
      </c>
      <c r="F746" s="49">
        <v>20</v>
      </c>
    </row>
    <row r="747" spans="1:6" x14ac:dyDescent="0.2">
      <c r="A747" s="48" t="s">
        <v>3714</v>
      </c>
      <c r="B747" s="48" t="s">
        <v>3253</v>
      </c>
      <c r="C747" s="48" t="s">
        <v>3181</v>
      </c>
      <c r="D747" s="48" t="s">
        <v>3713</v>
      </c>
      <c r="E747" s="48" t="s">
        <v>3140</v>
      </c>
      <c r="F747" s="49">
        <v>20</v>
      </c>
    </row>
    <row r="748" spans="1:6" x14ac:dyDescent="0.2">
      <c r="A748" s="48" t="s">
        <v>3712</v>
      </c>
      <c r="B748" s="48" t="s">
        <v>3274</v>
      </c>
      <c r="C748" s="48" t="s">
        <v>3551</v>
      </c>
      <c r="D748" s="48" t="s">
        <v>3578</v>
      </c>
      <c r="E748" s="48" t="s">
        <v>3140</v>
      </c>
      <c r="F748" s="49">
        <v>20</v>
      </c>
    </row>
    <row r="749" spans="1:6" x14ac:dyDescent="0.2">
      <c r="A749" s="48" t="s">
        <v>3711</v>
      </c>
      <c r="B749" s="48" t="s">
        <v>3153</v>
      </c>
      <c r="C749" s="48" t="s">
        <v>3689</v>
      </c>
      <c r="D749" s="48" t="s">
        <v>3689</v>
      </c>
      <c r="E749" s="48" t="s">
        <v>3140</v>
      </c>
      <c r="F749" s="49">
        <v>20</v>
      </c>
    </row>
    <row r="750" spans="1:6" x14ac:dyDescent="0.2">
      <c r="A750" s="48" t="s">
        <v>3710</v>
      </c>
      <c r="B750" s="48" t="s">
        <v>3160</v>
      </c>
      <c r="C750" s="48" t="s">
        <v>3160</v>
      </c>
      <c r="D750" s="48" t="s">
        <v>3709</v>
      </c>
      <c r="E750" s="48" t="s">
        <v>3140</v>
      </c>
      <c r="F750" s="49">
        <v>20</v>
      </c>
    </row>
    <row r="751" spans="1:6" x14ac:dyDescent="0.2">
      <c r="A751" s="48" t="s">
        <v>3708</v>
      </c>
      <c r="B751" s="48" t="s">
        <v>3253</v>
      </c>
      <c r="C751" s="48" t="s">
        <v>3253</v>
      </c>
      <c r="D751" s="48" t="s">
        <v>3707</v>
      </c>
      <c r="E751" s="48" t="s">
        <v>3140</v>
      </c>
      <c r="F751" s="49">
        <v>20</v>
      </c>
    </row>
    <row r="752" spans="1:6" x14ac:dyDescent="0.2">
      <c r="A752" s="48" t="s">
        <v>3706</v>
      </c>
      <c r="B752" s="48" t="s">
        <v>3177</v>
      </c>
      <c r="C752" s="48" t="s">
        <v>3219</v>
      </c>
      <c r="D752" s="48" t="s">
        <v>3705</v>
      </c>
      <c r="E752" s="48" t="s">
        <v>3140</v>
      </c>
      <c r="F752" s="49">
        <v>20</v>
      </c>
    </row>
    <row r="753" spans="1:6" x14ac:dyDescent="0.2">
      <c r="A753" s="48" t="s">
        <v>3704</v>
      </c>
      <c r="B753" s="48" t="s">
        <v>3153</v>
      </c>
      <c r="C753" s="48" t="s">
        <v>3398</v>
      </c>
      <c r="D753" s="48" t="s">
        <v>3398</v>
      </c>
      <c r="E753" s="48" t="s">
        <v>3140</v>
      </c>
      <c r="F753" s="49">
        <v>20</v>
      </c>
    </row>
    <row r="754" spans="1:6" x14ac:dyDescent="0.2">
      <c r="A754" s="48" t="s">
        <v>3703</v>
      </c>
      <c r="B754" s="48" t="s">
        <v>3406</v>
      </c>
      <c r="C754" s="48" t="s">
        <v>3233</v>
      </c>
      <c r="D754" s="48" t="s">
        <v>3702</v>
      </c>
      <c r="E754" s="48" t="s">
        <v>3140</v>
      </c>
      <c r="F754" s="49">
        <v>20</v>
      </c>
    </row>
    <row r="755" spans="1:6" x14ac:dyDescent="0.2">
      <c r="A755" s="48" t="s">
        <v>3701</v>
      </c>
      <c r="B755" s="48" t="s">
        <v>3253</v>
      </c>
      <c r="C755" s="48" t="s">
        <v>3253</v>
      </c>
      <c r="D755" s="48" t="s">
        <v>3655</v>
      </c>
      <c r="E755" s="48" t="s">
        <v>3140</v>
      </c>
      <c r="F755" s="49">
        <v>20</v>
      </c>
    </row>
    <row r="756" spans="1:6" x14ac:dyDescent="0.2">
      <c r="A756" s="48" t="s">
        <v>3700</v>
      </c>
      <c r="B756" s="48" t="s">
        <v>3149</v>
      </c>
      <c r="C756" s="48" t="s">
        <v>3196</v>
      </c>
      <c r="D756" s="48" t="s">
        <v>3380</v>
      </c>
      <c r="E756" s="48" t="s">
        <v>3140</v>
      </c>
      <c r="F756" s="49">
        <v>20</v>
      </c>
    </row>
    <row r="757" spans="1:6" x14ac:dyDescent="0.2">
      <c r="A757" s="48" t="s">
        <v>3699</v>
      </c>
      <c r="B757" s="48" t="s">
        <v>3142</v>
      </c>
      <c r="C757" s="48" t="s">
        <v>3142</v>
      </c>
      <c r="D757" s="48" t="s">
        <v>3428</v>
      </c>
      <c r="E757" s="48" t="s">
        <v>3140</v>
      </c>
      <c r="F757" s="49">
        <v>20</v>
      </c>
    </row>
    <row r="758" spans="1:6" x14ac:dyDescent="0.2">
      <c r="A758" s="48" t="s">
        <v>3698</v>
      </c>
      <c r="B758" s="48" t="s">
        <v>3327</v>
      </c>
      <c r="C758" s="48" t="s">
        <v>3327</v>
      </c>
      <c r="D758" s="48" t="s">
        <v>3326</v>
      </c>
      <c r="E758" s="48" t="s">
        <v>3140</v>
      </c>
      <c r="F758" s="49">
        <v>20</v>
      </c>
    </row>
    <row r="759" spans="1:6" x14ac:dyDescent="0.2">
      <c r="A759" s="48" t="s">
        <v>3697</v>
      </c>
      <c r="B759" s="48" t="s">
        <v>3160</v>
      </c>
      <c r="C759" s="48" t="s">
        <v>3160</v>
      </c>
      <c r="D759" s="48" t="s">
        <v>3696</v>
      </c>
      <c r="E759" s="48" t="s">
        <v>3140</v>
      </c>
      <c r="F759" s="49">
        <v>19</v>
      </c>
    </row>
    <row r="760" spans="1:6" x14ac:dyDescent="0.2">
      <c r="A760" s="48" t="s">
        <v>3695</v>
      </c>
      <c r="B760" s="48" t="s">
        <v>3149</v>
      </c>
      <c r="C760" s="48" t="s">
        <v>3185</v>
      </c>
      <c r="D760" s="48" t="s">
        <v>3184</v>
      </c>
      <c r="E760" s="48" t="s">
        <v>3140</v>
      </c>
      <c r="F760" s="49">
        <v>19</v>
      </c>
    </row>
    <row r="761" spans="1:6" x14ac:dyDescent="0.2">
      <c r="A761" s="48" t="s">
        <v>3694</v>
      </c>
      <c r="B761" s="48" t="s">
        <v>3253</v>
      </c>
      <c r="C761" s="48" t="s">
        <v>3253</v>
      </c>
      <c r="D761" s="48" t="s">
        <v>3693</v>
      </c>
      <c r="E761" s="48" t="s">
        <v>3140</v>
      </c>
      <c r="F761" s="49">
        <v>19</v>
      </c>
    </row>
    <row r="762" spans="1:6" x14ac:dyDescent="0.2">
      <c r="A762" s="48" t="s">
        <v>3692</v>
      </c>
      <c r="B762" s="48" t="s">
        <v>3253</v>
      </c>
      <c r="C762" s="48" t="s">
        <v>3253</v>
      </c>
      <c r="D762" s="48" t="s">
        <v>3513</v>
      </c>
      <c r="E762" s="48" t="s">
        <v>3140</v>
      </c>
      <c r="F762" s="49">
        <v>19</v>
      </c>
    </row>
    <row r="763" spans="1:6" x14ac:dyDescent="0.2">
      <c r="A763" s="48" t="s">
        <v>3691</v>
      </c>
      <c r="B763" s="48" t="s">
        <v>3157</v>
      </c>
      <c r="C763" s="48" t="s">
        <v>3413</v>
      </c>
      <c r="D763" s="48" t="s">
        <v>3413</v>
      </c>
      <c r="E763" s="48" t="s">
        <v>3140</v>
      </c>
      <c r="F763" s="49">
        <v>19</v>
      </c>
    </row>
    <row r="764" spans="1:6" x14ac:dyDescent="0.2">
      <c r="A764" s="48" t="s">
        <v>3690</v>
      </c>
      <c r="B764" s="48" t="s">
        <v>3153</v>
      </c>
      <c r="C764" s="48" t="s">
        <v>3689</v>
      </c>
      <c r="D764" s="48" t="s">
        <v>3689</v>
      </c>
      <c r="E764" s="48" t="s">
        <v>3140</v>
      </c>
      <c r="F764" s="49">
        <v>19</v>
      </c>
    </row>
    <row r="765" spans="1:6" x14ac:dyDescent="0.2">
      <c r="A765" s="48" t="s">
        <v>3688</v>
      </c>
      <c r="B765" s="48" t="s">
        <v>3234</v>
      </c>
      <c r="C765" s="48" t="s">
        <v>3233</v>
      </c>
      <c r="D765" s="48" t="s">
        <v>3532</v>
      </c>
      <c r="E765" s="48" t="s">
        <v>3140</v>
      </c>
      <c r="F765" s="49">
        <v>19</v>
      </c>
    </row>
    <row r="766" spans="1:6" x14ac:dyDescent="0.2">
      <c r="A766" s="48" t="s">
        <v>3687</v>
      </c>
      <c r="B766" s="48" t="s">
        <v>3153</v>
      </c>
      <c r="C766" s="48" t="s">
        <v>3686</v>
      </c>
      <c r="D766" s="48" t="s">
        <v>3686</v>
      </c>
      <c r="E766" s="48" t="s">
        <v>3140</v>
      </c>
      <c r="F766" s="49">
        <v>18</v>
      </c>
    </row>
    <row r="767" spans="1:6" x14ac:dyDescent="0.2">
      <c r="A767" s="48" t="s">
        <v>3685</v>
      </c>
      <c r="B767" s="48" t="s">
        <v>3156</v>
      </c>
      <c r="C767" s="48" t="s">
        <v>3156</v>
      </c>
      <c r="D767" s="48" t="s">
        <v>3684</v>
      </c>
      <c r="E767" s="48" t="s">
        <v>3140</v>
      </c>
      <c r="F767" s="49">
        <v>18</v>
      </c>
    </row>
    <row r="768" spans="1:6" x14ac:dyDescent="0.2">
      <c r="A768" s="48" t="s">
        <v>3683</v>
      </c>
      <c r="B768" s="48" t="s">
        <v>3327</v>
      </c>
      <c r="C768" s="48" t="s">
        <v>3327</v>
      </c>
      <c r="D768" s="48" t="s">
        <v>3682</v>
      </c>
      <c r="E768" s="48" t="s">
        <v>3140</v>
      </c>
      <c r="F768" s="49">
        <v>18</v>
      </c>
    </row>
    <row r="769" spans="1:6" x14ac:dyDescent="0.2">
      <c r="A769" s="48" t="s">
        <v>3681</v>
      </c>
      <c r="B769" s="48" t="s">
        <v>3177</v>
      </c>
      <c r="C769" s="48" t="s">
        <v>3206</v>
      </c>
      <c r="D769" s="48" t="s">
        <v>3368</v>
      </c>
      <c r="E769" s="48" t="s">
        <v>3140</v>
      </c>
      <c r="F769" s="49">
        <v>18</v>
      </c>
    </row>
    <row r="770" spans="1:6" x14ac:dyDescent="0.2">
      <c r="A770" s="48" t="s">
        <v>3680</v>
      </c>
      <c r="B770" s="48" t="s">
        <v>3157</v>
      </c>
      <c r="C770" s="48" t="s">
        <v>3156</v>
      </c>
      <c r="D770" s="48" t="s">
        <v>3271</v>
      </c>
      <c r="E770" s="48" t="s">
        <v>3140</v>
      </c>
      <c r="F770" s="49">
        <v>18</v>
      </c>
    </row>
    <row r="771" spans="1:6" x14ac:dyDescent="0.2">
      <c r="A771" s="48" t="s">
        <v>3679</v>
      </c>
      <c r="B771" s="48" t="s">
        <v>3167</v>
      </c>
      <c r="C771" s="48" t="s">
        <v>3426</v>
      </c>
      <c r="D771" s="48" t="s">
        <v>3678</v>
      </c>
      <c r="E771" s="48" t="s">
        <v>3140</v>
      </c>
      <c r="F771" s="49">
        <v>18</v>
      </c>
    </row>
    <row r="772" spans="1:6" x14ac:dyDescent="0.2">
      <c r="A772" s="48" t="s">
        <v>3677</v>
      </c>
      <c r="B772" s="48" t="s">
        <v>3234</v>
      </c>
      <c r="C772" s="48" t="s">
        <v>3233</v>
      </c>
      <c r="D772" s="48" t="s">
        <v>3676</v>
      </c>
      <c r="E772" s="48" t="s">
        <v>3140</v>
      </c>
      <c r="F772" s="49">
        <v>18</v>
      </c>
    </row>
    <row r="773" spans="1:6" x14ac:dyDescent="0.2">
      <c r="A773" s="48" t="s">
        <v>3675</v>
      </c>
      <c r="B773" s="48" t="s">
        <v>3253</v>
      </c>
      <c r="C773" s="48" t="s">
        <v>3253</v>
      </c>
      <c r="D773" s="48" t="s">
        <v>3655</v>
      </c>
      <c r="E773" s="48" t="s">
        <v>3140</v>
      </c>
      <c r="F773" s="49">
        <v>18</v>
      </c>
    </row>
    <row r="774" spans="1:6" x14ac:dyDescent="0.2">
      <c r="A774" s="48" t="s">
        <v>3674</v>
      </c>
      <c r="B774" s="48" t="s">
        <v>3157</v>
      </c>
      <c r="C774" s="48" t="s">
        <v>3286</v>
      </c>
      <c r="D774" s="48" t="s">
        <v>3537</v>
      </c>
      <c r="E774" s="48" t="s">
        <v>3140</v>
      </c>
      <c r="F774" s="49">
        <v>18</v>
      </c>
    </row>
    <row r="775" spans="1:6" x14ac:dyDescent="0.2">
      <c r="A775" s="48" t="s">
        <v>3673</v>
      </c>
      <c r="B775" s="48" t="s">
        <v>3324</v>
      </c>
      <c r="C775" s="48" t="s">
        <v>3209</v>
      </c>
      <c r="D775" s="48" t="s">
        <v>3323</v>
      </c>
      <c r="E775" s="48" t="s">
        <v>3140</v>
      </c>
      <c r="F775" s="49">
        <v>18</v>
      </c>
    </row>
    <row r="776" spans="1:6" x14ac:dyDescent="0.2">
      <c r="A776" s="48" t="s">
        <v>3672</v>
      </c>
      <c r="B776" s="48" t="s">
        <v>3406</v>
      </c>
      <c r="C776" s="48" t="s">
        <v>3233</v>
      </c>
      <c r="D776" s="48" t="s">
        <v>3560</v>
      </c>
      <c r="E776" s="48" t="s">
        <v>3140</v>
      </c>
      <c r="F776" s="49">
        <v>17</v>
      </c>
    </row>
    <row r="777" spans="1:6" x14ac:dyDescent="0.2">
      <c r="A777" s="48" t="s">
        <v>3671</v>
      </c>
      <c r="B777" s="48" t="s">
        <v>3500</v>
      </c>
      <c r="C777" s="48" t="s">
        <v>3233</v>
      </c>
      <c r="D777" s="48" t="s">
        <v>3499</v>
      </c>
      <c r="E777" s="48" t="s">
        <v>3140</v>
      </c>
      <c r="F777" s="49">
        <v>17</v>
      </c>
    </row>
    <row r="778" spans="1:6" x14ac:dyDescent="0.2">
      <c r="A778" s="48" t="s">
        <v>3670</v>
      </c>
      <c r="B778" s="48" t="s">
        <v>3160</v>
      </c>
      <c r="C778" s="48" t="s">
        <v>3160</v>
      </c>
      <c r="D778" s="48" t="s">
        <v>3669</v>
      </c>
      <c r="E778" s="48" t="s">
        <v>3140</v>
      </c>
      <c r="F778" s="49">
        <v>17</v>
      </c>
    </row>
    <row r="779" spans="1:6" x14ac:dyDescent="0.2">
      <c r="A779" s="48" t="s">
        <v>3668</v>
      </c>
      <c r="B779" s="48" t="s">
        <v>3153</v>
      </c>
      <c r="C779" s="48" t="s">
        <v>3667</v>
      </c>
      <c r="D779" s="48" t="s">
        <v>3357</v>
      </c>
      <c r="E779" s="48" t="s">
        <v>3140</v>
      </c>
      <c r="F779" s="49">
        <v>17</v>
      </c>
    </row>
    <row r="780" spans="1:6" x14ac:dyDescent="0.2">
      <c r="A780" s="48" t="s">
        <v>3666</v>
      </c>
      <c r="B780" s="48" t="s">
        <v>3274</v>
      </c>
      <c r="C780" s="48" t="s">
        <v>3551</v>
      </c>
      <c r="D780" s="48" t="s">
        <v>3578</v>
      </c>
      <c r="E780" s="48" t="s">
        <v>3140</v>
      </c>
      <c r="F780" s="49">
        <v>17</v>
      </c>
    </row>
    <row r="781" spans="1:6" x14ac:dyDescent="0.2">
      <c r="A781" s="48" t="s">
        <v>3665</v>
      </c>
      <c r="B781" s="48" t="s">
        <v>3160</v>
      </c>
      <c r="C781" s="48" t="s">
        <v>3525</v>
      </c>
      <c r="D781" s="48" t="s">
        <v>3664</v>
      </c>
      <c r="E781" s="48" t="s">
        <v>3140</v>
      </c>
      <c r="F781" s="49">
        <v>17</v>
      </c>
    </row>
    <row r="782" spans="1:6" x14ac:dyDescent="0.2">
      <c r="A782" s="48" t="s">
        <v>3663</v>
      </c>
      <c r="B782" s="48" t="s">
        <v>3142</v>
      </c>
      <c r="C782" s="48" t="s">
        <v>3163</v>
      </c>
      <c r="D782" s="48" t="s">
        <v>3162</v>
      </c>
      <c r="E782" s="48" t="s">
        <v>3140</v>
      </c>
      <c r="F782" s="49">
        <v>17</v>
      </c>
    </row>
    <row r="783" spans="1:6" x14ac:dyDescent="0.2">
      <c r="A783" s="48" t="s">
        <v>3662</v>
      </c>
      <c r="B783" s="48" t="s">
        <v>3153</v>
      </c>
      <c r="C783" s="48" t="s">
        <v>3515</v>
      </c>
      <c r="D783" s="48" t="s">
        <v>3357</v>
      </c>
      <c r="E783" s="48" t="s">
        <v>3140</v>
      </c>
      <c r="F783" s="49">
        <v>17</v>
      </c>
    </row>
    <row r="784" spans="1:6" x14ac:dyDescent="0.2">
      <c r="A784" s="48" t="s">
        <v>3661</v>
      </c>
      <c r="B784" s="48" t="s">
        <v>3274</v>
      </c>
      <c r="C784" s="48" t="s">
        <v>3551</v>
      </c>
      <c r="D784" s="48" t="s">
        <v>3550</v>
      </c>
      <c r="E784" s="48" t="s">
        <v>3140</v>
      </c>
      <c r="F784" s="49">
        <v>16</v>
      </c>
    </row>
    <row r="785" spans="1:6" x14ac:dyDescent="0.2">
      <c r="A785" s="48" t="s">
        <v>3660</v>
      </c>
      <c r="B785" s="48" t="s">
        <v>3182</v>
      </c>
      <c r="C785" s="48" t="s">
        <v>3268</v>
      </c>
      <c r="D785" s="48" t="s">
        <v>3267</v>
      </c>
      <c r="E785" s="48" t="s">
        <v>3140</v>
      </c>
      <c r="F785" s="49">
        <v>16</v>
      </c>
    </row>
    <row r="786" spans="1:6" x14ac:dyDescent="0.2">
      <c r="A786" s="48" t="s">
        <v>3659</v>
      </c>
      <c r="B786" s="48" t="s">
        <v>3153</v>
      </c>
      <c r="C786" s="48" t="s">
        <v>3352</v>
      </c>
      <c r="D786" s="48" t="s">
        <v>3351</v>
      </c>
      <c r="E786" s="48" t="s">
        <v>3140</v>
      </c>
      <c r="F786" s="49">
        <v>16</v>
      </c>
    </row>
    <row r="787" spans="1:6" x14ac:dyDescent="0.2">
      <c r="A787" s="48" t="s">
        <v>3658</v>
      </c>
      <c r="B787" s="48" t="s">
        <v>3406</v>
      </c>
      <c r="C787" s="48" t="s">
        <v>3233</v>
      </c>
      <c r="D787" s="48" t="s">
        <v>3657</v>
      </c>
      <c r="E787" s="48" t="s">
        <v>3140</v>
      </c>
      <c r="F787" s="49">
        <v>16</v>
      </c>
    </row>
    <row r="788" spans="1:6" x14ac:dyDescent="0.2">
      <c r="A788" s="48" t="s">
        <v>3656</v>
      </c>
      <c r="B788" s="48" t="s">
        <v>3253</v>
      </c>
      <c r="C788" s="48" t="s">
        <v>3253</v>
      </c>
      <c r="D788" s="48" t="s">
        <v>3655</v>
      </c>
      <c r="E788" s="48" t="s">
        <v>3140</v>
      </c>
      <c r="F788" s="49">
        <v>16</v>
      </c>
    </row>
    <row r="789" spans="1:6" x14ac:dyDescent="0.2">
      <c r="A789" s="48" t="s">
        <v>3654</v>
      </c>
      <c r="B789" s="48" t="s">
        <v>3327</v>
      </c>
      <c r="C789" s="48" t="s">
        <v>3510</v>
      </c>
      <c r="D789" s="48" t="s">
        <v>3641</v>
      </c>
      <c r="E789" s="48" t="s">
        <v>3140</v>
      </c>
      <c r="F789" s="49">
        <v>16</v>
      </c>
    </row>
    <row r="790" spans="1:6" x14ac:dyDescent="0.2">
      <c r="A790" s="48" t="s">
        <v>3653</v>
      </c>
      <c r="B790" s="48" t="s">
        <v>3160</v>
      </c>
      <c r="C790" s="48" t="s">
        <v>3160</v>
      </c>
      <c r="D790" s="48" t="s">
        <v>3652</v>
      </c>
      <c r="E790" s="48" t="s">
        <v>3140</v>
      </c>
      <c r="F790" s="49">
        <v>16</v>
      </c>
    </row>
    <row r="791" spans="1:6" x14ac:dyDescent="0.2">
      <c r="A791" s="48" t="s">
        <v>3651</v>
      </c>
      <c r="B791" s="48" t="s">
        <v>3210</v>
      </c>
      <c r="C791" s="48" t="s">
        <v>3268</v>
      </c>
      <c r="D791" s="48" t="s">
        <v>3650</v>
      </c>
      <c r="E791" s="48" t="s">
        <v>3140</v>
      </c>
      <c r="F791" s="49">
        <v>16</v>
      </c>
    </row>
    <row r="792" spans="1:6" x14ac:dyDescent="0.2">
      <c r="A792" s="48" t="s">
        <v>3649</v>
      </c>
      <c r="B792" s="48" t="s">
        <v>3167</v>
      </c>
      <c r="C792" s="48" t="s">
        <v>3166</v>
      </c>
      <c r="D792" s="48" t="s">
        <v>3648</v>
      </c>
      <c r="E792" s="48" t="s">
        <v>3140</v>
      </c>
      <c r="F792" s="49">
        <v>16</v>
      </c>
    </row>
    <row r="793" spans="1:6" x14ac:dyDescent="0.2">
      <c r="A793" s="48" t="s">
        <v>3647</v>
      </c>
      <c r="B793" s="48" t="s">
        <v>3274</v>
      </c>
      <c r="C793" s="48" t="s">
        <v>3233</v>
      </c>
      <c r="D793" s="48" t="s">
        <v>3646</v>
      </c>
      <c r="E793" s="48" t="s">
        <v>3140</v>
      </c>
      <c r="F793" s="49">
        <v>16</v>
      </c>
    </row>
    <row r="794" spans="1:6" x14ac:dyDescent="0.2">
      <c r="A794" s="48" t="s">
        <v>3645</v>
      </c>
      <c r="B794" s="48" t="s">
        <v>3160</v>
      </c>
      <c r="C794" s="48" t="s">
        <v>3542</v>
      </c>
      <c r="D794" s="48" t="s">
        <v>3541</v>
      </c>
      <c r="E794" s="48" t="s">
        <v>3140</v>
      </c>
      <c r="F794" s="49">
        <v>16</v>
      </c>
    </row>
    <row r="795" spans="1:6" x14ac:dyDescent="0.2">
      <c r="A795" s="48" t="s">
        <v>3644</v>
      </c>
      <c r="B795" s="48" t="s">
        <v>3327</v>
      </c>
      <c r="C795" s="48" t="s">
        <v>3327</v>
      </c>
      <c r="D795" s="48" t="s">
        <v>3643</v>
      </c>
      <c r="E795" s="48" t="s">
        <v>3140</v>
      </c>
      <c r="F795" s="49">
        <v>16</v>
      </c>
    </row>
    <row r="796" spans="1:6" x14ac:dyDescent="0.2">
      <c r="A796" s="48" t="s">
        <v>3642</v>
      </c>
      <c r="B796" s="48" t="s">
        <v>3327</v>
      </c>
      <c r="C796" s="48" t="s">
        <v>3510</v>
      </c>
      <c r="D796" s="48" t="s">
        <v>3641</v>
      </c>
      <c r="E796" s="48" t="s">
        <v>3140</v>
      </c>
      <c r="F796" s="49">
        <v>16</v>
      </c>
    </row>
    <row r="797" spans="1:6" x14ac:dyDescent="0.2">
      <c r="A797" s="48" t="s">
        <v>3640</v>
      </c>
      <c r="B797" s="48" t="s">
        <v>3274</v>
      </c>
      <c r="C797" s="48" t="s">
        <v>3551</v>
      </c>
      <c r="D797" s="48" t="s">
        <v>3639</v>
      </c>
      <c r="E797" s="48" t="s">
        <v>3140</v>
      </c>
      <c r="F797" s="49">
        <v>16</v>
      </c>
    </row>
    <row r="798" spans="1:6" x14ac:dyDescent="0.2">
      <c r="A798" s="48" t="s">
        <v>3638</v>
      </c>
      <c r="B798" s="48" t="s">
        <v>3177</v>
      </c>
      <c r="C798" s="48" t="s">
        <v>3206</v>
      </c>
      <c r="D798" s="48" t="s">
        <v>3368</v>
      </c>
      <c r="E798" s="48" t="s">
        <v>3140</v>
      </c>
      <c r="F798" s="49">
        <v>16</v>
      </c>
    </row>
    <row r="799" spans="1:6" x14ac:dyDescent="0.2">
      <c r="A799" s="48" t="s">
        <v>3637</v>
      </c>
      <c r="B799" s="48" t="s">
        <v>3406</v>
      </c>
      <c r="C799" s="48" t="s">
        <v>3233</v>
      </c>
      <c r="D799" s="48" t="s">
        <v>3636</v>
      </c>
      <c r="E799" s="48" t="s">
        <v>3140</v>
      </c>
      <c r="F799" s="49">
        <v>16</v>
      </c>
    </row>
    <row r="800" spans="1:6" x14ac:dyDescent="0.2">
      <c r="A800" s="48" t="s">
        <v>3635</v>
      </c>
      <c r="B800" s="48" t="s">
        <v>3177</v>
      </c>
      <c r="C800" s="48" t="s">
        <v>3176</v>
      </c>
      <c r="D800" s="48" t="s">
        <v>3438</v>
      </c>
      <c r="E800" s="48" t="s">
        <v>3140</v>
      </c>
      <c r="F800" s="49">
        <v>16</v>
      </c>
    </row>
    <row r="801" spans="1:6" x14ac:dyDescent="0.2">
      <c r="A801" s="48" t="s">
        <v>3634</v>
      </c>
      <c r="B801" s="48" t="s">
        <v>3274</v>
      </c>
      <c r="C801" s="48" t="s">
        <v>3233</v>
      </c>
      <c r="D801" s="48" t="s">
        <v>3273</v>
      </c>
      <c r="E801" s="48" t="s">
        <v>3140</v>
      </c>
      <c r="F801" s="49">
        <v>16</v>
      </c>
    </row>
    <row r="802" spans="1:6" x14ac:dyDescent="0.2">
      <c r="A802" s="48" t="s">
        <v>3633</v>
      </c>
      <c r="B802" s="48" t="s">
        <v>3142</v>
      </c>
      <c r="C802" s="48" t="s">
        <v>3142</v>
      </c>
      <c r="D802" s="48" t="s">
        <v>3291</v>
      </c>
      <c r="E802" s="48" t="s">
        <v>3140</v>
      </c>
      <c r="F802" s="49">
        <v>15</v>
      </c>
    </row>
    <row r="803" spans="1:6" x14ac:dyDescent="0.2">
      <c r="A803" s="48" t="s">
        <v>3632</v>
      </c>
      <c r="B803" s="48" t="s">
        <v>3149</v>
      </c>
      <c r="C803" s="48" t="s">
        <v>3215</v>
      </c>
      <c r="D803" s="48" t="s">
        <v>3265</v>
      </c>
      <c r="E803" s="48" t="s">
        <v>3140</v>
      </c>
      <c r="F803" s="49">
        <v>15</v>
      </c>
    </row>
    <row r="804" spans="1:6" x14ac:dyDescent="0.2">
      <c r="A804" s="48" t="s">
        <v>3631</v>
      </c>
      <c r="B804" s="48" t="s">
        <v>3160</v>
      </c>
      <c r="C804" s="48" t="s">
        <v>3373</v>
      </c>
      <c r="D804" s="48" t="s">
        <v>3604</v>
      </c>
      <c r="E804" s="48" t="s">
        <v>3140</v>
      </c>
      <c r="F804" s="49">
        <v>15</v>
      </c>
    </row>
    <row r="805" spans="1:6" x14ac:dyDescent="0.2">
      <c r="A805" s="48" t="s">
        <v>3630</v>
      </c>
      <c r="B805" s="48" t="s">
        <v>3160</v>
      </c>
      <c r="C805" s="48" t="s">
        <v>3542</v>
      </c>
      <c r="D805" s="48" t="s">
        <v>3562</v>
      </c>
      <c r="E805" s="48" t="s">
        <v>3140</v>
      </c>
      <c r="F805" s="49">
        <v>15</v>
      </c>
    </row>
    <row r="806" spans="1:6" x14ac:dyDescent="0.2">
      <c r="A806" s="48" t="s">
        <v>3629</v>
      </c>
      <c r="B806" s="48" t="s">
        <v>3182</v>
      </c>
      <c r="C806" s="48" t="s">
        <v>3181</v>
      </c>
      <c r="D806" s="48" t="s">
        <v>3180</v>
      </c>
      <c r="E806" s="48" t="s">
        <v>3140</v>
      </c>
      <c r="F806" s="49">
        <v>15</v>
      </c>
    </row>
    <row r="807" spans="1:6" x14ac:dyDescent="0.2">
      <c r="A807" s="48" t="s">
        <v>3628</v>
      </c>
      <c r="B807" s="48" t="s">
        <v>3157</v>
      </c>
      <c r="C807" s="48" t="s">
        <v>3173</v>
      </c>
      <c r="D807" s="48" t="s">
        <v>3627</v>
      </c>
      <c r="E807" s="48" t="s">
        <v>3140</v>
      </c>
      <c r="F807" s="49">
        <v>15</v>
      </c>
    </row>
    <row r="808" spans="1:6" x14ac:dyDescent="0.2">
      <c r="A808" s="48" t="s">
        <v>3626</v>
      </c>
      <c r="B808" s="48" t="s">
        <v>3157</v>
      </c>
      <c r="C808" s="48" t="s">
        <v>3244</v>
      </c>
      <c r="D808" s="48" t="s">
        <v>3354</v>
      </c>
      <c r="E808" s="48" t="s">
        <v>3140</v>
      </c>
      <c r="F808" s="49">
        <v>15</v>
      </c>
    </row>
    <row r="809" spans="1:6" x14ac:dyDescent="0.2">
      <c r="A809" s="48" t="s">
        <v>3625</v>
      </c>
      <c r="B809" s="48" t="s">
        <v>3210</v>
      </c>
      <c r="C809" s="48" t="s">
        <v>3209</v>
      </c>
      <c r="D809" s="48" t="s">
        <v>3624</v>
      </c>
      <c r="E809" s="48" t="s">
        <v>3140</v>
      </c>
      <c r="F809" s="49">
        <v>15</v>
      </c>
    </row>
    <row r="810" spans="1:6" x14ac:dyDescent="0.2">
      <c r="A810" s="48" t="s">
        <v>3623</v>
      </c>
      <c r="B810" s="48" t="s">
        <v>3177</v>
      </c>
      <c r="C810" s="48" t="s">
        <v>3219</v>
      </c>
      <c r="D810" s="48" t="s">
        <v>3331</v>
      </c>
      <c r="E810" s="48" t="s">
        <v>3140</v>
      </c>
      <c r="F810" s="49">
        <v>15</v>
      </c>
    </row>
    <row r="811" spans="1:6" x14ac:dyDescent="0.2">
      <c r="A811" s="48" t="s">
        <v>3622</v>
      </c>
      <c r="B811" s="48" t="s">
        <v>3156</v>
      </c>
      <c r="C811" s="48" t="s">
        <v>3227</v>
      </c>
      <c r="D811" s="48" t="s">
        <v>3621</v>
      </c>
      <c r="E811" s="48" t="s">
        <v>3140</v>
      </c>
      <c r="F811" s="49">
        <v>15</v>
      </c>
    </row>
    <row r="812" spans="1:6" x14ac:dyDescent="0.2">
      <c r="A812" s="48" t="s">
        <v>3620</v>
      </c>
      <c r="B812" s="48" t="s">
        <v>3253</v>
      </c>
      <c r="C812" s="48" t="s">
        <v>3253</v>
      </c>
      <c r="D812" s="48" t="s">
        <v>3619</v>
      </c>
      <c r="E812" s="48" t="s">
        <v>3140</v>
      </c>
      <c r="F812" s="49">
        <v>15</v>
      </c>
    </row>
    <row r="813" spans="1:6" x14ac:dyDescent="0.2">
      <c r="A813" s="48" t="s">
        <v>3618</v>
      </c>
      <c r="B813" s="48" t="s">
        <v>3167</v>
      </c>
      <c r="C813" s="48" t="s">
        <v>3426</v>
      </c>
      <c r="D813" s="48" t="s">
        <v>3617</v>
      </c>
      <c r="E813" s="48" t="s">
        <v>3140</v>
      </c>
      <c r="F813" s="49">
        <v>15</v>
      </c>
    </row>
    <row r="814" spans="1:6" x14ac:dyDescent="0.2">
      <c r="A814" s="48" t="s">
        <v>3616</v>
      </c>
      <c r="B814" s="48" t="s">
        <v>3142</v>
      </c>
      <c r="C814" s="48" t="s">
        <v>3142</v>
      </c>
      <c r="D814" s="48" t="s">
        <v>3428</v>
      </c>
      <c r="E814" s="48" t="s">
        <v>3140</v>
      </c>
      <c r="F814" s="49">
        <v>15</v>
      </c>
    </row>
    <row r="815" spans="1:6" x14ac:dyDescent="0.2">
      <c r="A815" s="48" t="s">
        <v>3615</v>
      </c>
      <c r="B815" s="48" t="s">
        <v>3253</v>
      </c>
      <c r="C815" s="48" t="s">
        <v>3253</v>
      </c>
      <c r="D815" s="48" t="s">
        <v>3614</v>
      </c>
      <c r="E815" s="48" t="s">
        <v>3140</v>
      </c>
      <c r="F815" s="49">
        <v>15</v>
      </c>
    </row>
    <row r="816" spans="1:6" x14ac:dyDescent="0.2">
      <c r="A816" s="48" t="s">
        <v>3613</v>
      </c>
      <c r="B816" s="48" t="s">
        <v>3177</v>
      </c>
      <c r="C816" s="48" t="s">
        <v>3279</v>
      </c>
      <c r="D816" s="48" t="s">
        <v>3316</v>
      </c>
      <c r="E816" s="48" t="s">
        <v>3140</v>
      </c>
      <c r="F816" s="49">
        <v>15</v>
      </c>
    </row>
    <row r="817" spans="1:6" x14ac:dyDescent="0.2">
      <c r="A817" s="48" t="s">
        <v>3612</v>
      </c>
      <c r="B817" s="48" t="s">
        <v>3327</v>
      </c>
      <c r="C817" s="48" t="s">
        <v>3327</v>
      </c>
      <c r="D817" s="48" t="s">
        <v>3611</v>
      </c>
      <c r="E817" s="48" t="s">
        <v>3140</v>
      </c>
      <c r="F817" s="49">
        <v>15</v>
      </c>
    </row>
    <row r="818" spans="1:6" x14ac:dyDescent="0.2">
      <c r="A818" s="48" t="s">
        <v>3610</v>
      </c>
      <c r="B818" s="48" t="s">
        <v>3324</v>
      </c>
      <c r="C818" s="48" t="s">
        <v>3209</v>
      </c>
      <c r="D818" s="48" t="s">
        <v>3609</v>
      </c>
      <c r="E818" s="48" t="s">
        <v>3140</v>
      </c>
      <c r="F818" s="49">
        <v>15</v>
      </c>
    </row>
    <row r="819" spans="1:6" x14ac:dyDescent="0.2">
      <c r="A819" s="48" t="s">
        <v>3608</v>
      </c>
      <c r="B819" s="48" t="s">
        <v>3160</v>
      </c>
      <c r="C819" s="48" t="s">
        <v>3373</v>
      </c>
      <c r="D819" s="48" t="s">
        <v>3604</v>
      </c>
      <c r="E819" s="48" t="s">
        <v>3140</v>
      </c>
      <c r="F819" s="49">
        <v>15</v>
      </c>
    </row>
    <row r="820" spans="1:6" x14ac:dyDescent="0.2">
      <c r="A820" s="48" t="s">
        <v>3607</v>
      </c>
      <c r="B820" s="48" t="s">
        <v>3142</v>
      </c>
      <c r="C820" s="48" t="s">
        <v>3142</v>
      </c>
      <c r="D820" s="48" t="s">
        <v>3291</v>
      </c>
      <c r="E820" s="48" t="s">
        <v>3140</v>
      </c>
      <c r="F820" s="49">
        <v>15</v>
      </c>
    </row>
    <row r="821" spans="1:6" x14ac:dyDescent="0.2">
      <c r="A821" s="48" t="s">
        <v>3606</v>
      </c>
      <c r="B821" s="48" t="s">
        <v>3177</v>
      </c>
      <c r="C821" s="48" t="s">
        <v>3219</v>
      </c>
      <c r="D821" s="48" t="s">
        <v>3218</v>
      </c>
      <c r="E821" s="48" t="s">
        <v>3140</v>
      </c>
      <c r="F821" s="49">
        <v>15</v>
      </c>
    </row>
    <row r="822" spans="1:6" x14ac:dyDescent="0.2">
      <c r="A822" s="48" t="s">
        <v>3605</v>
      </c>
      <c r="B822" s="48" t="s">
        <v>3160</v>
      </c>
      <c r="C822" s="48" t="s">
        <v>3373</v>
      </c>
      <c r="D822" s="48" t="s">
        <v>3604</v>
      </c>
      <c r="E822" s="48" t="s">
        <v>3140</v>
      </c>
      <c r="F822" s="49">
        <v>15</v>
      </c>
    </row>
    <row r="823" spans="1:6" x14ac:dyDescent="0.2">
      <c r="A823" s="48" t="s">
        <v>3603</v>
      </c>
      <c r="B823" s="48" t="s">
        <v>3149</v>
      </c>
      <c r="C823" s="48" t="s">
        <v>3215</v>
      </c>
      <c r="D823" s="48" t="s">
        <v>3214</v>
      </c>
      <c r="E823" s="48" t="s">
        <v>3140</v>
      </c>
      <c r="F823" s="49">
        <v>15</v>
      </c>
    </row>
    <row r="824" spans="1:6" x14ac:dyDescent="0.2">
      <c r="A824" s="48" t="s">
        <v>3602</v>
      </c>
      <c r="B824" s="48" t="s">
        <v>3327</v>
      </c>
      <c r="C824" s="48" t="s">
        <v>3327</v>
      </c>
      <c r="D824" s="48" t="s">
        <v>3477</v>
      </c>
      <c r="E824" s="48" t="s">
        <v>3140</v>
      </c>
      <c r="F824" s="49">
        <v>15</v>
      </c>
    </row>
    <row r="825" spans="1:6" x14ac:dyDescent="0.2">
      <c r="A825" s="48" t="s">
        <v>3601</v>
      </c>
      <c r="B825" s="48" t="s">
        <v>3167</v>
      </c>
      <c r="C825" s="48" t="s">
        <v>3426</v>
      </c>
      <c r="D825" s="48" t="s">
        <v>3425</v>
      </c>
      <c r="E825" s="48" t="s">
        <v>3140</v>
      </c>
      <c r="F825" s="49">
        <v>15</v>
      </c>
    </row>
    <row r="826" spans="1:6" x14ac:dyDescent="0.2">
      <c r="A826" s="48" t="s">
        <v>3600</v>
      </c>
      <c r="B826" s="48" t="s">
        <v>3177</v>
      </c>
      <c r="C826" s="48" t="s">
        <v>3219</v>
      </c>
      <c r="D826" s="48" t="s">
        <v>3599</v>
      </c>
      <c r="E826" s="48" t="s">
        <v>3140</v>
      </c>
      <c r="F826" s="49">
        <v>15</v>
      </c>
    </row>
    <row r="827" spans="1:6" x14ac:dyDescent="0.2">
      <c r="A827" s="48" t="s">
        <v>3598</v>
      </c>
      <c r="B827" s="48" t="s">
        <v>3274</v>
      </c>
      <c r="C827" s="48" t="s">
        <v>3551</v>
      </c>
      <c r="D827" s="48" t="s">
        <v>3578</v>
      </c>
      <c r="E827" s="48" t="s">
        <v>3140</v>
      </c>
      <c r="F827" s="49">
        <v>15</v>
      </c>
    </row>
    <row r="828" spans="1:6" x14ac:dyDescent="0.2">
      <c r="A828" s="48" t="s">
        <v>3597</v>
      </c>
      <c r="B828" s="48" t="s">
        <v>3157</v>
      </c>
      <c r="C828" s="48" t="s">
        <v>3286</v>
      </c>
      <c r="D828" s="48" t="s">
        <v>3537</v>
      </c>
      <c r="E828" s="48" t="s">
        <v>3140</v>
      </c>
      <c r="F828" s="49">
        <v>15</v>
      </c>
    </row>
    <row r="829" spans="1:6" x14ac:dyDescent="0.2">
      <c r="A829" s="48" t="s">
        <v>3596</v>
      </c>
      <c r="B829" s="48" t="s">
        <v>3274</v>
      </c>
      <c r="C829" s="48" t="s">
        <v>3551</v>
      </c>
      <c r="D829" s="48" t="s">
        <v>3550</v>
      </c>
      <c r="E829" s="48" t="s">
        <v>3140</v>
      </c>
      <c r="F829" s="49">
        <v>15</v>
      </c>
    </row>
    <row r="830" spans="1:6" x14ac:dyDescent="0.2">
      <c r="A830" s="48" t="s">
        <v>3595</v>
      </c>
      <c r="B830" s="48" t="s">
        <v>3274</v>
      </c>
      <c r="C830" s="48" t="s">
        <v>3551</v>
      </c>
      <c r="D830" s="48" t="s">
        <v>3594</v>
      </c>
      <c r="E830" s="48" t="s">
        <v>3140</v>
      </c>
      <c r="F830" s="49">
        <v>15</v>
      </c>
    </row>
    <row r="831" spans="1:6" x14ac:dyDescent="0.2">
      <c r="A831" s="48" t="s">
        <v>3593</v>
      </c>
      <c r="B831" s="48" t="s">
        <v>3149</v>
      </c>
      <c r="C831" s="48" t="s">
        <v>3196</v>
      </c>
      <c r="D831" s="48" t="s">
        <v>3592</v>
      </c>
      <c r="E831" s="48" t="s">
        <v>3140</v>
      </c>
      <c r="F831" s="49">
        <v>14</v>
      </c>
    </row>
    <row r="832" spans="1:6" x14ac:dyDescent="0.2">
      <c r="A832" s="48" t="s">
        <v>3591</v>
      </c>
      <c r="B832" s="48" t="s">
        <v>3210</v>
      </c>
      <c r="C832" s="48" t="s">
        <v>3209</v>
      </c>
      <c r="D832" s="48" t="s">
        <v>3485</v>
      </c>
      <c r="E832" s="48" t="s">
        <v>3140</v>
      </c>
      <c r="F832" s="49">
        <v>14</v>
      </c>
    </row>
    <row r="833" spans="1:6" x14ac:dyDescent="0.2">
      <c r="A833" s="48" t="s">
        <v>3590</v>
      </c>
      <c r="B833" s="48" t="s">
        <v>3253</v>
      </c>
      <c r="C833" s="48" t="s">
        <v>3253</v>
      </c>
      <c r="D833" s="48" t="s">
        <v>3589</v>
      </c>
      <c r="E833" s="48" t="s">
        <v>3140</v>
      </c>
      <c r="F833" s="49">
        <v>14</v>
      </c>
    </row>
    <row r="834" spans="1:6" x14ac:dyDescent="0.2">
      <c r="A834" s="48" t="s">
        <v>3588</v>
      </c>
      <c r="B834" s="48" t="s">
        <v>3167</v>
      </c>
      <c r="C834" s="48" t="s">
        <v>3237</v>
      </c>
      <c r="D834" s="48" t="s">
        <v>3236</v>
      </c>
      <c r="E834" s="48" t="s">
        <v>3140</v>
      </c>
      <c r="F834" s="49">
        <v>14</v>
      </c>
    </row>
    <row r="835" spans="1:6" x14ac:dyDescent="0.2">
      <c r="A835" s="48" t="s">
        <v>3587</v>
      </c>
      <c r="B835" s="48" t="s">
        <v>3406</v>
      </c>
      <c r="C835" s="48" t="s">
        <v>3233</v>
      </c>
      <c r="D835" s="48" t="s">
        <v>3586</v>
      </c>
      <c r="E835" s="48" t="s">
        <v>3140</v>
      </c>
      <c r="F835" s="49">
        <v>14</v>
      </c>
    </row>
    <row r="836" spans="1:6" x14ac:dyDescent="0.2">
      <c r="A836" s="48" t="s">
        <v>3585</v>
      </c>
      <c r="B836" s="48" t="s">
        <v>3182</v>
      </c>
      <c r="C836" s="48" t="s">
        <v>3182</v>
      </c>
      <c r="D836" s="48" t="s">
        <v>398</v>
      </c>
      <c r="E836" s="48" t="s">
        <v>3140</v>
      </c>
      <c r="F836" s="49">
        <v>14</v>
      </c>
    </row>
    <row r="837" spans="1:6" x14ac:dyDescent="0.2">
      <c r="A837" s="48" t="s">
        <v>3584</v>
      </c>
      <c r="B837" s="48" t="s">
        <v>3253</v>
      </c>
      <c r="C837" s="48" t="s">
        <v>3253</v>
      </c>
      <c r="D837" s="48" t="s">
        <v>3583</v>
      </c>
      <c r="E837" s="48" t="s">
        <v>3140</v>
      </c>
      <c r="F837" s="49">
        <v>14</v>
      </c>
    </row>
    <row r="838" spans="1:6" x14ac:dyDescent="0.2">
      <c r="A838" s="48" t="s">
        <v>3582</v>
      </c>
      <c r="B838" s="48" t="s">
        <v>3177</v>
      </c>
      <c r="C838" s="48" t="s">
        <v>3176</v>
      </c>
      <c r="D838" s="48" t="s">
        <v>3438</v>
      </c>
      <c r="E838" s="48" t="s">
        <v>3140</v>
      </c>
      <c r="F838" s="49">
        <v>14</v>
      </c>
    </row>
    <row r="839" spans="1:6" x14ac:dyDescent="0.2">
      <c r="A839" s="48" t="s">
        <v>3581</v>
      </c>
      <c r="B839" s="48" t="s">
        <v>3274</v>
      </c>
      <c r="C839" s="48" t="s">
        <v>3551</v>
      </c>
      <c r="D839" s="48" t="s">
        <v>3550</v>
      </c>
      <c r="E839" s="48" t="s">
        <v>3140</v>
      </c>
      <c r="F839" s="49">
        <v>14</v>
      </c>
    </row>
    <row r="840" spans="1:6" x14ac:dyDescent="0.2">
      <c r="A840" s="48" t="s">
        <v>3580</v>
      </c>
      <c r="B840" s="48" t="s">
        <v>3167</v>
      </c>
      <c r="C840" s="48" t="s">
        <v>3237</v>
      </c>
      <c r="D840" s="48" t="s">
        <v>3236</v>
      </c>
      <c r="E840" s="48" t="s">
        <v>3140</v>
      </c>
      <c r="F840" s="49">
        <v>14</v>
      </c>
    </row>
    <row r="841" spans="1:6" x14ac:dyDescent="0.2">
      <c r="A841" s="48" t="s">
        <v>3579</v>
      </c>
      <c r="B841" s="48" t="s">
        <v>3274</v>
      </c>
      <c r="C841" s="48" t="s">
        <v>3551</v>
      </c>
      <c r="D841" s="48" t="s">
        <v>3578</v>
      </c>
      <c r="E841" s="48" t="s">
        <v>3140</v>
      </c>
      <c r="F841" s="49">
        <v>14</v>
      </c>
    </row>
    <row r="842" spans="1:6" x14ac:dyDescent="0.2">
      <c r="A842" s="48" t="s">
        <v>3577</v>
      </c>
      <c r="B842" s="48" t="s">
        <v>3253</v>
      </c>
      <c r="C842" s="48" t="s">
        <v>3253</v>
      </c>
      <c r="D842" s="48" t="s">
        <v>3576</v>
      </c>
      <c r="E842" s="48" t="s">
        <v>3140</v>
      </c>
      <c r="F842" s="49">
        <v>14</v>
      </c>
    </row>
    <row r="843" spans="1:6" x14ac:dyDescent="0.2">
      <c r="A843" s="48" t="s">
        <v>3575</v>
      </c>
      <c r="B843" s="48" t="s">
        <v>3149</v>
      </c>
      <c r="C843" s="48" t="s">
        <v>3196</v>
      </c>
      <c r="D843" s="48" t="s">
        <v>3195</v>
      </c>
      <c r="E843" s="48" t="s">
        <v>3140</v>
      </c>
      <c r="F843" s="49">
        <v>14</v>
      </c>
    </row>
    <row r="844" spans="1:6" x14ac:dyDescent="0.2">
      <c r="A844" s="48" t="s">
        <v>3574</v>
      </c>
      <c r="B844" s="48" t="s">
        <v>3153</v>
      </c>
      <c r="C844" s="48" t="s">
        <v>3530</v>
      </c>
      <c r="D844" s="48" t="s">
        <v>3530</v>
      </c>
      <c r="E844" s="48" t="s">
        <v>3140</v>
      </c>
      <c r="F844" s="49">
        <v>14</v>
      </c>
    </row>
    <row r="845" spans="1:6" x14ac:dyDescent="0.2">
      <c r="A845" s="48" t="s">
        <v>3573</v>
      </c>
      <c r="B845" s="48" t="s">
        <v>3177</v>
      </c>
      <c r="C845" s="48" t="s">
        <v>3176</v>
      </c>
      <c r="D845" s="48" t="s">
        <v>3572</v>
      </c>
      <c r="E845" s="48" t="s">
        <v>3140</v>
      </c>
      <c r="F845" s="49">
        <v>14</v>
      </c>
    </row>
    <row r="846" spans="1:6" x14ac:dyDescent="0.2">
      <c r="A846" s="48" t="s">
        <v>3571</v>
      </c>
      <c r="B846" s="48" t="s">
        <v>3294</v>
      </c>
      <c r="C846" s="48" t="s">
        <v>3181</v>
      </c>
      <c r="D846" s="48" t="s">
        <v>3293</v>
      </c>
      <c r="E846" s="48" t="s">
        <v>3140</v>
      </c>
      <c r="F846" s="49">
        <v>13</v>
      </c>
    </row>
    <row r="847" spans="1:6" x14ac:dyDescent="0.2">
      <c r="A847" s="48" t="s">
        <v>3570</v>
      </c>
      <c r="B847" s="48" t="s">
        <v>3149</v>
      </c>
      <c r="C847" s="48" t="s">
        <v>3215</v>
      </c>
      <c r="D847" s="48" t="s">
        <v>3214</v>
      </c>
      <c r="E847" s="48" t="s">
        <v>3140</v>
      </c>
      <c r="F847" s="49">
        <v>13</v>
      </c>
    </row>
    <row r="848" spans="1:6" x14ac:dyDescent="0.2">
      <c r="A848" s="48" t="s">
        <v>3569</v>
      </c>
      <c r="B848" s="48" t="s">
        <v>3568</v>
      </c>
      <c r="C848" s="48" t="s">
        <v>3233</v>
      </c>
      <c r="D848" s="48" t="s">
        <v>3567</v>
      </c>
      <c r="E848" s="48" t="s">
        <v>3140</v>
      </c>
      <c r="F848" s="49">
        <v>13</v>
      </c>
    </row>
    <row r="849" spans="1:6" x14ac:dyDescent="0.2">
      <c r="A849" s="48" t="s">
        <v>3566</v>
      </c>
      <c r="B849" s="48" t="s">
        <v>3253</v>
      </c>
      <c r="C849" s="48" t="s">
        <v>3253</v>
      </c>
      <c r="D849" s="48" t="s">
        <v>3506</v>
      </c>
      <c r="E849" s="48" t="s">
        <v>3140</v>
      </c>
      <c r="F849" s="49">
        <v>13</v>
      </c>
    </row>
    <row r="850" spans="1:6" x14ac:dyDescent="0.2">
      <c r="A850" s="48" t="s">
        <v>3565</v>
      </c>
      <c r="B850" s="48" t="s">
        <v>3234</v>
      </c>
      <c r="C850" s="48" t="s">
        <v>3233</v>
      </c>
      <c r="D850" s="48" t="s">
        <v>3564</v>
      </c>
      <c r="E850" s="48" t="s">
        <v>3140</v>
      </c>
      <c r="F850" s="49">
        <v>13</v>
      </c>
    </row>
    <row r="851" spans="1:6" x14ac:dyDescent="0.2">
      <c r="A851" s="48" t="s">
        <v>3563</v>
      </c>
      <c r="B851" s="48" t="s">
        <v>3160</v>
      </c>
      <c r="C851" s="48" t="s">
        <v>3542</v>
      </c>
      <c r="D851" s="48" t="s">
        <v>3562</v>
      </c>
      <c r="E851" s="48" t="s">
        <v>3140</v>
      </c>
      <c r="F851" s="49">
        <v>12</v>
      </c>
    </row>
    <row r="852" spans="1:6" x14ac:dyDescent="0.2">
      <c r="A852" s="48" t="s">
        <v>3561</v>
      </c>
      <c r="B852" s="48" t="s">
        <v>3406</v>
      </c>
      <c r="C852" s="48" t="s">
        <v>3233</v>
      </c>
      <c r="D852" s="48" t="s">
        <v>3560</v>
      </c>
      <c r="E852" s="48" t="s">
        <v>3140</v>
      </c>
      <c r="F852" s="49">
        <v>12</v>
      </c>
    </row>
    <row r="853" spans="1:6" x14ac:dyDescent="0.2">
      <c r="A853" s="48" t="s">
        <v>3559</v>
      </c>
      <c r="B853" s="48" t="s">
        <v>3177</v>
      </c>
      <c r="C853" s="48" t="s">
        <v>3219</v>
      </c>
      <c r="D853" s="48" t="s">
        <v>3219</v>
      </c>
      <c r="E853" s="48" t="s">
        <v>3140</v>
      </c>
      <c r="F853" s="49">
        <v>12</v>
      </c>
    </row>
    <row r="854" spans="1:6" x14ac:dyDescent="0.2">
      <c r="A854" s="48" t="s">
        <v>3558</v>
      </c>
      <c r="B854" s="48" t="s">
        <v>3177</v>
      </c>
      <c r="C854" s="48" t="s">
        <v>3176</v>
      </c>
      <c r="D854" s="48" t="s">
        <v>3335</v>
      </c>
      <c r="E854" s="48" t="s">
        <v>3140</v>
      </c>
      <c r="F854" s="49">
        <v>12</v>
      </c>
    </row>
    <row r="855" spans="1:6" x14ac:dyDescent="0.2">
      <c r="A855" s="48" t="s">
        <v>3557</v>
      </c>
      <c r="B855" s="48" t="s">
        <v>3167</v>
      </c>
      <c r="C855" s="48" t="s">
        <v>3237</v>
      </c>
      <c r="D855" s="48" t="s">
        <v>3556</v>
      </c>
      <c r="E855" s="48" t="s">
        <v>3140</v>
      </c>
      <c r="F855" s="49">
        <v>12</v>
      </c>
    </row>
    <row r="856" spans="1:6" x14ac:dyDescent="0.2">
      <c r="A856" s="48" t="s">
        <v>3555</v>
      </c>
      <c r="B856" s="48" t="s">
        <v>3177</v>
      </c>
      <c r="C856" s="48" t="s">
        <v>3219</v>
      </c>
      <c r="D856" s="48" t="s">
        <v>3250</v>
      </c>
      <c r="E856" s="48" t="s">
        <v>3140</v>
      </c>
      <c r="F856" s="49">
        <v>12</v>
      </c>
    </row>
    <row r="857" spans="1:6" x14ac:dyDescent="0.2">
      <c r="A857" s="48" t="s">
        <v>3554</v>
      </c>
      <c r="B857" s="48" t="s">
        <v>3149</v>
      </c>
      <c r="C857" s="48" t="s">
        <v>3196</v>
      </c>
      <c r="D857" s="48" t="s">
        <v>3444</v>
      </c>
      <c r="E857" s="48" t="s">
        <v>3140</v>
      </c>
      <c r="F857" s="49">
        <v>12</v>
      </c>
    </row>
    <row r="858" spans="1:6" x14ac:dyDescent="0.2">
      <c r="A858" s="48" t="s">
        <v>3553</v>
      </c>
      <c r="B858" s="48" t="s">
        <v>3157</v>
      </c>
      <c r="C858" s="48" t="s">
        <v>3173</v>
      </c>
      <c r="D858" s="48" t="s">
        <v>3172</v>
      </c>
      <c r="E858" s="48" t="s">
        <v>3140</v>
      </c>
      <c r="F858" s="49">
        <v>12</v>
      </c>
    </row>
    <row r="859" spans="1:6" x14ac:dyDescent="0.2">
      <c r="A859" s="48" t="s">
        <v>3552</v>
      </c>
      <c r="B859" s="48" t="s">
        <v>3274</v>
      </c>
      <c r="C859" s="48" t="s">
        <v>3551</v>
      </c>
      <c r="D859" s="48" t="s">
        <v>3550</v>
      </c>
      <c r="E859" s="48" t="s">
        <v>3140</v>
      </c>
      <c r="F859" s="49">
        <v>12</v>
      </c>
    </row>
    <row r="860" spans="1:6" x14ac:dyDescent="0.2">
      <c r="A860" s="48" t="s">
        <v>3549</v>
      </c>
      <c r="B860" s="48" t="s">
        <v>3142</v>
      </c>
      <c r="C860" s="48" t="s">
        <v>3142</v>
      </c>
      <c r="D860" s="48" t="s">
        <v>3428</v>
      </c>
      <c r="E860" s="48" t="s">
        <v>3140</v>
      </c>
      <c r="F860" s="49">
        <v>12</v>
      </c>
    </row>
    <row r="861" spans="1:6" x14ac:dyDescent="0.2">
      <c r="A861" s="48" t="s">
        <v>3548</v>
      </c>
      <c r="B861" s="48" t="s">
        <v>3167</v>
      </c>
      <c r="C861" s="48" t="s">
        <v>3166</v>
      </c>
      <c r="D861" s="48" t="s">
        <v>3547</v>
      </c>
      <c r="E861" s="48" t="s">
        <v>3140</v>
      </c>
      <c r="F861" s="49">
        <v>12</v>
      </c>
    </row>
    <row r="862" spans="1:6" x14ac:dyDescent="0.2">
      <c r="A862" s="48" t="s">
        <v>3546</v>
      </c>
      <c r="B862" s="48" t="s">
        <v>3149</v>
      </c>
      <c r="C862" s="48" t="s">
        <v>3148</v>
      </c>
      <c r="D862" s="48" t="s">
        <v>3306</v>
      </c>
      <c r="E862" s="48" t="s">
        <v>3140</v>
      </c>
      <c r="F862" s="49">
        <v>12</v>
      </c>
    </row>
    <row r="863" spans="1:6" x14ac:dyDescent="0.2">
      <c r="A863" s="48" t="s">
        <v>3545</v>
      </c>
      <c r="B863" s="48" t="s">
        <v>3167</v>
      </c>
      <c r="C863" s="48" t="s">
        <v>3426</v>
      </c>
      <c r="D863" s="48" t="s">
        <v>3544</v>
      </c>
      <c r="E863" s="48" t="s">
        <v>3140</v>
      </c>
      <c r="F863" s="49">
        <v>12</v>
      </c>
    </row>
    <row r="864" spans="1:6" x14ac:dyDescent="0.2">
      <c r="A864" s="48" t="s">
        <v>3543</v>
      </c>
      <c r="B864" s="48" t="s">
        <v>3160</v>
      </c>
      <c r="C864" s="48" t="s">
        <v>3542</v>
      </c>
      <c r="D864" s="48" t="s">
        <v>3541</v>
      </c>
      <c r="E864" s="48" t="s">
        <v>3140</v>
      </c>
      <c r="F864" s="49">
        <v>12</v>
      </c>
    </row>
    <row r="865" spans="1:6" x14ac:dyDescent="0.2">
      <c r="A865" s="48" t="s">
        <v>3540</v>
      </c>
      <c r="B865" s="48" t="s">
        <v>3210</v>
      </c>
      <c r="C865" s="48" t="s">
        <v>3209</v>
      </c>
      <c r="D865" s="48" t="s">
        <v>3539</v>
      </c>
      <c r="E865" s="48" t="s">
        <v>3140</v>
      </c>
      <c r="F865" s="49">
        <v>12</v>
      </c>
    </row>
    <row r="866" spans="1:6" x14ac:dyDescent="0.2">
      <c r="A866" s="48" t="s">
        <v>3538</v>
      </c>
      <c r="B866" s="48" t="s">
        <v>3157</v>
      </c>
      <c r="C866" s="48" t="s">
        <v>3286</v>
      </c>
      <c r="D866" s="48" t="s">
        <v>3537</v>
      </c>
      <c r="E866" s="48" t="s">
        <v>3140</v>
      </c>
      <c r="F866" s="49">
        <v>12</v>
      </c>
    </row>
    <row r="867" spans="1:6" x14ac:dyDescent="0.2">
      <c r="A867" s="48" t="s">
        <v>3536</v>
      </c>
      <c r="B867" s="48" t="s">
        <v>3167</v>
      </c>
      <c r="C867" s="48" t="s">
        <v>3166</v>
      </c>
      <c r="D867" s="48" t="s">
        <v>3535</v>
      </c>
      <c r="E867" s="48" t="s">
        <v>3140</v>
      </c>
      <c r="F867" s="49">
        <v>12</v>
      </c>
    </row>
    <row r="868" spans="1:6" x14ac:dyDescent="0.2">
      <c r="A868" s="48" t="s">
        <v>3534</v>
      </c>
      <c r="B868" s="48" t="s">
        <v>3177</v>
      </c>
      <c r="C868" s="48" t="s">
        <v>3191</v>
      </c>
      <c r="D868" s="48" t="s">
        <v>3422</v>
      </c>
      <c r="E868" s="48" t="s">
        <v>3140</v>
      </c>
      <c r="F868" s="49">
        <v>12</v>
      </c>
    </row>
    <row r="869" spans="1:6" x14ac:dyDescent="0.2">
      <c r="A869" s="48" t="s">
        <v>3533</v>
      </c>
      <c r="B869" s="48" t="s">
        <v>3234</v>
      </c>
      <c r="C869" s="48" t="s">
        <v>3233</v>
      </c>
      <c r="D869" s="48" t="s">
        <v>3532</v>
      </c>
      <c r="E869" s="48" t="s">
        <v>3140</v>
      </c>
      <c r="F869" s="49">
        <v>12</v>
      </c>
    </row>
    <row r="870" spans="1:6" x14ac:dyDescent="0.2">
      <c r="A870" s="48" t="s">
        <v>3531</v>
      </c>
      <c r="B870" s="48" t="s">
        <v>3153</v>
      </c>
      <c r="C870" s="48" t="s">
        <v>3530</v>
      </c>
      <c r="D870" s="48" t="s">
        <v>3530</v>
      </c>
      <c r="E870" s="48" t="s">
        <v>3140</v>
      </c>
      <c r="F870" s="49">
        <v>12</v>
      </c>
    </row>
    <row r="871" spans="1:6" x14ac:dyDescent="0.2">
      <c r="A871" s="48" t="s">
        <v>3529</v>
      </c>
      <c r="B871" s="48" t="s">
        <v>3210</v>
      </c>
      <c r="C871" s="48" t="s">
        <v>3209</v>
      </c>
      <c r="D871" s="48" t="s">
        <v>3528</v>
      </c>
      <c r="E871" s="48" t="s">
        <v>3140</v>
      </c>
      <c r="F871" s="49">
        <v>12</v>
      </c>
    </row>
    <row r="872" spans="1:6" x14ac:dyDescent="0.2">
      <c r="A872" s="48" t="s">
        <v>3527</v>
      </c>
      <c r="B872" s="48" t="s">
        <v>3157</v>
      </c>
      <c r="C872" s="48" t="s">
        <v>3173</v>
      </c>
      <c r="D872" s="48" t="s">
        <v>3172</v>
      </c>
      <c r="E872" s="48" t="s">
        <v>3140</v>
      </c>
      <c r="F872" s="49">
        <v>12</v>
      </c>
    </row>
    <row r="873" spans="1:6" x14ac:dyDescent="0.2">
      <c r="A873" s="48" t="s">
        <v>3526</v>
      </c>
      <c r="B873" s="48" t="s">
        <v>3160</v>
      </c>
      <c r="C873" s="48" t="s">
        <v>3525</v>
      </c>
      <c r="D873" s="48" t="s">
        <v>3524</v>
      </c>
      <c r="E873" s="48" t="s">
        <v>3140</v>
      </c>
      <c r="F873" s="49">
        <v>12</v>
      </c>
    </row>
    <row r="874" spans="1:6" x14ac:dyDescent="0.2">
      <c r="A874" s="48" t="s">
        <v>3523</v>
      </c>
      <c r="B874" s="48" t="s">
        <v>3156</v>
      </c>
      <c r="C874" s="48" t="s">
        <v>3156</v>
      </c>
      <c r="D874" s="48" t="s">
        <v>3522</v>
      </c>
      <c r="E874" s="48" t="s">
        <v>3140</v>
      </c>
      <c r="F874" s="49">
        <v>12</v>
      </c>
    </row>
    <row r="875" spans="1:6" x14ac:dyDescent="0.2">
      <c r="A875" s="48" t="s">
        <v>3521</v>
      </c>
      <c r="B875" s="48" t="s">
        <v>3274</v>
      </c>
      <c r="C875" s="48" t="s">
        <v>3233</v>
      </c>
      <c r="D875" s="48" t="s">
        <v>3273</v>
      </c>
      <c r="E875" s="48" t="s">
        <v>3140</v>
      </c>
      <c r="F875" s="49">
        <v>12</v>
      </c>
    </row>
    <row r="876" spans="1:6" x14ac:dyDescent="0.2">
      <c r="A876" s="48" t="s">
        <v>3520</v>
      </c>
      <c r="B876" s="48" t="s">
        <v>3253</v>
      </c>
      <c r="C876" s="48" t="s">
        <v>3253</v>
      </c>
      <c r="D876" s="48" t="s">
        <v>3519</v>
      </c>
      <c r="E876" s="48" t="s">
        <v>3140</v>
      </c>
      <c r="F876" s="49">
        <v>11</v>
      </c>
    </row>
    <row r="877" spans="1:6" x14ac:dyDescent="0.2">
      <c r="A877" s="48" t="s">
        <v>3518</v>
      </c>
      <c r="B877" s="48" t="s">
        <v>3500</v>
      </c>
      <c r="C877" s="48" t="s">
        <v>3233</v>
      </c>
      <c r="D877" s="48" t="s">
        <v>3517</v>
      </c>
      <c r="E877" s="48" t="s">
        <v>3140</v>
      </c>
      <c r="F877" s="49">
        <v>11</v>
      </c>
    </row>
    <row r="878" spans="1:6" x14ac:dyDescent="0.2">
      <c r="A878" s="48" t="s">
        <v>3516</v>
      </c>
      <c r="B878" s="48" t="s">
        <v>3153</v>
      </c>
      <c r="C878" s="48" t="s">
        <v>3515</v>
      </c>
      <c r="D878" s="48" t="s">
        <v>3357</v>
      </c>
      <c r="E878" s="48" t="s">
        <v>3140</v>
      </c>
      <c r="F878" s="49">
        <v>11</v>
      </c>
    </row>
    <row r="879" spans="1:6" x14ac:dyDescent="0.2">
      <c r="A879" s="48" t="s">
        <v>3514</v>
      </c>
      <c r="B879" s="48" t="s">
        <v>3253</v>
      </c>
      <c r="C879" s="48" t="s">
        <v>3253</v>
      </c>
      <c r="D879" s="48" t="s">
        <v>3513</v>
      </c>
      <c r="E879" s="48" t="s">
        <v>3140</v>
      </c>
      <c r="F879" s="49">
        <v>11</v>
      </c>
    </row>
    <row r="880" spans="1:6" x14ac:dyDescent="0.2">
      <c r="A880" s="48" t="s">
        <v>3512</v>
      </c>
      <c r="B880" s="48" t="s">
        <v>3157</v>
      </c>
      <c r="C880" s="48" t="s">
        <v>3173</v>
      </c>
      <c r="D880" s="48" t="s">
        <v>3172</v>
      </c>
      <c r="E880" s="48" t="s">
        <v>3140</v>
      </c>
      <c r="F880" s="49">
        <v>11</v>
      </c>
    </row>
    <row r="881" spans="1:6" x14ac:dyDescent="0.2">
      <c r="A881" s="48" t="s">
        <v>3511</v>
      </c>
      <c r="B881" s="48" t="s">
        <v>3327</v>
      </c>
      <c r="C881" s="48" t="s">
        <v>3510</v>
      </c>
      <c r="D881" s="48" t="s">
        <v>3509</v>
      </c>
      <c r="E881" s="48" t="s">
        <v>3140</v>
      </c>
      <c r="F881" s="49">
        <v>11</v>
      </c>
    </row>
    <row r="882" spans="1:6" x14ac:dyDescent="0.2">
      <c r="A882" s="48" t="s">
        <v>3508</v>
      </c>
      <c r="B882" s="48" t="s">
        <v>3157</v>
      </c>
      <c r="C882" s="48" t="s">
        <v>3173</v>
      </c>
      <c r="D882" s="48" t="s">
        <v>3341</v>
      </c>
      <c r="E882" s="48" t="s">
        <v>3140</v>
      </c>
      <c r="F882" s="49">
        <v>11</v>
      </c>
    </row>
    <row r="883" spans="1:6" x14ac:dyDescent="0.2">
      <c r="A883" s="48" t="s">
        <v>3507</v>
      </c>
      <c r="B883" s="48" t="s">
        <v>3253</v>
      </c>
      <c r="C883" s="48" t="s">
        <v>3253</v>
      </c>
      <c r="D883" s="48" t="s">
        <v>3506</v>
      </c>
      <c r="E883" s="48" t="s">
        <v>3140</v>
      </c>
      <c r="F883" s="49">
        <v>11</v>
      </c>
    </row>
    <row r="884" spans="1:6" x14ac:dyDescent="0.2">
      <c r="A884" s="48" t="s">
        <v>3505</v>
      </c>
      <c r="B884" s="48" t="s">
        <v>3182</v>
      </c>
      <c r="C884" s="48" t="s">
        <v>3182</v>
      </c>
      <c r="D884" s="48" t="s">
        <v>3504</v>
      </c>
      <c r="E884" s="48" t="s">
        <v>3140</v>
      </c>
      <c r="F884" s="49">
        <v>11</v>
      </c>
    </row>
    <row r="885" spans="1:6" x14ac:dyDescent="0.2">
      <c r="A885" s="48" t="s">
        <v>3503</v>
      </c>
      <c r="B885" s="48" t="s">
        <v>3157</v>
      </c>
      <c r="C885" s="48" t="s">
        <v>3156</v>
      </c>
      <c r="D885" s="48" t="s">
        <v>3271</v>
      </c>
      <c r="E885" s="48" t="s">
        <v>3140</v>
      </c>
      <c r="F885" s="49">
        <v>11</v>
      </c>
    </row>
    <row r="886" spans="1:6" x14ac:dyDescent="0.2">
      <c r="A886" s="48" t="s">
        <v>3502</v>
      </c>
      <c r="B886" s="48" t="s">
        <v>3157</v>
      </c>
      <c r="C886" s="48" t="s">
        <v>3156</v>
      </c>
      <c r="D886" s="48" t="s">
        <v>3155</v>
      </c>
      <c r="E886" s="48" t="s">
        <v>3140</v>
      </c>
      <c r="F886" s="49">
        <v>11</v>
      </c>
    </row>
    <row r="887" spans="1:6" x14ac:dyDescent="0.2">
      <c r="A887" s="48" t="s">
        <v>3501</v>
      </c>
      <c r="B887" s="48" t="s">
        <v>3500</v>
      </c>
      <c r="C887" s="48" t="s">
        <v>3233</v>
      </c>
      <c r="D887" s="48" t="s">
        <v>3499</v>
      </c>
      <c r="E887" s="48" t="s">
        <v>3140</v>
      </c>
      <c r="F887" s="49">
        <v>11</v>
      </c>
    </row>
    <row r="888" spans="1:6" x14ac:dyDescent="0.2">
      <c r="A888" s="48" t="s">
        <v>3498</v>
      </c>
      <c r="B888" s="48" t="s">
        <v>3142</v>
      </c>
      <c r="C888" s="48" t="s">
        <v>3142</v>
      </c>
      <c r="D888" s="48" t="s">
        <v>3497</v>
      </c>
      <c r="E888" s="48" t="s">
        <v>3140</v>
      </c>
      <c r="F888" s="49">
        <v>10</v>
      </c>
    </row>
    <row r="889" spans="1:6" x14ac:dyDescent="0.2">
      <c r="A889" s="48" t="s">
        <v>3496</v>
      </c>
      <c r="B889" s="48" t="s">
        <v>3177</v>
      </c>
      <c r="C889" s="48" t="s">
        <v>3219</v>
      </c>
      <c r="D889" s="48" t="s">
        <v>3218</v>
      </c>
      <c r="E889" s="48" t="s">
        <v>3140</v>
      </c>
      <c r="F889" s="49">
        <v>10</v>
      </c>
    </row>
    <row r="890" spans="1:6" x14ac:dyDescent="0.2">
      <c r="A890" s="48" t="s">
        <v>3495</v>
      </c>
      <c r="B890" s="48" t="s">
        <v>3327</v>
      </c>
      <c r="C890" s="48" t="s">
        <v>3327</v>
      </c>
      <c r="D890" s="48" t="s">
        <v>3494</v>
      </c>
      <c r="E890" s="48" t="s">
        <v>3140</v>
      </c>
      <c r="F890" s="49">
        <v>10</v>
      </c>
    </row>
    <row r="891" spans="1:6" x14ac:dyDescent="0.2">
      <c r="A891" s="48" t="s">
        <v>3493</v>
      </c>
      <c r="B891" s="48" t="s">
        <v>3153</v>
      </c>
      <c r="C891" s="48" t="s">
        <v>3348</v>
      </c>
      <c r="D891" s="48" t="s">
        <v>3202</v>
      </c>
      <c r="E891" s="48" t="s">
        <v>3140</v>
      </c>
      <c r="F891" s="49">
        <v>10</v>
      </c>
    </row>
    <row r="892" spans="1:6" x14ac:dyDescent="0.2">
      <c r="A892" s="48" t="s">
        <v>3492</v>
      </c>
      <c r="B892" s="48" t="s">
        <v>3253</v>
      </c>
      <c r="C892" s="48" t="s">
        <v>3253</v>
      </c>
      <c r="D892" s="48" t="s">
        <v>3491</v>
      </c>
      <c r="E892" s="48" t="s">
        <v>3140</v>
      </c>
      <c r="F892" s="49">
        <v>10</v>
      </c>
    </row>
    <row r="893" spans="1:6" x14ac:dyDescent="0.2">
      <c r="A893" s="48" t="s">
        <v>3490</v>
      </c>
      <c r="B893" s="48" t="s">
        <v>3327</v>
      </c>
      <c r="C893" s="48" t="s">
        <v>3327</v>
      </c>
      <c r="D893" s="48" t="s">
        <v>3489</v>
      </c>
      <c r="E893" s="48" t="s">
        <v>3140</v>
      </c>
      <c r="F893" s="49">
        <v>10</v>
      </c>
    </row>
    <row r="894" spans="1:6" x14ac:dyDescent="0.2">
      <c r="A894" s="48" t="s">
        <v>3488</v>
      </c>
      <c r="B894" s="48" t="s">
        <v>3157</v>
      </c>
      <c r="C894" s="48" t="s">
        <v>3156</v>
      </c>
      <c r="D894" s="48" t="s">
        <v>3193</v>
      </c>
      <c r="E894" s="48" t="s">
        <v>3140</v>
      </c>
      <c r="F894" s="49">
        <v>10</v>
      </c>
    </row>
    <row r="895" spans="1:6" x14ac:dyDescent="0.2">
      <c r="A895" s="48" t="s">
        <v>3487</v>
      </c>
      <c r="B895" s="48" t="s">
        <v>3182</v>
      </c>
      <c r="C895" s="48" t="s">
        <v>3268</v>
      </c>
      <c r="D895" s="48" t="s">
        <v>3267</v>
      </c>
      <c r="E895" s="48" t="s">
        <v>3140</v>
      </c>
      <c r="F895" s="49">
        <v>10</v>
      </c>
    </row>
    <row r="896" spans="1:6" x14ac:dyDescent="0.2">
      <c r="A896" s="48" t="s">
        <v>3486</v>
      </c>
      <c r="B896" s="48" t="s">
        <v>3210</v>
      </c>
      <c r="C896" s="48" t="s">
        <v>3209</v>
      </c>
      <c r="D896" s="48" t="s">
        <v>3485</v>
      </c>
      <c r="E896" s="48" t="s">
        <v>3140</v>
      </c>
      <c r="F896" s="49">
        <v>10</v>
      </c>
    </row>
    <row r="897" spans="1:6" x14ac:dyDescent="0.2">
      <c r="A897" s="48" t="s">
        <v>3484</v>
      </c>
      <c r="B897" s="48" t="s">
        <v>3234</v>
      </c>
      <c r="C897" s="48" t="s">
        <v>3233</v>
      </c>
      <c r="D897" s="48" t="s">
        <v>3483</v>
      </c>
      <c r="E897" s="48" t="s">
        <v>3140</v>
      </c>
      <c r="F897" s="49">
        <v>10</v>
      </c>
    </row>
    <row r="898" spans="1:6" x14ac:dyDescent="0.2">
      <c r="A898" s="48" t="s">
        <v>3482</v>
      </c>
      <c r="B898" s="48" t="s">
        <v>3234</v>
      </c>
      <c r="C898" s="48" t="s">
        <v>3233</v>
      </c>
      <c r="D898" s="48" t="s">
        <v>3481</v>
      </c>
      <c r="E898" s="48" t="s">
        <v>3140</v>
      </c>
      <c r="F898" s="49">
        <v>10</v>
      </c>
    </row>
    <row r="899" spans="1:6" x14ac:dyDescent="0.2">
      <c r="A899" s="48" t="s">
        <v>3480</v>
      </c>
      <c r="B899" s="48" t="s">
        <v>3210</v>
      </c>
      <c r="C899" s="48" t="s">
        <v>3209</v>
      </c>
      <c r="D899" s="48" t="s">
        <v>3479</v>
      </c>
      <c r="E899" s="48" t="s">
        <v>3140</v>
      </c>
      <c r="F899" s="49">
        <v>10</v>
      </c>
    </row>
    <row r="900" spans="1:6" x14ac:dyDescent="0.2">
      <c r="A900" s="48" t="s">
        <v>3478</v>
      </c>
      <c r="B900" s="48" t="s">
        <v>3327</v>
      </c>
      <c r="C900" s="48" t="s">
        <v>3327</v>
      </c>
      <c r="D900" s="48" t="s">
        <v>3477</v>
      </c>
      <c r="E900" s="48" t="s">
        <v>3140</v>
      </c>
      <c r="F900" s="49">
        <v>10</v>
      </c>
    </row>
    <row r="901" spans="1:6" x14ac:dyDescent="0.2">
      <c r="A901" s="48" t="s">
        <v>3476</v>
      </c>
      <c r="B901" s="48" t="s">
        <v>3327</v>
      </c>
      <c r="C901" s="48" t="s">
        <v>3327</v>
      </c>
      <c r="D901" s="48" t="s">
        <v>3475</v>
      </c>
      <c r="E901" s="48" t="s">
        <v>3140</v>
      </c>
      <c r="F901" s="49">
        <v>10</v>
      </c>
    </row>
    <row r="902" spans="1:6" x14ac:dyDescent="0.2">
      <c r="A902" s="48" t="s">
        <v>3474</v>
      </c>
      <c r="B902" s="48" t="s">
        <v>3153</v>
      </c>
      <c r="C902" s="48" t="s">
        <v>3312</v>
      </c>
      <c r="D902" s="48" t="s">
        <v>3311</v>
      </c>
      <c r="E902" s="48" t="s">
        <v>3140</v>
      </c>
      <c r="F902" s="49">
        <v>10</v>
      </c>
    </row>
    <row r="903" spans="1:6" x14ac:dyDescent="0.2">
      <c r="A903" s="48" t="s">
        <v>3473</v>
      </c>
      <c r="B903" s="48" t="s">
        <v>3157</v>
      </c>
      <c r="C903" s="48" t="s">
        <v>3244</v>
      </c>
      <c r="D903" s="48" t="s">
        <v>3354</v>
      </c>
      <c r="E903" s="48" t="s">
        <v>3140</v>
      </c>
      <c r="F903" s="49">
        <v>10</v>
      </c>
    </row>
    <row r="904" spans="1:6" x14ac:dyDescent="0.2">
      <c r="A904" s="48" t="s">
        <v>3472</v>
      </c>
      <c r="B904" s="48" t="s">
        <v>3177</v>
      </c>
      <c r="C904" s="48" t="s">
        <v>3191</v>
      </c>
      <c r="D904" s="48" t="s">
        <v>3422</v>
      </c>
      <c r="E904" s="48" t="s">
        <v>3140</v>
      </c>
      <c r="F904" s="49">
        <v>10</v>
      </c>
    </row>
    <row r="905" spans="1:6" x14ac:dyDescent="0.2">
      <c r="A905" s="48" t="s">
        <v>3471</v>
      </c>
      <c r="B905" s="48" t="s">
        <v>3324</v>
      </c>
      <c r="C905" s="48" t="s">
        <v>3209</v>
      </c>
      <c r="D905" s="48" t="s">
        <v>3470</v>
      </c>
      <c r="E905" s="48" t="s">
        <v>3140</v>
      </c>
      <c r="F905" s="49">
        <v>10</v>
      </c>
    </row>
    <row r="906" spans="1:6" x14ac:dyDescent="0.2">
      <c r="A906" s="48" t="s">
        <v>3469</v>
      </c>
      <c r="B906" s="48" t="s">
        <v>3182</v>
      </c>
      <c r="C906" s="48" t="s">
        <v>3233</v>
      </c>
      <c r="D906" s="48" t="s">
        <v>3468</v>
      </c>
      <c r="E906" s="48" t="s">
        <v>3140</v>
      </c>
      <c r="F906" s="49">
        <v>10</v>
      </c>
    </row>
    <row r="907" spans="1:6" x14ac:dyDescent="0.2">
      <c r="A907" s="48" t="s">
        <v>3467</v>
      </c>
      <c r="B907" s="48" t="s">
        <v>3253</v>
      </c>
      <c r="C907" s="48" t="s">
        <v>3253</v>
      </c>
      <c r="D907" s="48" t="s">
        <v>3466</v>
      </c>
      <c r="E907" s="48" t="s">
        <v>3140</v>
      </c>
      <c r="F907" s="49">
        <v>10</v>
      </c>
    </row>
    <row r="908" spans="1:6" x14ac:dyDescent="0.2">
      <c r="A908" s="48" t="s">
        <v>3465</v>
      </c>
      <c r="B908" s="48" t="s">
        <v>3149</v>
      </c>
      <c r="C908" s="48" t="s">
        <v>3215</v>
      </c>
      <c r="D908" s="48" t="s">
        <v>3464</v>
      </c>
      <c r="E908" s="48" t="s">
        <v>3140</v>
      </c>
      <c r="F908" s="49">
        <v>10</v>
      </c>
    </row>
    <row r="909" spans="1:6" x14ac:dyDescent="0.2">
      <c r="A909" s="48" t="s">
        <v>3463</v>
      </c>
      <c r="B909" s="48" t="s">
        <v>3177</v>
      </c>
      <c r="C909" s="48" t="s">
        <v>3279</v>
      </c>
      <c r="D909" s="48" t="s">
        <v>3316</v>
      </c>
      <c r="E909" s="48" t="s">
        <v>3140</v>
      </c>
      <c r="F909" s="49">
        <v>10</v>
      </c>
    </row>
    <row r="910" spans="1:6" x14ac:dyDescent="0.2">
      <c r="A910" s="48" t="s">
        <v>3462</v>
      </c>
      <c r="B910" s="48" t="s">
        <v>3406</v>
      </c>
      <c r="C910" s="48" t="s">
        <v>3233</v>
      </c>
      <c r="D910" s="48" t="s">
        <v>3461</v>
      </c>
      <c r="E910" s="48" t="s">
        <v>3140</v>
      </c>
      <c r="F910" s="49">
        <v>10</v>
      </c>
    </row>
    <row r="911" spans="1:6" x14ac:dyDescent="0.2">
      <c r="A911" s="48" t="s">
        <v>3460</v>
      </c>
      <c r="B911" s="48" t="s">
        <v>3156</v>
      </c>
      <c r="C911" s="48" t="s">
        <v>3156</v>
      </c>
      <c r="D911" s="48" t="s">
        <v>3410</v>
      </c>
      <c r="E911" s="48" t="s">
        <v>3140</v>
      </c>
      <c r="F911" s="49">
        <v>10</v>
      </c>
    </row>
    <row r="912" spans="1:6" x14ac:dyDescent="0.2">
      <c r="A912" s="48" t="s">
        <v>3459</v>
      </c>
      <c r="B912" s="48" t="s">
        <v>3182</v>
      </c>
      <c r="C912" s="48" t="s">
        <v>3182</v>
      </c>
      <c r="D912" s="48" t="s">
        <v>3288</v>
      </c>
      <c r="E912" s="48" t="s">
        <v>3140</v>
      </c>
      <c r="F912" s="49">
        <v>10</v>
      </c>
    </row>
    <row r="913" spans="1:6" x14ac:dyDescent="0.2">
      <c r="A913" s="48" t="s">
        <v>3458</v>
      </c>
      <c r="B913" s="48" t="s">
        <v>3177</v>
      </c>
      <c r="C913" s="48" t="s">
        <v>3219</v>
      </c>
      <c r="D913" s="48" t="s">
        <v>3331</v>
      </c>
      <c r="E913" s="48" t="s">
        <v>3140</v>
      </c>
      <c r="F913" s="49">
        <v>10</v>
      </c>
    </row>
    <row r="914" spans="1:6" x14ac:dyDescent="0.2">
      <c r="A914" s="48" t="s">
        <v>3457</v>
      </c>
      <c r="B914" s="48" t="s">
        <v>3142</v>
      </c>
      <c r="C914" s="48" t="s">
        <v>3163</v>
      </c>
      <c r="D914" s="48" t="s">
        <v>3333</v>
      </c>
      <c r="E914" s="48" t="s">
        <v>3140</v>
      </c>
      <c r="F914" s="49">
        <v>10</v>
      </c>
    </row>
    <row r="915" spans="1:6" x14ac:dyDescent="0.2">
      <c r="A915" s="48" t="s">
        <v>3456</v>
      </c>
      <c r="B915" s="48" t="s">
        <v>3167</v>
      </c>
      <c r="C915" s="48" t="s">
        <v>3166</v>
      </c>
      <c r="D915" s="48" t="s">
        <v>3200</v>
      </c>
      <c r="E915" s="48" t="s">
        <v>3140</v>
      </c>
      <c r="F915" s="49">
        <v>10</v>
      </c>
    </row>
    <row r="916" spans="1:6" x14ac:dyDescent="0.2">
      <c r="A916" s="48" t="s">
        <v>3455</v>
      </c>
      <c r="B916" s="48" t="s">
        <v>3327</v>
      </c>
      <c r="C916" s="48" t="s">
        <v>3327</v>
      </c>
      <c r="D916" s="48" t="s">
        <v>3454</v>
      </c>
      <c r="E916" s="48" t="s">
        <v>3140</v>
      </c>
      <c r="F916" s="49">
        <v>10</v>
      </c>
    </row>
    <row r="917" spans="1:6" x14ac:dyDescent="0.2">
      <c r="A917" s="48" t="s">
        <v>3453</v>
      </c>
      <c r="B917" s="48" t="s">
        <v>3177</v>
      </c>
      <c r="C917" s="48" t="s">
        <v>3176</v>
      </c>
      <c r="D917" s="48" t="s">
        <v>3452</v>
      </c>
      <c r="E917" s="48" t="s">
        <v>3140</v>
      </c>
      <c r="F917" s="49">
        <v>10</v>
      </c>
    </row>
    <row r="918" spans="1:6" x14ac:dyDescent="0.2">
      <c r="A918" s="48" t="s">
        <v>3451</v>
      </c>
      <c r="B918" s="48" t="s">
        <v>3157</v>
      </c>
      <c r="C918" s="48" t="s">
        <v>3244</v>
      </c>
      <c r="D918" s="48" t="s">
        <v>3354</v>
      </c>
      <c r="E918" s="48" t="s">
        <v>3140</v>
      </c>
      <c r="F918" s="49">
        <v>10</v>
      </c>
    </row>
    <row r="919" spans="1:6" x14ac:dyDescent="0.2">
      <c r="A919" s="48" t="s">
        <v>3450</v>
      </c>
      <c r="B919" s="48" t="s">
        <v>3160</v>
      </c>
      <c r="C919" s="48" t="s">
        <v>3373</v>
      </c>
      <c r="D919" s="48" t="s">
        <v>3372</v>
      </c>
      <c r="E919" s="48" t="s">
        <v>3140</v>
      </c>
      <c r="F919" s="49">
        <v>10</v>
      </c>
    </row>
    <row r="920" spans="1:6" x14ac:dyDescent="0.2">
      <c r="A920" s="48" t="s">
        <v>3449</v>
      </c>
      <c r="B920" s="48" t="s">
        <v>3157</v>
      </c>
      <c r="C920" s="48" t="s">
        <v>3255</v>
      </c>
      <c r="D920" s="48" t="s">
        <v>3259</v>
      </c>
      <c r="E920" s="48" t="s">
        <v>3140</v>
      </c>
      <c r="F920" s="49">
        <v>10</v>
      </c>
    </row>
    <row r="921" spans="1:6" x14ac:dyDescent="0.2">
      <c r="A921" s="48" t="s">
        <v>3448</v>
      </c>
      <c r="B921" s="48" t="s">
        <v>3327</v>
      </c>
      <c r="C921" s="48" t="s">
        <v>3327</v>
      </c>
      <c r="D921" s="48" t="s">
        <v>3447</v>
      </c>
      <c r="E921" s="48" t="s">
        <v>3140</v>
      </c>
      <c r="F921" s="49">
        <v>10</v>
      </c>
    </row>
    <row r="922" spans="1:6" x14ac:dyDescent="0.2">
      <c r="A922" s="48" t="s">
        <v>3446</v>
      </c>
      <c r="B922" s="48" t="s">
        <v>3160</v>
      </c>
      <c r="C922" s="48" t="s">
        <v>3373</v>
      </c>
      <c r="D922" s="48" t="s">
        <v>3433</v>
      </c>
      <c r="E922" s="48" t="s">
        <v>3140</v>
      </c>
      <c r="F922" s="49">
        <v>10</v>
      </c>
    </row>
    <row r="923" spans="1:6" x14ac:dyDescent="0.2">
      <c r="A923" s="48" t="s">
        <v>3445</v>
      </c>
      <c r="B923" s="48" t="s">
        <v>3149</v>
      </c>
      <c r="C923" s="48" t="s">
        <v>3196</v>
      </c>
      <c r="D923" s="48" t="s">
        <v>3444</v>
      </c>
      <c r="E923" s="48" t="s">
        <v>3140</v>
      </c>
      <c r="F923" s="49">
        <v>10</v>
      </c>
    </row>
    <row r="924" spans="1:6" x14ac:dyDescent="0.2">
      <c r="A924" s="48" t="s">
        <v>3443</v>
      </c>
      <c r="B924" s="48" t="s">
        <v>3149</v>
      </c>
      <c r="C924" s="48" t="s">
        <v>3318</v>
      </c>
      <c r="D924" s="48" t="s">
        <v>3318</v>
      </c>
      <c r="E924" s="48" t="s">
        <v>3140</v>
      </c>
      <c r="F924" s="49">
        <v>10</v>
      </c>
    </row>
    <row r="925" spans="1:6" x14ac:dyDescent="0.2">
      <c r="A925" s="48" t="s">
        <v>3442</v>
      </c>
      <c r="B925" s="48" t="s">
        <v>3142</v>
      </c>
      <c r="C925" s="48" t="s">
        <v>3163</v>
      </c>
      <c r="D925" s="48" t="s">
        <v>3333</v>
      </c>
      <c r="E925" s="48" t="s">
        <v>3140</v>
      </c>
      <c r="F925" s="49">
        <v>10</v>
      </c>
    </row>
    <row r="926" spans="1:6" x14ac:dyDescent="0.2">
      <c r="A926" s="48" t="s">
        <v>3441</v>
      </c>
      <c r="B926" s="48" t="s">
        <v>3167</v>
      </c>
      <c r="C926" s="48" t="s">
        <v>3166</v>
      </c>
      <c r="D926" s="48" t="s">
        <v>3166</v>
      </c>
      <c r="E926" s="48" t="s">
        <v>3140</v>
      </c>
      <c r="F926" s="49">
        <v>10</v>
      </c>
    </row>
    <row r="927" spans="1:6" x14ac:dyDescent="0.2">
      <c r="A927" s="48" t="s">
        <v>3440</v>
      </c>
      <c r="B927" s="48" t="s">
        <v>3177</v>
      </c>
      <c r="C927" s="48" t="s">
        <v>3176</v>
      </c>
      <c r="D927" s="48" t="s">
        <v>3438</v>
      </c>
      <c r="E927" s="48" t="s">
        <v>3140</v>
      </c>
      <c r="F927" s="49">
        <v>10</v>
      </c>
    </row>
    <row r="928" spans="1:6" x14ac:dyDescent="0.2">
      <c r="A928" s="48" t="s">
        <v>3439</v>
      </c>
      <c r="B928" s="48" t="s">
        <v>3177</v>
      </c>
      <c r="C928" s="48" t="s">
        <v>3176</v>
      </c>
      <c r="D928" s="48" t="s">
        <v>3438</v>
      </c>
      <c r="E928" s="48" t="s">
        <v>3140</v>
      </c>
      <c r="F928" s="49">
        <v>10</v>
      </c>
    </row>
    <row r="929" spans="1:6" x14ac:dyDescent="0.2">
      <c r="A929" s="48" t="s">
        <v>3437</v>
      </c>
      <c r="B929" s="48" t="s">
        <v>3167</v>
      </c>
      <c r="C929" s="48" t="s">
        <v>3237</v>
      </c>
      <c r="D929" s="48" t="s">
        <v>3236</v>
      </c>
      <c r="E929" s="48" t="s">
        <v>3140</v>
      </c>
      <c r="F929" s="49">
        <v>10</v>
      </c>
    </row>
    <row r="930" spans="1:6" x14ac:dyDescent="0.2">
      <c r="A930" s="48" t="s">
        <v>3436</v>
      </c>
      <c r="B930" s="48" t="s">
        <v>3167</v>
      </c>
      <c r="C930" s="48" t="s">
        <v>3237</v>
      </c>
      <c r="D930" s="48" t="s">
        <v>3359</v>
      </c>
      <c r="E930" s="48" t="s">
        <v>3140</v>
      </c>
      <c r="F930" s="49">
        <v>10</v>
      </c>
    </row>
    <row r="931" spans="1:6" x14ac:dyDescent="0.2">
      <c r="A931" s="48" t="s">
        <v>3435</v>
      </c>
      <c r="B931" s="48" t="s">
        <v>3167</v>
      </c>
      <c r="C931" s="48" t="s">
        <v>3237</v>
      </c>
      <c r="D931" s="48" t="s">
        <v>3359</v>
      </c>
      <c r="E931" s="48" t="s">
        <v>3140</v>
      </c>
      <c r="F931" s="49">
        <v>10</v>
      </c>
    </row>
    <row r="932" spans="1:6" x14ac:dyDescent="0.2">
      <c r="A932" s="48" t="s">
        <v>3434</v>
      </c>
      <c r="B932" s="48" t="s">
        <v>3160</v>
      </c>
      <c r="C932" s="48" t="s">
        <v>3373</v>
      </c>
      <c r="D932" s="48" t="s">
        <v>3433</v>
      </c>
      <c r="E932" s="48" t="s">
        <v>3140</v>
      </c>
      <c r="F932" s="49">
        <v>10</v>
      </c>
    </row>
    <row r="933" spans="1:6" x14ac:dyDescent="0.2">
      <c r="A933" s="48" t="s">
        <v>3432</v>
      </c>
      <c r="B933" s="48" t="s">
        <v>3177</v>
      </c>
      <c r="C933" s="48" t="s">
        <v>3191</v>
      </c>
      <c r="D933" s="48" t="s">
        <v>3212</v>
      </c>
      <c r="E933" s="48" t="s">
        <v>3140</v>
      </c>
      <c r="F933" s="49">
        <v>10</v>
      </c>
    </row>
    <row r="934" spans="1:6" x14ac:dyDescent="0.2">
      <c r="A934" s="48" t="s">
        <v>3431</v>
      </c>
      <c r="B934" s="48" t="s">
        <v>3253</v>
      </c>
      <c r="C934" s="48" t="s">
        <v>3253</v>
      </c>
      <c r="D934" s="48" t="s">
        <v>3430</v>
      </c>
      <c r="E934" s="48" t="s">
        <v>3140</v>
      </c>
      <c r="F934" s="49">
        <v>10</v>
      </c>
    </row>
    <row r="935" spans="1:6" x14ac:dyDescent="0.2">
      <c r="A935" s="48" t="s">
        <v>3429</v>
      </c>
      <c r="B935" s="48" t="s">
        <v>3142</v>
      </c>
      <c r="C935" s="48" t="s">
        <v>3142</v>
      </c>
      <c r="D935" s="48" t="s">
        <v>3428</v>
      </c>
      <c r="E935" s="48" t="s">
        <v>3140</v>
      </c>
      <c r="F935" s="49">
        <v>10</v>
      </c>
    </row>
    <row r="936" spans="1:6" x14ac:dyDescent="0.2">
      <c r="A936" s="48" t="s">
        <v>3427</v>
      </c>
      <c r="B936" s="48" t="s">
        <v>3167</v>
      </c>
      <c r="C936" s="48" t="s">
        <v>3426</v>
      </c>
      <c r="D936" s="48" t="s">
        <v>3425</v>
      </c>
      <c r="E936" s="48" t="s">
        <v>3140</v>
      </c>
      <c r="F936" s="49">
        <v>10</v>
      </c>
    </row>
    <row r="937" spans="1:6" x14ac:dyDescent="0.2">
      <c r="A937" s="48" t="s">
        <v>3424</v>
      </c>
      <c r="B937" s="48" t="s">
        <v>3157</v>
      </c>
      <c r="C937" s="48" t="s">
        <v>3156</v>
      </c>
      <c r="D937" s="48" t="s">
        <v>3297</v>
      </c>
      <c r="E937" s="48" t="s">
        <v>3140</v>
      </c>
      <c r="F937" s="49">
        <v>10</v>
      </c>
    </row>
    <row r="938" spans="1:6" x14ac:dyDescent="0.2">
      <c r="A938" s="48" t="s">
        <v>3423</v>
      </c>
      <c r="B938" s="48" t="s">
        <v>3177</v>
      </c>
      <c r="C938" s="48" t="s">
        <v>3191</v>
      </c>
      <c r="D938" s="48" t="s">
        <v>3422</v>
      </c>
      <c r="E938" s="48" t="s">
        <v>3140</v>
      </c>
      <c r="F938" s="49">
        <v>10</v>
      </c>
    </row>
    <row r="939" spans="1:6" x14ac:dyDescent="0.2">
      <c r="A939" s="48" t="s">
        <v>3421</v>
      </c>
      <c r="B939" s="48" t="s">
        <v>3210</v>
      </c>
      <c r="C939" s="48" t="s">
        <v>3209</v>
      </c>
      <c r="D939" s="48" t="s">
        <v>3420</v>
      </c>
      <c r="E939" s="48" t="s">
        <v>3140</v>
      </c>
      <c r="F939" s="49">
        <v>10</v>
      </c>
    </row>
    <row r="940" spans="1:6" x14ac:dyDescent="0.2">
      <c r="A940" s="48" t="s">
        <v>3419</v>
      </c>
      <c r="B940" s="48" t="s">
        <v>3210</v>
      </c>
      <c r="C940" s="48" t="s">
        <v>3209</v>
      </c>
      <c r="D940" s="48" t="s">
        <v>3418</v>
      </c>
      <c r="E940" s="48" t="s">
        <v>3140</v>
      </c>
      <c r="F940" s="49">
        <v>10</v>
      </c>
    </row>
    <row r="941" spans="1:6" x14ac:dyDescent="0.2">
      <c r="A941" s="48" t="s">
        <v>3417</v>
      </c>
      <c r="B941" s="48" t="s">
        <v>3149</v>
      </c>
      <c r="C941" s="48" t="s">
        <v>3196</v>
      </c>
      <c r="D941" s="48" t="s">
        <v>3416</v>
      </c>
      <c r="E941" s="48" t="s">
        <v>3140</v>
      </c>
      <c r="F941" s="49">
        <v>10</v>
      </c>
    </row>
    <row r="942" spans="1:6" x14ac:dyDescent="0.2">
      <c r="A942" s="48" t="s">
        <v>3415</v>
      </c>
      <c r="B942" s="48" t="s">
        <v>3157</v>
      </c>
      <c r="C942" s="48" t="s">
        <v>3255</v>
      </c>
      <c r="D942" s="48" t="s">
        <v>3259</v>
      </c>
      <c r="E942" s="48" t="s">
        <v>3140</v>
      </c>
      <c r="F942" s="49">
        <v>10</v>
      </c>
    </row>
    <row r="943" spans="1:6" x14ac:dyDescent="0.2">
      <c r="A943" s="48" t="s">
        <v>3414</v>
      </c>
      <c r="B943" s="48" t="s">
        <v>3157</v>
      </c>
      <c r="C943" s="48" t="s">
        <v>3413</v>
      </c>
      <c r="D943" s="48" t="s">
        <v>3413</v>
      </c>
      <c r="E943" s="48" t="s">
        <v>3140</v>
      </c>
      <c r="F943" s="49">
        <v>10</v>
      </c>
    </row>
    <row r="944" spans="1:6" x14ac:dyDescent="0.2">
      <c r="A944" s="48" t="s">
        <v>3412</v>
      </c>
      <c r="B944" s="48" t="s">
        <v>3234</v>
      </c>
      <c r="C944" s="48" t="s">
        <v>3233</v>
      </c>
      <c r="D944" s="48" t="s">
        <v>3248</v>
      </c>
      <c r="E944" s="48" t="s">
        <v>3140</v>
      </c>
      <c r="F944" s="49">
        <v>10</v>
      </c>
    </row>
    <row r="945" spans="1:6" x14ac:dyDescent="0.2">
      <c r="A945" s="48" t="s">
        <v>3411</v>
      </c>
      <c r="B945" s="48" t="s">
        <v>3156</v>
      </c>
      <c r="C945" s="48" t="s">
        <v>3156</v>
      </c>
      <c r="D945" s="48" t="s">
        <v>3410</v>
      </c>
      <c r="E945" s="48" t="s">
        <v>3140</v>
      </c>
      <c r="F945" s="49">
        <v>10</v>
      </c>
    </row>
    <row r="946" spans="1:6" x14ac:dyDescent="0.2">
      <c r="A946" s="48" t="s">
        <v>3409</v>
      </c>
      <c r="B946" s="48" t="s">
        <v>3156</v>
      </c>
      <c r="C946" s="48" t="s">
        <v>3227</v>
      </c>
      <c r="D946" s="48" t="s">
        <v>3226</v>
      </c>
      <c r="E946" s="48" t="s">
        <v>3140</v>
      </c>
      <c r="F946" s="49">
        <v>10</v>
      </c>
    </row>
    <row r="947" spans="1:6" x14ac:dyDescent="0.2">
      <c r="A947" s="48" t="s">
        <v>3408</v>
      </c>
      <c r="B947" s="48" t="s">
        <v>3153</v>
      </c>
      <c r="C947" s="48" t="s">
        <v>3203</v>
      </c>
      <c r="D947" s="48" t="s">
        <v>3202</v>
      </c>
      <c r="E947" s="48" t="s">
        <v>3140</v>
      </c>
      <c r="F947" s="49">
        <v>10</v>
      </c>
    </row>
    <row r="948" spans="1:6" x14ac:dyDescent="0.2">
      <c r="A948" s="48" t="s">
        <v>3407</v>
      </c>
      <c r="B948" s="48" t="s">
        <v>3406</v>
      </c>
      <c r="C948" s="48" t="s">
        <v>3233</v>
      </c>
      <c r="D948" s="48" t="s">
        <v>3405</v>
      </c>
      <c r="E948" s="48" t="s">
        <v>3140</v>
      </c>
      <c r="F948" s="49">
        <v>10</v>
      </c>
    </row>
    <row r="949" spans="1:6" x14ac:dyDescent="0.2">
      <c r="A949" s="48" t="s">
        <v>3404</v>
      </c>
      <c r="B949" s="48" t="s">
        <v>3153</v>
      </c>
      <c r="C949" s="48" t="s">
        <v>3403</v>
      </c>
      <c r="D949" s="48" t="s">
        <v>3402</v>
      </c>
      <c r="E949" s="48" t="s">
        <v>3140</v>
      </c>
      <c r="F949" s="49">
        <v>10</v>
      </c>
    </row>
    <row r="950" spans="1:6" x14ac:dyDescent="0.2">
      <c r="A950" s="48" t="s">
        <v>3401</v>
      </c>
      <c r="B950" s="48" t="s">
        <v>3234</v>
      </c>
      <c r="C950" s="48" t="s">
        <v>3233</v>
      </c>
      <c r="D950" s="48" t="s">
        <v>872</v>
      </c>
      <c r="E950" s="48" t="s">
        <v>3140</v>
      </c>
      <c r="F950" s="49">
        <v>10</v>
      </c>
    </row>
    <row r="951" spans="1:6" x14ac:dyDescent="0.2">
      <c r="A951" s="48" t="s">
        <v>3400</v>
      </c>
      <c r="B951" s="48" t="s">
        <v>3177</v>
      </c>
      <c r="C951" s="48" t="s">
        <v>3279</v>
      </c>
      <c r="D951" s="48" t="s">
        <v>3278</v>
      </c>
      <c r="E951" s="48" t="s">
        <v>3140</v>
      </c>
      <c r="F951" s="49">
        <v>10</v>
      </c>
    </row>
    <row r="952" spans="1:6" x14ac:dyDescent="0.2">
      <c r="A952" s="48" t="s">
        <v>3399</v>
      </c>
      <c r="B952" s="48" t="s">
        <v>3153</v>
      </c>
      <c r="C952" s="48" t="s">
        <v>3398</v>
      </c>
      <c r="D952" s="48" t="s">
        <v>3398</v>
      </c>
      <c r="E952" s="48" t="s">
        <v>3140</v>
      </c>
      <c r="F952" s="49">
        <v>10</v>
      </c>
    </row>
    <row r="953" spans="1:6" x14ac:dyDescent="0.2">
      <c r="A953" s="48" t="s">
        <v>3397</v>
      </c>
      <c r="B953" s="48" t="s">
        <v>3327</v>
      </c>
      <c r="C953" s="48" t="s">
        <v>3327</v>
      </c>
      <c r="D953" s="48" t="s">
        <v>3326</v>
      </c>
      <c r="E953" s="48" t="s">
        <v>3140</v>
      </c>
      <c r="F953" s="49">
        <v>10</v>
      </c>
    </row>
    <row r="954" spans="1:6" x14ac:dyDescent="0.2">
      <c r="A954" s="48" t="s">
        <v>3396</v>
      </c>
      <c r="B954" s="48" t="s">
        <v>3182</v>
      </c>
      <c r="C954" s="48" t="s">
        <v>3181</v>
      </c>
      <c r="D954" s="48" t="s">
        <v>3180</v>
      </c>
      <c r="E954" s="48" t="s">
        <v>3140</v>
      </c>
      <c r="F954" s="49">
        <v>9</v>
      </c>
    </row>
    <row r="955" spans="1:6" x14ac:dyDescent="0.2">
      <c r="A955" s="48" t="s">
        <v>3395</v>
      </c>
      <c r="B955" s="48" t="s">
        <v>3177</v>
      </c>
      <c r="C955" s="48" t="s">
        <v>3176</v>
      </c>
      <c r="D955" s="48" t="s">
        <v>3335</v>
      </c>
      <c r="E955" s="48" t="s">
        <v>3140</v>
      </c>
      <c r="F955" s="49">
        <v>9</v>
      </c>
    </row>
    <row r="956" spans="1:6" x14ac:dyDescent="0.2">
      <c r="A956" s="48" t="s">
        <v>3394</v>
      </c>
      <c r="B956" s="48" t="s">
        <v>3142</v>
      </c>
      <c r="C956" s="48" t="s">
        <v>3142</v>
      </c>
      <c r="D956" s="48" t="s">
        <v>3393</v>
      </c>
      <c r="E956" s="48" t="s">
        <v>3140</v>
      </c>
      <c r="F956" s="49">
        <v>9</v>
      </c>
    </row>
    <row r="957" spans="1:6" x14ac:dyDescent="0.2">
      <c r="A957" s="48" t="s">
        <v>3392</v>
      </c>
      <c r="B957" s="48" t="s">
        <v>3157</v>
      </c>
      <c r="C957" s="48" t="s">
        <v>3286</v>
      </c>
      <c r="D957" s="48" t="s">
        <v>3285</v>
      </c>
      <c r="E957" s="48" t="s">
        <v>3140</v>
      </c>
      <c r="F957" s="49">
        <v>9</v>
      </c>
    </row>
    <row r="958" spans="1:6" x14ac:dyDescent="0.2">
      <c r="A958" s="48" t="s">
        <v>3391</v>
      </c>
      <c r="B958" s="48" t="s">
        <v>3234</v>
      </c>
      <c r="C958" s="48" t="s">
        <v>3233</v>
      </c>
      <c r="D958" s="48" t="s">
        <v>3361</v>
      </c>
      <c r="E958" s="48" t="s">
        <v>3140</v>
      </c>
      <c r="F958" s="49">
        <v>9</v>
      </c>
    </row>
    <row r="959" spans="1:6" x14ac:dyDescent="0.2">
      <c r="A959" s="48" t="s">
        <v>3390</v>
      </c>
      <c r="B959" s="48" t="s">
        <v>3149</v>
      </c>
      <c r="C959" s="48" t="s">
        <v>3196</v>
      </c>
      <c r="D959" s="48" t="s">
        <v>3195</v>
      </c>
      <c r="E959" s="48" t="s">
        <v>3140</v>
      </c>
      <c r="F959" s="49">
        <v>9</v>
      </c>
    </row>
    <row r="960" spans="1:6" x14ac:dyDescent="0.2">
      <c r="A960" s="48" t="s">
        <v>3389</v>
      </c>
      <c r="B960" s="48" t="s">
        <v>3327</v>
      </c>
      <c r="C960" s="48" t="s">
        <v>3327</v>
      </c>
      <c r="D960" s="48" t="s">
        <v>3388</v>
      </c>
      <c r="E960" s="48" t="s">
        <v>3140</v>
      </c>
      <c r="F960" s="49">
        <v>9</v>
      </c>
    </row>
    <row r="961" spans="1:6" x14ac:dyDescent="0.2">
      <c r="A961" s="48" t="s">
        <v>3387</v>
      </c>
      <c r="B961" s="48" t="s">
        <v>3182</v>
      </c>
      <c r="C961" s="48" t="s">
        <v>3227</v>
      </c>
      <c r="D961" s="48" t="s">
        <v>3386</v>
      </c>
      <c r="E961" s="48" t="s">
        <v>3140</v>
      </c>
      <c r="F961" s="49">
        <v>9</v>
      </c>
    </row>
    <row r="962" spans="1:6" x14ac:dyDescent="0.2">
      <c r="A962" s="48" t="s">
        <v>3385</v>
      </c>
      <c r="B962" s="48" t="s">
        <v>3182</v>
      </c>
      <c r="C962" s="48" t="s">
        <v>3182</v>
      </c>
      <c r="D962" s="48" t="s">
        <v>398</v>
      </c>
      <c r="E962" s="48" t="s">
        <v>3140</v>
      </c>
      <c r="F962" s="49">
        <v>9</v>
      </c>
    </row>
    <row r="963" spans="1:6" x14ac:dyDescent="0.2">
      <c r="A963" s="48" t="s">
        <v>3384</v>
      </c>
      <c r="B963" s="48" t="s">
        <v>3157</v>
      </c>
      <c r="C963" s="48" t="s">
        <v>3156</v>
      </c>
      <c r="D963" s="48" t="s">
        <v>3155</v>
      </c>
      <c r="E963" s="48" t="s">
        <v>3140</v>
      </c>
      <c r="F963" s="49">
        <v>9</v>
      </c>
    </row>
    <row r="964" spans="1:6" x14ac:dyDescent="0.2">
      <c r="A964" s="48" t="s">
        <v>3383</v>
      </c>
      <c r="B964" s="48" t="s">
        <v>3294</v>
      </c>
      <c r="C964" s="48" t="s">
        <v>3346</v>
      </c>
      <c r="D964" s="48" t="s">
        <v>3382</v>
      </c>
      <c r="E964" s="48" t="s">
        <v>3140</v>
      </c>
      <c r="F964" s="49">
        <v>9</v>
      </c>
    </row>
    <row r="965" spans="1:6" x14ac:dyDescent="0.2">
      <c r="A965" s="48" t="s">
        <v>3381</v>
      </c>
      <c r="B965" s="48" t="s">
        <v>3149</v>
      </c>
      <c r="C965" s="48" t="s">
        <v>3196</v>
      </c>
      <c r="D965" s="48" t="s">
        <v>3380</v>
      </c>
      <c r="E965" s="48" t="s">
        <v>3140</v>
      </c>
      <c r="F965" s="49">
        <v>8</v>
      </c>
    </row>
    <row r="966" spans="1:6" x14ac:dyDescent="0.2">
      <c r="A966" s="48" t="s">
        <v>3379</v>
      </c>
      <c r="B966" s="48" t="s">
        <v>3142</v>
      </c>
      <c r="C966" s="48" t="s">
        <v>3142</v>
      </c>
      <c r="D966" s="48" t="s">
        <v>3291</v>
      </c>
      <c r="E966" s="48" t="s">
        <v>3140</v>
      </c>
      <c r="F966" s="49">
        <v>8</v>
      </c>
    </row>
    <row r="967" spans="1:6" x14ac:dyDescent="0.2">
      <c r="A967" s="48" t="s">
        <v>3378</v>
      </c>
      <c r="B967" s="48" t="s">
        <v>3142</v>
      </c>
      <c r="C967" s="48" t="s">
        <v>3141</v>
      </c>
      <c r="D967" s="48" t="s">
        <v>3141</v>
      </c>
      <c r="E967" s="48" t="s">
        <v>3140</v>
      </c>
      <c r="F967" s="49">
        <v>8</v>
      </c>
    </row>
    <row r="968" spans="1:6" x14ac:dyDescent="0.2">
      <c r="A968" s="48" t="s">
        <v>3377</v>
      </c>
      <c r="B968" s="48" t="s">
        <v>3142</v>
      </c>
      <c r="C968" s="48" t="s">
        <v>3142</v>
      </c>
      <c r="D968" s="48" t="s">
        <v>3376</v>
      </c>
      <c r="E968" s="48" t="s">
        <v>3140</v>
      </c>
      <c r="F968" s="49">
        <v>8</v>
      </c>
    </row>
    <row r="969" spans="1:6" x14ac:dyDescent="0.2">
      <c r="A969" s="48" t="s">
        <v>3375</v>
      </c>
      <c r="B969" s="48" t="s">
        <v>3182</v>
      </c>
      <c r="C969" s="48" t="s">
        <v>3268</v>
      </c>
      <c r="D969" s="48" t="s">
        <v>3370</v>
      </c>
      <c r="E969" s="48" t="s">
        <v>3140</v>
      </c>
      <c r="F969" s="49">
        <v>8</v>
      </c>
    </row>
    <row r="970" spans="1:6" x14ac:dyDescent="0.2">
      <c r="A970" s="48" t="s">
        <v>3374</v>
      </c>
      <c r="B970" s="48" t="s">
        <v>3160</v>
      </c>
      <c r="C970" s="48" t="s">
        <v>3373</v>
      </c>
      <c r="D970" s="48" t="s">
        <v>3372</v>
      </c>
      <c r="E970" s="48" t="s">
        <v>3140</v>
      </c>
      <c r="F970" s="49">
        <v>8</v>
      </c>
    </row>
    <row r="971" spans="1:6" x14ac:dyDescent="0.2">
      <c r="A971" s="48" t="s">
        <v>3371</v>
      </c>
      <c r="B971" s="48" t="s">
        <v>3182</v>
      </c>
      <c r="C971" s="48" t="s">
        <v>3268</v>
      </c>
      <c r="D971" s="48" t="s">
        <v>3370</v>
      </c>
      <c r="E971" s="48" t="s">
        <v>3140</v>
      </c>
      <c r="F971" s="49">
        <v>8</v>
      </c>
    </row>
    <row r="972" spans="1:6" x14ac:dyDescent="0.2">
      <c r="A972" s="48" t="s">
        <v>3369</v>
      </c>
      <c r="B972" s="48" t="s">
        <v>3177</v>
      </c>
      <c r="C972" s="48" t="s">
        <v>3206</v>
      </c>
      <c r="D972" s="48" t="s">
        <v>3368</v>
      </c>
      <c r="E972" s="48" t="s">
        <v>3140</v>
      </c>
      <c r="F972" s="49">
        <v>8</v>
      </c>
    </row>
    <row r="973" spans="1:6" x14ac:dyDescent="0.2">
      <c r="A973" s="48" t="s">
        <v>3367</v>
      </c>
      <c r="B973" s="48" t="s">
        <v>3182</v>
      </c>
      <c r="C973" s="48" t="s">
        <v>3182</v>
      </c>
      <c r="D973" s="48" t="s">
        <v>3366</v>
      </c>
      <c r="E973" s="48" t="s">
        <v>3140</v>
      </c>
      <c r="F973" s="49">
        <v>8</v>
      </c>
    </row>
    <row r="974" spans="1:6" x14ac:dyDescent="0.2">
      <c r="A974" s="48" t="s">
        <v>3365</v>
      </c>
      <c r="B974" s="48" t="s">
        <v>3157</v>
      </c>
      <c r="C974" s="48" t="s">
        <v>3255</v>
      </c>
      <c r="D974" s="48" t="s">
        <v>3259</v>
      </c>
      <c r="E974" s="48" t="s">
        <v>3140</v>
      </c>
      <c r="F974" s="49">
        <v>8</v>
      </c>
    </row>
    <row r="975" spans="1:6" x14ac:dyDescent="0.2">
      <c r="A975" s="48" t="s">
        <v>3364</v>
      </c>
      <c r="B975" s="48" t="s">
        <v>3149</v>
      </c>
      <c r="C975" s="48" t="s">
        <v>3196</v>
      </c>
      <c r="D975" s="48" t="s">
        <v>3363</v>
      </c>
      <c r="E975" s="48" t="s">
        <v>3140</v>
      </c>
      <c r="F975" s="49">
        <v>8</v>
      </c>
    </row>
    <row r="976" spans="1:6" x14ac:dyDescent="0.2">
      <c r="A976" s="48" t="s">
        <v>3362</v>
      </c>
      <c r="B976" s="48" t="s">
        <v>3234</v>
      </c>
      <c r="C976" s="48" t="s">
        <v>3233</v>
      </c>
      <c r="D976" s="48" t="s">
        <v>3361</v>
      </c>
      <c r="E976" s="48" t="s">
        <v>3140</v>
      </c>
      <c r="F976" s="49">
        <v>8</v>
      </c>
    </row>
    <row r="977" spans="1:6" x14ac:dyDescent="0.2">
      <c r="A977" s="48" t="s">
        <v>3360</v>
      </c>
      <c r="B977" s="48" t="s">
        <v>3167</v>
      </c>
      <c r="C977" s="48" t="s">
        <v>3237</v>
      </c>
      <c r="D977" s="48" t="s">
        <v>3359</v>
      </c>
      <c r="E977" s="48" t="s">
        <v>3140</v>
      </c>
      <c r="F977" s="49">
        <v>8</v>
      </c>
    </row>
    <row r="978" spans="1:6" x14ac:dyDescent="0.2">
      <c r="A978" s="48" t="s">
        <v>3358</v>
      </c>
      <c r="B978" s="48" t="s">
        <v>3153</v>
      </c>
      <c r="C978" s="48" t="s">
        <v>927</v>
      </c>
      <c r="D978" s="48" t="s">
        <v>3357</v>
      </c>
      <c r="E978" s="48" t="s">
        <v>3140</v>
      </c>
      <c r="F978" s="49">
        <v>8</v>
      </c>
    </row>
    <row r="979" spans="1:6" x14ac:dyDescent="0.2">
      <c r="A979" s="48" t="s">
        <v>3356</v>
      </c>
      <c r="B979" s="48" t="s">
        <v>3153</v>
      </c>
      <c r="C979" s="48" t="s">
        <v>3152</v>
      </c>
      <c r="D979" s="48" t="s">
        <v>3151</v>
      </c>
      <c r="E979" s="48" t="s">
        <v>3140</v>
      </c>
      <c r="F979" s="49">
        <v>8</v>
      </c>
    </row>
    <row r="980" spans="1:6" x14ac:dyDescent="0.2">
      <c r="A980" s="48" t="s">
        <v>3355</v>
      </c>
      <c r="B980" s="48" t="s">
        <v>3157</v>
      </c>
      <c r="C980" s="48" t="s">
        <v>3244</v>
      </c>
      <c r="D980" s="48" t="s">
        <v>3354</v>
      </c>
      <c r="E980" s="48" t="s">
        <v>3140</v>
      </c>
      <c r="F980" s="49">
        <v>8</v>
      </c>
    </row>
    <row r="981" spans="1:6" x14ac:dyDescent="0.2">
      <c r="A981" s="48" t="s">
        <v>3353</v>
      </c>
      <c r="B981" s="48" t="s">
        <v>3153</v>
      </c>
      <c r="C981" s="48" t="s">
        <v>3352</v>
      </c>
      <c r="D981" s="48" t="s">
        <v>3351</v>
      </c>
      <c r="E981" s="48" t="s">
        <v>3140</v>
      </c>
      <c r="F981" s="49">
        <v>8</v>
      </c>
    </row>
    <row r="982" spans="1:6" x14ac:dyDescent="0.2">
      <c r="A982" s="48" t="s">
        <v>3350</v>
      </c>
      <c r="B982" s="48" t="s">
        <v>3177</v>
      </c>
      <c r="C982" s="48" t="s">
        <v>3191</v>
      </c>
      <c r="D982" s="48" t="s">
        <v>3212</v>
      </c>
      <c r="E982" s="48" t="s">
        <v>3140</v>
      </c>
      <c r="F982" s="49">
        <v>8</v>
      </c>
    </row>
    <row r="983" spans="1:6" x14ac:dyDescent="0.2">
      <c r="A983" s="48" t="s">
        <v>3349</v>
      </c>
      <c r="B983" s="48" t="s">
        <v>3153</v>
      </c>
      <c r="C983" s="48" t="s">
        <v>3348</v>
      </c>
      <c r="D983" s="48" t="s">
        <v>3202</v>
      </c>
      <c r="E983" s="48" t="s">
        <v>3140</v>
      </c>
      <c r="F983" s="49">
        <v>8</v>
      </c>
    </row>
    <row r="984" spans="1:6" x14ac:dyDescent="0.2">
      <c r="A984" s="48" t="s">
        <v>3347</v>
      </c>
      <c r="B984" s="48" t="s">
        <v>3294</v>
      </c>
      <c r="C984" s="48" t="s">
        <v>3346</v>
      </c>
      <c r="D984" s="48" t="s">
        <v>3345</v>
      </c>
      <c r="E984" s="48" t="s">
        <v>3140</v>
      </c>
      <c r="F984" s="49">
        <v>8</v>
      </c>
    </row>
    <row r="985" spans="1:6" x14ac:dyDescent="0.2">
      <c r="A985" s="48" t="s">
        <v>3344</v>
      </c>
      <c r="B985" s="48" t="s">
        <v>3142</v>
      </c>
      <c r="C985" s="48" t="s">
        <v>3142</v>
      </c>
      <c r="D985" s="48" t="s">
        <v>3291</v>
      </c>
      <c r="E985" s="48" t="s">
        <v>3140</v>
      </c>
      <c r="F985" s="49">
        <v>8</v>
      </c>
    </row>
    <row r="986" spans="1:6" x14ac:dyDescent="0.2">
      <c r="A986" s="48" t="s">
        <v>3343</v>
      </c>
      <c r="B986" s="48" t="s">
        <v>3157</v>
      </c>
      <c r="C986" s="48" t="s">
        <v>3255</v>
      </c>
      <c r="D986" s="48" t="s">
        <v>3259</v>
      </c>
      <c r="E986" s="48" t="s">
        <v>3140</v>
      </c>
      <c r="F986" s="49">
        <v>8</v>
      </c>
    </row>
    <row r="987" spans="1:6" x14ac:dyDescent="0.2">
      <c r="A987" s="48" t="s">
        <v>3342</v>
      </c>
      <c r="B987" s="48" t="s">
        <v>3157</v>
      </c>
      <c r="C987" s="48" t="s">
        <v>3173</v>
      </c>
      <c r="D987" s="48" t="s">
        <v>3341</v>
      </c>
      <c r="E987" s="48" t="s">
        <v>3140</v>
      </c>
      <c r="F987" s="49">
        <v>8</v>
      </c>
    </row>
    <row r="988" spans="1:6" x14ac:dyDescent="0.2">
      <c r="A988" s="48" t="s">
        <v>3340</v>
      </c>
      <c r="B988" s="48" t="s">
        <v>3160</v>
      </c>
      <c r="C988" s="48" t="s">
        <v>3160</v>
      </c>
      <c r="D988" s="48" t="s">
        <v>3339</v>
      </c>
      <c r="E988" s="48" t="s">
        <v>3140</v>
      </c>
      <c r="F988" s="49">
        <v>8</v>
      </c>
    </row>
    <row r="989" spans="1:6" x14ac:dyDescent="0.2">
      <c r="A989" s="48" t="s">
        <v>3338</v>
      </c>
      <c r="B989" s="48" t="s">
        <v>3210</v>
      </c>
      <c r="C989" s="48" t="s">
        <v>3209</v>
      </c>
      <c r="D989" s="48" t="s">
        <v>3208</v>
      </c>
      <c r="E989" s="48" t="s">
        <v>3140</v>
      </c>
      <c r="F989" s="49">
        <v>8</v>
      </c>
    </row>
    <row r="990" spans="1:6" x14ac:dyDescent="0.2">
      <c r="A990" s="48" t="s">
        <v>3337</v>
      </c>
      <c r="B990" s="48" t="s">
        <v>3177</v>
      </c>
      <c r="C990" s="48" t="s">
        <v>3219</v>
      </c>
      <c r="D990" s="48" t="s">
        <v>3331</v>
      </c>
      <c r="E990" s="48" t="s">
        <v>3140</v>
      </c>
      <c r="F990" s="49">
        <v>8</v>
      </c>
    </row>
    <row r="991" spans="1:6" x14ac:dyDescent="0.2">
      <c r="A991" s="48" t="s">
        <v>3336</v>
      </c>
      <c r="B991" s="48" t="s">
        <v>3177</v>
      </c>
      <c r="C991" s="48" t="s">
        <v>3176</v>
      </c>
      <c r="D991" s="48" t="s">
        <v>3335</v>
      </c>
      <c r="E991" s="48" t="s">
        <v>3140</v>
      </c>
      <c r="F991" s="49">
        <v>7</v>
      </c>
    </row>
    <row r="992" spans="1:6" x14ac:dyDescent="0.2">
      <c r="A992" s="48" t="s">
        <v>3334</v>
      </c>
      <c r="B992" s="48" t="s">
        <v>3142</v>
      </c>
      <c r="C992" s="48" t="s">
        <v>3163</v>
      </c>
      <c r="D992" s="48" t="s">
        <v>3333</v>
      </c>
      <c r="E992" s="48" t="s">
        <v>3140</v>
      </c>
      <c r="F992" s="49">
        <v>7</v>
      </c>
    </row>
    <row r="993" spans="1:6" x14ac:dyDescent="0.2">
      <c r="A993" s="48" t="s">
        <v>3332</v>
      </c>
      <c r="B993" s="48" t="s">
        <v>3177</v>
      </c>
      <c r="C993" s="48" t="s">
        <v>3219</v>
      </c>
      <c r="D993" s="48" t="s">
        <v>3331</v>
      </c>
      <c r="E993" s="48" t="s">
        <v>3140</v>
      </c>
      <c r="F993" s="49">
        <v>7</v>
      </c>
    </row>
    <row r="994" spans="1:6" x14ac:dyDescent="0.2">
      <c r="A994" s="48" t="s">
        <v>3330</v>
      </c>
      <c r="B994" s="48" t="s">
        <v>3157</v>
      </c>
      <c r="C994" s="48" t="s">
        <v>3286</v>
      </c>
      <c r="D994" s="48" t="s">
        <v>3285</v>
      </c>
      <c r="E994" s="48" t="s">
        <v>3140</v>
      </c>
      <c r="F994" s="49">
        <v>7</v>
      </c>
    </row>
    <row r="995" spans="1:6" x14ac:dyDescent="0.2">
      <c r="A995" s="48" t="s">
        <v>3329</v>
      </c>
      <c r="B995" s="48" t="s">
        <v>3327</v>
      </c>
      <c r="C995" s="48" t="s">
        <v>3327</v>
      </c>
      <c r="D995" s="48" t="s">
        <v>3326</v>
      </c>
      <c r="E995" s="48" t="s">
        <v>3140</v>
      </c>
      <c r="F995" s="49">
        <v>7</v>
      </c>
    </row>
    <row r="996" spans="1:6" x14ac:dyDescent="0.2">
      <c r="A996" s="48" t="s">
        <v>3328</v>
      </c>
      <c r="B996" s="48" t="s">
        <v>3327</v>
      </c>
      <c r="C996" s="48" t="s">
        <v>3327</v>
      </c>
      <c r="D996" s="48" t="s">
        <v>3326</v>
      </c>
      <c r="E996" s="48" t="s">
        <v>3140</v>
      </c>
      <c r="F996" s="49">
        <v>7</v>
      </c>
    </row>
    <row r="997" spans="1:6" x14ac:dyDescent="0.2">
      <c r="A997" s="48" t="s">
        <v>3325</v>
      </c>
      <c r="B997" s="48" t="s">
        <v>3324</v>
      </c>
      <c r="C997" s="48" t="s">
        <v>3209</v>
      </c>
      <c r="D997" s="48" t="s">
        <v>3323</v>
      </c>
      <c r="E997" s="48" t="s">
        <v>3140</v>
      </c>
      <c r="F997" s="49">
        <v>7</v>
      </c>
    </row>
    <row r="998" spans="1:6" x14ac:dyDescent="0.2">
      <c r="A998" s="48" t="s">
        <v>3322</v>
      </c>
      <c r="B998" s="48" t="s">
        <v>3157</v>
      </c>
      <c r="C998" s="48" t="s">
        <v>3244</v>
      </c>
      <c r="D998" s="48" t="s">
        <v>3257</v>
      </c>
      <c r="E998" s="48" t="s">
        <v>3140</v>
      </c>
      <c r="F998" s="49">
        <v>7</v>
      </c>
    </row>
    <row r="999" spans="1:6" x14ac:dyDescent="0.2">
      <c r="A999" s="48" t="s">
        <v>3321</v>
      </c>
      <c r="B999" s="48" t="s">
        <v>3177</v>
      </c>
      <c r="C999" s="48" t="s">
        <v>3191</v>
      </c>
      <c r="D999" s="48" t="s">
        <v>3246</v>
      </c>
      <c r="E999" s="48" t="s">
        <v>3140</v>
      </c>
      <c r="F999" s="49">
        <v>7</v>
      </c>
    </row>
    <row r="1000" spans="1:6" x14ac:dyDescent="0.2">
      <c r="A1000" s="48" t="s">
        <v>3320</v>
      </c>
      <c r="B1000" s="48" t="s">
        <v>3182</v>
      </c>
      <c r="C1000" s="48" t="s">
        <v>3182</v>
      </c>
      <c r="D1000" s="48" t="s">
        <v>398</v>
      </c>
      <c r="E1000" s="48" t="s">
        <v>3140</v>
      </c>
      <c r="F1000" s="49">
        <v>7</v>
      </c>
    </row>
    <row r="1001" spans="1:6" x14ac:dyDescent="0.2">
      <c r="A1001" s="48" t="s">
        <v>3319</v>
      </c>
      <c r="B1001" s="48" t="s">
        <v>3149</v>
      </c>
      <c r="C1001" s="48" t="s">
        <v>3318</v>
      </c>
      <c r="D1001" s="48" t="s">
        <v>3318</v>
      </c>
      <c r="E1001" s="48" t="s">
        <v>3140</v>
      </c>
      <c r="F1001" s="49">
        <v>7</v>
      </c>
    </row>
    <row r="1002" spans="1:6" x14ac:dyDescent="0.2">
      <c r="A1002" s="48" t="s">
        <v>3317</v>
      </c>
      <c r="B1002" s="48" t="s">
        <v>3177</v>
      </c>
      <c r="C1002" s="48" t="s">
        <v>3279</v>
      </c>
      <c r="D1002" s="48" t="s">
        <v>3316</v>
      </c>
      <c r="E1002" s="48" t="s">
        <v>3140</v>
      </c>
      <c r="F1002" s="49">
        <v>6</v>
      </c>
    </row>
    <row r="1003" spans="1:6" x14ac:dyDescent="0.2">
      <c r="A1003" s="48" t="s">
        <v>3315</v>
      </c>
      <c r="B1003" s="48" t="s">
        <v>3177</v>
      </c>
      <c r="C1003" s="48" t="s">
        <v>3176</v>
      </c>
      <c r="D1003" s="48" t="s">
        <v>3175</v>
      </c>
      <c r="E1003" s="48" t="s">
        <v>3140</v>
      </c>
      <c r="F1003" s="49">
        <v>6</v>
      </c>
    </row>
    <row r="1004" spans="1:6" x14ac:dyDescent="0.2">
      <c r="A1004" s="48" t="s">
        <v>3314</v>
      </c>
      <c r="B1004" s="48" t="s">
        <v>3149</v>
      </c>
      <c r="C1004" s="48" t="s">
        <v>3185</v>
      </c>
      <c r="D1004" s="48" t="s">
        <v>3241</v>
      </c>
      <c r="E1004" s="48" t="s">
        <v>3140</v>
      </c>
      <c r="F1004" s="49">
        <v>6</v>
      </c>
    </row>
    <row r="1005" spans="1:6" x14ac:dyDescent="0.2">
      <c r="A1005" s="48" t="s">
        <v>3313</v>
      </c>
      <c r="B1005" s="48" t="s">
        <v>3153</v>
      </c>
      <c r="C1005" s="48" t="s">
        <v>3312</v>
      </c>
      <c r="D1005" s="48" t="s">
        <v>3311</v>
      </c>
      <c r="E1005" s="48" t="s">
        <v>3140</v>
      </c>
      <c r="F1005" s="49">
        <v>6</v>
      </c>
    </row>
    <row r="1006" spans="1:6" x14ac:dyDescent="0.2">
      <c r="A1006" s="48" t="s">
        <v>3310</v>
      </c>
      <c r="B1006" s="48" t="s">
        <v>3156</v>
      </c>
      <c r="C1006" s="48" t="s">
        <v>3156</v>
      </c>
      <c r="D1006" s="48" t="s">
        <v>3309</v>
      </c>
      <c r="E1006" s="48" t="s">
        <v>3140</v>
      </c>
      <c r="F1006" s="49">
        <v>6</v>
      </c>
    </row>
    <row r="1007" spans="1:6" x14ac:dyDescent="0.2">
      <c r="A1007" s="48" t="s">
        <v>3308</v>
      </c>
      <c r="B1007" s="48" t="s">
        <v>3149</v>
      </c>
      <c r="C1007" s="48" t="s">
        <v>3185</v>
      </c>
      <c r="D1007" s="48" t="s">
        <v>3184</v>
      </c>
      <c r="E1007" s="48" t="s">
        <v>3140</v>
      </c>
      <c r="F1007" s="49">
        <v>6</v>
      </c>
    </row>
    <row r="1008" spans="1:6" x14ac:dyDescent="0.2">
      <c r="A1008" s="48" t="s">
        <v>3307</v>
      </c>
      <c r="B1008" s="48" t="s">
        <v>3149</v>
      </c>
      <c r="C1008" s="48" t="s">
        <v>3148</v>
      </c>
      <c r="D1008" s="48" t="s">
        <v>3306</v>
      </c>
      <c r="E1008" s="48" t="s">
        <v>3140</v>
      </c>
      <c r="F1008" s="49">
        <v>6</v>
      </c>
    </row>
    <row r="1009" spans="1:6" x14ac:dyDescent="0.2">
      <c r="A1009" s="48" t="s">
        <v>3305</v>
      </c>
      <c r="B1009" s="48" t="s">
        <v>3234</v>
      </c>
      <c r="C1009" s="48" t="s">
        <v>3233</v>
      </c>
      <c r="D1009" s="48" t="s">
        <v>3232</v>
      </c>
      <c r="E1009" s="48" t="s">
        <v>3140</v>
      </c>
      <c r="F1009" s="49">
        <v>6</v>
      </c>
    </row>
    <row r="1010" spans="1:6" x14ac:dyDescent="0.2">
      <c r="A1010" s="48" t="s">
        <v>3304</v>
      </c>
      <c r="B1010" s="48" t="s">
        <v>3157</v>
      </c>
      <c r="C1010" s="48" t="s">
        <v>3244</v>
      </c>
      <c r="D1010" s="48" t="s">
        <v>3243</v>
      </c>
      <c r="E1010" s="48" t="s">
        <v>3140</v>
      </c>
      <c r="F1010" s="49">
        <v>6</v>
      </c>
    </row>
    <row r="1011" spans="1:6" x14ac:dyDescent="0.2">
      <c r="A1011" s="48" t="s">
        <v>3303</v>
      </c>
      <c r="B1011" s="48" t="s">
        <v>3156</v>
      </c>
      <c r="C1011" s="48" t="s">
        <v>3156</v>
      </c>
      <c r="D1011" s="48" t="s">
        <v>3302</v>
      </c>
      <c r="E1011" s="48" t="s">
        <v>3140</v>
      </c>
      <c r="F1011" s="49">
        <v>6</v>
      </c>
    </row>
    <row r="1012" spans="1:6" x14ac:dyDescent="0.2">
      <c r="A1012" s="48" t="s">
        <v>3301</v>
      </c>
      <c r="B1012" s="48" t="s">
        <v>3177</v>
      </c>
      <c r="C1012" s="48" t="s">
        <v>3206</v>
      </c>
      <c r="D1012" s="48" t="s">
        <v>3205</v>
      </c>
      <c r="E1012" s="48" t="s">
        <v>3140</v>
      </c>
      <c r="F1012" s="49">
        <v>6</v>
      </c>
    </row>
    <row r="1013" spans="1:6" x14ac:dyDescent="0.2">
      <c r="A1013" s="48" t="s">
        <v>3300</v>
      </c>
      <c r="B1013" s="48" t="s">
        <v>3149</v>
      </c>
      <c r="C1013" s="48" t="s">
        <v>3196</v>
      </c>
      <c r="D1013" s="48" t="s">
        <v>3299</v>
      </c>
      <c r="E1013" s="48" t="s">
        <v>3140</v>
      </c>
      <c r="F1013" s="49">
        <v>6</v>
      </c>
    </row>
    <row r="1014" spans="1:6" x14ac:dyDescent="0.2">
      <c r="A1014" s="48" t="s">
        <v>3298</v>
      </c>
      <c r="B1014" s="48" t="s">
        <v>3157</v>
      </c>
      <c r="C1014" s="48" t="s">
        <v>3156</v>
      </c>
      <c r="D1014" s="48" t="s">
        <v>3297</v>
      </c>
      <c r="E1014" s="48" t="s">
        <v>3140</v>
      </c>
      <c r="F1014" s="49">
        <v>6</v>
      </c>
    </row>
    <row r="1015" spans="1:6" x14ac:dyDescent="0.2">
      <c r="A1015" s="48" t="s">
        <v>3296</v>
      </c>
      <c r="B1015" s="48" t="s">
        <v>3149</v>
      </c>
      <c r="C1015" s="48" t="s">
        <v>3185</v>
      </c>
      <c r="D1015" s="48" t="s">
        <v>3184</v>
      </c>
      <c r="E1015" s="48" t="s">
        <v>3140</v>
      </c>
      <c r="F1015" s="49">
        <v>6</v>
      </c>
    </row>
    <row r="1016" spans="1:6" x14ac:dyDescent="0.2">
      <c r="A1016" s="48" t="s">
        <v>3295</v>
      </c>
      <c r="B1016" s="48" t="s">
        <v>3294</v>
      </c>
      <c r="C1016" s="48" t="s">
        <v>3181</v>
      </c>
      <c r="D1016" s="48" t="s">
        <v>3293</v>
      </c>
      <c r="E1016" s="48" t="s">
        <v>3140</v>
      </c>
      <c r="F1016" s="49">
        <v>6</v>
      </c>
    </row>
    <row r="1017" spans="1:6" x14ac:dyDescent="0.2">
      <c r="A1017" s="48" t="s">
        <v>3292</v>
      </c>
      <c r="B1017" s="48" t="s">
        <v>3142</v>
      </c>
      <c r="C1017" s="48" t="s">
        <v>3142</v>
      </c>
      <c r="D1017" s="48" t="s">
        <v>3291</v>
      </c>
      <c r="E1017" s="48" t="s">
        <v>3140</v>
      </c>
      <c r="F1017" s="49">
        <v>6</v>
      </c>
    </row>
    <row r="1018" spans="1:6" x14ac:dyDescent="0.2">
      <c r="A1018" s="48" t="s">
        <v>3290</v>
      </c>
      <c r="B1018" s="48" t="s">
        <v>3149</v>
      </c>
      <c r="C1018" s="48" t="s">
        <v>3185</v>
      </c>
      <c r="D1018" s="48" t="s">
        <v>3184</v>
      </c>
      <c r="E1018" s="48" t="s">
        <v>3140</v>
      </c>
      <c r="F1018" s="49">
        <v>6</v>
      </c>
    </row>
    <row r="1019" spans="1:6" x14ac:dyDescent="0.2">
      <c r="A1019" s="48" t="s">
        <v>3289</v>
      </c>
      <c r="B1019" s="48" t="s">
        <v>3182</v>
      </c>
      <c r="C1019" s="48" t="s">
        <v>3182</v>
      </c>
      <c r="D1019" s="48" t="s">
        <v>3288</v>
      </c>
      <c r="E1019" s="48" t="s">
        <v>3140</v>
      </c>
      <c r="F1019" s="49">
        <v>6</v>
      </c>
    </row>
    <row r="1020" spans="1:6" x14ac:dyDescent="0.2">
      <c r="A1020" s="48" t="s">
        <v>3287</v>
      </c>
      <c r="B1020" s="48" t="s">
        <v>3157</v>
      </c>
      <c r="C1020" s="48" t="s">
        <v>3286</v>
      </c>
      <c r="D1020" s="48" t="s">
        <v>3285</v>
      </c>
      <c r="E1020" s="48" t="s">
        <v>3140</v>
      </c>
      <c r="F1020" s="49">
        <v>6</v>
      </c>
    </row>
    <row r="1021" spans="1:6" x14ac:dyDescent="0.2">
      <c r="A1021" s="48" t="s">
        <v>3284</v>
      </c>
      <c r="B1021" s="48" t="s">
        <v>3182</v>
      </c>
      <c r="C1021" s="48" t="s">
        <v>3181</v>
      </c>
      <c r="D1021" s="48" t="s">
        <v>3180</v>
      </c>
      <c r="E1021" s="48" t="s">
        <v>3140</v>
      </c>
      <c r="F1021" s="49">
        <v>6</v>
      </c>
    </row>
    <row r="1022" spans="1:6" x14ac:dyDescent="0.2">
      <c r="A1022" s="48" t="s">
        <v>3283</v>
      </c>
      <c r="B1022" s="48" t="s">
        <v>3153</v>
      </c>
      <c r="C1022" s="48" t="s">
        <v>3282</v>
      </c>
      <c r="D1022" s="48" t="s">
        <v>3281</v>
      </c>
      <c r="E1022" s="48" t="s">
        <v>3140</v>
      </c>
      <c r="F1022" s="49">
        <v>6</v>
      </c>
    </row>
    <row r="1023" spans="1:6" x14ac:dyDescent="0.2">
      <c r="A1023" s="48" t="s">
        <v>3280</v>
      </c>
      <c r="B1023" s="48" t="s">
        <v>3177</v>
      </c>
      <c r="C1023" s="48" t="s">
        <v>3279</v>
      </c>
      <c r="D1023" s="48" t="s">
        <v>3278</v>
      </c>
      <c r="E1023" s="48" t="s">
        <v>3140</v>
      </c>
      <c r="F1023" s="49">
        <v>6</v>
      </c>
    </row>
    <row r="1024" spans="1:6" x14ac:dyDescent="0.2">
      <c r="A1024" s="48" t="s">
        <v>3277</v>
      </c>
      <c r="B1024" s="48" t="s">
        <v>3234</v>
      </c>
      <c r="C1024" s="48" t="s">
        <v>3233</v>
      </c>
      <c r="D1024" s="48" t="s">
        <v>3276</v>
      </c>
      <c r="E1024" s="48" t="s">
        <v>3140</v>
      </c>
      <c r="F1024" s="49">
        <v>6</v>
      </c>
    </row>
    <row r="1025" spans="1:6" x14ac:dyDescent="0.2">
      <c r="A1025" s="48" t="s">
        <v>3275</v>
      </c>
      <c r="B1025" s="48" t="s">
        <v>3274</v>
      </c>
      <c r="C1025" s="48" t="s">
        <v>3233</v>
      </c>
      <c r="D1025" s="48" t="s">
        <v>3273</v>
      </c>
      <c r="E1025" s="48" t="s">
        <v>3140</v>
      </c>
      <c r="F1025" s="49">
        <v>6</v>
      </c>
    </row>
    <row r="1026" spans="1:6" x14ac:dyDescent="0.2">
      <c r="A1026" s="48" t="s">
        <v>3272</v>
      </c>
      <c r="B1026" s="48" t="s">
        <v>3157</v>
      </c>
      <c r="C1026" s="48" t="s">
        <v>3156</v>
      </c>
      <c r="D1026" s="48" t="s">
        <v>3271</v>
      </c>
      <c r="E1026" s="48" t="s">
        <v>3140</v>
      </c>
      <c r="F1026" s="49">
        <v>6</v>
      </c>
    </row>
    <row r="1027" spans="1:6" x14ac:dyDescent="0.2">
      <c r="A1027" s="48" t="s">
        <v>3270</v>
      </c>
      <c r="B1027" s="48" t="s">
        <v>3149</v>
      </c>
      <c r="C1027" s="48" t="s">
        <v>3185</v>
      </c>
      <c r="D1027" s="48" t="s">
        <v>3241</v>
      </c>
      <c r="E1027" s="48" t="s">
        <v>3140</v>
      </c>
      <c r="F1027" s="49">
        <v>5</v>
      </c>
    </row>
    <row r="1028" spans="1:6" x14ac:dyDescent="0.2">
      <c r="A1028" s="48" t="s">
        <v>3269</v>
      </c>
      <c r="B1028" s="48" t="s">
        <v>3182</v>
      </c>
      <c r="C1028" s="48" t="s">
        <v>3268</v>
      </c>
      <c r="D1028" s="48" t="s">
        <v>3267</v>
      </c>
      <c r="E1028" s="48" t="s">
        <v>3140</v>
      </c>
      <c r="F1028" s="49">
        <v>5</v>
      </c>
    </row>
    <row r="1029" spans="1:6" x14ac:dyDescent="0.2">
      <c r="A1029" s="48" t="s">
        <v>3266</v>
      </c>
      <c r="B1029" s="48" t="s">
        <v>3149</v>
      </c>
      <c r="C1029" s="48" t="s">
        <v>3215</v>
      </c>
      <c r="D1029" s="48" t="s">
        <v>3265</v>
      </c>
      <c r="E1029" s="48" t="s">
        <v>3140</v>
      </c>
      <c r="F1029" s="49">
        <v>5</v>
      </c>
    </row>
    <row r="1030" spans="1:6" x14ac:dyDescent="0.2">
      <c r="A1030" s="48" t="s">
        <v>3264</v>
      </c>
      <c r="B1030" s="48" t="s">
        <v>3157</v>
      </c>
      <c r="C1030" s="48" t="s">
        <v>3173</v>
      </c>
      <c r="D1030" s="48" t="s">
        <v>3263</v>
      </c>
      <c r="E1030" s="48" t="s">
        <v>3140</v>
      </c>
      <c r="F1030" s="49">
        <v>5</v>
      </c>
    </row>
    <row r="1031" spans="1:6" x14ac:dyDescent="0.2">
      <c r="A1031" s="48" t="s">
        <v>3262</v>
      </c>
      <c r="B1031" s="48" t="s">
        <v>3149</v>
      </c>
      <c r="C1031" s="48" t="s">
        <v>3185</v>
      </c>
      <c r="D1031" s="48" t="s">
        <v>3261</v>
      </c>
      <c r="E1031" s="48" t="s">
        <v>3140</v>
      </c>
      <c r="F1031" s="49">
        <v>5</v>
      </c>
    </row>
    <row r="1032" spans="1:6" x14ac:dyDescent="0.2">
      <c r="A1032" s="48" t="s">
        <v>3260</v>
      </c>
      <c r="B1032" s="48" t="s">
        <v>3157</v>
      </c>
      <c r="C1032" s="48" t="s">
        <v>3255</v>
      </c>
      <c r="D1032" s="48" t="s">
        <v>3259</v>
      </c>
      <c r="E1032" s="48" t="s">
        <v>3140</v>
      </c>
      <c r="F1032" s="49">
        <v>5</v>
      </c>
    </row>
    <row r="1033" spans="1:6" x14ac:dyDescent="0.2">
      <c r="A1033" s="48" t="s">
        <v>3258</v>
      </c>
      <c r="B1033" s="48" t="s">
        <v>3157</v>
      </c>
      <c r="C1033" s="48" t="s">
        <v>3244</v>
      </c>
      <c r="D1033" s="48" t="s">
        <v>3257</v>
      </c>
      <c r="E1033" s="48" t="s">
        <v>3140</v>
      </c>
      <c r="F1033" s="49">
        <v>5</v>
      </c>
    </row>
    <row r="1034" spans="1:6" x14ac:dyDescent="0.2">
      <c r="A1034" s="48" t="s">
        <v>3256</v>
      </c>
      <c r="B1034" s="48" t="s">
        <v>3157</v>
      </c>
      <c r="C1034" s="48" t="s">
        <v>3255</v>
      </c>
      <c r="D1034" s="48" t="s">
        <v>3255</v>
      </c>
      <c r="E1034" s="48" t="s">
        <v>3140</v>
      </c>
      <c r="F1034" s="49">
        <v>5</v>
      </c>
    </row>
    <row r="1035" spans="1:6" x14ac:dyDescent="0.2">
      <c r="A1035" s="48" t="s">
        <v>3254</v>
      </c>
      <c r="B1035" s="48" t="s">
        <v>3253</v>
      </c>
      <c r="C1035" s="48" t="s">
        <v>3253</v>
      </c>
      <c r="D1035" s="48" t="s">
        <v>3252</v>
      </c>
      <c r="E1035" s="48" t="s">
        <v>3140</v>
      </c>
      <c r="F1035" s="49">
        <v>5</v>
      </c>
    </row>
    <row r="1036" spans="1:6" x14ac:dyDescent="0.2">
      <c r="A1036" s="48" t="s">
        <v>3251</v>
      </c>
      <c r="B1036" s="48" t="s">
        <v>3177</v>
      </c>
      <c r="C1036" s="48" t="s">
        <v>3219</v>
      </c>
      <c r="D1036" s="48" t="s">
        <v>3250</v>
      </c>
      <c r="E1036" s="48" t="s">
        <v>3140</v>
      </c>
      <c r="F1036" s="49">
        <v>5</v>
      </c>
    </row>
    <row r="1037" spans="1:6" x14ac:dyDescent="0.2">
      <c r="A1037" s="48" t="s">
        <v>3249</v>
      </c>
      <c r="B1037" s="48" t="s">
        <v>3234</v>
      </c>
      <c r="C1037" s="48" t="s">
        <v>3233</v>
      </c>
      <c r="D1037" s="48" t="s">
        <v>3248</v>
      </c>
      <c r="E1037" s="48" t="s">
        <v>3140</v>
      </c>
      <c r="F1037" s="49">
        <v>5</v>
      </c>
    </row>
    <row r="1038" spans="1:6" x14ac:dyDescent="0.2">
      <c r="A1038" s="48" t="s">
        <v>3247</v>
      </c>
      <c r="B1038" s="48" t="s">
        <v>3177</v>
      </c>
      <c r="C1038" s="48" t="s">
        <v>3191</v>
      </c>
      <c r="D1038" s="48" t="s">
        <v>3246</v>
      </c>
      <c r="E1038" s="48" t="s">
        <v>3140</v>
      </c>
      <c r="F1038" s="49">
        <v>5</v>
      </c>
    </row>
    <row r="1039" spans="1:6" x14ac:dyDescent="0.2">
      <c r="A1039" s="48" t="s">
        <v>3245</v>
      </c>
      <c r="B1039" s="48" t="s">
        <v>3157</v>
      </c>
      <c r="C1039" s="48" t="s">
        <v>3244</v>
      </c>
      <c r="D1039" s="48" t="s">
        <v>3243</v>
      </c>
      <c r="E1039" s="48" t="s">
        <v>3140</v>
      </c>
      <c r="F1039" s="49">
        <v>5</v>
      </c>
    </row>
    <row r="1040" spans="1:6" x14ac:dyDescent="0.2">
      <c r="A1040" s="48" t="s">
        <v>3242</v>
      </c>
      <c r="B1040" s="48" t="s">
        <v>3149</v>
      </c>
      <c r="C1040" s="48" t="s">
        <v>3185</v>
      </c>
      <c r="D1040" s="48" t="s">
        <v>3241</v>
      </c>
      <c r="E1040" s="48" t="s">
        <v>3140</v>
      </c>
      <c r="F1040" s="49">
        <v>5</v>
      </c>
    </row>
    <row r="1041" spans="1:6" x14ac:dyDescent="0.2">
      <c r="A1041" s="48" t="s">
        <v>3240</v>
      </c>
      <c r="B1041" s="48" t="s">
        <v>3182</v>
      </c>
      <c r="C1041" s="48" t="s">
        <v>3233</v>
      </c>
      <c r="D1041" s="48" t="s">
        <v>3239</v>
      </c>
      <c r="E1041" s="48" t="s">
        <v>3140</v>
      </c>
      <c r="F1041" s="49">
        <v>5</v>
      </c>
    </row>
    <row r="1042" spans="1:6" x14ac:dyDescent="0.2">
      <c r="A1042" s="48" t="s">
        <v>3238</v>
      </c>
      <c r="B1042" s="48" t="s">
        <v>3167</v>
      </c>
      <c r="C1042" s="48" t="s">
        <v>3237</v>
      </c>
      <c r="D1042" s="48" t="s">
        <v>3236</v>
      </c>
      <c r="E1042" s="48" t="s">
        <v>3140</v>
      </c>
      <c r="F1042" s="49">
        <v>5</v>
      </c>
    </row>
    <row r="1043" spans="1:6" x14ac:dyDescent="0.2">
      <c r="A1043" s="48" t="s">
        <v>3235</v>
      </c>
      <c r="B1043" s="48" t="s">
        <v>3234</v>
      </c>
      <c r="C1043" s="48" t="s">
        <v>3233</v>
      </c>
      <c r="D1043" s="48" t="s">
        <v>3232</v>
      </c>
      <c r="E1043" s="48" t="s">
        <v>3140</v>
      </c>
      <c r="F1043" s="49">
        <v>5</v>
      </c>
    </row>
    <row r="1044" spans="1:6" x14ac:dyDescent="0.2">
      <c r="A1044" s="48" t="s">
        <v>3231</v>
      </c>
      <c r="B1044" s="48" t="s">
        <v>3182</v>
      </c>
      <c r="C1044" s="48" t="s">
        <v>3182</v>
      </c>
      <c r="D1044" s="48" t="s">
        <v>3230</v>
      </c>
      <c r="E1044" s="48" t="s">
        <v>3140</v>
      </c>
      <c r="F1044" s="49">
        <v>5</v>
      </c>
    </row>
    <row r="1045" spans="1:6" x14ac:dyDescent="0.2">
      <c r="A1045" s="48" t="s">
        <v>3229</v>
      </c>
      <c r="B1045" s="48" t="s">
        <v>3149</v>
      </c>
      <c r="C1045" s="48" t="s">
        <v>3185</v>
      </c>
      <c r="D1045" s="48" t="s">
        <v>3184</v>
      </c>
      <c r="E1045" s="48" t="s">
        <v>3140</v>
      </c>
      <c r="F1045" s="49">
        <v>5</v>
      </c>
    </row>
    <row r="1046" spans="1:6" x14ac:dyDescent="0.2">
      <c r="A1046" s="48" t="s">
        <v>3228</v>
      </c>
      <c r="B1046" s="48" t="s">
        <v>3156</v>
      </c>
      <c r="C1046" s="48" t="s">
        <v>3227</v>
      </c>
      <c r="D1046" s="48" t="s">
        <v>3226</v>
      </c>
      <c r="E1046" s="48" t="s">
        <v>3140</v>
      </c>
      <c r="F1046" s="49">
        <v>5</v>
      </c>
    </row>
    <row r="1047" spans="1:6" x14ac:dyDescent="0.2">
      <c r="A1047" s="48" t="s">
        <v>3225</v>
      </c>
      <c r="B1047" s="48" t="s">
        <v>3149</v>
      </c>
      <c r="C1047" s="48" t="s">
        <v>3196</v>
      </c>
      <c r="D1047" s="48" t="s">
        <v>3224</v>
      </c>
      <c r="E1047" s="48" t="s">
        <v>3140</v>
      </c>
      <c r="F1047" s="49">
        <v>5</v>
      </c>
    </row>
    <row r="1048" spans="1:6" x14ac:dyDescent="0.2">
      <c r="A1048" s="48" t="s">
        <v>3223</v>
      </c>
      <c r="B1048" s="48" t="s">
        <v>3142</v>
      </c>
      <c r="C1048" s="48" t="s">
        <v>3142</v>
      </c>
      <c r="D1048" s="48" t="s">
        <v>3222</v>
      </c>
      <c r="E1048" s="48" t="s">
        <v>3140</v>
      </c>
      <c r="F1048" s="49">
        <v>5</v>
      </c>
    </row>
    <row r="1049" spans="1:6" x14ac:dyDescent="0.2">
      <c r="A1049" s="48" t="s">
        <v>3221</v>
      </c>
      <c r="B1049" s="48" t="s">
        <v>3177</v>
      </c>
      <c r="C1049" s="48" t="s">
        <v>3176</v>
      </c>
      <c r="D1049" s="48" t="s">
        <v>3175</v>
      </c>
      <c r="E1049" s="48" t="s">
        <v>3140</v>
      </c>
      <c r="F1049" s="49">
        <v>5</v>
      </c>
    </row>
    <row r="1050" spans="1:6" x14ac:dyDescent="0.2">
      <c r="A1050" s="48" t="s">
        <v>3220</v>
      </c>
      <c r="B1050" s="48" t="s">
        <v>3177</v>
      </c>
      <c r="C1050" s="48" t="s">
        <v>3219</v>
      </c>
      <c r="D1050" s="48" t="s">
        <v>3218</v>
      </c>
      <c r="E1050" s="48" t="s">
        <v>3140</v>
      </c>
      <c r="F1050" s="49">
        <v>5</v>
      </c>
    </row>
    <row r="1051" spans="1:6" x14ac:dyDescent="0.2">
      <c r="A1051" s="48" t="s">
        <v>3217</v>
      </c>
      <c r="B1051" s="48" t="s">
        <v>3177</v>
      </c>
      <c r="C1051" s="48" t="s">
        <v>3206</v>
      </c>
      <c r="D1051" s="48" t="s">
        <v>3205</v>
      </c>
      <c r="E1051" s="48" t="s">
        <v>3140</v>
      </c>
      <c r="F1051" s="49">
        <v>5</v>
      </c>
    </row>
    <row r="1052" spans="1:6" x14ac:dyDescent="0.2">
      <c r="A1052" s="48" t="s">
        <v>3216</v>
      </c>
      <c r="B1052" s="48" t="s">
        <v>3149</v>
      </c>
      <c r="C1052" s="48" t="s">
        <v>3215</v>
      </c>
      <c r="D1052" s="48" t="s">
        <v>3214</v>
      </c>
      <c r="E1052" s="48" t="s">
        <v>3140</v>
      </c>
      <c r="F1052" s="49">
        <v>5</v>
      </c>
    </row>
    <row r="1053" spans="1:6" x14ac:dyDescent="0.2">
      <c r="A1053" s="48" t="s">
        <v>3213</v>
      </c>
      <c r="B1053" s="48" t="s">
        <v>3177</v>
      </c>
      <c r="C1053" s="48" t="s">
        <v>3191</v>
      </c>
      <c r="D1053" s="48" t="s">
        <v>3212</v>
      </c>
      <c r="E1053" s="48" t="s">
        <v>3140</v>
      </c>
      <c r="F1053" s="49">
        <v>5</v>
      </c>
    </row>
    <row r="1054" spans="1:6" x14ac:dyDescent="0.2">
      <c r="A1054" s="48" t="s">
        <v>3211</v>
      </c>
      <c r="B1054" s="48" t="s">
        <v>3210</v>
      </c>
      <c r="C1054" s="48" t="s">
        <v>3209</v>
      </c>
      <c r="D1054" s="48" t="s">
        <v>3208</v>
      </c>
      <c r="E1054" s="48" t="s">
        <v>3140</v>
      </c>
      <c r="F1054" s="49">
        <v>5</v>
      </c>
    </row>
    <row r="1055" spans="1:6" x14ac:dyDescent="0.2">
      <c r="A1055" s="48" t="s">
        <v>3207</v>
      </c>
      <c r="B1055" s="48" t="s">
        <v>3177</v>
      </c>
      <c r="C1055" s="48" t="s">
        <v>3206</v>
      </c>
      <c r="D1055" s="48" t="s">
        <v>3205</v>
      </c>
      <c r="E1055" s="48" t="s">
        <v>3140</v>
      </c>
      <c r="F1055" s="49">
        <v>4</v>
      </c>
    </row>
    <row r="1056" spans="1:6" x14ac:dyDescent="0.2">
      <c r="A1056" s="48" t="s">
        <v>3204</v>
      </c>
      <c r="B1056" s="48" t="s">
        <v>3153</v>
      </c>
      <c r="C1056" s="48" t="s">
        <v>3203</v>
      </c>
      <c r="D1056" s="48" t="s">
        <v>3202</v>
      </c>
      <c r="E1056" s="48" t="s">
        <v>3140</v>
      </c>
      <c r="F1056" s="49">
        <v>4</v>
      </c>
    </row>
    <row r="1057" spans="1:6" x14ac:dyDescent="0.2">
      <c r="A1057" s="48" t="s">
        <v>3201</v>
      </c>
      <c r="B1057" s="48" t="s">
        <v>3167</v>
      </c>
      <c r="C1057" s="48" t="s">
        <v>3166</v>
      </c>
      <c r="D1057" s="48" t="s">
        <v>3200</v>
      </c>
      <c r="E1057" s="48" t="s">
        <v>3140</v>
      </c>
      <c r="F1057" s="49">
        <v>4</v>
      </c>
    </row>
    <row r="1058" spans="1:6" x14ac:dyDescent="0.2">
      <c r="A1058" s="48" t="s">
        <v>3199</v>
      </c>
      <c r="B1058" s="48" t="s">
        <v>3157</v>
      </c>
      <c r="C1058" s="48" t="s">
        <v>3156</v>
      </c>
      <c r="D1058" s="48" t="s">
        <v>3170</v>
      </c>
      <c r="E1058" s="48" t="s">
        <v>3140</v>
      </c>
      <c r="F1058" s="49">
        <v>4</v>
      </c>
    </row>
    <row r="1059" spans="1:6" x14ac:dyDescent="0.2">
      <c r="A1059" s="48" t="s">
        <v>3198</v>
      </c>
      <c r="B1059" s="48" t="s">
        <v>3157</v>
      </c>
      <c r="C1059" s="48" t="s">
        <v>3173</v>
      </c>
      <c r="D1059" s="48" t="s">
        <v>3172</v>
      </c>
      <c r="E1059" s="48" t="s">
        <v>3140</v>
      </c>
      <c r="F1059" s="49">
        <v>4</v>
      </c>
    </row>
    <row r="1060" spans="1:6" x14ac:dyDescent="0.2">
      <c r="A1060" s="48" t="s">
        <v>3197</v>
      </c>
      <c r="B1060" s="48" t="s">
        <v>3149</v>
      </c>
      <c r="C1060" s="48" t="s">
        <v>3196</v>
      </c>
      <c r="D1060" s="48" t="s">
        <v>3195</v>
      </c>
      <c r="E1060" s="48" t="s">
        <v>3140</v>
      </c>
      <c r="F1060" s="49">
        <v>4</v>
      </c>
    </row>
    <row r="1061" spans="1:6" x14ac:dyDescent="0.2">
      <c r="A1061" s="48" t="s">
        <v>3194</v>
      </c>
      <c r="B1061" s="48" t="s">
        <v>3157</v>
      </c>
      <c r="C1061" s="48" t="s">
        <v>3156</v>
      </c>
      <c r="D1061" s="48" t="s">
        <v>3193</v>
      </c>
      <c r="E1061" s="48" t="s">
        <v>3140</v>
      </c>
      <c r="F1061" s="49">
        <v>4</v>
      </c>
    </row>
    <row r="1062" spans="1:6" x14ac:dyDescent="0.2">
      <c r="A1062" s="48" t="s">
        <v>3192</v>
      </c>
      <c r="B1062" s="48" t="s">
        <v>3177</v>
      </c>
      <c r="C1062" s="48" t="s">
        <v>3191</v>
      </c>
      <c r="D1062" s="48" t="s">
        <v>3190</v>
      </c>
      <c r="E1062" s="48" t="s">
        <v>3140</v>
      </c>
      <c r="F1062" s="49">
        <v>4</v>
      </c>
    </row>
    <row r="1063" spans="1:6" x14ac:dyDescent="0.2">
      <c r="A1063" s="48" t="s">
        <v>3189</v>
      </c>
      <c r="B1063" s="48" t="s">
        <v>3149</v>
      </c>
      <c r="C1063" s="48" t="s">
        <v>3148</v>
      </c>
      <c r="D1063" s="48" t="s">
        <v>3188</v>
      </c>
      <c r="E1063" s="48" t="s">
        <v>3140</v>
      </c>
      <c r="F1063" s="49">
        <v>4</v>
      </c>
    </row>
    <row r="1064" spans="1:6" x14ac:dyDescent="0.2">
      <c r="A1064" s="48" t="s">
        <v>3187</v>
      </c>
      <c r="B1064" s="48" t="s">
        <v>3157</v>
      </c>
      <c r="C1064" s="48" t="s">
        <v>3173</v>
      </c>
      <c r="D1064" s="48" t="s">
        <v>3172</v>
      </c>
      <c r="E1064" s="48" t="s">
        <v>3140</v>
      </c>
      <c r="F1064" s="49">
        <v>4</v>
      </c>
    </row>
    <row r="1065" spans="1:6" x14ac:dyDescent="0.2">
      <c r="A1065" s="48" t="s">
        <v>3186</v>
      </c>
      <c r="B1065" s="48" t="s">
        <v>3149</v>
      </c>
      <c r="C1065" s="48" t="s">
        <v>3185</v>
      </c>
      <c r="D1065" s="48" t="s">
        <v>3184</v>
      </c>
      <c r="E1065" s="48" t="s">
        <v>3140</v>
      </c>
      <c r="F1065" s="49">
        <v>4</v>
      </c>
    </row>
    <row r="1066" spans="1:6" x14ac:dyDescent="0.2">
      <c r="A1066" s="48" t="s">
        <v>3183</v>
      </c>
      <c r="B1066" s="48" t="s">
        <v>3182</v>
      </c>
      <c r="C1066" s="48" t="s">
        <v>3181</v>
      </c>
      <c r="D1066" s="48" t="s">
        <v>3180</v>
      </c>
      <c r="E1066" s="48" t="s">
        <v>3140</v>
      </c>
      <c r="F1066" s="49">
        <v>4</v>
      </c>
    </row>
    <row r="1067" spans="1:6" x14ac:dyDescent="0.2">
      <c r="A1067" s="48" t="s">
        <v>3179</v>
      </c>
      <c r="B1067" s="48" t="s">
        <v>3157</v>
      </c>
      <c r="C1067" s="48" t="s">
        <v>3156</v>
      </c>
      <c r="D1067" s="48" t="s">
        <v>3170</v>
      </c>
      <c r="E1067" s="48" t="s">
        <v>3140</v>
      </c>
      <c r="F1067" s="49">
        <v>4</v>
      </c>
    </row>
    <row r="1068" spans="1:6" x14ac:dyDescent="0.2">
      <c r="A1068" s="48" t="s">
        <v>3178</v>
      </c>
      <c r="B1068" s="48" t="s">
        <v>3177</v>
      </c>
      <c r="C1068" s="48" t="s">
        <v>3176</v>
      </c>
      <c r="D1068" s="48" t="s">
        <v>3175</v>
      </c>
      <c r="E1068" s="48" t="s">
        <v>3140</v>
      </c>
      <c r="F1068" s="49">
        <v>4</v>
      </c>
    </row>
    <row r="1069" spans="1:6" x14ac:dyDescent="0.2">
      <c r="A1069" s="48" t="s">
        <v>3174</v>
      </c>
      <c r="B1069" s="48" t="s">
        <v>3157</v>
      </c>
      <c r="C1069" s="48" t="s">
        <v>3173</v>
      </c>
      <c r="D1069" s="48" t="s">
        <v>3172</v>
      </c>
      <c r="E1069" s="48" t="s">
        <v>3140</v>
      </c>
      <c r="F1069" s="49">
        <v>4</v>
      </c>
    </row>
    <row r="1070" spans="1:6" x14ac:dyDescent="0.2">
      <c r="A1070" s="48" t="s">
        <v>3171</v>
      </c>
      <c r="B1070" s="48" t="s">
        <v>3157</v>
      </c>
      <c r="C1070" s="48" t="s">
        <v>3156</v>
      </c>
      <c r="D1070" s="48" t="s">
        <v>3170</v>
      </c>
      <c r="E1070" s="48" t="s">
        <v>3140</v>
      </c>
      <c r="F1070" s="49">
        <v>3</v>
      </c>
    </row>
    <row r="1071" spans="1:6" x14ac:dyDescent="0.2">
      <c r="A1071" s="48" t="s">
        <v>3169</v>
      </c>
      <c r="B1071" s="48" t="s">
        <v>3160</v>
      </c>
      <c r="C1071" s="48" t="s">
        <v>3160</v>
      </c>
      <c r="D1071" s="48" t="s">
        <v>3159</v>
      </c>
      <c r="E1071" s="48" t="s">
        <v>3140</v>
      </c>
      <c r="F1071" s="49">
        <v>3</v>
      </c>
    </row>
    <row r="1072" spans="1:6" x14ac:dyDescent="0.2">
      <c r="A1072" s="48" t="s">
        <v>3168</v>
      </c>
      <c r="B1072" s="48" t="s">
        <v>3167</v>
      </c>
      <c r="C1072" s="48" t="s">
        <v>3166</v>
      </c>
      <c r="D1072" s="48" t="s">
        <v>3165</v>
      </c>
      <c r="E1072" s="48" t="s">
        <v>3140</v>
      </c>
      <c r="F1072" s="49">
        <v>3</v>
      </c>
    </row>
    <row r="1073" spans="1:6" x14ac:dyDescent="0.2">
      <c r="A1073" s="48" t="s">
        <v>3164</v>
      </c>
      <c r="B1073" s="48" t="s">
        <v>3142</v>
      </c>
      <c r="C1073" s="48" t="s">
        <v>3163</v>
      </c>
      <c r="D1073" s="48" t="s">
        <v>3162</v>
      </c>
      <c r="E1073" s="48" t="s">
        <v>3140</v>
      </c>
      <c r="F1073" s="49">
        <v>3</v>
      </c>
    </row>
    <row r="1074" spans="1:6" x14ac:dyDescent="0.2">
      <c r="A1074" s="48" t="s">
        <v>3161</v>
      </c>
      <c r="B1074" s="48" t="s">
        <v>3160</v>
      </c>
      <c r="C1074" s="48" t="s">
        <v>3160</v>
      </c>
      <c r="D1074" s="48" t="s">
        <v>3159</v>
      </c>
      <c r="E1074" s="48" t="s">
        <v>3140</v>
      </c>
      <c r="F1074" s="49">
        <v>3</v>
      </c>
    </row>
    <row r="1075" spans="1:6" x14ac:dyDescent="0.2">
      <c r="A1075" s="48" t="s">
        <v>3158</v>
      </c>
      <c r="B1075" s="48" t="s">
        <v>3157</v>
      </c>
      <c r="C1075" s="48" t="s">
        <v>3156</v>
      </c>
      <c r="D1075" s="48" t="s">
        <v>3155</v>
      </c>
      <c r="E1075" s="48" t="s">
        <v>3140</v>
      </c>
      <c r="F1075" s="49">
        <v>3</v>
      </c>
    </row>
    <row r="1076" spans="1:6" x14ac:dyDescent="0.2">
      <c r="A1076" s="48" t="s">
        <v>3154</v>
      </c>
      <c r="B1076" s="48" t="s">
        <v>3153</v>
      </c>
      <c r="C1076" s="48" t="s">
        <v>3152</v>
      </c>
      <c r="D1076" s="48" t="s">
        <v>3151</v>
      </c>
      <c r="E1076" s="48" t="s">
        <v>3140</v>
      </c>
      <c r="F1076" s="49">
        <v>3</v>
      </c>
    </row>
    <row r="1077" spans="1:6" x14ac:dyDescent="0.2">
      <c r="A1077" s="48" t="s">
        <v>3150</v>
      </c>
      <c r="B1077" s="48" t="s">
        <v>3149</v>
      </c>
      <c r="C1077" s="48" t="s">
        <v>3148</v>
      </c>
      <c r="D1077" s="48" t="s">
        <v>3147</v>
      </c>
      <c r="E1077" s="48" t="s">
        <v>3140</v>
      </c>
      <c r="F1077" s="49">
        <v>2</v>
      </c>
    </row>
    <row r="1078" spans="1:6" x14ac:dyDescent="0.2">
      <c r="A1078" s="48" t="s">
        <v>3146</v>
      </c>
      <c r="B1078" s="48" t="s">
        <v>3142</v>
      </c>
      <c r="C1078" s="48" t="s">
        <v>3145</v>
      </c>
      <c r="D1078" s="48" t="s">
        <v>3144</v>
      </c>
      <c r="E1078" s="48" t="s">
        <v>3140</v>
      </c>
      <c r="F1078" s="49">
        <v>2</v>
      </c>
    </row>
    <row r="1079" spans="1:6" x14ac:dyDescent="0.2">
      <c r="A1079" s="48" t="s">
        <v>3143</v>
      </c>
      <c r="B1079" s="48" t="s">
        <v>3142</v>
      </c>
      <c r="C1079" s="48" t="s">
        <v>3141</v>
      </c>
      <c r="D1079" s="48" t="s">
        <v>3141</v>
      </c>
      <c r="E1079" s="48" t="s">
        <v>3140</v>
      </c>
      <c r="F1079" s="49">
        <v>0</v>
      </c>
    </row>
    <row r="1080" spans="1:6" x14ac:dyDescent="0.2">
      <c r="A1080" s="48" t="s">
        <v>3139</v>
      </c>
    </row>
    <row r="1081" spans="1:6" x14ac:dyDescent="0.2">
      <c r="A1081" s="48" t="s">
        <v>3138</v>
      </c>
    </row>
    <row r="1082" spans="1:6" x14ac:dyDescent="0.2">
      <c r="A1082" s="48" t="s">
        <v>3137</v>
      </c>
    </row>
  </sheetData>
  <autoFilter ref="A3:F3" xr:uid="{5B7A8796-3329-4DCA-AF3A-74B19EDE6C4C}">
    <sortState xmlns:xlrd2="http://schemas.microsoft.com/office/spreadsheetml/2017/richdata2" ref="A4:F1082">
      <sortCondition descending="1" ref="F3"/>
    </sortState>
  </autoFilter>
  <pageMargins left="0.75" right="0.75" top="1" bottom="1" header="0.5" footer="0.5"/>
  <pageSetup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2EB04-E764-465D-9B03-A53F3E6B7C7F}">
  <sheetPr>
    <tabColor theme="0" tint="-0.14999847407452621"/>
  </sheetPr>
  <dimension ref="A6:IV853"/>
  <sheetViews>
    <sheetView topLeftCell="A16" workbookViewId="0">
      <selection activeCell="G37" sqref="G37"/>
    </sheetView>
  </sheetViews>
  <sheetFormatPr defaultColWidth="8.85546875" defaultRowHeight="12" x14ac:dyDescent="0.2"/>
  <cols>
    <col min="1" max="1" width="46.5703125" style="51" customWidth="1"/>
    <col min="2" max="2" width="10.7109375" style="51" customWidth="1"/>
    <col min="3" max="3" width="26.28515625" style="51" bestFit="1" customWidth="1"/>
    <col min="4" max="4" width="11.42578125" style="51" customWidth="1"/>
    <col min="5" max="5" width="20.7109375" style="51" bestFit="1" customWidth="1"/>
    <col min="6" max="6" width="21.7109375" style="51" customWidth="1"/>
    <col min="7" max="7" width="22.28515625" style="51" customWidth="1"/>
    <col min="8" max="8" width="21.5703125" style="51" bestFit="1" customWidth="1"/>
    <col min="9" max="9" width="2" style="51" bestFit="1" customWidth="1"/>
    <col min="10" max="10" width="11" style="51" bestFit="1" customWidth="1"/>
    <col min="11" max="256" width="8.85546875" style="51"/>
    <col min="257" max="257" width="46.5703125" style="51" customWidth="1"/>
    <col min="258" max="258" width="10.7109375" style="51" customWidth="1"/>
    <col min="259" max="259" width="26.28515625" style="51" bestFit="1" customWidth="1"/>
    <col min="260" max="260" width="11.42578125" style="51" customWidth="1"/>
    <col min="261" max="261" width="20.7109375" style="51" bestFit="1" customWidth="1"/>
    <col min="262" max="262" width="21.7109375" style="51" customWidth="1"/>
    <col min="263" max="263" width="22.28515625" style="51" customWidth="1"/>
    <col min="264" max="264" width="21.5703125" style="51" bestFit="1" customWidth="1"/>
    <col min="265" max="265" width="2" style="51" bestFit="1" customWidth="1"/>
    <col min="266" max="512" width="8.85546875" style="51"/>
    <col min="513" max="513" width="46.5703125" style="51" customWidth="1"/>
    <col min="514" max="514" width="10.7109375" style="51" customWidth="1"/>
    <col min="515" max="515" width="26.28515625" style="51" bestFit="1" customWidth="1"/>
    <col min="516" max="516" width="11.42578125" style="51" customWidth="1"/>
    <col min="517" max="517" width="20.7109375" style="51" bestFit="1" customWidth="1"/>
    <col min="518" max="518" width="21.7109375" style="51" customWidth="1"/>
    <col min="519" max="519" width="22.28515625" style="51" customWidth="1"/>
    <col min="520" max="520" width="21.5703125" style="51" bestFit="1" customWidth="1"/>
    <col min="521" max="521" width="2" style="51" bestFit="1" customWidth="1"/>
    <col min="522" max="768" width="8.85546875" style="51"/>
    <col min="769" max="769" width="46.5703125" style="51" customWidth="1"/>
    <col min="770" max="770" width="10.7109375" style="51" customWidth="1"/>
    <col min="771" max="771" width="26.28515625" style="51" bestFit="1" customWidth="1"/>
    <col min="772" max="772" width="11.42578125" style="51" customWidth="1"/>
    <col min="773" max="773" width="20.7109375" style="51" bestFit="1" customWidth="1"/>
    <col min="774" max="774" width="21.7109375" style="51" customWidth="1"/>
    <col min="775" max="775" width="22.28515625" style="51" customWidth="1"/>
    <col min="776" max="776" width="21.5703125" style="51" bestFit="1" customWidth="1"/>
    <col min="777" max="777" width="2" style="51" bestFit="1" customWidth="1"/>
    <col min="778" max="1024" width="8.85546875" style="51"/>
    <col min="1025" max="1025" width="46.5703125" style="51" customWidth="1"/>
    <col min="1026" max="1026" width="10.7109375" style="51" customWidth="1"/>
    <col min="1027" max="1027" width="26.28515625" style="51" bestFit="1" customWidth="1"/>
    <col min="1028" max="1028" width="11.42578125" style="51" customWidth="1"/>
    <col min="1029" max="1029" width="20.7109375" style="51" bestFit="1" customWidth="1"/>
    <col min="1030" max="1030" width="21.7109375" style="51" customWidth="1"/>
    <col min="1031" max="1031" width="22.28515625" style="51" customWidth="1"/>
    <col min="1032" max="1032" width="21.5703125" style="51" bestFit="1" customWidth="1"/>
    <col min="1033" max="1033" width="2" style="51" bestFit="1" customWidth="1"/>
    <col min="1034" max="1280" width="8.85546875" style="51"/>
    <col min="1281" max="1281" width="46.5703125" style="51" customWidth="1"/>
    <col min="1282" max="1282" width="10.7109375" style="51" customWidth="1"/>
    <col min="1283" max="1283" width="26.28515625" style="51" bestFit="1" customWidth="1"/>
    <col min="1284" max="1284" width="11.42578125" style="51" customWidth="1"/>
    <col min="1285" max="1285" width="20.7109375" style="51" bestFit="1" customWidth="1"/>
    <col min="1286" max="1286" width="21.7109375" style="51" customWidth="1"/>
    <col min="1287" max="1287" width="22.28515625" style="51" customWidth="1"/>
    <col min="1288" max="1288" width="21.5703125" style="51" bestFit="1" customWidth="1"/>
    <col min="1289" max="1289" width="2" style="51" bestFit="1" customWidth="1"/>
    <col min="1290" max="1536" width="8.85546875" style="51"/>
    <col min="1537" max="1537" width="46.5703125" style="51" customWidth="1"/>
    <col min="1538" max="1538" width="10.7109375" style="51" customWidth="1"/>
    <col min="1539" max="1539" width="26.28515625" style="51" bestFit="1" customWidth="1"/>
    <col min="1540" max="1540" width="11.42578125" style="51" customWidth="1"/>
    <col min="1541" max="1541" width="20.7109375" style="51" bestFit="1" customWidth="1"/>
    <col min="1542" max="1542" width="21.7109375" style="51" customWidth="1"/>
    <col min="1543" max="1543" width="22.28515625" style="51" customWidth="1"/>
    <col min="1544" max="1544" width="21.5703125" style="51" bestFit="1" customWidth="1"/>
    <col min="1545" max="1545" width="2" style="51" bestFit="1" customWidth="1"/>
    <col min="1546" max="1792" width="8.85546875" style="51"/>
    <col min="1793" max="1793" width="46.5703125" style="51" customWidth="1"/>
    <col min="1794" max="1794" width="10.7109375" style="51" customWidth="1"/>
    <col min="1795" max="1795" width="26.28515625" style="51" bestFit="1" customWidth="1"/>
    <col min="1796" max="1796" width="11.42578125" style="51" customWidth="1"/>
    <col min="1797" max="1797" width="20.7109375" style="51" bestFit="1" customWidth="1"/>
    <col min="1798" max="1798" width="21.7109375" style="51" customWidth="1"/>
    <col min="1799" max="1799" width="22.28515625" style="51" customWidth="1"/>
    <col min="1800" max="1800" width="21.5703125" style="51" bestFit="1" customWidth="1"/>
    <col min="1801" max="1801" width="2" style="51" bestFit="1" customWidth="1"/>
    <col min="1802" max="2048" width="8.85546875" style="51"/>
    <col min="2049" max="2049" width="46.5703125" style="51" customWidth="1"/>
    <col min="2050" max="2050" width="10.7109375" style="51" customWidth="1"/>
    <col min="2051" max="2051" width="26.28515625" style="51" bestFit="1" customWidth="1"/>
    <col min="2052" max="2052" width="11.42578125" style="51" customWidth="1"/>
    <col min="2053" max="2053" width="20.7109375" style="51" bestFit="1" customWidth="1"/>
    <col min="2054" max="2054" width="21.7109375" style="51" customWidth="1"/>
    <col min="2055" max="2055" width="22.28515625" style="51" customWidth="1"/>
    <col min="2056" max="2056" width="21.5703125" style="51" bestFit="1" customWidth="1"/>
    <col min="2057" max="2057" width="2" style="51" bestFit="1" customWidth="1"/>
    <col min="2058" max="2304" width="8.85546875" style="51"/>
    <col min="2305" max="2305" width="46.5703125" style="51" customWidth="1"/>
    <col min="2306" max="2306" width="10.7109375" style="51" customWidth="1"/>
    <col min="2307" max="2307" width="26.28515625" style="51" bestFit="1" customWidth="1"/>
    <col min="2308" max="2308" width="11.42578125" style="51" customWidth="1"/>
    <col min="2309" max="2309" width="20.7109375" style="51" bestFit="1" customWidth="1"/>
    <col min="2310" max="2310" width="21.7109375" style="51" customWidth="1"/>
    <col min="2311" max="2311" width="22.28515625" style="51" customWidth="1"/>
    <col min="2312" max="2312" width="21.5703125" style="51" bestFit="1" customWidth="1"/>
    <col min="2313" max="2313" width="2" style="51" bestFit="1" customWidth="1"/>
    <col min="2314" max="2560" width="8.85546875" style="51"/>
    <col min="2561" max="2561" width="46.5703125" style="51" customWidth="1"/>
    <col min="2562" max="2562" width="10.7109375" style="51" customWidth="1"/>
    <col min="2563" max="2563" width="26.28515625" style="51" bestFit="1" customWidth="1"/>
    <col min="2564" max="2564" width="11.42578125" style="51" customWidth="1"/>
    <col min="2565" max="2565" width="20.7109375" style="51" bestFit="1" customWidth="1"/>
    <col min="2566" max="2566" width="21.7109375" style="51" customWidth="1"/>
    <col min="2567" max="2567" width="22.28515625" style="51" customWidth="1"/>
    <col min="2568" max="2568" width="21.5703125" style="51" bestFit="1" customWidth="1"/>
    <col min="2569" max="2569" width="2" style="51" bestFit="1" customWidth="1"/>
    <col min="2570" max="2816" width="8.85546875" style="51"/>
    <col min="2817" max="2817" width="46.5703125" style="51" customWidth="1"/>
    <col min="2818" max="2818" width="10.7109375" style="51" customWidth="1"/>
    <col min="2819" max="2819" width="26.28515625" style="51" bestFit="1" customWidth="1"/>
    <col min="2820" max="2820" width="11.42578125" style="51" customWidth="1"/>
    <col min="2821" max="2821" width="20.7109375" style="51" bestFit="1" customWidth="1"/>
    <col min="2822" max="2822" width="21.7109375" style="51" customWidth="1"/>
    <col min="2823" max="2823" width="22.28515625" style="51" customWidth="1"/>
    <col min="2824" max="2824" width="21.5703125" style="51" bestFit="1" customWidth="1"/>
    <col min="2825" max="2825" width="2" style="51" bestFit="1" customWidth="1"/>
    <col min="2826" max="3072" width="8.85546875" style="51"/>
    <col min="3073" max="3073" width="46.5703125" style="51" customWidth="1"/>
    <col min="3074" max="3074" width="10.7109375" style="51" customWidth="1"/>
    <col min="3075" max="3075" width="26.28515625" style="51" bestFit="1" customWidth="1"/>
    <col min="3076" max="3076" width="11.42578125" style="51" customWidth="1"/>
    <col min="3077" max="3077" width="20.7109375" style="51" bestFit="1" customWidth="1"/>
    <col min="3078" max="3078" width="21.7109375" style="51" customWidth="1"/>
    <col min="3079" max="3079" width="22.28515625" style="51" customWidth="1"/>
    <col min="3080" max="3080" width="21.5703125" style="51" bestFit="1" customWidth="1"/>
    <col min="3081" max="3081" width="2" style="51" bestFit="1" customWidth="1"/>
    <col min="3082" max="3328" width="8.85546875" style="51"/>
    <col min="3329" max="3329" width="46.5703125" style="51" customWidth="1"/>
    <col min="3330" max="3330" width="10.7109375" style="51" customWidth="1"/>
    <col min="3331" max="3331" width="26.28515625" style="51" bestFit="1" customWidth="1"/>
    <col min="3332" max="3332" width="11.42578125" style="51" customWidth="1"/>
    <col min="3333" max="3333" width="20.7109375" style="51" bestFit="1" customWidth="1"/>
    <col min="3334" max="3334" width="21.7109375" style="51" customWidth="1"/>
    <col min="3335" max="3335" width="22.28515625" style="51" customWidth="1"/>
    <col min="3336" max="3336" width="21.5703125" style="51" bestFit="1" customWidth="1"/>
    <col min="3337" max="3337" width="2" style="51" bestFit="1" customWidth="1"/>
    <col min="3338" max="3584" width="8.85546875" style="51"/>
    <col min="3585" max="3585" width="46.5703125" style="51" customWidth="1"/>
    <col min="3586" max="3586" width="10.7109375" style="51" customWidth="1"/>
    <col min="3587" max="3587" width="26.28515625" style="51" bestFit="1" customWidth="1"/>
    <col min="3588" max="3588" width="11.42578125" style="51" customWidth="1"/>
    <col min="3589" max="3589" width="20.7109375" style="51" bestFit="1" customWidth="1"/>
    <col min="3590" max="3590" width="21.7109375" style="51" customWidth="1"/>
    <col min="3591" max="3591" width="22.28515625" style="51" customWidth="1"/>
    <col min="3592" max="3592" width="21.5703125" style="51" bestFit="1" customWidth="1"/>
    <col min="3593" max="3593" width="2" style="51" bestFit="1" customWidth="1"/>
    <col min="3594" max="3840" width="8.85546875" style="51"/>
    <col min="3841" max="3841" width="46.5703125" style="51" customWidth="1"/>
    <col min="3842" max="3842" width="10.7109375" style="51" customWidth="1"/>
    <col min="3843" max="3843" width="26.28515625" style="51" bestFit="1" customWidth="1"/>
    <col min="3844" max="3844" width="11.42578125" style="51" customWidth="1"/>
    <col min="3845" max="3845" width="20.7109375" style="51" bestFit="1" customWidth="1"/>
    <col min="3846" max="3846" width="21.7109375" style="51" customWidth="1"/>
    <col min="3847" max="3847" width="22.28515625" style="51" customWidth="1"/>
    <col min="3848" max="3848" width="21.5703125" style="51" bestFit="1" customWidth="1"/>
    <col min="3849" max="3849" width="2" style="51" bestFit="1" customWidth="1"/>
    <col min="3850" max="4096" width="8.85546875" style="51"/>
    <col min="4097" max="4097" width="46.5703125" style="51" customWidth="1"/>
    <col min="4098" max="4098" width="10.7109375" style="51" customWidth="1"/>
    <col min="4099" max="4099" width="26.28515625" style="51" bestFit="1" customWidth="1"/>
    <col min="4100" max="4100" width="11.42578125" style="51" customWidth="1"/>
    <col min="4101" max="4101" width="20.7109375" style="51" bestFit="1" customWidth="1"/>
    <col min="4102" max="4102" width="21.7109375" style="51" customWidth="1"/>
    <col min="4103" max="4103" width="22.28515625" style="51" customWidth="1"/>
    <col min="4104" max="4104" width="21.5703125" style="51" bestFit="1" customWidth="1"/>
    <col min="4105" max="4105" width="2" style="51" bestFit="1" customWidth="1"/>
    <col min="4106" max="4352" width="8.85546875" style="51"/>
    <col min="4353" max="4353" width="46.5703125" style="51" customWidth="1"/>
    <col min="4354" max="4354" width="10.7109375" style="51" customWidth="1"/>
    <col min="4355" max="4355" width="26.28515625" style="51" bestFit="1" customWidth="1"/>
    <col min="4356" max="4356" width="11.42578125" style="51" customWidth="1"/>
    <col min="4357" max="4357" width="20.7109375" style="51" bestFit="1" customWidth="1"/>
    <col min="4358" max="4358" width="21.7109375" style="51" customWidth="1"/>
    <col min="4359" max="4359" width="22.28515625" style="51" customWidth="1"/>
    <col min="4360" max="4360" width="21.5703125" style="51" bestFit="1" customWidth="1"/>
    <col min="4361" max="4361" width="2" style="51" bestFit="1" customWidth="1"/>
    <col min="4362" max="4608" width="8.85546875" style="51"/>
    <col min="4609" max="4609" width="46.5703125" style="51" customWidth="1"/>
    <col min="4610" max="4610" width="10.7109375" style="51" customWidth="1"/>
    <col min="4611" max="4611" width="26.28515625" style="51" bestFit="1" customWidth="1"/>
    <col min="4612" max="4612" width="11.42578125" style="51" customWidth="1"/>
    <col min="4613" max="4613" width="20.7109375" style="51" bestFit="1" customWidth="1"/>
    <col min="4614" max="4614" width="21.7109375" style="51" customWidth="1"/>
    <col min="4615" max="4615" width="22.28515625" style="51" customWidth="1"/>
    <col min="4616" max="4616" width="21.5703125" style="51" bestFit="1" customWidth="1"/>
    <col min="4617" max="4617" width="2" style="51" bestFit="1" customWidth="1"/>
    <col min="4618" max="4864" width="8.85546875" style="51"/>
    <col min="4865" max="4865" width="46.5703125" style="51" customWidth="1"/>
    <col min="4866" max="4866" width="10.7109375" style="51" customWidth="1"/>
    <col min="4867" max="4867" width="26.28515625" style="51" bestFit="1" customWidth="1"/>
    <col min="4868" max="4868" width="11.42578125" style="51" customWidth="1"/>
    <col min="4869" max="4869" width="20.7109375" style="51" bestFit="1" customWidth="1"/>
    <col min="4870" max="4870" width="21.7109375" style="51" customWidth="1"/>
    <col min="4871" max="4871" width="22.28515625" style="51" customWidth="1"/>
    <col min="4872" max="4872" width="21.5703125" style="51" bestFit="1" customWidth="1"/>
    <col min="4873" max="4873" width="2" style="51" bestFit="1" customWidth="1"/>
    <col min="4874" max="5120" width="8.85546875" style="51"/>
    <col min="5121" max="5121" width="46.5703125" style="51" customWidth="1"/>
    <col min="5122" max="5122" width="10.7109375" style="51" customWidth="1"/>
    <col min="5123" max="5123" width="26.28515625" style="51" bestFit="1" customWidth="1"/>
    <col min="5124" max="5124" width="11.42578125" style="51" customWidth="1"/>
    <col min="5125" max="5125" width="20.7109375" style="51" bestFit="1" customWidth="1"/>
    <col min="5126" max="5126" width="21.7109375" style="51" customWidth="1"/>
    <col min="5127" max="5127" width="22.28515625" style="51" customWidth="1"/>
    <col min="5128" max="5128" width="21.5703125" style="51" bestFit="1" customWidth="1"/>
    <col min="5129" max="5129" width="2" style="51" bestFit="1" customWidth="1"/>
    <col min="5130" max="5376" width="8.85546875" style="51"/>
    <col min="5377" max="5377" width="46.5703125" style="51" customWidth="1"/>
    <col min="5378" max="5378" width="10.7109375" style="51" customWidth="1"/>
    <col min="5379" max="5379" width="26.28515625" style="51" bestFit="1" customWidth="1"/>
    <col min="5380" max="5380" width="11.42578125" style="51" customWidth="1"/>
    <col min="5381" max="5381" width="20.7109375" style="51" bestFit="1" customWidth="1"/>
    <col min="5382" max="5382" width="21.7109375" style="51" customWidth="1"/>
    <col min="5383" max="5383" width="22.28515625" style="51" customWidth="1"/>
    <col min="5384" max="5384" width="21.5703125" style="51" bestFit="1" customWidth="1"/>
    <col min="5385" max="5385" width="2" style="51" bestFit="1" customWidth="1"/>
    <col min="5386" max="5632" width="8.85546875" style="51"/>
    <col min="5633" max="5633" width="46.5703125" style="51" customWidth="1"/>
    <col min="5634" max="5634" width="10.7109375" style="51" customWidth="1"/>
    <col min="5635" max="5635" width="26.28515625" style="51" bestFit="1" customWidth="1"/>
    <col min="5636" max="5636" width="11.42578125" style="51" customWidth="1"/>
    <col min="5637" max="5637" width="20.7109375" style="51" bestFit="1" customWidth="1"/>
    <col min="5638" max="5638" width="21.7109375" style="51" customWidth="1"/>
    <col min="5639" max="5639" width="22.28515625" style="51" customWidth="1"/>
    <col min="5640" max="5640" width="21.5703125" style="51" bestFit="1" customWidth="1"/>
    <col min="5641" max="5641" width="2" style="51" bestFit="1" customWidth="1"/>
    <col min="5642" max="5888" width="8.85546875" style="51"/>
    <col min="5889" max="5889" width="46.5703125" style="51" customWidth="1"/>
    <col min="5890" max="5890" width="10.7109375" style="51" customWidth="1"/>
    <col min="5891" max="5891" width="26.28515625" style="51" bestFit="1" customWidth="1"/>
    <col min="5892" max="5892" width="11.42578125" style="51" customWidth="1"/>
    <col min="5893" max="5893" width="20.7109375" style="51" bestFit="1" customWidth="1"/>
    <col min="5894" max="5894" width="21.7109375" style="51" customWidth="1"/>
    <col min="5895" max="5895" width="22.28515625" style="51" customWidth="1"/>
    <col min="5896" max="5896" width="21.5703125" style="51" bestFit="1" customWidth="1"/>
    <col min="5897" max="5897" width="2" style="51" bestFit="1" customWidth="1"/>
    <col min="5898" max="6144" width="8.85546875" style="51"/>
    <col min="6145" max="6145" width="46.5703125" style="51" customWidth="1"/>
    <col min="6146" max="6146" width="10.7109375" style="51" customWidth="1"/>
    <col min="6147" max="6147" width="26.28515625" style="51" bestFit="1" customWidth="1"/>
    <col min="6148" max="6148" width="11.42578125" style="51" customWidth="1"/>
    <col min="6149" max="6149" width="20.7109375" style="51" bestFit="1" customWidth="1"/>
    <col min="6150" max="6150" width="21.7109375" style="51" customWidth="1"/>
    <col min="6151" max="6151" width="22.28515625" style="51" customWidth="1"/>
    <col min="6152" max="6152" width="21.5703125" style="51" bestFit="1" customWidth="1"/>
    <col min="6153" max="6153" width="2" style="51" bestFit="1" customWidth="1"/>
    <col min="6154" max="6400" width="8.85546875" style="51"/>
    <col min="6401" max="6401" width="46.5703125" style="51" customWidth="1"/>
    <col min="6402" max="6402" width="10.7109375" style="51" customWidth="1"/>
    <col min="6403" max="6403" width="26.28515625" style="51" bestFit="1" customWidth="1"/>
    <col min="6404" max="6404" width="11.42578125" style="51" customWidth="1"/>
    <col min="6405" max="6405" width="20.7109375" style="51" bestFit="1" customWidth="1"/>
    <col min="6406" max="6406" width="21.7109375" style="51" customWidth="1"/>
    <col min="6407" max="6407" width="22.28515625" style="51" customWidth="1"/>
    <col min="6408" max="6408" width="21.5703125" style="51" bestFit="1" customWidth="1"/>
    <col min="6409" max="6409" width="2" style="51" bestFit="1" customWidth="1"/>
    <col min="6410" max="6656" width="8.85546875" style="51"/>
    <col min="6657" max="6657" width="46.5703125" style="51" customWidth="1"/>
    <col min="6658" max="6658" width="10.7109375" style="51" customWidth="1"/>
    <col min="6659" max="6659" width="26.28515625" style="51" bestFit="1" customWidth="1"/>
    <col min="6660" max="6660" width="11.42578125" style="51" customWidth="1"/>
    <col min="6661" max="6661" width="20.7109375" style="51" bestFit="1" customWidth="1"/>
    <col min="6662" max="6662" width="21.7109375" style="51" customWidth="1"/>
    <col min="6663" max="6663" width="22.28515625" style="51" customWidth="1"/>
    <col min="6664" max="6664" width="21.5703125" style="51" bestFit="1" customWidth="1"/>
    <col min="6665" max="6665" width="2" style="51" bestFit="1" customWidth="1"/>
    <col min="6666" max="6912" width="8.85546875" style="51"/>
    <col min="6913" max="6913" width="46.5703125" style="51" customWidth="1"/>
    <col min="6914" max="6914" width="10.7109375" style="51" customWidth="1"/>
    <col min="6915" max="6915" width="26.28515625" style="51" bestFit="1" customWidth="1"/>
    <col min="6916" max="6916" width="11.42578125" style="51" customWidth="1"/>
    <col min="6917" max="6917" width="20.7109375" style="51" bestFit="1" customWidth="1"/>
    <col min="6918" max="6918" width="21.7109375" style="51" customWidth="1"/>
    <col min="6919" max="6919" width="22.28515625" style="51" customWidth="1"/>
    <col min="6920" max="6920" width="21.5703125" style="51" bestFit="1" customWidth="1"/>
    <col min="6921" max="6921" width="2" style="51" bestFit="1" customWidth="1"/>
    <col min="6922" max="7168" width="8.85546875" style="51"/>
    <col min="7169" max="7169" width="46.5703125" style="51" customWidth="1"/>
    <col min="7170" max="7170" width="10.7109375" style="51" customWidth="1"/>
    <col min="7171" max="7171" width="26.28515625" style="51" bestFit="1" customWidth="1"/>
    <col min="7172" max="7172" width="11.42578125" style="51" customWidth="1"/>
    <col min="7173" max="7173" width="20.7109375" style="51" bestFit="1" customWidth="1"/>
    <col min="7174" max="7174" width="21.7109375" style="51" customWidth="1"/>
    <col min="7175" max="7175" width="22.28515625" style="51" customWidth="1"/>
    <col min="7176" max="7176" width="21.5703125" style="51" bestFit="1" customWidth="1"/>
    <col min="7177" max="7177" width="2" style="51" bestFit="1" customWidth="1"/>
    <col min="7178" max="7424" width="8.85546875" style="51"/>
    <col min="7425" max="7425" width="46.5703125" style="51" customWidth="1"/>
    <col min="7426" max="7426" width="10.7109375" style="51" customWidth="1"/>
    <col min="7427" max="7427" width="26.28515625" style="51" bestFit="1" customWidth="1"/>
    <col min="7428" max="7428" width="11.42578125" style="51" customWidth="1"/>
    <col min="7429" max="7429" width="20.7109375" style="51" bestFit="1" customWidth="1"/>
    <col min="7430" max="7430" width="21.7109375" style="51" customWidth="1"/>
    <col min="7431" max="7431" width="22.28515625" style="51" customWidth="1"/>
    <col min="7432" max="7432" width="21.5703125" style="51" bestFit="1" customWidth="1"/>
    <col min="7433" max="7433" width="2" style="51" bestFit="1" customWidth="1"/>
    <col min="7434" max="7680" width="8.85546875" style="51"/>
    <col min="7681" max="7681" width="46.5703125" style="51" customWidth="1"/>
    <col min="7682" max="7682" width="10.7109375" style="51" customWidth="1"/>
    <col min="7683" max="7683" width="26.28515625" style="51" bestFit="1" customWidth="1"/>
    <col min="7684" max="7684" width="11.42578125" style="51" customWidth="1"/>
    <col min="7685" max="7685" width="20.7109375" style="51" bestFit="1" customWidth="1"/>
    <col min="7686" max="7686" width="21.7109375" style="51" customWidth="1"/>
    <col min="7687" max="7687" width="22.28515625" style="51" customWidth="1"/>
    <col min="7688" max="7688" width="21.5703125" style="51" bestFit="1" customWidth="1"/>
    <col min="7689" max="7689" width="2" style="51" bestFit="1" customWidth="1"/>
    <col min="7690" max="7936" width="8.85546875" style="51"/>
    <col min="7937" max="7937" width="46.5703125" style="51" customWidth="1"/>
    <col min="7938" max="7938" width="10.7109375" style="51" customWidth="1"/>
    <col min="7939" max="7939" width="26.28515625" style="51" bestFit="1" customWidth="1"/>
    <col min="7940" max="7940" width="11.42578125" style="51" customWidth="1"/>
    <col min="7941" max="7941" width="20.7109375" style="51" bestFit="1" customWidth="1"/>
    <col min="7942" max="7942" width="21.7109375" style="51" customWidth="1"/>
    <col min="7943" max="7943" width="22.28515625" style="51" customWidth="1"/>
    <col min="7944" max="7944" width="21.5703125" style="51" bestFit="1" customWidth="1"/>
    <col min="7945" max="7945" width="2" style="51" bestFit="1" customWidth="1"/>
    <col min="7946" max="8192" width="8.85546875" style="51"/>
    <col min="8193" max="8193" width="46.5703125" style="51" customWidth="1"/>
    <col min="8194" max="8194" width="10.7109375" style="51" customWidth="1"/>
    <col min="8195" max="8195" width="26.28515625" style="51" bestFit="1" customWidth="1"/>
    <col min="8196" max="8196" width="11.42578125" style="51" customWidth="1"/>
    <col min="8197" max="8197" width="20.7109375" style="51" bestFit="1" customWidth="1"/>
    <col min="8198" max="8198" width="21.7109375" style="51" customWidth="1"/>
    <col min="8199" max="8199" width="22.28515625" style="51" customWidth="1"/>
    <col min="8200" max="8200" width="21.5703125" style="51" bestFit="1" customWidth="1"/>
    <col min="8201" max="8201" width="2" style="51" bestFit="1" customWidth="1"/>
    <col min="8202" max="8448" width="8.85546875" style="51"/>
    <col min="8449" max="8449" width="46.5703125" style="51" customWidth="1"/>
    <col min="8450" max="8450" width="10.7109375" style="51" customWidth="1"/>
    <col min="8451" max="8451" width="26.28515625" style="51" bestFit="1" customWidth="1"/>
    <col min="8452" max="8452" width="11.42578125" style="51" customWidth="1"/>
    <col min="8453" max="8453" width="20.7109375" style="51" bestFit="1" customWidth="1"/>
    <col min="8454" max="8454" width="21.7109375" style="51" customWidth="1"/>
    <col min="8455" max="8455" width="22.28515625" style="51" customWidth="1"/>
    <col min="8456" max="8456" width="21.5703125" style="51" bestFit="1" customWidth="1"/>
    <col min="8457" max="8457" width="2" style="51" bestFit="1" customWidth="1"/>
    <col min="8458" max="8704" width="8.85546875" style="51"/>
    <col min="8705" max="8705" width="46.5703125" style="51" customWidth="1"/>
    <col min="8706" max="8706" width="10.7109375" style="51" customWidth="1"/>
    <col min="8707" max="8707" width="26.28515625" style="51" bestFit="1" customWidth="1"/>
    <col min="8708" max="8708" width="11.42578125" style="51" customWidth="1"/>
    <col min="8709" max="8709" width="20.7109375" style="51" bestFit="1" customWidth="1"/>
    <col min="8710" max="8710" width="21.7109375" style="51" customWidth="1"/>
    <col min="8711" max="8711" width="22.28515625" style="51" customWidth="1"/>
    <col min="8712" max="8712" width="21.5703125" style="51" bestFit="1" customWidth="1"/>
    <col min="8713" max="8713" width="2" style="51" bestFit="1" customWidth="1"/>
    <col min="8714" max="8960" width="8.85546875" style="51"/>
    <col min="8961" max="8961" width="46.5703125" style="51" customWidth="1"/>
    <col min="8962" max="8962" width="10.7109375" style="51" customWidth="1"/>
    <col min="8963" max="8963" width="26.28515625" style="51" bestFit="1" customWidth="1"/>
    <col min="8964" max="8964" width="11.42578125" style="51" customWidth="1"/>
    <col min="8965" max="8965" width="20.7109375" style="51" bestFit="1" customWidth="1"/>
    <col min="8966" max="8966" width="21.7109375" style="51" customWidth="1"/>
    <col min="8967" max="8967" width="22.28515625" style="51" customWidth="1"/>
    <col min="8968" max="8968" width="21.5703125" style="51" bestFit="1" customWidth="1"/>
    <col min="8969" max="8969" width="2" style="51" bestFit="1" customWidth="1"/>
    <col min="8970" max="9216" width="8.85546875" style="51"/>
    <col min="9217" max="9217" width="46.5703125" style="51" customWidth="1"/>
    <col min="9218" max="9218" width="10.7109375" style="51" customWidth="1"/>
    <col min="9219" max="9219" width="26.28515625" style="51" bestFit="1" customWidth="1"/>
    <col min="9220" max="9220" width="11.42578125" style="51" customWidth="1"/>
    <col min="9221" max="9221" width="20.7109375" style="51" bestFit="1" customWidth="1"/>
    <col min="9222" max="9222" width="21.7109375" style="51" customWidth="1"/>
    <col min="9223" max="9223" width="22.28515625" style="51" customWidth="1"/>
    <col min="9224" max="9224" width="21.5703125" style="51" bestFit="1" customWidth="1"/>
    <col min="9225" max="9225" width="2" style="51" bestFit="1" customWidth="1"/>
    <col min="9226" max="9472" width="8.85546875" style="51"/>
    <col min="9473" max="9473" width="46.5703125" style="51" customWidth="1"/>
    <col min="9474" max="9474" width="10.7109375" style="51" customWidth="1"/>
    <col min="9475" max="9475" width="26.28515625" style="51" bestFit="1" customWidth="1"/>
    <col min="9476" max="9476" width="11.42578125" style="51" customWidth="1"/>
    <col min="9477" max="9477" width="20.7109375" style="51" bestFit="1" customWidth="1"/>
    <col min="9478" max="9478" width="21.7109375" style="51" customWidth="1"/>
    <col min="9479" max="9479" width="22.28515625" style="51" customWidth="1"/>
    <col min="9480" max="9480" width="21.5703125" style="51" bestFit="1" customWidth="1"/>
    <col min="9481" max="9481" width="2" style="51" bestFit="1" customWidth="1"/>
    <col min="9482" max="9728" width="8.85546875" style="51"/>
    <col min="9729" max="9729" width="46.5703125" style="51" customWidth="1"/>
    <col min="9730" max="9730" width="10.7109375" style="51" customWidth="1"/>
    <col min="9731" max="9731" width="26.28515625" style="51" bestFit="1" customWidth="1"/>
    <col min="9732" max="9732" width="11.42578125" style="51" customWidth="1"/>
    <col min="9733" max="9733" width="20.7109375" style="51" bestFit="1" customWidth="1"/>
    <col min="9734" max="9734" width="21.7109375" style="51" customWidth="1"/>
    <col min="9735" max="9735" width="22.28515625" style="51" customWidth="1"/>
    <col min="9736" max="9736" width="21.5703125" style="51" bestFit="1" customWidth="1"/>
    <col min="9737" max="9737" width="2" style="51" bestFit="1" customWidth="1"/>
    <col min="9738" max="9984" width="8.85546875" style="51"/>
    <col min="9985" max="9985" width="46.5703125" style="51" customWidth="1"/>
    <col min="9986" max="9986" width="10.7109375" style="51" customWidth="1"/>
    <col min="9987" max="9987" width="26.28515625" style="51" bestFit="1" customWidth="1"/>
    <col min="9988" max="9988" width="11.42578125" style="51" customWidth="1"/>
    <col min="9989" max="9989" width="20.7109375" style="51" bestFit="1" customWidth="1"/>
    <col min="9990" max="9990" width="21.7109375" style="51" customWidth="1"/>
    <col min="9991" max="9991" width="22.28515625" style="51" customWidth="1"/>
    <col min="9992" max="9992" width="21.5703125" style="51" bestFit="1" customWidth="1"/>
    <col min="9993" max="9993" width="2" style="51" bestFit="1" customWidth="1"/>
    <col min="9994" max="10240" width="8.85546875" style="51"/>
    <col min="10241" max="10241" width="46.5703125" style="51" customWidth="1"/>
    <col min="10242" max="10242" width="10.7109375" style="51" customWidth="1"/>
    <col min="10243" max="10243" width="26.28515625" style="51" bestFit="1" customWidth="1"/>
    <col min="10244" max="10244" width="11.42578125" style="51" customWidth="1"/>
    <col min="10245" max="10245" width="20.7109375" style="51" bestFit="1" customWidth="1"/>
    <col min="10246" max="10246" width="21.7109375" style="51" customWidth="1"/>
    <col min="10247" max="10247" width="22.28515625" style="51" customWidth="1"/>
    <col min="10248" max="10248" width="21.5703125" style="51" bestFit="1" customWidth="1"/>
    <col min="10249" max="10249" width="2" style="51" bestFit="1" customWidth="1"/>
    <col min="10250" max="10496" width="8.85546875" style="51"/>
    <col min="10497" max="10497" width="46.5703125" style="51" customWidth="1"/>
    <col min="10498" max="10498" width="10.7109375" style="51" customWidth="1"/>
    <col min="10499" max="10499" width="26.28515625" style="51" bestFit="1" customWidth="1"/>
    <col min="10500" max="10500" width="11.42578125" style="51" customWidth="1"/>
    <col min="10501" max="10501" width="20.7109375" style="51" bestFit="1" customWidth="1"/>
    <col min="10502" max="10502" width="21.7109375" style="51" customWidth="1"/>
    <col min="10503" max="10503" width="22.28515625" style="51" customWidth="1"/>
    <col min="10504" max="10504" width="21.5703125" style="51" bestFit="1" customWidth="1"/>
    <col min="10505" max="10505" width="2" style="51" bestFit="1" customWidth="1"/>
    <col min="10506" max="10752" width="8.85546875" style="51"/>
    <col min="10753" max="10753" width="46.5703125" style="51" customWidth="1"/>
    <col min="10754" max="10754" width="10.7109375" style="51" customWidth="1"/>
    <col min="10755" max="10755" width="26.28515625" style="51" bestFit="1" customWidth="1"/>
    <col min="10756" max="10756" width="11.42578125" style="51" customWidth="1"/>
    <col min="10757" max="10757" width="20.7109375" style="51" bestFit="1" customWidth="1"/>
    <col min="10758" max="10758" width="21.7109375" style="51" customWidth="1"/>
    <col min="10759" max="10759" width="22.28515625" style="51" customWidth="1"/>
    <col min="10760" max="10760" width="21.5703125" style="51" bestFit="1" customWidth="1"/>
    <col min="10761" max="10761" width="2" style="51" bestFit="1" customWidth="1"/>
    <col min="10762" max="11008" width="8.85546875" style="51"/>
    <col min="11009" max="11009" width="46.5703125" style="51" customWidth="1"/>
    <col min="11010" max="11010" width="10.7109375" style="51" customWidth="1"/>
    <col min="11011" max="11011" width="26.28515625" style="51" bestFit="1" customWidth="1"/>
    <col min="11012" max="11012" width="11.42578125" style="51" customWidth="1"/>
    <col min="11013" max="11013" width="20.7109375" style="51" bestFit="1" customWidth="1"/>
    <col min="11014" max="11014" width="21.7109375" style="51" customWidth="1"/>
    <col min="11015" max="11015" width="22.28515625" style="51" customWidth="1"/>
    <col min="11016" max="11016" width="21.5703125" style="51" bestFit="1" customWidth="1"/>
    <col min="11017" max="11017" width="2" style="51" bestFit="1" customWidth="1"/>
    <col min="11018" max="11264" width="8.85546875" style="51"/>
    <col min="11265" max="11265" width="46.5703125" style="51" customWidth="1"/>
    <col min="11266" max="11266" width="10.7109375" style="51" customWidth="1"/>
    <col min="11267" max="11267" width="26.28515625" style="51" bestFit="1" customWidth="1"/>
    <col min="11268" max="11268" width="11.42578125" style="51" customWidth="1"/>
    <col min="11269" max="11269" width="20.7109375" style="51" bestFit="1" customWidth="1"/>
    <col min="11270" max="11270" width="21.7109375" style="51" customWidth="1"/>
    <col min="11271" max="11271" width="22.28515625" style="51" customWidth="1"/>
    <col min="11272" max="11272" width="21.5703125" style="51" bestFit="1" customWidth="1"/>
    <col min="11273" max="11273" width="2" style="51" bestFit="1" customWidth="1"/>
    <col min="11274" max="11520" width="8.85546875" style="51"/>
    <col min="11521" max="11521" width="46.5703125" style="51" customWidth="1"/>
    <col min="11522" max="11522" width="10.7109375" style="51" customWidth="1"/>
    <col min="11523" max="11523" width="26.28515625" style="51" bestFit="1" customWidth="1"/>
    <col min="11524" max="11524" width="11.42578125" style="51" customWidth="1"/>
    <col min="11525" max="11525" width="20.7109375" style="51" bestFit="1" customWidth="1"/>
    <col min="11526" max="11526" width="21.7109375" style="51" customWidth="1"/>
    <col min="11527" max="11527" width="22.28515625" style="51" customWidth="1"/>
    <col min="11528" max="11528" width="21.5703125" style="51" bestFit="1" customWidth="1"/>
    <col min="11529" max="11529" width="2" style="51" bestFit="1" customWidth="1"/>
    <col min="11530" max="11776" width="8.85546875" style="51"/>
    <col min="11777" max="11777" width="46.5703125" style="51" customWidth="1"/>
    <col min="11778" max="11778" width="10.7109375" style="51" customWidth="1"/>
    <col min="11779" max="11779" width="26.28515625" style="51" bestFit="1" customWidth="1"/>
    <col min="11780" max="11780" width="11.42578125" style="51" customWidth="1"/>
    <col min="11781" max="11781" width="20.7109375" style="51" bestFit="1" customWidth="1"/>
    <col min="11782" max="11782" width="21.7109375" style="51" customWidth="1"/>
    <col min="11783" max="11783" width="22.28515625" style="51" customWidth="1"/>
    <col min="11784" max="11784" width="21.5703125" style="51" bestFit="1" customWidth="1"/>
    <col min="11785" max="11785" width="2" style="51" bestFit="1" customWidth="1"/>
    <col min="11786" max="12032" width="8.85546875" style="51"/>
    <col min="12033" max="12033" width="46.5703125" style="51" customWidth="1"/>
    <col min="12034" max="12034" width="10.7109375" style="51" customWidth="1"/>
    <col min="12035" max="12035" width="26.28515625" style="51" bestFit="1" customWidth="1"/>
    <col min="12036" max="12036" width="11.42578125" style="51" customWidth="1"/>
    <col min="12037" max="12037" width="20.7109375" style="51" bestFit="1" customWidth="1"/>
    <col min="12038" max="12038" width="21.7109375" style="51" customWidth="1"/>
    <col min="12039" max="12039" width="22.28515625" style="51" customWidth="1"/>
    <col min="12040" max="12040" width="21.5703125" style="51" bestFit="1" customWidth="1"/>
    <col min="12041" max="12041" width="2" style="51" bestFit="1" customWidth="1"/>
    <col min="12042" max="12288" width="8.85546875" style="51"/>
    <col min="12289" max="12289" width="46.5703125" style="51" customWidth="1"/>
    <col min="12290" max="12290" width="10.7109375" style="51" customWidth="1"/>
    <col min="12291" max="12291" width="26.28515625" style="51" bestFit="1" customWidth="1"/>
    <col min="12292" max="12292" width="11.42578125" style="51" customWidth="1"/>
    <col min="12293" max="12293" width="20.7109375" style="51" bestFit="1" customWidth="1"/>
    <col min="12294" max="12294" width="21.7109375" style="51" customWidth="1"/>
    <col min="12295" max="12295" width="22.28515625" style="51" customWidth="1"/>
    <col min="12296" max="12296" width="21.5703125" style="51" bestFit="1" customWidth="1"/>
    <col min="12297" max="12297" width="2" style="51" bestFit="1" customWidth="1"/>
    <col min="12298" max="12544" width="8.85546875" style="51"/>
    <col min="12545" max="12545" width="46.5703125" style="51" customWidth="1"/>
    <col min="12546" max="12546" width="10.7109375" style="51" customWidth="1"/>
    <col min="12547" max="12547" width="26.28515625" style="51" bestFit="1" customWidth="1"/>
    <col min="12548" max="12548" width="11.42578125" style="51" customWidth="1"/>
    <col min="12549" max="12549" width="20.7109375" style="51" bestFit="1" customWidth="1"/>
    <col min="12550" max="12550" width="21.7109375" style="51" customWidth="1"/>
    <col min="12551" max="12551" width="22.28515625" style="51" customWidth="1"/>
    <col min="12552" max="12552" width="21.5703125" style="51" bestFit="1" customWidth="1"/>
    <col min="12553" max="12553" width="2" style="51" bestFit="1" customWidth="1"/>
    <col min="12554" max="12800" width="8.85546875" style="51"/>
    <col min="12801" max="12801" width="46.5703125" style="51" customWidth="1"/>
    <col min="12802" max="12802" width="10.7109375" style="51" customWidth="1"/>
    <col min="12803" max="12803" width="26.28515625" style="51" bestFit="1" customWidth="1"/>
    <col min="12804" max="12804" width="11.42578125" style="51" customWidth="1"/>
    <col min="12805" max="12805" width="20.7109375" style="51" bestFit="1" customWidth="1"/>
    <col min="12806" max="12806" width="21.7109375" style="51" customWidth="1"/>
    <col min="12807" max="12807" width="22.28515625" style="51" customWidth="1"/>
    <col min="12808" max="12808" width="21.5703125" style="51" bestFit="1" customWidth="1"/>
    <col min="12809" max="12809" width="2" style="51" bestFit="1" customWidth="1"/>
    <col min="12810" max="13056" width="8.85546875" style="51"/>
    <col min="13057" max="13057" width="46.5703125" style="51" customWidth="1"/>
    <col min="13058" max="13058" width="10.7109375" style="51" customWidth="1"/>
    <col min="13059" max="13059" width="26.28515625" style="51" bestFit="1" customWidth="1"/>
    <col min="13060" max="13060" width="11.42578125" style="51" customWidth="1"/>
    <col min="13061" max="13061" width="20.7109375" style="51" bestFit="1" customWidth="1"/>
    <col min="13062" max="13062" width="21.7109375" style="51" customWidth="1"/>
    <col min="13063" max="13063" width="22.28515625" style="51" customWidth="1"/>
    <col min="13064" max="13064" width="21.5703125" style="51" bestFit="1" customWidth="1"/>
    <col min="13065" max="13065" width="2" style="51" bestFit="1" customWidth="1"/>
    <col min="13066" max="13312" width="8.85546875" style="51"/>
    <col min="13313" max="13313" width="46.5703125" style="51" customWidth="1"/>
    <col min="13314" max="13314" width="10.7109375" style="51" customWidth="1"/>
    <col min="13315" max="13315" width="26.28515625" style="51" bestFit="1" customWidth="1"/>
    <col min="13316" max="13316" width="11.42578125" style="51" customWidth="1"/>
    <col min="13317" max="13317" width="20.7109375" style="51" bestFit="1" customWidth="1"/>
    <col min="13318" max="13318" width="21.7109375" style="51" customWidth="1"/>
    <col min="13319" max="13319" width="22.28515625" style="51" customWidth="1"/>
    <col min="13320" max="13320" width="21.5703125" style="51" bestFit="1" customWidth="1"/>
    <col min="13321" max="13321" width="2" style="51" bestFit="1" customWidth="1"/>
    <col min="13322" max="13568" width="8.85546875" style="51"/>
    <col min="13569" max="13569" width="46.5703125" style="51" customWidth="1"/>
    <col min="13570" max="13570" width="10.7109375" style="51" customWidth="1"/>
    <col min="13571" max="13571" width="26.28515625" style="51" bestFit="1" customWidth="1"/>
    <col min="13572" max="13572" width="11.42578125" style="51" customWidth="1"/>
    <col min="13573" max="13573" width="20.7109375" style="51" bestFit="1" customWidth="1"/>
    <col min="13574" max="13574" width="21.7109375" style="51" customWidth="1"/>
    <col min="13575" max="13575" width="22.28515625" style="51" customWidth="1"/>
    <col min="13576" max="13576" width="21.5703125" style="51" bestFit="1" customWidth="1"/>
    <col min="13577" max="13577" width="2" style="51" bestFit="1" customWidth="1"/>
    <col min="13578" max="13824" width="8.85546875" style="51"/>
    <col min="13825" max="13825" width="46.5703125" style="51" customWidth="1"/>
    <col min="13826" max="13826" width="10.7109375" style="51" customWidth="1"/>
    <col min="13827" max="13827" width="26.28515625" style="51" bestFit="1" customWidth="1"/>
    <col min="13828" max="13828" width="11.42578125" style="51" customWidth="1"/>
    <col min="13829" max="13829" width="20.7109375" style="51" bestFit="1" customWidth="1"/>
    <col min="13830" max="13830" width="21.7109375" style="51" customWidth="1"/>
    <col min="13831" max="13831" width="22.28515625" style="51" customWidth="1"/>
    <col min="13832" max="13832" width="21.5703125" style="51" bestFit="1" customWidth="1"/>
    <col min="13833" max="13833" width="2" style="51" bestFit="1" customWidth="1"/>
    <col min="13834" max="14080" width="8.85546875" style="51"/>
    <col min="14081" max="14081" width="46.5703125" style="51" customWidth="1"/>
    <col min="14082" max="14082" width="10.7109375" style="51" customWidth="1"/>
    <col min="14083" max="14083" width="26.28515625" style="51" bestFit="1" customWidth="1"/>
    <col min="14084" max="14084" width="11.42578125" style="51" customWidth="1"/>
    <col min="14085" max="14085" width="20.7109375" style="51" bestFit="1" customWidth="1"/>
    <col min="14086" max="14086" width="21.7109375" style="51" customWidth="1"/>
    <col min="14087" max="14087" width="22.28515625" style="51" customWidth="1"/>
    <col min="14088" max="14088" width="21.5703125" style="51" bestFit="1" customWidth="1"/>
    <col min="14089" max="14089" width="2" style="51" bestFit="1" customWidth="1"/>
    <col min="14090" max="14336" width="8.85546875" style="51"/>
    <col min="14337" max="14337" width="46.5703125" style="51" customWidth="1"/>
    <col min="14338" max="14338" width="10.7109375" style="51" customWidth="1"/>
    <col min="14339" max="14339" width="26.28515625" style="51" bestFit="1" customWidth="1"/>
    <col min="14340" max="14340" width="11.42578125" style="51" customWidth="1"/>
    <col min="14341" max="14341" width="20.7109375" style="51" bestFit="1" customWidth="1"/>
    <col min="14342" max="14342" width="21.7109375" style="51" customWidth="1"/>
    <col min="14343" max="14343" width="22.28515625" style="51" customWidth="1"/>
    <col min="14344" max="14344" width="21.5703125" style="51" bestFit="1" customWidth="1"/>
    <col min="14345" max="14345" width="2" style="51" bestFit="1" customWidth="1"/>
    <col min="14346" max="14592" width="8.85546875" style="51"/>
    <col min="14593" max="14593" width="46.5703125" style="51" customWidth="1"/>
    <col min="14594" max="14594" width="10.7109375" style="51" customWidth="1"/>
    <col min="14595" max="14595" width="26.28515625" style="51" bestFit="1" customWidth="1"/>
    <col min="14596" max="14596" width="11.42578125" style="51" customWidth="1"/>
    <col min="14597" max="14597" width="20.7109375" style="51" bestFit="1" customWidth="1"/>
    <col min="14598" max="14598" width="21.7109375" style="51" customWidth="1"/>
    <col min="14599" max="14599" width="22.28515625" style="51" customWidth="1"/>
    <col min="14600" max="14600" width="21.5703125" style="51" bestFit="1" customWidth="1"/>
    <col min="14601" max="14601" width="2" style="51" bestFit="1" customWidth="1"/>
    <col min="14602" max="14848" width="8.85546875" style="51"/>
    <col min="14849" max="14849" width="46.5703125" style="51" customWidth="1"/>
    <col min="14850" max="14850" width="10.7109375" style="51" customWidth="1"/>
    <col min="14851" max="14851" width="26.28515625" style="51" bestFit="1" customWidth="1"/>
    <col min="14852" max="14852" width="11.42578125" style="51" customWidth="1"/>
    <col min="14853" max="14853" width="20.7109375" style="51" bestFit="1" customWidth="1"/>
    <col min="14854" max="14854" width="21.7109375" style="51" customWidth="1"/>
    <col min="14855" max="14855" width="22.28515625" style="51" customWidth="1"/>
    <col min="14856" max="14856" width="21.5703125" style="51" bestFit="1" customWidth="1"/>
    <col min="14857" max="14857" width="2" style="51" bestFit="1" customWidth="1"/>
    <col min="14858" max="15104" width="8.85546875" style="51"/>
    <col min="15105" max="15105" width="46.5703125" style="51" customWidth="1"/>
    <col min="15106" max="15106" width="10.7109375" style="51" customWidth="1"/>
    <col min="15107" max="15107" width="26.28515625" style="51" bestFit="1" customWidth="1"/>
    <col min="15108" max="15108" width="11.42578125" style="51" customWidth="1"/>
    <col min="15109" max="15109" width="20.7109375" style="51" bestFit="1" customWidth="1"/>
    <col min="15110" max="15110" width="21.7109375" style="51" customWidth="1"/>
    <col min="15111" max="15111" width="22.28515625" style="51" customWidth="1"/>
    <col min="15112" max="15112" width="21.5703125" style="51" bestFit="1" customWidth="1"/>
    <col min="15113" max="15113" width="2" style="51" bestFit="1" customWidth="1"/>
    <col min="15114" max="15360" width="8.85546875" style="51"/>
    <col min="15361" max="15361" width="46.5703125" style="51" customWidth="1"/>
    <col min="15362" max="15362" width="10.7109375" style="51" customWidth="1"/>
    <col min="15363" max="15363" width="26.28515625" style="51" bestFit="1" customWidth="1"/>
    <col min="15364" max="15364" width="11.42578125" style="51" customWidth="1"/>
    <col min="15365" max="15365" width="20.7109375" style="51" bestFit="1" customWidth="1"/>
    <col min="15366" max="15366" width="21.7109375" style="51" customWidth="1"/>
    <col min="15367" max="15367" width="22.28515625" style="51" customWidth="1"/>
    <col min="15368" max="15368" width="21.5703125" style="51" bestFit="1" customWidth="1"/>
    <col min="15369" max="15369" width="2" style="51" bestFit="1" customWidth="1"/>
    <col min="15370" max="15616" width="8.85546875" style="51"/>
    <col min="15617" max="15617" width="46.5703125" style="51" customWidth="1"/>
    <col min="15618" max="15618" width="10.7109375" style="51" customWidth="1"/>
    <col min="15619" max="15619" width="26.28515625" style="51" bestFit="1" customWidth="1"/>
    <col min="15620" max="15620" width="11.42578125" style="51" customWidth="1"/>
    <col min="15621" max="15621" width="20.7109375" style="51" bestFit="1" customWidth="1"/>
    <col min="15622" max="15622" width="21.7109375" style="51" customWidth="1"/>
    <col min="15623" max="15623" width="22.28515625" style="51" customWidth="1"/>
    <col min="15624" max="15624" width="21.5703125" style="51" bestFit="1" customWidth="1"/>
    <col min="15625" max="15625" width="2" style="51" bestFit="1" customWidth="1"/>
    <col min="15626" max="15872" width="8.85546875" style="51"/>
    <col min="15873" max="15873" width="46.5703125" style="51" customWidth="1"/>
    <col min="15874" max="15874" width="10.7109375" style="51" customWidth="1"/>
    <col min="15875" max="15875" width="26.28515625" style="51" bestFit="1" customWidth="1"/>
    <col min="15876" max="15876" width="11.42578125" style="51" customWidth="1"/>
    <col min="15877" max="15877" width="20.7109375" style="51" bestFit="1" customWidth="1"/>
    <col min="15878" max="15878" width="21.7109375" style="51" customWidth="1"/>
    <col min="15879" max="15879" width="22.28515625" style="51" customWidth="1"/>
    <col min="15880" max="15880" width="21.5703125" style="51" bestFit="1" customWidth="1"/>
    <col min="15881" max="15881" width="2" style="51" bestFit="1" customWidth="1"/>
    <col min="15882" max="16128" width="8.85546875" style="51"/>
    <col min="16129" max="16129" width="46.5703125" style="51" customWidth="1"/>
    <col min="16130" max="16130" width="10.7109375" style="51" customWidth="1"/>
    <col min="16131" max="16131" width="26.28515625" style="51" bestFit="1" customWidth="1"/>
    <col min="16132" max="16132" width="11.42578125" style="51" customWidth="1"/>
    <col min="16133" max="16133" width="20.7109375" style="51" bestFit="1" customWidth="1"/>
    <col min="16134" max="16134" width="21.7109375" style="51" customWidth="1"/>
    <col min="16135" max="16135" width="22.28515625" style="51" customWidth="1"/>
    <col min="16136" max="16136" width="21.5703125" style="51" bestFit="1" customWidth="1"/>
    <col min="16137" max="16137" width="2" style="51" bestFit="1" customWidth="1"/>
    <col min="16138" max="16384" width="8.85546875" style="51"/>
  </cols>
  <sheetData>
    <row r="6" spans="1:256" ht="12.75" x14ac:dyDescent="0.2">
      <c r="A6" s="48"/>
      <c r="B6" s="48"/>
      <c r="C6" s="48"/>
      <c r="D6" s="48"/>
      <c r="E6" s="48"/>
      <c r="F6" s="48"/>
      <c r="G6" s="48"/>
      <c r="H6" s="48"/>
    </row>
    <row r="7" spans="1:256" ht="26.25" x14ac:dyDescent="0.4">
      <c r="A7" s="62" t="s">
        <v>5261</v>
      </c>
      <c r="B7" s="48"/>
      <c r="C7" s="48"/>
      <c r="D7" s="48"/>
      <c r="E7" s="48"/>
      <c r="F7" s="48"/>
      <c r="G7" s="48"/>
      <c r="H7" s="48"/>
    </row>
    <row r="8" spans="1:256" ht="12.75" x14ac:dyDescent="0.2">
      <c r="A8" s="48"/>
      <c r="B8" s="48"/>
      <c r="C8" s="48"/>
      <c r="D8" s="48"/>
      <c r="E8" s="48"/>
      <c r="F8" s="48"/>
      <c r="G8" s="48"/>
      <c r="H8" s="48"/>
    </row>
    <row r="9" spans="1:256" ht="24" x14ac:dyDescent="0.2">
      <c r="A9" s="61" t="s">
        <v>5260</v>
      </c>
      <c r="B9" s="61" t="s">
        <v>5259</v>
      </c>
      <c r="C9" s="61" t="s">
        <v>5258</v>
      </c>
      <c r="D9" s="61" t="s">
        <v>5257</v>
      </c>
      <c r="E9" s="60" t="s">
        <v>5256</v>
      </c>
      <c r="F9" s="60" t="s">
        <v>5255</v>
      </c>
      <c r="G9" s="60" t="s">
        <v>5254</v>
      </c>
      <c r="H9" s="60" t="s">
        <v>5253</v>
      </c>
    </row>
    <row r="10" spans="1:256" ht="12.75" x14ac:dyDescent="0.2">
      <c r="A10" s="48"/>
      <c r="B10" s="48"/>
      <c r="C10" s="48"/>
      <c r="D10" s="48"/>
      <c r="E10" s="59">
        <f>SUM(E1:E9)</f>
        <v>0</v>
      </c>
      <c r="F10" s="59">
        <f>SUM(F1:F9)</f>
        <v>0</v>
      </c>
      <c r="G10" s="59">
        <f>SUM(G1:G9)</f>
        <v>0</v>
      </c>
      <c r="H10" s="59">
        <f>SUM(H1:H9)</f>
        <v>0</v>
      </c>
      <c r="I10" s="48"/>
      <c r="J10" s="54"/>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c r="FF10" s="48"/>
      <c r="FG10" s="48"/>
      <c r="FH10" s="48"/>
      <c r="FI10" s="48"/>
      <c r="FJ10" s="48"/>
      <c r="FK10" s="48"/>
      <c r="FL10" s="48"/>
      <c r="FM10" s="48"/>
      <c r="FN10" s="48"/>
      <c r="FO10" s="48"/>
      <c r="FP10" s="48"/>
      <c r="FQ10" s="48"/>
      <c r="FR10" s="48"/>
      <c r="FS10" s="48"/>
      <c r="FT10" s="48"/>
      <c r="FU10" s="48"/>
      <c r="FV10" s="48"/>
      <c r="FW10" s="48"/>
      <c r="FX10" s="48"/>
      <c r="FY10" s="48"/>
      <c r="FZ10" s="48"/>
      <c r="GA10" s="48"/>
      <c r="GB10" s="48"/>
      <c r="GC10" s="48"/>
      <c r="GD10" s="48"/>
      <c r="GE10" s="48"/>
      <c r="GF10" s="48"/>
      <c r="GG10" s="48"/>
      <c r="GH10" s="48"/>
      <c r="GI10" s="48"/>
      <c r="GJ10" s="48"/>
      <c r="GK10" s="48"/>
      <c r="GL10" s="48"/>
      <c r="GM10" s="48"/>
      <c r="GN10" s="48"/>
      <c r="GO10" s="48"/>
      <c r="GP10" s="48"/>
      <c r="GQ10" s="48"/>
      <c r="GR10" s="48"/>
      <c r="GS10" s="48"/>
      <c r="GT10" s="48"/>
      <c r="GU10" s="48"/>
      <c r="GV10" s="48"/>
      <c r="GW10" s="48"/>
      <c r="GX10" s="48"/>
      <c r="GY10" s="48"/>
      <c r="GZ10" s="48"/>
      <c r="HA10" s="48"/>
      <c r="HB10" s="48"/>
      <c r="HC10" s="48"/>
      <c r="HD10" s="48"/>
      <c r="HE10" s="48"/>
      <c r="HF10" s="48"/>
      <c r="HG10" s="48"/>
      <c r="HH10" s="48"/>
      <c r="HI10" s="48"/>
      <c r="HJ10" s="48"/>
      <c r="HK10" s="48"/>
      <c r="HL10" s="48"/>
      <c r="HM10" s="48"/>
      <c r="HN10" s="48"/>
      <c r="HO10" s="48"/>
      <c r="HP10" s="48"/>
      <c r="HQ10" s="48"/>
      <c r="HR10" s="48"/>
      <c r="HS10" s="48"/>
      <c r="HT10" s="48"/>
      <c r="HU10" s="48"/>
      <c r="HV10" s="48"/>
      <c r="HW10" s="48"/>
      <c r="HX10" s="48"/>
      <c r="HY10" s="48"/>
      <c r="HZ10" s="48"/>
      <c r="IA10" s="48"/>
      <c r="IB10" s="48"/>
      <c r="IC10" s="48"/>
      <c r="ID10" s="48"/>
      <c r="IE10" s="48"/>
      <c r="IF10" s="48"/>
      <c r="IG10" s="48"/>
      <c r="IH10" s="48"/>
      <c r="II10" s="48"/>
      <c r="IJ10" s="48"/>
      <c r="IK10" s="48"/>
      <c r="IL10" s="48"/>
      <c r="IM10" s="48"/>
      <c r="IN10" s="48"/>
      <c r="IO10" s="48"/>
      <c r="IP10" s="48"/>
      <c r="IQ10" s="48"/>
      <c r="IR10" s="48"/>
      <c r="IS10" s="48"/>
      <c r="IT10" s="48"/>
      <c r="IU10" s="48"/>
      <c r="IV10" s="48"/>
    </row>
    <row r="11" spans="1:256" x14ac:dyDescent="0.2">
      <c r="A11" s="51" t="s">
        <v>5252</v>
      </c>
      <c r="B11" s="51" t="s">
        <v>4693</v>
      </c>
      <c r="C11" s="51" t="s">
        <v>4844</v>
      </c>
      <c r="D11" s="51" t="s">
        <v>4695</v>
      </c>
      <c r="E11" s="58">
        <v>13291359.130000001</v>
      </c>
      <c r="F11" s="58">
        <v>11901851.73</v>
      </c>
      <c r="G11" s="58">
        <v>25193210.859999999</v>
      </c>
      <c r="H11" s="57">
        <v>99</v>
      </c>
      <c r="J11" s="54"/>
      <c r="K11" s="52"/>
    </row>
    <row r="12" spans="1:256" x14ac:dyDescent="0.2">
      <c r="A12" s="51" t="s">
        <v>5251</v>
      </c>
      <c r="B12" s="51" t="s">
        <v>4693</v>
      </c>
      <c r="C12" s="51" t="s">
        <v>4844</v>
      </c>
      <c r="D12" s="51" t="s">
        <v>4695</v>
      </c>
      <c r="E12" s="58">
        <v>12637486.859999999</v>
      </c>
      <c r="F12" s="58">
        <v>12172183.539999999</v>
      </c>
      <c r="G12" s="58">
        <v>24809670.399999999</v>
      </c>
      <c r="H12" s="57">
        <v>95</v>
      </c>
      <c r="J12" s="54"/>
      <c r="K12" s="52"/>
    </row>
    <row r="13" spans="1:256" x14ac:dyDescent="0.2">
      <c r="A13" s="51" t="s">
        <v>5250</v>
      </c>
      <c r="B13" s="51" t="s">
        <v>4693</v>
      </c>
      <c r="C13" s="51" t="s">
        <v>4844</v>
      </c>
      <c r="D13" s="51" t="s">
        <v>4695</v>
      </c>
      <c r="E13" s="58">
        <v>11965163.98</v>
      </c>
      <c r="F13" s="58">
        <v>11896785.949999999</v>
      </c>
      <c r="G13" s="58">
        <v>23861949.93</v>
      </c>
      <c r="H13" s="57">
        <v>100</v>
      </c>
      <c r="J13" s="54"/>
      <c r="K13" s="52"/>
    </row>
    <row r="14" spans="1:256" x14ac:dyDescent="0.2">
      <c r="A14" s="51" t="s">
        <v>5249</v>
      </c>
      <c r="B14" s="51" t="s">
        <v>4693</v>
      </c>
      <c r="C14" s="51" t="s">
        <v>4756</v>
      </c>
      <c r="D14" s="51" t="s">
        <v>4695</v>
      </c>
      <c r="E14" s="58">
        <v>12275454.279999999</v>
      </c>
      <c r="F14" s="58">
        <v>11481772.119999999</v>
      </c>
      <c r="G14" s="58">
        <v>23757226.399999999</v>
      </c>
      <c r="H14" s="57">
        <v>80</v>
      </c>
      <c r="J14" s="54"/>
      <c r="K14" s="52"/>
    </row>
    <row r="15" spans="1:256" x14ac:dyDescent="0.2">
      <c r="A15" s="51" t="s">
        <v>5248</v>
      </c>
      <c r="B15" s="51" t="s">
        <v>4693</v>
      </c>
      <c r="C15" s="51" t="s">
        <v>4747</v>
      </c>
      <c r="D15" s="51" t="s">
        <v>4695</v>
      </c>
      <c r="E15" s="58">
        <v>12123073.77</v>
      </c>
      <c r="F15" s="58">
        <v>11603362.09</v>
      </c>
      <c r="G15" s="58">
        <v>23726435.859999999</v>
      </c>
      <c r="H15" s="57">
        <v>86</v>
      </c>
      <c r="J15" s="54"/>
      <c r="K15" s="52"/>
    </row>
    <row r="16" spans="1:256" x14ac:dyDescent="0.2">
      <c r="A16" s="51" t="s">
        <v>5247</v>
      </c>
      <c r="B16" s="51" t="s">
        <v>4693</v>
      </c>
      <c r="C16" s="51" t="s">
        <v>4892</v>
      </c>
      <c r="D16" s="51" t="s">
        <v>4695</v>
      </c>
      <c r="E16" s="58">
        <v>12027827.59</v>
      </c>
      <c r="F16" s="58">
        <v>11672790.26</v>
      </c>
      <c r="G16" s="58">
        <v>23700617.850000001</v>
      </c>
      <c r="H16" s="57">
        <v>96</v>
      </c>
      <c r="J16" s="54"/>
      <c r="K16" s="52"/>
    </row>
    <row r="17" spans="1:11" x14ac:dyDescent="0.2">
      <c r="A17" s="51" t="s">
        <v>5246</v>
      </c>
      <c r="B17" s="51" t="s">
        <v>4693</v>
      </c>
      <c r="C17" s="51" t="s">
        <v>4696</v>
      </c>
      <c r="D17" s="51" t="s">
        <v>4695</v>
      </c>
      <c r="E17" s="58">
        <v>12420683.82</v>
      </c>
      <c r="F17" s="58">
        <v>11182890.32</v>
      </c>
      <c r="G17" s="58">
        <v>23603574.140000001</v>
      </c>
      <c r="H17" s="57">
        <v>89</v>
      </c>
      <c r="J17" s="54"/>
      <c r="K17" s="52"/>
    </row>
    <row r="18" spans="1:11" x14ac:dyDescent="0.2">
      <c r="A18" s="51" t="s">
        <v>5245</v>
      </c>
      <c r="B18" s="51" t="s">
        <v>4693</v>
      </c>
      <c r="C18" s="51" t="s">
        <v>4756</v>
      </c>
      <c r="D18" s="51" t="s">
        <v>4695</v>
      </c>
      <c r="E18" s="58">
        <v>11544484.939999999</v>
      </c>
      <c r="F18" s="58">
        <v>11588894.4</v>
      </c>
      <c r="G18" s="58">
        <v>23133379.34</v>
      </c>
      <c r="H18" s="57">
        <v>86</v>
      </c>
      <c r="J18" s="54"/>
      <c r="K18" s="52"/>
    </row>
    <row r="19" spans="1:11" x14ac:dyDescent="0.2">
      <c r="A19" s="51" t="s">
        <v>5244</v>
      </c>
      <c r="B19" s="51" t="s">
        <v>4693</v>
      </c>
      <c r="C19" s="51" t="s">
        <v>4872</v>
      </c>
      <c r="D19" s="51" t="s">
        <v>4695</v>
      </c>
      <c r="E19" s="58">
        <v>11806929.51</v>
      </c>
      <c r="F19" s="58">
        <v>11273809.560000001</v>
      </c>
      <c r="G19" s="58">
        <v>23080739.07</v>
      </c>
      <c r="H19" s="57">
        <v>105</v>
      </c>
      <c r="J19" s="54"/>
      <c r="K19" s="52"/>
    </row>
    <row r="20" spans="1:11" x14ac:dyDescent="0.2">
      <c r="A20" s="51" t="s">
        <v>5243</v>
      </c>
      <c r="B20" s="51" t="s">
        <v>4693</v>
      </c>
      <c r="C20" s="51" t="s">
        <v>4844</v>
      </c>
      <c r="D20" s="51" t="s">
        <v>4695</v>
      </c>
      <c r="E20" s="58">
        <v>11454022.83</v>
      </c>
      <c r="F20" s="58">
        <v>10699845.02</v>
      </c>
      <c r="G20" s="58">
        <v>22153867.850000001</v>
      </c>
      <c r="H20" s="57">
        <v>89</v>
      </c>
      <c r="J20" s="54"/>
      <c r="K20" s="52"/>
    </row>
    <row r="21" spans="1:11" x14ac:dyDescent="0.2">
      <c r="A21" s="51" t="s">
        <v>5242</v>
      </c>
      <c r="B21" s="51" t="s">
        <v>4693</v>
      </c>
      <c r="C21" s="51" t="s">
        <v>4696</v>
      </c>
      <c r="D21" s="51" t="s">
        <v>4691</v>
      </c>
      <c r="E21" s="58">
        <v>10503426.93</v>
      </c>
      <c r="F21" s="58">
        <v>11252152.119999999</v>
      </c>
      <c r="G21" s="58">
        <v>21755579.049999997</v>
      </c>
      <c r="H21" s="57">
        <v>90</v>
      </c>
      <c r="J21" s="54"/>
      <c r="K21" s="52"/>
    </row>
    <row r="22" spans="1:11" x14ac:dyDescent="0.2">
      <c r="A22" s="51" t="s">
        <v>5241</v>
      </c>
      <c r="B22" s="51" t="s">
        <v>4693</v>
      </c>
      <c r="C22" s="51" t="s">
        <v>4704</v>
      </c>
      <c r="D22" s="51" t="s">
        <v>4695</v>
      </c>
      <c r="E22" s="58">
        <v>10514738.41</v>
      </c>
      <c r="F22" s="58">
        <v>10541286.789999999</v>
      </c>
      <c r="G22" s="58">
        <v>21056025.199999999</v>
      </c>
      <c r="H22" s="57">
        <v>97</v>
      </c>
      <c r="J22" s="54"/>
      <c r="K22" s="52"/>
    </row>
    <row r="23" spans="1:11" x14ac:dyDescent="0.2">
      <c r="A23" s="51" t="s">
        <v>5240</v>
      </c>
      <c r="B23" s="51" t="s">
        <v>4693</v>
      </c>
      <c r="C23" s="51" t="s">
        <v>4698</v>
      </c>
      <c r="D23" s="51" t="s">
        <v>4695</v>
      </c>
      <c r="E23" s="58">
        <v>10794059.1</v>
      </c>
      <c r="F23" s="58">
        <v>9756411.0899999999</v>
      </c>
      <c r="G23" s="58">
        <v>20550470.189999998</v>
      </c>
      <c r="H23" s="57">
        <v>103</v>
      </c>
      <c r="J23" s="54"/>
      <c r="K23" s="52"/>
    </row>
    <row r="24" spans="1:11" x14ac:dyDescent="0.2">
      <c r="A24" s="51" t="s">
        <v>5239</v>
      </c>
      <c r="B24" s="51" t="s">
        <v>4693</v>
      </c>
      <c r="C24" s="51" t="s">
        <v>4918</v>
      </c>
      <c r="D24" s="51" t="s">
        <v>4695</v>
      </c>
      <c r="E24" s="58">
        <v>9658922.5</v>
      </c>
      <c r="F24" s="58">
        <v>10566087.689999999</v>
      </c>
      <c r="G24" s="58">
        <v>20225010.189999998</v>
      </c>
      <c r="H24" s="57">
        <v>90</v>
      </c>
      <c r="J24" s="54"/>
      <c r="K24" s="52"/>
    </row>
    <row r="25" spans="1:11" x14ac:dyDescent="0.2">
      <c r="A25" s="51" t="s">
        <v>5238</v>
      </c>
      <c r="B25" s="51" t="s">
        <v>4693</v>
      </c>
      <c r="C25" s="51" t="s">
        <v>5121</v>
      </c>
      <c r="D25" s="51" t="s">
        <v>4695</v>
      </c>
      <c r="E25" s="58">
        <v>9659622.3900000006</v>
      </c>
      <c r="F25" s="58">
        <v>10429750.619999999</v>
      </c>
      <c r="G25" s="58">
        <v>20089373.009999998</v>
      </c>
      <c r="H25" s="57">
        <v>90</v>
      </c>
      <c r="J25" s="54"/>
      <c r="K25" s="52"/>
    </row>
    <row r="26" spans="1:11" x14ac:dyDescent="0.2">
      <c r="A26" s="51" t="s">
        <v>5237</v>
      </c>
      <c r="B26" s="51" t="s">
        <v>4693</v>
      </c>
      <c r="C26" s="51" t="s">
        <v>4747</v>
      </c>
      <c r="D26" s="51" t="s">
        <v>4695</v>
      </c>
      <c r="E26" s="58">
        <v>9764329.0399999991</v>
      </c>
      <c r="F26" s="58">
        <v>9652401.1500000004</v>
      </c>
      <c r="G26" s="58">
        <v>19416730.189999998</v>
      </c>
      <c r="H26" s="57">
        <v>76</v>
      </c>
      <c r="J26" s="54"/>
      <c r="K26" s="52"/>
    </row>
    <row r="27" spans="1:11" x14ac:dyDescent="0.2">
      <c r="A27" s="51" t="s">
        <v>5236</v>
      </c>
      <c r="B27" s="51" t="s">
        <v>4693</v>
      </c>
      <c r="C27" s="51" t="s">
        <v>4756</v>
      </c>
      <c r="D27" s="51" t="s">
        <v>4695</v>
      </c>
      <c r="E27" s="58">
        <v>9460385.75</v>
      </c>
      <c r="F27" s="58">
        <v>9286120.2300000004</v>
      </c>
      <c r="G27" s="58">
        <v>18746505.98</v>
      </c>
      <c r="H27" s="57">
        <v>80</v>
      </c>
      <c r="J27" s="54"/>
      <c r="K27" s="52"/>
    </row>
    <row r="28" spans="1:11" x14ac:dyDescent="0.2">
      <c r="A28" s="51" t="s">
        <v>5235</v>
      </c>
      <c r="B28" s="51" t="s">
        <v>4693</v>
      </c>
      <c r="C28" s="51" t="s">
        <v>4692</v>
      </c>
      <c r="D28" s="51" t="s">
        <v>4695</v>
      </c>
      <c r="E28" s="58">
        <v>9495764.6699999999</v>
      </c>
      <c r="F28" s="58">
        <v>8651810.2200000007</v>
      </c>
      <c r="G28" s="58">
        <v>18147574.890000001</v>
      </c>
      <c r="H28" s="57">
        <v>87</v>
      </c>
      <c r="J28" s="54"/>
      <c r="K28" s="52"/>
    </row>
    <row r="29" spans="1:11" x14ac:dyDescent="0.2">
      <c r="A29" s="51" t="s">
        <v>5234</v>
      </c>
      <c r="B29" s="51" t="s">
        <v>4693</v>
      </c>
      <c r="C29" s="51" t="s">
        <v>4747</v>
      </c>
      <c r="D29" s="51" t="s">
        <v>4695</v>
      </c>
      <c r="E29" s="58">
        <v>9472476.0500000007</v>
      </c>
      <c r="F29" s="58">
        <v>8359023.6799999997</v>
      </c>
      <c r="G29" s="58">
        <v>17831499.73</v>
      </c>
      <c r="H29" s="57">
        <v>80</v>
      </c>
      <c r="J29" s="54"/>
      <c r="K29" s="52"/>
    </row>
    <row r="30" spans="1:11" x14ac:dyDescent="0.2">
      <c r="A30" s="51" t="s">
        <v>5233</v>
      </c>
      <c r="B30" s="51" t="s">
        <v>4693</v>
      </c>
      <c r="C30" s="51" t="s">
        <v>4747</v>
      </c>
      <c r="D30" s="51" t="s">
        <v>4695</v>
      </c>
      <c r="E30" s="58">
        <v>8994477.9100000001</v>
      </c>
      <c r="F30" s="58">
        <v>8672646.5999999996</v>
      </c>
      <c r="G30" s="58">
        <v>17667124.509999998</v>
      </c>
      <c r="H30" s="57">
        <v>78</v>
      </c>
      <c r="J30" s="54"/>
      <c r="K30" s="52"/>
    </row>
    <row r="31" spans="1:11" x14ac:dyDescent="0.2">
      <c r="A31" s="51" t="s">
        <v>5232</v>
      </c>
      <c r="B31" s="51" t="s">
        <v>4693</v>
      </c>
      <c r="C31" s="51" t="s">
        <v>4735</v>
      </c>
      <c r="D31" s="51" t="s">
        <v>4691</v>
      </c>
      <c r="E31" s="58">
        <v>8040262.6100000003</v>
      </c>
      <c r="F31" s="58">
        <v>9154956.1099999994</v>
      </c>
      <c r="G31" s="58">
        <v>17195218.719999999</v>
      </c>
      <c r="H31" s="57">
        <v>85</v>
      </c>
      <c r="J31" s="54"/>
      <c r="K31" s="52"/>
    </row>
    <row r="32" spans="1:11" x14ac:dyDescent="0.2">
      <c r="A32" s="51" t="s">
        <v>5231</v>
      </c>
      <c r="B32" s="51" t="s">
        <v>4693</v>
      </c>
      <c r="C32" s="51" t="s">
        <v>4747</v>
      </c>
      <c r="D32" s="51" t="s">
        <v>4691</v>
      </c>
      <c r="E32" s="58">
        <v>8794260.7699999996</v>
      </c>
      <c r="F32" s="58">
        <v>8120925.3200000003</v>
      </c>
      <c r="G32" s="58">
        <v>16915186.09</v>
      </c>
      <c r="H32" s="57">
        <v>80</v>
      </c>
      <c r="J32" s="54"/>
      <c r="K32" s="52"/>
    </row>
    <row r="33" spans="1:11" x14ac:dyDescent="0.2">
      <c r="A33" s="51" t="s">
        <v>5230</v>
      </c>
      <c r="B33" s="51" t="s">
        <v>4693</v>
      </c>
      <c r="C33" s="51" t="s">
        <v>4714</v>
      </c>
      <c r="D33" s="51" t="s">
        <v>4695</v>
      </c>
      <c r="E33" s="58">
        <v>8580339.0999999996</v>
      </c>
      <c r="F33" s="58">
        <v>8260601.21</v>
      </c>
      <c r="G33" s="58">
        <v>16840940.309999999</v>
      </c>
      <c r="H33" s="57">
        <v>88</v>
      </c>
      <c r="J33" s="54"/>
      <c r="K33" s="52"/>
    </row>
    <row r="34" spans="1:11" x14ac:dyDescent="0.2">
      <c r="A34" s="51" t="s">
        <v>5229</v>
      </c>
      <c r="B34" s="51" t="s">
        <v>4693</v>
      </c>
      <c r="C34" s="51" t="s">
        <v>4728</v>
      </c>
      <c r="D34" s="51" t="s">
        <v>4695</v>
      </c>
      <c r="E34" s="58">
        <v>8616018.1099999994</v>
      </c>
      <c r="F34" s="58">
        <v>8117717.9500000002</v>
      </c>
      <c r="G34" s="58">
        <v>16733736.059999999</v>
      </c>
      <c r="H34" s="57">
        <v>90</v>
      </c>
      <c r="J34" s="54"/>
      <c r="K34" s="52"/>
    </row>
    <row r="35" spans="1:11" x14ac:dyDescent="0.2">
      <c r="A35" s="51" t="s">
        <v>5228</v>
      </c>
      <c r="B35" s="51" t="s">
        <v>4693</v>
      </c>
      <c r="C35" s="51" t="s">
        <v>4708</v>
      </c>
      <c r="D35" s="51" t="s">
        <v>4695</v>
      </c>
      <c r="E35" s="58">
        <v>8248343.4500000002</v>
      </c>
      <c r="F35" s="58">
        <v>8413907.0399999991</v>
      </c>
      <c r="G35" s="58">
        <v>16662250.489999998</v>
      </c>
      <c r="H35" s="57">
        <v>99</v>
      </c>
      <c r="J35" s="54"/>
      <c r="K35" s="52"/>
    </row>
    <row r="36" spans="1:11" x14ac:dyDescent="0.2">
      <c r="A36" s="51" t="s">
        <v>5227</v>
      </c>
      <c r="B36" s="51" t="s">
        <v>4693</v>
      </c>
      <c r="C36" s="51" t="s">
        <v>4872</v>
      </c>
      <c r="D36" s="51" t="s">
        <v>4695</v>
      </c>
      <c r="E36" s="58">
        <v>8725381.2400000002</v>
      </c>
      <c r="F36" s="58">
        <v>7798313.0700000003</v>
      </c>
      <c r="G36" s="58">
        <v>16523694.310000001</v>
      </c>
      <c r="H36" s="57">
        <v>73</v>
      </c>
      <c r="J36" s="54"/>
      <c r="K36" s="52"/>
    </row>
    <row r="37" spans="1:11" x14ac:dyDescent="0.2">
      <c r="A37" s="51" t="s">
        <v>5226</v>
      </c>
      <c r="B37" s="51" t="s">
        <v>4693</v>
      </c>
      <c r="C37" s="51" t="s">
        <v>4747</v>
      </c>
      <c r="D37" s="51" t="s">
        <v>4695</v>
      </c>
      <c r="E37" s="58">
        <v>8551990.0600000005</v>
      </c>
      <c r="F37" s="58">
        <v>7797947.9299999997</v>
      </c>
      <c r="G37" s="58">
        <v>16349937.99</v>
      </c>
      <c r="H37" s="57">
        <v>96</v>
      </c>
      <c r="J37" s="54"/>
      <c r="K37" s="52"/>
    </row>
    <row r="38" spans="1:11" x14ac:dyDescent="0.2">
      <c r="A38" s="51" t="s">
        <v>5225</v>
      </c>
      <c r="B38" s="51" t="s">
        <v>4693</v>
      </c>
      <c r="C38" s="51" t="s">
        <v>4735</v>
      </c>
      <c r="D38" s="51" t="s">
        <v>4695</v>
      </c>
      <c r="E38" s="58">
        <v>7756523.0999999996</v>
      </c>
      <c r="F38" s="58">
        <v>8539469.4399999995</v>
      </c>
      <c r="G38" s="58">
        <v>16295992.539999999</v>
      </c>
      <c r="H38" s="57">
        <v>75</v>
      </c>
      <c r="J38" s="54"/>
      <c r="K38" s="52"/>
    </row>
    <row r="39" spans="1:11" x14ac:dyDescent="0.2">
      <c r="A39" s="51" t="s">
        <v>5224</v>
      </c>
      <c r="B39" s="51" t="s">
        <v>4693</v>
      </c>
      <c r="C39" s="51" t="s">
        <v>4692</v>
      </c>
      <c r="D39" s="51" t="s">
        <v>4695</v>
      </c>
      <c r="E39" s="58">
        <v>8050414.4500000002</v>
      </c>
      <c r="F39" s="58">
        <v>7998809.54</v>
      </c>
      <c r="G39" s="58">
        <v>16049223.99</v>
      </c>
      <c r="H39" s="57">
        <v>85</v>
      </c>
      <c r="J39" s="54"/>
      <c r="K39" s="52"/>
    </row>
    <row r="40" spans="1:11" x14ac:dyDescent="0.2">
      <c r="A40" s="51" t="s">
        <v>5223</v>
      </c>
      <c r="B40" s="51" t="s">
        <v>4693</v>
      </c>
      <c r="C40" s="51" t="s">
        <v>4696</v>
      </c>
      <c r="D40" s="51" t="s">
        <v>4695</v>
      </c>
      <c r="E40" s="58">
        <v>8849073.1699999999</v>
      </c>
      <c r="F40" s="58">
        <v>7018808.0199999996</v>
      </c>
      <c r="G40" s="58">
        <v>15867881.189999999</v>
      </c>
      <c r="H40" s="57">
        <v>76</v>
      </c>
      <c r="J40" s="54"/>
      <c r="K40" s="52"/>
    </row>
    <row r="41" spans="1:11" x14ac:dyDescent="0.2">
      <c r="A41" s="51" t="s">
        <v>5222</v>
      </c>
      <c r="B41" s="51" t="s">
        <v>4693</v>
      </c>
      <c r="C41" s="51" t="s">
        <v>4696</v>
      </c>
      <c r="D41" s="51" t="s">
        <v>4695</v>
      </c>
      <c r="E41" s="58">
        <v>8057199.79</v>
      </c>
      <c r="F41" s="58">
        <v>7742991.21</v>
      </c>
      <c r="G41" s="58">
        <v>15800191</v>
      </c>
      <c r="H41" s="57">
        <v>71</v>
      </c>
      <c r="J41" s="54"/>
      <c r="K41" s="52"/>
    </row>
    <row r="42" spans="1:11" x14ac:dyDescent="0.2">
      <c r="A42" s="51" t="s">
        <v>5221</v>
      </c>
      <c r="B42" s="51" t="s">
        <v>4693</v>
      </c>
      <c r="C42" s="51" t="s">
        <v>4837</v>
      </c>
      <c r="D42" s="51" t="s">
        <v>4695</v>
      </c>
      <c r="E42" s="58">
        <v>8337464.9699999997</v>
      </c>
      <c r="F42" s="58">
        <v>7225279.8499999996</v>
      </c>
      <c r="G42" s="58">
        <v>15562744.82</v>
      </c>
      <c r="H42" s="57">
        <v>94</v>
      </c>
      <c r="J42" s="54"/>
      <c r="K42" s="52"/>
    </row>
    <row r="43" spans="1:11" x14ac:dyDescent="0.2">
      <c r="A43" s="51" t="s">
        <v>5220</v>
      </c>
      <c r="B43" s="51" t="s">
        <v>4693</v>
      </c>
      <c r="C43" s="51" t="s">
        <v>5121</v>
      </c>
      <c r="D43" s="51" t="s">
        <v>4695</v>
      </c>
      <c r="E43" s="58">
        <v>8048262.96</v>
      </c>
      <c r="F43" s="58">
        <v>7466721.6699999999</v>
      </c>
      <c r="G43" s="58">
        <v>15514984.629999999</v>
      </c>
      <c r="H43" s="57">
        <v>82</v>
      </c>
      <c r="J43" s="54"/>
      <c r="K43" s="52"/>
    </row>
    <row r="44" spans="1:11" x14ac:dyDescent="0.2">
      <c r="A44" s="51" t="s">
        <v>5219</v>
      </c>
      <c r="B44" s="51" t="s">
        <v>4717</v>
      </c>
      <c r="C44" s="51" t="s">
        <v>4716</v>
      </c>
      <c r="D44" s="51" t="s">
        <v>4695</v>
      </c>
      <c r="E44" s="58">
        <v>7819676.3899999997</v>
      </c>
      <c r="F44" s="58">
        <v>7640961.7699999996</v>
      </c>
      <c r="G44" s="58">
        <v>15460638.16</v>
      </c>
      <c r="H44" s="57">
        <v>75</v>
      </c>
      <c r="J44" s="54"/>
      <c r="K44" s="52"/>
    </row>
    <row r="45" spans="1:11" x14ac:dyDescent="0.2">
      <c r="A45" s="51" t="s">
        <v>5218</v>
      </c>
      <c r="B45" s="51" t="s">
        <v>4693</v>
      </c>
      <c r="C45" s="51" t="s">
        <v>4872</v>
      </c>
      <c r="D45" s="51" t="s">
        <v>4695</v>
      </c>
      <c r="E45" s="58">
        <v>8078069.3799999999</v>
      </c>
      <c r="F45" s="58">
        <v>7328160.0199999996</v>
      </c>
      <c r="G45" s="58">
        <v>15406229.399999999</v>
      </c>
      <c r="H45" s="57">
        <v>85</v>
      </c>
      <c r="J45" s="54"/>
      <c r="K45" s="52"/>
    </row>
    <row r="46" spans="1:11" ht="11.25" customHeight="1" x14ac:dyDescent="0.2">
      <c r="A46" s="51" t="s">
        <v>5217</v>
      </c>
      <c r="B46" s="51" t="s">
        <v>4693</v>
      </c>
      <c r="C46" s="51" t="s">
        <v>4872</v>
      </c>
      <c r="D46" s="51" t="s">
        <v>4695</v>
      </c>
      <c r="E46" s="58">
        <v>7886210.5999999996</v>
      </c>
      <c r="F46" s="58">
        <v>7319049.7000000002</v>
      </c>
      <c r="G46" s="58">
        <v>15205260.300000001</v>
      </c>
      <c r="H46" s="57">
        <v>80</v>
      </c>
      <c r="J46" s="54"/>
      <c r="K46" s="52"/>
    </row>
    <row r="47" spans="1:11" x14ac:dyDescent="0.2">
      <c r="A47" s="51" t="s">
        <v>5216</v>
      </c>
      <c r="B47" s="51" t="s">
        <v>4693</v>
      </c>
      <c r="C47" s="51" t="s">
        <v>4735</v>
      </c>
      <c r="D47" s="51" t="s">
        <v>4695</v>
      </c>
      <c r="E47" s="58">
        <v>7167276.29</v>
      </c>
      <c r="F47" s="58">
        <v>7679327.8399999999</v>
      </c>
      <c r="G47" s="58">
        <v>14846604.129999999</v>
      </c>
      <c r="H47" s="57">
        <v>65</v>
      </c>
      <c r="J47" s="54"/>
      <c r="K47" s="52"/>
    </row>
    <row r="48" spans="1:11" x14ac:dyDescent="0.2">
      <c r="A48" s="51" t="s">
        <v>5215</v>
      </c>
      <c r="B48" s="51" t="s">
        <v>4693</v>
      </c>
      <c r="C48" s="51" t="s">
        <v>4708</v>
      </c>
      <c r="D48" s="51" t="s">
        <v>4695</v>
      </c>
      <c r="E48" s="58">
        <v>7502351.5999999996</v>
      </c>
      <c r="F48" s="58">
        <v>7100339.7400000002</v>
      </c>
      <c r="G48" s="58">
        <v>14602691.34</v>
      </c>
      <c r="H48" s="57">
        <v>90</v>
      </c>
      <c r="J48" s="54"/>
      <c r="K48" s="52"/>
    </row>
    <row r="49" spans="1:256" x14ac:dyDescent="0.2">
      <c r="A49" s="51" t="s">
        <v>5214</v>
      </c>
      <c r="B49" s="51" t="s">
        <v>4693</v>
      </c>
      <c r="C49" s="51" t="s">
        <v>4872</v>
      </c>
      <c r="D49" s="51" t="s">
        <v>4695</v>
      </c>
      <c r="E49" s="58">
        <v>7892515.3099999996</v>
      </c>
      <c r="F49" s="58">
        <v>6634933.4500000002</v>
      </c>
      <c r="G49" s="58">
        <v>14527448.76</v>
      </c>
      <c r="H49" s="57">
        <v>52</v>
      </c>
      <c r="J49" s="54"/>
      <c r="K49" s="52"/>
    </row>
    <row r="50" spans="1:256" x14ac:dyDescent="0.2">
      <c r="A50" s="51" t="s">
        <v>5213</v>
      </c>
      <c r="B50" s="51" t="s">
        <v>4693</v>
      </c>
      <c r="C50" s="51" t="s">
        <v>4714</v>
      </c>
      <c r="D50" s="51" t="s">
        <v>4695</v>
      </c>
      <c r="E50" s="58">
        <v>7474312.0599999996</v>
      </c>
      <c r="F50" s="58">
        <v>6959802.79</v>
      </c>
      <c r="G50" s="58">
        <v>14434114.85</v>
      </c>
      <c r="H50" s="57">
        <v>100</v>
      </c>
      <c r="J50" s="54"/>
      <c r="K50" s="52"/>
    </row>
    <row r="51" spans="1:256" x14ac:dyDescent="0.2">
      <c r="A51" s="51" t="s">
        <v>5212</v>
      </c>
      <c r="B51" s="51" t="s">
        <v>4693</v>
      </c>
      <c r="C51" s="51" t="s">
        <v>4696</v>
      </c>
      <c r="D51" s="51" t="s">
        <v>4691</v>
      </c>
      <c r="E51" s="58">
        <v>7305742.6900000004</v>
      </c>
      <c r="F51" s="58">
        <v>7111845.7300000004</v>
      </c>
      <c r="G51" s="58">
        <v>14417588.420000002</v>
      </c>
      <c r="H51" s="57">
        <v>93</v>
      </c>
      <c r="J51" s="54"/>
      <c r="K51" s="52"/>
    </row>
    <row r="52" spans="1:256" x14ac:dyDescent="0.2">
      <c r="A52" s="51" t="s">
        <v>5211</v>
      </c>
      <c r="B52" s="51" t="s">
        <v>4693</v>
      </c>
      <c r="C52" s="51" t="s">
        <v>4708</v>
      </c>
      <c r="D52" s="51" t="s">
        <v>4691</v>
      </c>
      <c r="E52" s="58">
        <v>6946219.9500000002</v>
      </c>
      <c r="F52" s="58">
        <v>7286820.0599999996</v>
      </c>
      <c r="G52" s="58">
        <v>14233040.01</v>
      </c>
      <c r="H52" s="57">
        <v>100</v>
      </c>
      <c r="J52" s="54"/>
      <c r="K52" s="52"/>
    </row>
    <row r="53" spans="1:256" x14ac:dyDescent="0.2">
      <c r="A53" s="51" t="s">
        <v>5210</v>
      </c>
      <c r="B53" s="51" t="s">
        <v>4693</v>
      </c>
      <c r="C53" s="51" t="s">
        <v>5121</v>
      </c>
      <c r="D53" s="51" t="s">
        <v>4695</v>
      </c>
      <c r="E53" s="58">
        <v>7334889.6100000003</v>
      </c>
      <c r="F53" s="58">
        <v>6739928.0300000003</v>
      </c>
      <c r="G53" s="58">
        <v>14074817.640000001</v>
      </c>
      <c r="H53" s="57">
        <v>70</v>
      </c>
      <c r="J53" s="54"/>
      <c r="K53" s="52"/>
    </row>
    <row r="54" spans="1:256" x14ac:dyDescent="0.2">
      <c r="A54" s="51" t="s">
        <v>5209</v>
      </c>
      <c r="B54" s="51" t="s">
        <v>4717</v>
      </c>
      <c r="C54" s="51" t="s">
        <v>4792</v>
      </c>
      <c r="D54" s="51" t="s">
        <v>4695</v>
      </c>
      <c r="E54" s="58">
        <v>7053282.6100000003</v>
      </c>
      <c r="F54" s="58">
        <v>6939177.4299999997</v>
      </c>
      <c r="G54" s="58">
        <v>13992460.039999999</v>
      </c>
      <c r="H54" s="57">
        <v>100</v>
      </c>
      <c r="J54" s="54"/>
      <c r="K54" s="52"/>
    </row>
    <row r="55" spans="1:256" ht="12.75" x14ac:dyDescent="0.2">
      <c r="A55" s="51" t="s">
        <v>5208</v>
      </c>
      <c r="B55" s="51" t="s">
        <v>4693</v>
      </c>
      <c r="C55" s="51" t="s">
        <v>4830</v>
      </c>
      <c r="D55" s="51" t="s">
        <v>4691</v>
      </c>
      <c r="E55" s="58">
        <v>7039230.8399999999</v>
      </c>
      <c r="F55" s="58">
        <v>6880313.0599999996</v>
      </c>
      <c r="G55" s="58">
        <v>13919543.899999999</v>
      </c>
      <c r="H55" s="57">
        <v>76</v>
      </c>
      <c r="I55" s="48"/>
      <c r="J55" s="54"/>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c r="DD55" s="48"/>
      <c r="DE55" s="48"/>
      <c r="DF55" s="48"/>
      <c r="DG55" s="48"/>
      <c r="DH55" s="48"/>
      <c r="DI55" s="48"/>
      <c r="DJ55" s="48"/>
      <c r="DK55" s="48"/>
      <c r="DL55" s="48"/>
      <c r="DM55" s="48"/>
      <c r="DN55" s="48"/>
      <c r="DO55" s="48"/>
      <c r="DP55" s="48"/>
      <c r="DQ55" s="48"/>
      <c r="DR55" s="48"/>
      <c r="DS55" s="48"/>
      <c r="DT55" s="48"/>
      <c r="DU55" s="48"/>
      <c r="DV55" s="48"/>
      <c r="DW55" s="48"/>
      <c r="DX55" s="48"/>
      <c r="DY55" s="48"/>
      <c r="DZ55" s="48"/>
      <c r="EA55" s="48"/>
      <c r="EB55" s="48"/>
      <c r="EC55" s="48"/>
      <c r="ED55" s="48"/>
      <c r="EE55" s="48"/>
      <c r="EF55" s="48"/>
      <c r="EG55" s="48"/>
      <c r="EH55" s="48"/>
      <c r="EI55" s="48"/>
      <c r="EJ55" s="48"/>
      <c r="EK55" s="48"/>
      <c r="EL55" s="48"/>
      <c r="EM55" s="48"/>
      <c r="EN55" s="48"/>
      <c r="EO55" s="48"/>
      <c r="EP55" s="48"/>
      <c r="EQ55" s="48"/>
      <c r="ER55" s="48"/>
      <c r="ES55" s="48"/>
      <c r="ET55" s="48"/>
      <c r="EU55" s="48"/>
      <c r="EV55" s="48"/>
      <c r="EW55" s="48"/>
      <c r="EX55" s="48"/>
      <c r="EY55" s="48"/>
      <c r="EZ55" s="48"/>
      <c r="FA55" s="48"/>
      <c r="FB55" s="48"/>
      <c r="FC55" s="48"/>
      <c r="FD55" s="48"/>
      <c r="FE55" s="48"/>
      <c r="FF55" s="48"/>
      <c r="FG55" s="48"/>
      <c r="FH55" s="48"/>
      <c r="FI55" s="48"/>
      <c r="FJ55" s="48"/>
      <c r="FK55" s="48"/>
      <c r="FL55" s="48"/>
      <c r="FM55" s="48"/>
      <c r="FN55" s="48"/>
      <c r="FO55" s="48"/>
      <c r="FP55" s="48"/>
      <c r="FQ55" s="48"/>
      <c r="FR55" s="48"/>
      <c r="FS55" s="48"/>
      <c r="FT55" s="48"/>
      <c r="FU55" s="48"/>
      <c r="FV55" s="48"/>
      <c r="FW55" s="48"/>
      <c r="FX55" s="48"/>
      <c r="FY55" s="48"/>
      <c r="FZ55" s="48"/>
      <c r="GA55" s="48"/>
      <c r="GB55" s="48"/>
      <c r="GC55" s="48"/>
      <c r="GD55" s="48"/>
      <c r="GE55" s="48"/>
      <c r="GF55" s="48"/>
      <c r="GG55" s="48"/>
      <c r="GH55" s="48"/>
      <c r="GI55" s="48"/>
      <c r="GJ55" s="48"/>
      <c r="GK55" s="48"/>
      <c r="GL55" s="48"/>
      <c r="GM55" s="48"/>
      <c r="GN55" s="48"/>
      <c r="GO55" s="48"/>
      <c r="GP55" s="48"/>
      <c r="GQ55" s="48"/>
      <c r="GR55" s="48"/>
      <c r="GS55" s="48"/>
      <c r="GT55" s="48"/>
      <c r="GU55" s="48"/>
      <c r="GV55" s="48"/>
      <c r="GW55" s="48"/>
      <c r="GX55" s="48"/>
      <c r="GY55" s="48"/>
      <c r="GZ55" s="48"/>
      <c r="HA55" s="48"/>
      <c r="HB55" s="48"/>
      <c r="HC55" s="48"/>
      <c r="HD55" s="48"/>
      <c r="HE55" s="48"/>
      <c r="HF55" s="48"/>
      <c r="HG55" s="48"/>
      <c r="HH55" s="48"/>
      <c r="HI55" s="48"/>
      <c r="HJ55" s="48"/>
      <c r="HK55" s="48"/>
      <c r="HL55" s="48"/>
      <c r="HM55" s="48"/>
      <c r="HN55" s="48"/>
      <c r="HO55" s="48"/>
      <c r="HP55" s="48"/>
      <c r="HQ55" s="48"/>
      <c r="HR55" s="48"/>
      <c r="HS55" s="48"/>
      <c r="HT55" s="48"/>
      <c r="HU55" s="48"/>
      <c r="HV55" s="48"/>
      <c r="HW55" s="48"/>
      <c r="HX55" s="48"/>
      <c r="HY55" s="48"/>
      <c r="HZ55" s="48"/>
      <c r="IA55" s="48"/>
      <c r="IB55" s="48"/>
      <c r="IC55" s="48"/>
      <c r="ID55" s="48"/>
      <c r="IE55" s="48"/>
      <c r="IF55" s="48"/>
      <c r="IG55" s="48"/>
      <c r="IH55" s="48"/>
      <c r="II55" s="48"/>
      <c r="IJ55" s="48"/>
      <c r="IK55" s="48"/>
      <c r="IL55" s="48"/>
      <c r="IM55" s="48"/>
      <c r="IN55" s="48"/>
      <c r="IO55" s="48"/>
      <c r="IP55" s="48"/>
      <c r="IQ55" s="48"/>
      <c r="IR55" s="48"/>
      <c r="IS55" s="48"/>
      <c r="IT55" s="48"/>
      <c r="IU55" s="48"/>
      <c r="IV55" s="48"/>
    </row>
    <row r="56" spans="1:256" x14ac:dyDescent="0.2">
      <c r="A56" s="51" t="s">
        <v>5207</v>
      </c>
      <c r="B56" s="51" t="s">
        <v>4693</v>
      </c>
      <c r="C56" s="51" t="s">
        <v>4708</v>
      </c>
      <c r="D56" s="51" t="s">
        <v>4695</v>
      </c>
      <c r="E56" s="58">
        <v>6730661.5300000003</v>
      </c>
      <c r="F56" s="58">
        <v>7166987.0899999999</v>
      </c>
      <c r="G56" s="58">
        <v>13897648.620000001</v>
      </c>
      <c r="H56" s="57">
        <v>80</v>
      </c>
      <c r="J56" s="54"/>
      <c r="K56" s="52"/>
    </row>
    <row r="57" spans="1:256" x14ac:dyDescent="0.2">
      <c r="A57" s="51" t="s">
        <v>5206</v>
      </c>
      <c r="B57" s="51" t="s">
        <v>4693</v>
      </c>
      <c r="C57" s="51" t="s">
        <v>4779</v>
      </c>
      <c r="D57" s="51" t="s">
        <v>4695</v>
      </c>
      <c r="E57" s="58">
        <v>7287620.0999999996</v>
      </c>
      <c r="F57" s="58">
        <v>6389592.9100000001</v>
      </c>
      <c r="G57" s="58">
        <v>13677213.01</v>
      </c>
      <c r="H57" s="57">
        <v>85</v>
      </c>
      <c r="J57" s="54"/>
      <c r="K57" s="52"/>
    </row>
    <row r="58" spans="1:256" x14ac:dyDescent="0.2">
      <c r="A58" s="51" t="s">
        <v>5205</v>
      </c>
      <c r="B58" s="51" t="s">
        <v>4693</v>
      </c>
      <c r="C58" s="51" t="s">
        <v>4872</v>
      </c>
      <c r="D58" s="51" t="s">
        <v>4695</v>
      </c>
      <c r="E58" s="58">
        <v>6922662.3600000003</v>
      </c>
      <c r="F58" s="58">
        <v>6636496.8099999996</v>
      </c>
      <c r="G58" s="58">
        <v>13559159.17</v>
      </c>
      <c r="H58" s="57">
        <v>79</v>
      </c>
      <c r="J58" s="54"/>
      <c r="K58" s="52"/>
    </row>
    <row r="59" spans="1:256" x14ac:dyDescent="0.2">
      <c r="A59" s="51" t="s">
        <v>5204</v>
      </c>
      <c r="B59" s="51" t="s">
        <v>4717</v>
      </c>
      <c r="C59" s="51" t="s">
        <v>4824</v>
      </c>
      <c r="D59" s="51" t="s">
        <v>4695</v>
      </c>
      <c r="E59" s="58">
        <v>6889963.7400000002</v>
      </c>
      <c r="F59" s="58">
        <v>6624265.4000000004</v>
      </c>
      <c r="G59" s="58">
        <v>13514229.140000001</v>
      </c>
      <c r="H59" s="57">
        <v>105</v>
      </c>
      <c r="J59" s="54"/>
      <c r="K59" s="52"/>
    </row>
    <row r="60" spans="1:256" x14ac:dyDescent="0.2">
      <c r="A60" s="51" t="s">
        <v>5203</v>
      </c>
      <c r="B60" s="51" t="s">
        <v>4693</v>
      </c>
      <c r="C60" s="51" t="s">
        <v>4872</v>
      </c>
      <c r="D60" s="51" t="s">
        <v>4695</v>
      </c>
      <c r="E60" s="58">
        <v>6602456.4500000002</v>
      </c>
      <c r="F60" s="58">
        <v>6388644.0499999998</v>
      </c>
      <c r="G60" s="58">
        <v>12991100.5</v>
      </c>
      <c r="H60" s="57">
        <v>70</v>
      </c>
      <c r="J60" s="54"/>
      <c r="K60" s="52"/>
    </row>
    <row r="61" spans="1:256" x14ac:dyDescent="0.2">
      <c r="A61" s="51" t="s">
        <v>5202</v>
      </c>
      <c r="B61" s="51" t="s">
        <v>4693</v>
      </c>
      <c r="C61" s="51" t="s">
        <v>4872</v>
      </c>
      <c r="D61" s="51" t="s">
        <v>4691</v>
      </c>
      <c r="E61" s="58">
        <v>6436029.3899999997</v>
      </c>
      <c r="F61" s="58">
        <v>6436679.2699999996</v>
      </c>
      <c r="G61" s="58">
        <v>12872708.66</v>
      </c>
      <c r="H61" s="57">
        <v>75</v>
      </c>
      <c r="J61" s="54"/>
      <c r="K61" s="52"/>
    </row>
    <row r="62" spans="1:256" x14ac:dyDescent="0.2">
      <c r="A62" s="51" t="s">
        <v>5201</v>
      </c>
      <c r="B62" s="51" t="s">
        <v>4693</v>
      </c>
      <c r="C62" s="51" t="s">
        <v>4844</v>
      </c>
      <c r="D62" s="51" t="s">
        <v>4695</v>
      </c>
      <c r="E62" s="58">
        <v>6890480.54</v>
      </c>
      <c r="F62" s="58">
        <v>5840039.8200000003</v>
      </c>
      <c r="G62" s="58">
        <v>12730520.359999999</v>
      </c>
      <c r="H62" s="57">
        <v>60</v>
      </c>
      <c r="J62" s="54"/>
      <c r="K62" s="52"/>
    </row>
    <row r="63" spans="1:256" x14ac:dyDescent="0.2">
      <c r="A63" s="51" t="s">
        <v>5200</v>
      </c>
      <c r="B63" s="51" t="s">
        <v>4693</v>
      </c>
      <c r="C63" s="51" t="s">
        <v>4982</v>
      </c>
      <c r="D63" s="51" t="s">
        <v>4695</v>
      </c>
      <c r="E63" s="58">
        <v>6313565.25</v>
      </c>
      <c r="F63" s="58">
        <v>6372262.8099999996</v>
      </c>
      <c r="G63" s="58">
        <v>12685828.059999999</v>
      </c>
      <c r="H63" s="57">
        <v>65</v>
      </c>
      <c r="J63" s="54"/>
      <c r="K63" s="52"/>
    </row>
    <row r="64" spans="1:256" x14ac:dyDescent="0.2">
      <c r="A64" s="51" t="s">
        <v>5199</v>
      </c>
      <c r="B64" s="51" t="s">
        <v>4693</v>
      </c>
      <c r="C64" s="51" t="s">
        <v>4744</v>
      </c>
      <c r="D64" s="51" t="s">
        <v>4695</v>
      </c>
      <c r="E64" s="58">
        <v>6092023.4800000004</v>
      </c>
      <c r="F64" s="58">
        <v>6453625.6399999997</v>
      </c>
      <c r="G64" s="58">
        <v>12545649.120000001</v>
      </c>
      <c r="H64" s="57">
        <v>70</v>
      </c>
      <c r="J64" s="54"/>
      <c r="K64" s="52"/>
    </row>
    <row r="65" spans="1:11" x14ac:dyDescent="0.2">
      <c r="A65" s="51" t="s">
        <v>5198</v>
      </c>
      <c r="B65" s="51" t="s">
        <v>4693</v>
      </c>
      <c r="C65" s="51" t="s">
        <v>4892</v>
      </c>
      <c r="D65" s="51" t="s">
        <v>4695</v>
      </c>
      <c r="E65" s="58">
        <v>6212197.46</v>
      </c>
      <c r="F65" s="58">
        <v>6229125.4500000002</v>
      </c>
      <c r="G65" s="58">
        <v>12441322.91</v>
      </c>
      <c r="H65" s="57">
        <v>70</v>
      </c>
      <c r="J65" s="54"/>
      <c r="K65" s="52"/>
    </row>
    <row r="66" spans="1:11" x14ac:dyDescent="0.2">
      <c r="A66" s="51" t="s">
        <v>5197</v>
      </c>
      <c r="B66" s="51" t="s">
        <v>4693</v>
      </c>
      <c r="C66" s="51" t="s">
        <v>4728</v>
      </c>
      <c r="D66" s="51" t="s">
        <v>4695</v>
      </c>
      <c r="E66" s="58">
        <v>6403205.6100000003</v>
      </c>
      <c r="F66" s="58">
        <v>5962210.3300000001</v>
      </c>
      <c r="G66" s="58">
        <v>12365415.940000001</v>
      </c>
      <c r="H66" s="57">
        <v>82</v>
      </c>
      <c r="J66" s="54"/>
      <c r="K66" s="52"/>
    </row>
    <row r="67" spans="1:11" x14ac:dyDescent="0.2">
      <c r="A67" s="51" t="s">
        <v>5196</v>
      </c>
      <c r="B67" s="51" t="s">
        <v>4693</v>
      </c>
      <c r="C67" s="51" t="s">
        <v>5121</v>
      </c>
      <c r="D67" s="51" t="s">
        <v>4691</v>
      </c>
      <c r="E67" s="58">
        <v>6480290.3799999999</v>
      </c>
      <c r="F67" s="58">
        <v>5863956.79</v>
      </c>
      <c r="G67" s="58">
        <v>12344247.17</v>
      </c>
      <c r="H67" s="57">
        <v>66</v>
      </c>
      <c r="J67" s="54"/>
      <c r="K67" s="52"/>
    </row>
    <row r="68" spans="1:11" x14ac:dyDescent="0.2">
      <c r="A68" s="51" t="s">
        <v>5195</v>
      </c>
      <c r="B68" s="51" t="s">
        <v>4693</v>
      </c>
      <c r="C68" s="51" t="s">
        <v>4756</v>
      </c>
      <c r="D68" s="51" t="s">
        <v>4695</v>
      </c>
      <c r="E68" s="58">
        <v>6488037.54</v>
      </c>
      <c r="F68" s="58">
        <v>5847683.0800000001</v>
      </c>
      <c r="G68" s="58">
        <v>12335720.620000001</v>
      </c>
      <c r="H68" s="57">
        <v>75</v>
      </c>
      <c r="J68" s="54"/>
      <c r="K68" s="52"/>
    </row>
    <row r="69" spans="1:11" x14ac:dyDescent="0.2">
      <c r="A69" s="51" t="s">
        <v>5194</v>
      </c>
      <c r="B69" s="51" t="s">
        <v>4693</v>
      </c>
      <c r="C69" s="51" t="s">
        <v>4982</v>
      </c>
      <c r="D69" s="51" t="s">
        <v>4691</v>
      </c>
      <c r="E69" s="58">
        <v>6130639.3499999996</v>
      </c>
      <c r="F69" s="58">
        <v>6149873.1299999999</v>
      </c>
      <c r="G69" s="58">
        <v>12280512.48</v>
      </c>
      <c r="H69" s="57">
        <v>75</v>
      </c>
      <c r="J69" s="54"/>
      <c r="K69" s="52"/>
    </row>
    <row r="70" spans="1:11" x14ac:dyDescent="0.2">
      <c r="A70" s="51" t="s">
        <v>5193</v>
      </c>
      <c r="B70" s="51" t="s">
        <v>4693</v>
      </c>
      <c r="C70" s="51" t="s">
        <v>4796</v>
      </c>
      <c r="D70" s="51" t="s">
        <v>4695</v>
      </c>
      <c r="E70" s="58">
        <v>6371668.7999999998</v>
      </c>
      <c r="F70" s="58">
        <v>5904565.5700000003</v>
      </c>
      <c r="G70" s="58">
        <v>12276234.370000001</v>
      </c>
      <c r="H70" s="57">
        <v>93</v>
      </c>
      <c r="J70" s="54"/>
      <c r="K70" s="52"/>
    </row>
    <row r="71" spans="1:11" x14ac:dyDescent="0.2">
      <c r="A71" s="51" t="s">
        <v>5192</v>
      </c>
      <c r="B71" s="51" t="s">
        <v>4693</v>
      </c>
      <c r="C71" s="51" t="s">
        <v>4822</v>
      </c>
      <c r="D71" s="51" t="s">
        <v>4695</v>
      </c>
      <c r="E71" s="58">
        <v>6348968.8200000003</v>
      </c>
      <c r="F71" s="58">
        <v>5847513.0800000001</v>
      </c>
      <c r="G71" s="58">
        <v>12196481.9</v>
      </c>
      <c r="H71" s="57">
        <v>70</v>
      </c>
      <c r="J71" s="54"/>
      <c r="K71" s="52"/>
    </row>
    <row r="72" spans="1:11" x14ac:dyDescent="0.2">
      <c r="A72" s="51" t="s">
        <v>5191</v>
      </c>
      <c r="B72" s="51" t="s">
        <v>4693</v>
      </c>
      <c r="C72" s="51" t="s">
        <v>4756</v>
      </c>
      <c r="D72" s="51" t="s">
        <v>4691</v>
      </c>
      <c r="E72" s="58">
        <v>6200333.3300000001</v>
      </c>
      <c r="F72" s="58">
        <v>5888612.75</v>
      </c>
      <c r="G72" s="58">
        <v>12088946.08</v>
      </c>
      <c r="H72" s="57">
        <v>70</v>
      </c>
      <c r="J72" s="54"/>
      <c r="K72" s="52"/>
    </row>
    <row r="73" spans="1:11" x14ac:dyDescent="0.2">
      <c r="A73" s="51" t="s">
        <v>5190</v>
      </c>
      <c r="B73" s="51" t="s">
        <v>4693</v>
      </c>
      <c r="C73" s="51" t="s">
        <v>4747</v>
      </c>
      <c r="D73" s="51" t="s">
        <v>4695</v>
      </c>
      <c r="E73" s="58">
        <v>6287753.6200000001</v>
      </c>
      <c r="F73" s="58">
        <v>5732004.0099999998</v>
      </c>
      <c r="G73" s="58">
        <v>12019757.629999999</v>
      </c>
      <c r="H73" s="57">
        <v>50</v>
      </c>
      <c r="J73" s="54"/>
      <c r="K73" s="52"/>
    </row>
    <row r="74" spans="1:11" x14ac:dyDescent="0.2">
      <c r="A74" s="51" t="s">
        <v>5189</v>
      </c>
      <c r="B74" s="51" t="s">
        <v>4693</v>
      </c>
      <c r="C74" s="51" t="s">
        <v>4708</v>
      </c>
      <c r="D74" s="51" t="s">
        <v>4691</v>
      </c>
      <c r="E74" s="58">
        <v>5966182.0300000003</v>
      </c>
      <c r="F74" s="58">
        <v>5915940.4000000004</v>
      </c>
      <c r="G74" s="58">
        <v>11882122.43</v>
      </c>
      <c r="H74" s="57">
        <v>76</v>
      </c>
      <c r="J74" s="54"/>
      <c r="K74" s="52"/>
    </row>
    <row r="75" spans="1:11" x14ac:dyDescent="0.2">
      <c r="A75" s="51" t="s">
        <v>5188</v>
      </c>
      <c r="B75" s="51" t="s">
        <v>4717</v>
      </c>
      <c r="C75" s="51" t="s">
        <v>4732</v>
      </c>
      <c r="D75" s="51" t="s">
        <v>4695</v>
      </c>
      <c r="E75" s="58">
        <v>6046960.0099999998</v>
      </c>
      <c r="F75" s="58">
        <v>5817427.6600000001</v>
      </c>
      <c r="G75" s="58">
        <v>11864387.67</v>
      </c>
      <c r="H75" s="57">
        <v>80</v>
      </c>
      <c r="J75" s="54"/>
      <c r="K75" s="52"/>
    </row>
    <row r="76" spans="1:11" x14ac:dyDescent="0.2">
      <c r="A76" s="51" t="s">
        <v>5187</v>
      </c>
      <c r="B76" s="51" t="s">
        <v>4693</v>
      </c>
      <c r="C76" s="51" t="s">
        <v>4982</v>
      </c>
      <c r="D76" s="51" t="s">
        <v>4691</v>
      </c>
      <c r="E76" s="58">
        <v>5838459.5599999996</v>
      </c>
      <c r="F76" s="58">
        <v>5983564.9500000002</v>
      </c>
      <c r="G76" s="58">
        <v>11822024.51</v>
      </c>
      <c r="H76" s="57">
        <v>105</v>
      </c>
      <c r="J76" s="54"/>
      <c r="K76" s="52"/>
    </row>
    <row r="77" spans="1:11" x14ac:dyDescent="0.2">
      <c r="A77" s="51" t="s">
        <v>5186</v>
      </c>
      <c r="B77" s="51" t="s">
        <v>4693</v>
      </c>
      <c r="C77" s="51" t="s">
        <v>4982</v>
      </c>
      <c r="D77" s="51" t="s">
        <v>4695</v>
      </c>
      <c r="E77" s="58">
        <v>5955652.4400000004</v>
      </c>
      <c r="F77" s="58">
        <v>5792002.1299999999</v>
      </c>
      <c r="G77" s="58">
        <v>11747654.57</v>
      </c>
      <c r="H77" s="57">
        <v>78</v>
      </c>
      <c r="J77" s="54"/>
      <c r="K77" s="52"/>
    </row>
    <row r="78" spans="1:11" x14ac:dyDescent="0.2">
      <c r="A78" s="51" t="s">
        <v>5185</v>
      </c>
      <c r="B78" s="51" t="s">
        <v>4693</v>
      </c>
      <c r="C78" s="51" t="s">
        <v>4837</v>
      </c>
      <c r="D78" s="51" t="s">
        <v>4691</v>
      </c>
      <c r="E78" s="58">
        <v>5817228.04</v>
      </c>
      <c r="F78" s="58">
        <v>5786758.8799999999</v>
      </c>
      <c r="G78" s="58">
        <v>11603986.92</v>
      </c>
      <c r="H78" s="57">
        <v>82</v>
      </c>
      <c r="J78" s="54"/>
      <c r="K78" s="52"/>
    </row>
    <row r="79" spans="1:11" x14ac:dyDescent="0.2">
      <c r="A79" s="51" t="s">
        <v>5184</v>
      </c>
      <c r="B79" s="51" t="s">
        <v>4693</v>
      </c>
      <c r="C79" s="51" t="s">
        <v>4918</v>
      </c>
      <c r="D79" s="51" t="s">
        <v>4691</v>
      </c>
      <c r="E79" s="58">
        <v>5803677.1399999997</v>
      </c>
      <c r="F79" s="58">
        <v>5795005.8799999999</v>
      </c>
      <c r="G79" s="58">
        <v>11598683.02</v>
      </c>
      <c r="H79" s="57">
        <v>103</v>
      </c>
      <c r="J79" s="54"/>
      <c r="K79" s="52"/>
    </row>
    <row r="80" spans="1:11" x14ac:dyDescent="0.2">
      <c r="A80" s="51" t="s">
        <v>5183</v>
      </c>
      <c r="B80" s="51" t="s">
        <v>4693</v>
      </c>
      <c r="C80" s="51" t="s">
        <v>4872</v>
      </c>
      <c r="D80" s="51" t="s">
        <v>4695</v>
      </c>
      <c r="E80" s="58">
        <v>6041208.6100000003</v>
      </c>
      <c r="F80" s="58">
        <v>5531749.4199999999</v>
      </c>
      <c r="G80" s="58">
        <v>11572958.030000001</v>
      </c>
      <c r="H80" s="57">
        <v>55</v>
      </c>
      <c r="J80" s="54"/>
      <c r="K80" s="52"/>
    </row>
    <row r="81" spans="1:256" x14ac:dyDescent="0.2">
      <c r="A81" s="51" t="s">
        <v>5182</v>
      </c>
      <c r="B81" s="51" t="s">
        <v>4693</v>
      </c>
      <c r="C81" s="51" t="s">
        <v>4837</v>
      </c>
      <c r="D81" s="51" t="s">
        <v>4695</v>
      </c>
      <c r="E81" s="58">
        <v>5951753.5999999996</v>
      </c>
      <c r="F81" s="58">
        <v>5550737.2699999996</v>
      </c>
      <c r="G81" s="58">
        <v>11502490.869999999</v>
      </c>
      <c r="H81" s="57">
        <v>65</v>
      </c>
      <c r="J81" s="54"/>
      <c r="K81" s="52"/>
    </row>
    <row r="82" spans="1:256" x14ac:dyDescent="0.2">
      <c r="A82" s="51" t="s">
        <v>5181</v>
      </c>
      <c r="B82" s="51" t="s">
        <v>4693</v>
      </c>
      <c r="C82" s="51" t="s">
        <v>4982</v>
      </c>
      <c r="D82" s="51" t="s">
        <v>4695</v>
      </c>
      <c r="E82" s="58">
        <v>5719217.5300000003</v>
      </c>
      <c r="F82" s="58">
        <v>5698573.0099999998</v>
      </c>
      <c r="G82" s="58">
        <v>11417790.539999999</v>
      </c>
      <c r="H82" s="57">
        <v>75</v>
      </c>
      <c r="J82" s="54"/>
      <c r="K82" s="52"/>
    </row>
    <row r="83" spans="1:256" x14ac:dyDescent="0.2">
      <c r="A83" s="51" t="s">
        <v>5180</v>
      </c>
      <c r="B83" s="51" t="s">
        <v>4693</v>
      </c>
      <c r="C83" s="51" t="s">
        <v>4735</v>
      </c>
      <c r="D83" s="51" t="s">
        <v>4695</v>
      </c>
      <c r="E83" s="58">
        <v>5598088.7999999998</v>
      </c>
      <c r="F83" s="58">
        <v>5804269.2800000003</v>
      </c>
      <c r="G83" s="58">
        <v>11402358.08</v>
      </c>
      <c r="H83" s="57">
        <v>70</v>
      </c>
      <c r="J83" s="54"/>
      <c r="K83" s="52"/>
    </row>
    <row r="84" spans="1:256" x14ac:dyDescent="0.2">
      <c r="A84" s="51" t="s">
        <v>5179</v>
      </c>
      <c r="B84" s="51" t="s">
        <v>4693</v>
      </c>
      <c r="C84" s="51" t="s">
        <v>4714</v>
      </c>
      <c r="D84" s="51" t="s">
        <v>4695</v>
      </c>
      <c r="E84" s="58">
        <v>5898302.2199999997</v>
      </c>
      <c r="F84" s="58">
        <v>5274013.63</v>
      </c>
      <c r="G84" s="58">
        <v>11172315.85</v>
      </c>
      <c r="H84" s="57">
        <v>79</v>
      </c>
      <c r="J84" s="54"/>
      <c r="K84" s="52"/>
    </row>
    <row r="85" spans="1:256" ht="12.75" x14ac:dyDescent="0.2">
      <c r="A85" s="51" t="s">
        <v>5178</v>
      </c>
      <c r="B85" s="51" t="s">
        <v>4693</v>
      </c>
      <c r="C85" s="51" t="s">
        <v>4698</v>
      </c>
      <c r="D85" s="51" t="s">
        <v>4695</v>
      </c>
      <c r="E85" s="58">
        <v>5483337.7000000002</v>
      </c>
      <c r="F85" s="58">
        <v>5590790.6100000003</v>
      </c>
      <c r="G85" s="58">
        <v>11074128.310000001</v>
      </c>
      <c r="H85" s="57">
        <v>100</v>
      </c>
      <c r="I85" s="48"/>
      <c r="J85" s="54"/>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48"/>
      <c r="EE85" s="48"/>
      <c r="EF85" s="48"/>
      <c r="EG85" s="48"/>
      <c r="EH85" s="48"/>
      <c r="EI85" s="48"/>
      <c r="EJ85" s="48"/>
      <c r="EK85" s="48"/>
      <c r="EL85" s="48"/>
      <c r="EM85" s="48"/>
      <c r="EN85" s="48"/>
      <c r="EO85" s="48"/>
      <c r="EP85" s="48"/>
      <c r="EQ85" s="48"/>
      <c r="ER85" s="48"/>
      <c r="ES85" s="48"/>
      <c r="ET85" s="48"/>
      <c r="EU85" s="48"/>
      <c r="EV85" s="48"/>
      <c r="EW85" s="48"/>
      <c r="EX85" s="48"/>
      <c r="EY85" s="48"/>
      <c r="EZ85" s="48"/>
      <c r="FA85" s="48"/>
      <c r="FB85" s="48"/>
      <c r="FC85" s="48"/>
      <c r="FD85" s="48"/>
      <c r="FE85" s="48"/>
      <c r="FF85" s="48"/>
      <c r="FG85" s="48"/>
      <c r="FH85" s="48"/>
      <c r="FI85" s="48"/>
      <c r="FJ85" s="48"/>
      <c r="FK85" s="48"/>
      <c r="FL85" s="48"/>
      <c r="FM85" s="48"/>
      <c r="FN85" s="48"/>
      <c r="FO85" s="48"/>
      <c r="FP85" s="48"/>
      <c r="FQ85" s="48"/>
      <c r="FR85" s="48"/>
      <c r="FS85" s="48"/>
      <c r="FT85" s="48"/>
      <c r="FU85" s="48"/>
      <c r="FV85" s="48"/>
      <c r="FW85" s="48"/>
      <c r="FX85" s="48"/>
      <c r="FY85" s="48"/>
      <c r="FZ85" s="48"/>
      <c r="GA85" s="48"/>
      <c r="GB85" s="48"/>
      <c r="GC85" s="48"/>
      <c r="GD85" s="48"/>
      <c r="GE85" s="48"/>
      <c r="GF85" s="48"/>
      <c r="GG85" s="48"/>
      <c r="GH85" s="48"/>
      <c r="GI85" s="48"/>
      <c r="GJ85" s="48"/>
      <c r="GK85" s="48"/>
      <c r="GL85" s="48"/>
      <c r="GM85" s="48"/>
      <c r="GN85" s="48"/>
      <c r="GO85" s="48"/>
      <c r="GP85" s="48"/>
      <c r="GQ85" s="48"/>
      <c r="GR85" s="48"/>
      <c r="GS85" s="48"/>
      <c r="GT85" s="48"/>
      <c r="GU85" s="48"/>
      <c r="GV85" s="48"/>
      <c r="GW85" s="48"/>
      <c r="GX85" s="48"/>
      <c r="GY85" s="48"/>
      <c r="GZ85" s="48"/>
      <c r="HA85" s="48"/>
      <c r="HB85" s="48"/>
      <c r="HC85" s="48"/>
      <c r="HD85" s="48"/>
      <c r="HE85" s="48"/>
      <c r="HF85" s="48"/>
      <c r="HG85" s="48"/>
      <c r="HH85" s="48"/>
      <c r="HI85" s="48"/>
      <c r="HJ85" s="48"/>
      <c r="HK85" s="48"/>
      <c r="HL85" s="48"/>
      <c r="HM85" s="48"/>
      <c r="HN85" s="48"/>
      <c r="HO85" s="48"/>
      <c r="HP85" s="48"/>
      <c r="HQ85" s="48"/>
      <c r="HR85" s="48"/>
      <c r="HS85" s="48"/>
      <c r="HT85" s="48"/>
      <c r="HU85" s="48"/>
      <c r="HV85" s="48"/>
      <c r="HW85" s="48"/>
      <c r="HX85" s="48"/>
      <c r="HY85" s="48"/>
      <c r="HZ85" s="48"/>
      <c r="IA85" s="48"/>
      <c r="IB85" s="48"/>
      <c r="IC85" s="48"/>
      <c r="ID85" s="48"/>
      <c r="IE85" s="48"/>
      <c r="IF85" s="48"/>
      <c r="IG85" s="48"/>
      <c r="IH85" s="48"/>
      <c r="II85" s="48"/>
      <c r="IJ85" s="48"/>
      <c r="IK85" s="48"/>
      <c r="IL85" s="48"/>
      <c r="IM85" s="48"/>
      <c r="IN85" s="48"/>
      <c r="IO85" s="48"/>
      <c r="IP85" s="48"/>
      <c r="IQ85" s="48"/>
      <c r="IR85" s="48"/>
      <c r="IS85" s="48"/>
      <c r="IT85" s="48"/>
      <c r="IU85" s="48"/>
      <c r="IV85" s="48"/>
    </row>
    <row r="86" spans="1:256" x14ac:dyDescent="0.2">
      <c r="A86" s="51" t="s">
        <v>5177</v>
      </c>
      <c r="B86" s="51" t="s">
        <v>4693</v>
      </c>
      <c r="C86" s="51" t="s">
        <v>4744</v>
      </c>
      <c r="D86" s="51" t="s">
        <v>4691</v>
      </c>
      <c r="E86" s="58">
        <v>5351453.57</v>
      </c>
      <c r="F86" s="58">
        <v>5688275.2599999998</v>
      </c>
      <c r="G86" s="58">
        <v>11039728.83</v>
      </c>
      <c r="H86" s="57">
        <v>85</v>
      </c>
      <c r="J86" s="54"/>
      <c r="K86" s="52"/>
    </row>
    <row r="87" spans="1:256" x14ac:dyDescent="0.2">
      <c r="A87" s="51" t="s">
        <v>5176</v>
      </c>
      <c r="B87" s="51" t="s">
        <v>4693</v>
      </c>
      <c r="C87" s="51" t="s">
        <v>4779</v>
      </c>
      <c r="D87" s="51" t="s">
        <v>4695</v>
      </c>
      <c r="E87" s="58">
        <v>5448802.3600000003</v>
      </c>
      <c r="F87" s="58">
        <v>5580219.6600000001</v>
      </c>
      <c r="G87" s="58">
        <v>11029022.02</v>
      </c>
      <c r="H87" s="57">
        <v>80</v>
      </c>
      <c r="J87" s="54"/>
      <c r="K87" s="52"/>
    </row>
    <row r="88" spans="1:256" x14ac:dyDescent="0.2">
      <c r="A88" s="51" t="s">
        <v>5175</v>
      </c>
      <c r="B88" s="51" t="s">
        <v>4693</v>
      </c>
      <c r="C88" s="51" t="s">
        <v>4756</v>
      </c>
      <c r="D88" s="51" t="s">
        <v>4695</v>
      </c>
      <c r="E88" s="58">
        <v>5781173.9299999997</v>
      </c>
      <c r="F88" s="58">
        <v>5177250.93</v>
      </c>
      <c r="G88" s="58">
        <v>10958424.859999999</v>
      </c>
      <c r="H88" s="57">
        <v>70</v>
      </c>
      <c r="J88" s="54"/>
      <c r="K88" s="52"/>
    </row>
    <row r="89" spans="1:256" x14ac:dyDescent="0.2">
      <c r="A89" s="51" t="s">
        <v>5174</v>
      </c>
      <c r="B89" s="51" t="s">
        <v>4693</v>
      </c>
      <c r="C89" s="51" t="s">
        <v>4696</v>
      </c>
      <c r="D89" s="51" t="s">
        <v>4691</v>
      </c>
      <c r="E89" s="58">
        <v>5690139.1100000003</v>
      </c>
      <c r="F89" s="58">
        <v>5220497.3099999996</v>
      </c>
      <c r="G89" s="58">
        <v>10910636.42</v>
      </c>
      <c r="H89" s="57">
        <v>103</v>
      </c>
      <c r="J89" s="54"/>
      <c r="K89" s="52"/>
    </row>
    <row r="90" spans="1:256" x14ac:dyDescent="0.2">
      <c r="A90" s="51" t="s">
        <v>5173</v>
      </c>
      <c r="B90" s="51" t="s">
        <v>4693</v>
      </c>
      <c r="C90" s="51" t="s">
        <v>4728</v>
      </c>
      <c r="D90" s="51" t="s">
        <v>4695</v>
      </c>
      <c r="E90" s="58">
        <v>5397918.1399999997</v>
      </c>
      <c r="F90" s="58">
        <v>5511306.96</v>
      </c>
      <c r="G90" s="58">
        <v>10909225.1</v>
      </c>
      <c r="H90" s="57">
        <v>91</v>
      </c>
      <c r="J90" s="54"/>
      <c r="K90" s="52"/>
    </row>
    <row r="91" spans="1:256" x14ac:dyDescent="0.2">
      <c r="A91" s="51" t="s">
        <v>5172</v>
      </c>
      <c r="B91" s="51" t="s">
        <v>4693</v>
      </c>
      <c r="C91" s="51" t="s">
        <v>4744</v>
      </c>
      <c r="D91" s="51" t="s">
        <v>4695</v>
      </c>
      <c r="E91" s="58">
        <v>5572089.7000000002</v>
      </c>
      <c r="F91" s="58">
        <v>5321462.95</v>
      </c>
      <c r="G91" s="58">
        <v>10893552.65</v>
      </c>
      <c r="H91" s="57">
        <v>70</v>
      </c>
      <c r="J91" s="54"/>
      <c r="K91" s="52"/>
    </row>
    <row r="92" spans="1:256" x14ac:dyDescent="0.2">
      <c r="A92" s="51" t="s">
        <v>5171</v>
      </c>
      <c r="B92" s="51" t="s">
        <v>4693</v>
      </c>
      <c r="C92" s="51" t="s">
        <v>4779</v>
      </c>
      <c r="D92" s="51" t="s">
        <v>4695</v>
      </c>
      <c r="E92" s="58">
        <v>5856797.7599999998</v>
      </c>
      <c r="F92" s="58">
        <v>5022519.13</v>
      </c>
      <c r="G92" s="58">
        <v>10879316.890000001</v>
      </c>
      <c r="H92" s="57">
        <v>80</v>
      </c>
      <c r="J92" s="54"/>
      <c r="K92" s="52"/>
    </row>
    <row r="93" spans="1:256" x14ac:dyDescent="0.2">
      <c r="A93" s="51" t="s">
        <v>5170</v>
      </c>
      <c r="B93" s="51" t="s">
        <v>4693</v>
      </c>
      <c r="C93" s="51" t="s">
        <v>4892</v>
      </c>
      <c r="D93" s="51" t="s">
        <v>4695</v>
      </c>
      <c r="E93" s="58">
        <v>5630472.0199999996</v>
      </c>
      <c r="F93" s="58">
        <v>5226763.8099999996</v>
      </c>
      <c r="G93" s="58">
        <v>10857235.829999998</v>
      </c>
      <c r="H93" s="57">
        <v>68</v>
      </c>
      <c r="J93" s="54"/>
      <c r="K93" s="52"/>
    </row>
    <row r="94" spans="1:256" x14ac:dyDescent="0.2">
      <c r="A94" s="51" t="s">
        <v>5169</v>
      </c>
      <c r="B94" s="51" t="s">
        <v>4693</v>
      </c>
      <c r="C94" s="51" t="s">
        <v>4775</v>
      </c>
      <c r="D94" s="51" t="s">
        <v>4695</v>
      </c>
      <c r="E94" s="58">
        <v>5706599.3200000003</v>
      </c>
      <c r="F94" s="58">
        <v>5036833.55</v>
      </c>
      <c r="G94" s="58">
        <v>10743432.870000001</v>
      </c>
      <c r="H94" s="57">
        <v>64</v>
      </c>
      <c r="J94" s="54"/>
      <c r="K94" s="52"/>
    </row>
    <row r="95" spans="1:256" x14ac:dyDescent="0.2">
      <c r="A95" s="51" t="s">
        <v>5168</v>
      </c>
      <c r="B95" s="51" t="s">
        <v>4693</v>
      </c>
      <c r="C95" s="51" t="s">
        <v>4714</v>
      </c>
      <c r="D95" s="51" t="s">
        <v>4695</v>
      </c>
      <c r="E95" s="58">
        <v>5349888.57</v>
      </c>
      <c r="F95" s="58">
        <v>5385269.9800000004</v>
      </c>
      <c r="G95" s="58">
        <v>10735158.550000001</v>
      </c>
      <c r="H95" s="57">
        <v>80</v>
      </c>
      <c r="J95" s="54"/>
      <c r="K95" s="52"/>
    </row>
    <row r="96" spans="1:256" x14ac:dyDescent="0.2">
      <c r="A96" s="51" t="s">
        <v>5167</v>
      </c>
      <c r="B96" s="51" t="s">
        <v>4693</v>
      </c>
      <c r="C96" s="51" t="s">
        <v>4704</v>
      </c>
      <c r="D96" s="51" t="s">
        <v>4695</v>
      </c>
      <c r="E96" s="58">
        <v>5424143.3899999997</v>
      </c>
      <c r="F96" s="58">
        <v>5212263.83</v>
      </c>
      <c r="G96" s="58">
        <v>10636407.219999999</v>
      </c>
      <c r="H96" s="57">
        <v>105</v>
      </c>
      <c r="J96" s="54"/>
      <c r="K96" s="52"/>
    </row>
    <row r="97" spans="1:11" x14ac:dyDescent="0.2">
      <c r="A97" s="51" t="s">
        <v>5166</v>
      </c>
      <c r="B97" s="51" t="s">
        <v>4693</v>
      </c>
      <c r="C97" s="51" t="s">
        <v>4844</v>
      </c>
      <c r="D97" s="51" t="s">
        <v>4695</v>
      </c>
      <c r="E97" s="58">
        <v>5408228.9800000004</v>
      </c>
      <c r="F97" s="58">
        <v>5202076.07</v>
      </c>
      <c r="G97" s="58">
        <v>10610305.050000001</v>
      </c>
      <c r="H97" s="57">
        <v>40</v>
      </c>
      <c r="J97" s="54"/>
      <c r="K97" s="52"/>
    </row>
    <row r="98" spans="1:11" x14ac:dyDescent="0.2">
      <c r="A98" s="51" t="s">
        <v>5165</v>
      </c>
      <c r="B98" s="51" t="s">
        <v>4693</v>
      </c>
      <c r="C98" s="51" t="s">
        <v>4698</v>
      </c>
      <c r="D98" s="51" t="s">
        <v>4691</v>
      </c>
      <c r="E98" s="58">
        <v>5076379.04</v>
      </c>
      <c r="F98" s="58">
        <v>5277840.51</v>
      </c>
      <c r="G98" s="58">
        <v>10354219.550000001</v>
      </c>
      <c r="H98" s="57">
        <v>105</v>
      </c>
      <c r="J98" s="54"/>
      <c r="K98" s="52"/>
    </row>
    <row r="99" spans="1:11" x14ac:dyDescent="0.2">
      <c r="A99" s="51" t="s">
        <v>5164</v>
      </c>
      <c r="B99" s="51" t="s">
        <v>4693</v>
      </c>
      <c r="C99" s="51" t="s">
        <v>4735</v>
      </c>
      <c r="D99" s="51" t="s">
        <v>4691</v>
      </c>
      <c r="E99" s="58">
        <v>5176112.07</v>
      </c>
      <c r="F99" s="58">
        <v>5175955.5599999996</v>
      </c>
      <c r="G99" s="58">
        <v>10352067.629999999</v>
      </c>
      <c r="H99" s="57">
        <v>80</v>
      </c>
      <c r="J99" s="54"/>
      <c r="K99" s="52"/>
    </row>
    <row r="100" spans="1:11" x14ac:dyDescent="0.2">
      <c r="A100" s="51" t="s">
        <v>5163</v>
      </c>
      <c r="B100" s="51" t="s">
        <v>4693</v>
      </c>
      <c r="C100" s="51" t="s">
        <v>5121</v>
      </c>
      <c r="D100" s="51" t="s">
        <v>4695</v>
      </c>
      <c r="E100" s="58">
        <v>5276933.3600000003</v>
      </c>
      <c r="F100" s="58">
        <v>5016602.1900000004</v>
      </c>
      <c r="G100" s="58">
        <v>10293535.550000001</v>
      </c>
      <c r="H100" s="57">
        <v>45</v>
      </c>
      <c r="J100" s="54"/>
      <c r="K100" s="52"/>
    </row>
    <row r="101" spans="1:11" x14ac:dyDescent="0.2">
      <c r="A101" s="51" t="s">
        <v>5162</v>
      </c>
      <c r="B101" s="51" t="s">
        <v>4693</v>
      </c>
      <c r="C101" s="51" t="s">
        <v>4796</v>
      </c>
      <c r="D101" s="51" t="s">
        <v>4695</v>
      </c>
      <c r="E101" s="58">
        <v>5249578.62</v>
      </c>
      <c r="F101" s="58">
        <v>5000197.3499999996</v>
      </c>
      <c r="G101" s="58">
        <v>10249775.969999999</v>
      </c>
      <c r="H101" s="57">
        <v>100</v>
      </c>
      <c r="J101" s="54"/>
      <c r="K101" s="52"/>
    </row>
    <row r="102" spans="1:11" x14ac:dyDescent="0.2">
      <c r="A102" s="51" t="s">
        <v>5161</v>
      </c>
      <c r="B102" s="51" t="s">
        <v>4693</v>
      </c>
      <c r="C102" s="51" t="s">
        <v>4880</v>
      </c>
      <c r="D102" s="51" t="s">
        <v>4691</v>
      </c>
      <c r="E102" s="58">
        <v>5346423.3899999997</v>
      </c>
      <c r="F102" s="58">
        <v>4827038.63</v>
      </c>
      <c r="G102" s="58">
        <v>10173462.02</v>
      </c>
      <c r="H102" s="57">
        <v>105</v>
      </c>
      <c r="J102" s="54"/>
      <c r="K102" s="52"/>
    </row>
    <row r="103" spans="1:11" x14ac:dyDescent="0.2">
      <c r="A103" s="51" t="s">
        <v>5160</v>
      </c>
      <c r="B103" s="51" t="s">
        <v>4693</v>
      </c>
      <c r="C103" s="51" t="s">
        <v>4918</v>
      </c>
      <c r="D103" s="51" t="s">
        <v>4695</v>
      </c>
      <c r="E103" s="58">
        <v>5149768.33</v>
      </c>
      <c r="F103" s="58">
        <v>4943771.16</v>
      </c>
      <c r="G103" s="58">
        <v>10093539.49</v>
      </c>
      <c r="H103" s="57">
        <v>73</v>
      </c>
      <c r="J103" s="54"/>
      <c r="K103" s="52"/>
    </row>
    <row r="104" spans="1:11" x14ac:dyDescent="0.2">
      <c r="A104" s="51" t="s">
        <v>5159</v>
      </c>
      <c r="B104" s="51" t="s">
        <v>4717</v>
      </c>
      <c r="C104" s="51" t="s">
        <v>4732</v>
      </c>
      <c r="D104" s="51" t="s">
        <v>4691</v>
      </c>
      <c r="E104" s="58">
        <v>4981512.63</v>
      </c>
      <c r="F104" s="58">
        <v>5098816.46</v>
      </c>
      <c r="G104" s="58">
        <v>10080329.09</v>
      </c>
      <c r="H104" s="57">
        <v>105</v>
      </c>
      <c r="J104" s="54"/>
      <c r="K104" s="52"/>
    </row>
    <row r="105" spans="1:11" x14ac:dyDescent="0.2">
      <c r="A105" s="51" t="s">
        <v>5158</v>
      </c>
      <c r="B105" s="51" t="s">
        <v>4693</v>
      </c>
      <c r="C105" s="51" t="s">
        <v>4735</v>
      </c>
      <c r="D105" s="51" t="s">
        <v>4695</v>
      </c>
      <c r="E105" s="58">
        <v>5190206.66</v>
      </c>
      <c r="F105" s="58">
        <v>4856179.59</v>
      </c>
      <c r="G105" s="58">
        <v>10046386.25</v>
      </c>
      <c r="H105" s="57">
        <v>70</v>
      </c>
      <c r="J105" s="54"/>
      <c r="K105" s="52"/>
    </row>
    <row r="106" spans="1:11" x14ac:dyDescent="0.2">
      <c r="A106" s="51" t="s">
        <v>5157</v>
      </c>
      <c r="B106" s="51" t="s">
        <v>4717</v>
      </c>
      <c r="C106" s="51" t="s">
        <v>4732</v>
      </c>
      <c r="D106" s="51" t="s">
        <v>4695</v>
      </c>
      <c r="E106" s="58">
        <v>5128701.87</v>
      </c>
      <c r="F106" s="58">
        <v>4842398.41</v>
      </c>
      <c r="G106" s="58">
        <v>9971100.2800000012</v>
      </c>
      <c r="H106" s="57">
        <v>67</v>
      </c>
      <c r="J106" s="54"/>
      <c r="K106" s="52"/>
    </row>
    <row r="107" spans="1:11" x14ac:dyDescent="0.2">
      <c r="A107" s="51" t="s">
        <v>5156</v>
      </c>
      <c r="B107" s="51" t="s">
        <v>4717</v>
      </c>
      <c r="C107" s="51" t="s">
        <v>4792</v>
      </c>
      <c r="D107" s="51" t="s">
        <v>4691</v>
      </c>
      <c r="E107" s="58">
        <v>5073815.16</v>
      </c>
      <c r="F107" s="58">
        <v>4870828.47</v>
      </c>
      <c r="G107" s="58">
        <v>9944643.629999999</v>
      </c>
      <c r="H107" s="57">
        <v>93</v>
      </c>
      <c r="J107" s="54"/>
      <c r="K107" s="52"/>
    </row>
    <row r="108" spans="1:11" x14ac:dyDescent="0.2">
      <c r="A108" s="51" t="s">
        <v>5155</v>
      </c>
      <c r="B108" s="51" t="s">
        <v>4693</v>
      </c>
      <c r="C108" s="51" t="s">
        <v>4747</v>
      </c>
      <c r="D108" s="51" t="s">
        <v>4695</v>
      </c>
      <c r="E108" s="58">
        <v>5163650.99</v>
      </c>
      <c r="F108" s="58">
        <v>4780707.95</v>
      </c>
      <c r="G108" s="58">
        <v>9944358.9400000013</v>
      </c>
      <c r="H108" s="57">
        <v>50</v>
      </c>
      <c r="J108" s="54"/>
      <c r="K108" s="52"/>
    </row>
    <row r="109" spans="1:11" x14ac:dyDescent="0.2">
      <c r="A109" s="51" t="s">
        <v>5154</v>
      </c>
      <c r="B109" s="51" t="s">
        <v>4693</v>
      </c>
      <c r="C109" s="51" t="s">
        <v>5121</v>
      </c>
      <c r="D109" s="51" t="s">
        <v>4691</v>
      </c>
      <c r="E109" s="58">
        <v>5140803.5199999996</v>
      </c>
      <c r="F109" s="58">
        <v>4756288.58</v>
      </c>
      <c r="G109" s="58">
        <v>9897092.0999999996</v>
      </c>
      <c r="H109" s="57">
        <v>80</v>
      </c>
      <c r="J109" s="54"/>
      <c r="K109" s="52"/>
    </row>
    <row r="110" spans="1:11" x14ac:dyDescent="0.2">
      <c r="A110" s="51" t="s">
        <v>5153</v>
      </c>
      <c r="B110" s="51" t="s">
        <v>4693</v>
      </c>
      <c r="C110" s="51" t="s">
        <v>4830</v>
      </c>
      <c r="D110" s="51" t="s">
        <v>4695</v>
      </c>
      <c r="E110" s="58">
        <v>4874918.12</v>
      </c>
      <c r="F110" s="58">
        <v>4723388.16</v>
      </c>
      <c r="G110" s="58">
        <v>9598306.2800000012</v>
      </c>
      <c r="H110" s="57">
        <v>45</v>
      </c>
      <c r="J110" s="54"/>
      <c r="K110" s="52"/>
    </row>
    <row r="111" spans="1:11" x14ac:dyDescent="0.2">
      <c r="A111" s="51" t="s">
        <v>5152</v>
      </c>
      <c r="B111" s="51" t="s">
        <v>4693</v>
      </c>
      <c r="C111" s="51" t="s">
        <v>4830</v>
      </c>
      <c r="D111" s="51" t="s">
        <v>4695</v>
      </c>
      <c r="E111" s="58">
        <v>4847883.41</v>
      </c>
      <c r="F111" s="58">
        <v>4695485.0999999996</v>
      </c>
      <c r="G111" s="58">
        <v>9543368.5099999998</v>
      </c>
      <c r="H111" s="57">
        <v>50</v>
      </c>
      <c r="J111" s="54"/>
      <c r="K111" s="52"/>
    </row>
    <row r="112" spans="1:11" x14ac:dyDescent="0.2">
      <c r="A112" s="51" t="s">
        <v>5151</v>
      </c>
      <c r="B112" s="51" t="s">
        <v>4693</v>
      </c>
      <c r="C112" s="51" t="s">
        <v>4698</v>
      </c>
      <c r="D112" s="51" t="s">
        <v>4691</v>
      </c>
      <c r="E112" s="58">
        <v>4629159.9800000004</v>
      </c>
      <c r="F112" s="58">
        <v>4893188.43</v>
      </c>
      <c r="G112" s="58">
        <v>9522348.4100000001</v>
      </c>
      <c r="H112" s="57">
        <v>90</v>
      </c>
      <c r="J112" s="54"/>
      <c r="K112" s="52"/>
    </row>
    <row r="113" spans="1:11" x14ac:dyDescent="0.2">
      <c r="A113" s="51" t="s">
        <v>5150</v>
      </c>
      <c r="B113" s="51" t="s">
        <v>4693</v>
      </c>
      <c r="C113" s="51" t="s">
        <v>4775</v>
      </c>
      <c r="D113" s="51" t="s">
        <v>4695</v>
      </c>
      <c r="E113" s="58">
        <v>4710558.25</v>
      </c>
      <c r="F113" s="58">
        <v>4712288.54</v>
      </c>
      <c r="G113" s="58">
        <v>9422846.7899999991</v>
      </c>
      <c r="H113" s="57">
        <v>75</v>
      </c>
      <c r="J113" s="54"/>
      <c r="K113" s="52"/>
    </row>
    <row r="114" spans="1:11" x14ac:dyDescent="0.2">
      <c r="A114" s="51" t="s">
        <v>5149</v>
      </c>
      <c r="B114" s="51" t="s">
        <v>4693</v>
      </c>
      <c r="C114" s="51" t="s">
        <v>4708</v>
      </c>
      <c r="D114" s="51" t="s">
        <v>4695</v>
      </c>
      <c r="E114" s="58">
        <v>4590743.29</v>
      </c>
      <c r="F114" s="58">
        <v>4693758.7699999996</v>
      </c>
      <c r="G114" s="58">
        <v>9284502.0599999987</v>
      </c>
      <c r="H114" s="57">
        <v>60</v>
      </c>
      <c r="J114" s="54"/>
      <c r="K114" s="52"/>
    </row>
    <row r="115" spans="1:11" x14ac:dyDescent="0.2">
      <c r="A115" s="51" t="s">
        <v>5148</v>
      </c>
      <c r="B115" s="51" t="s">
        <v>4717</v>
      </c>
      <c r="C115" s="51" t="s">
        <v>4726</v>
      </c>
      <c r="D115" s="51" t="s">
        <v>4691</v>
      </c>
      <c r="E115" s="58">
        <v>4674655.16</v>
      </c>
      <c r="F115" s="58">
        <v>4474444.78</v>
      </c>
      <c r="G115" s="58">
        <v>9149099.9400000013</v>
      </c>
      <c r="H115" s="57">
        <v>80</v>
      </c>
      <c r="J115" s="54"/>
      <c r="K115" s="52"/>
    </row>
    <row r="116" spans="1:11" x14ac:dyDescent="0.2">
      <c r="A116" s="51" t="s">
        <v>5147</v>
      </c>
      <c r="B116" s="51" t="s">
        <v>4693</v>
      </c>
      <c r="C116" s="51" t="s">
        <v>4982</v>
      </c>
      <c r="D116" s="51" t="s">
        <v>4691</v>
      </c>
      <c r="E116" s="58">
        <v>4457118.41</v>
      </c>
      <c r="F116" s="58">
        <v>4564399.8600000003</v>
      </c>
      <c r="G116" s="58">
        <v>9021518.2699999996</v>
      </c>
      <c r="H116" s="57">
        <v>92</v>
      </c>
      <c r="J116" s="54"/>
      <c r="K116" s="52"/>
    </row>
    <row r="117" spans="1:11" x14ac:dyDescent="0.2">
      <c r="A117" s="51" t="s">
        <v>5146</v>
      </c>
      <c r="B117" s="51" t="s">
        <v>4693</v>
      </c>
      <c r="C117" s="51" t="s">
        <v>4735</v>
      </c>
      <c r="D117" s="51" t="s">
        <v>4695</v>
      </c>
      <c r="E117" s="58">
        <v>7994855.8499999996</v>
      </c>
      <c r="F117" s="58">
        <v>1015261.43</v>
      </c>
      <c r="G117" s="58">
        <v>9010117.2799999993</v>
      </c>
      <c r="H117" s="57">
        <v>0</v>
      </c>
      <c r="J117" s="54"/>
      <c r="K117" s="52"/>
    </row>
    <row r="118" spans="1:11" x14ac:dyDescent="0.2">
      <c r="A118" s="51" t="s">
        <v>5145</v>
      </c>
      <c r="B118" s="51" t="s">
        <v>4693</v>
      </c>
      <c r="C118" s="51" t="s">
        <v>4779</v>
      </c>
      <c r="D118" s="51" t="s">
        <v>4691</v>
      </c>
      <c r="E118" s="58">
        <v>4674693.42</v>
      </c>
      <c r="F118" s="58">
        <v>4331398.3600000003</v>
      </c>
      <c r="G118" s="58">
        <v>9006091.7800000012</v>
      </c>
      <c r="H118" s="57">
        <v>100</v>
      </c>
      <c r="J118" s="54"/>
      <c r="K118" s="52"/>
    </row>
    <row r="119" spans="1:11" x14ac:dyDescent="0.2">
      <c r="A119" s="51" t="s">
        <v>5144</v>
      </c>
      <c r="B119" s="51" t="s">
        <v>4693</v>
      </c>
      <c r="C119" s="51" t="s">
        <v>4704</v>
      </c>
      <c r="D119" s="51" t="s">
        <v>4695</v>
      </c>
      <c r="E119" s="58">
        <v>4642052.0199999996</v>
      </c>
      <c r="F119" s="58">
        <v>4246962.67</v>
      </c>
      <c r="G119" s="58">
        <v>8889014.6899999995</v>
      </c>
      <c r="H119" s="57">
        <v>72</v>
      </c>
      <c r="J119" s="54"/>
      <c r="K119" s="52"/>
    </row>
    <row r="120" spans="1:11" x14ac:dyDescent="0.2">
      <c r="A120" s="51" t="s">
        <v>5143</v>
      </c>
      <c r="B120" s="51" t="s">
        <v>4717</v>
      </c>
      <c r="C120" s="51" t="s">
        <v>4732</v>
      </c>
      <c r="D120" s="51" t="s">
        <v>4691</v>
      </c>
      <c r="E120" s="58">
        <v>4515130.75</v>
      </c>
      <c r="F120" s="58">
        <v>4324891.03</v>
      </c>
      <c r="G120" s="58">
        <v>8840021.7800000012</v>
      </c>
      <c r="H120" s="57">
        <v>76</v>
      </c>
      <c r="J120" s="54"/>
      <c r="K120" s="52"/>
    </row>
    <row r="121" spans="1:11" x14ac:dyDescent="0.2">
      <c r="A121" s="51" t="s">
        <v>5142</v>
      </c>
      <c r="B121" s="51" t="s">
        <v>4693</v>
      </c>
      <c r="C121" s="51" t="s">
        <v>4692</v>
      </c>
      <c r="D121" s="51" t="s">
        <v>4695</v>
      </c>
      <c r="E121" s="58">
        <v>4359042.9800000004</v>
      </c>
      <c r="F121" s="58">
        <v>4453623.25</v>
      </c>
      <c r="G121" s="58">
        <v>8812666.2300000004</v>
      </c>
      <c r="H121" s="57">
        <v>60</v>
      </c>
      <c r="J121" s="54"/>
      <c r="K121" s="52"/>
    </row>
    <row r="122" spans="1:11" x14ac:dyDescent="0.2">
      <c r="A122" s="51" t="s">
        <v>5141</v>
      </c>
      <c r="B122" s="51" t="s">
        <v>4693</v>
      </c>
      <c r="C122" s="51" t="s">
        <v>4982</v>
      </c>
      <c r="D122" s="51" t="s">
        <v>4695</v>
      </c>
      <c r="E122" s="58">
        <v>4705015.91</v>
      </c>
      <c r="F122" s="58">
        <v>4084189.84</v>
      </c>
      <c r="G122" s="58">
        <v>8789205.75</v>
      </c>
      <c r="H122" s="57">
        <v>55</v>
      </c>
      <c r="J122" s="54"/>
      <c r="K122" s="52"/>
    </row>
    <row r="123" spans="1:11" x14ac:dyDescent="0.2">
      <c r="A123" s="51" t="s">
        <v>5140</v>
      </c>
      <c r="B123" s="51" t="s">
        <v>4693</v>
      </c>
      <c r="C123" s="51" t="s">
        <v>4796</v>
      </c>
      <c r="D123" s="51" t="s">
        <v>4695</v>
      </c>
      <c r="E123" s="58">
        <v>4296959.04</v>
      </c>
      <c r="F123" s="58">
        <v>4441164.42</v>
      </c>
      <c r="G123" s="58">
        <v>8738123.4600000009</v>
      </c>
      <c r="H123" s="57">
        <v>65</v>
      </c>
      <c r="J123" s="54"/>
      <c r="K123" s="52"/>
    </row>
    <row r="124" spans="1:11" x14ac:dyDescent="0.2">
      <c r="A124" s="51" t="s">
        <v>5139</v>
      </c>
      <c r="B124" s="51" t="s">
        <v>4693</v>
      </c>
      <c r="C124" s="51" t="s">
        <v>4710</v>
      </c>
      <c r="D124" s="51" t="s">
        <v>4695</v>
      </c>
      <c r="E124" s="58">
        <v>4103233.95</v>
      </c>
      <c r="F124" s="58">
        <v>4583768.54</v>
      </c>
      <c r="G124" s="58">
        <v>8687002.4900000002</v>
      </c>
      <c r="H124" s="57">
        <v>48</v>
      </c>
      <c r="J124" s="54"/>
      <c r="K124" s="52"/>
    </row>
    <row r="125" spans="1:11" x14ac:dyDescent="0.2">
      <c r="A125" s="51" t="s">
        <v>5138</v>
      </c>
      <c r="B125" s="51" t="s">
        <v>4693</v>
      </c>
      <c r="C125" s="51" t="s">
        <v>4696</v>
      </c>
      <c r="D125" s="51" t="s">
        <v>4691</v>
      </c>
      <c r="E125" s="58">
        <v>4403860.96</v>
      </c>
      <c r="F125" s="58">
        <v>4249924.51</v>
      </c>
      <c r="G125" s="58">
        <v>8653785.4699999988</v>
      </c>
      <c r="H125" s="57">
        <v>63</v>
      </c>
      <c r="J125" s="54"/>
      <c r="K125" s="52"/>
    </row>
    <row r="126" spans="1:11" x14ac:dyDescent="0.2">
      <c r="A126" s="51" t="s">
        <v>5137</v>
      </c>
      <c r="B126" s="51" t="s">
        <v>4693</v>
      </c>
      <c r="C126" s="51" t="s">
        <v>4982</v>
      </c>
      <c r="D126" s="51" t="s">
        <v>4695</v>
      </c>
      <c r="E126" s="58">
        <v>4548450.07</v>
      </c>
      <c r="F126" s="58">
        <v>4101291.48</v>
      </c>
      <c r="G126" s="58">
        <v>8649741.5500000007</v>
      </c>
      <c r="H126" s="57">
        <v>62</v>
      </c>
      <c r="J126" s="54"/>
      <c r="K126" s="52"/>
    </row>
    <row r="127" spans="1:11" x14ac:dyDescent="0.2">
      <c r="A127" s="51" t="s">
        <v>5136</v>
      </c>
      <c r="B127" s="51" t="s">
        <v>4717</v>
      </c>
      <c r="C127" s="51" t="s">
        <v>4732</v>
      </c>
      <c r="D127" s="51" t="s">
        <v>4695</v>
      </c>
      <c r="E127" s="58">
        <v>4364146.9400000004</v>
      </c>
      <c r="F127" s="58">
        <v>4274828.79</v>
      </c>
      <c r="G127" s="58">
        <v>8638975.7300000004</v>
      </c>
      <c r="H127" s="57">
        <v>84</v>
      </c>
      <c r="J127" s="54"/>
      <c r="K127" s="52"/>
    </row>
    <row r="128" spans="1:11" x14ac:dyDescent="0.2">
      <c r="A128" s="51" t="s">
        <v>5135</v>
      </c>
      <c r="B128" s="51" t="s">
        <v>4717</v>
      </c>
      <c r="C128" s="51" t="s">
        <v>4732</v>
      </c>
      <c r="D128" s="51" t="s">
        <v>4695</v>
      </c>
      <c r="E128" s="58">
        <v>4468232.47</v>
      </c>
      <c r="F128" s="58">
        <v>4130725.09</v>
      </c>
      <c r="G128" s="58">
        <v>8598957.5599999987</v>
      </c>
      <c r="H128" s="57">
        <v>81</v>
      </c>
      <c r="J128" s="54"/>
      <c r="K128" s="52"/>
    </row>
    <row r="129" spans="1:11" x14ac:dyDescent="0.2">
      <c r="A129" s="51" t="s">
        <v>5134</v>
      </c>
      <c r="B129" s="51" t="s">
        <v>4693</v>
      </c>
      <c r="C129" s="51" t="s">
        <v>4872</v>
      </c>
      <c r="D129" s="51" t="s">
        <v>4695</v>
      </c>
      <c r="E129" s="58">
        <v>4087149.02</v>
      </c>
      <c r="F129" s="58">
        <v>4460257.1399999997</v>
      </c>
      <c r="G129" s="58">
        <v>8547406.1600000001</v>
      </c>
      <c r="H129" s="57">
        <v>56</v>
      </c>
      <c r="J129" s="54"/>
      <c r="K129" s="52"/>
    </row>
    <row r="130" spans="1:11" x14ac:dyDescent="0.2">
      <c r="A130" s="51" t="s">
        <v>5133</v>
      </c>
      <c r="B130" s="51" t="s">
        <v>4693</v>
      </c>
      <c r="C130" s="51" t="s">
        <v>4837</v>
      </c>
      <c r="D130" s="51" t="s">
        <v>4695</v>
      </c>
      <c r="E130" s="58">
        <v>4172080.64</v>
      </c>
      <c r="F130" s="58">
        <v>4355697.09</v>
      </c>
      <c r="G130" s="58">
        <v>8527777.7300000004</v>
      </c>
      <c r="H130" s="57">
        <v>62</v>
      </c>
      <c r="J130" s="54"/>
      <c r="K130" s="52"/>
    </row>
    <row r="131" spans="1:11" x14ac:dyDescent="0.2">
      <c r="A131" s="51" t="s">
        <v>5132</v>
      </c>
      <c r="B131" s="51" t="s">
        <v>4717</v>
      </c>
      <c r="C131" s="51" t="s">
        <v>4758</v>
      </c>
      <c r="D131" s="51" t="s">
        <v>4691</v>
      </c>
      <c r="E131" s="58">
        <v>4292213.2300000004</v>
      </c>
      <c r="F131" s="58">
        <v>4228469.9000000004</v>
      </c>
      <c r="G131" s="58">
        <v>8520683.1300000008</v>
      </c>
      <c r="H131" s="57">
        <v>75</v>
      </c>
      <c r="J131" s="54"/>
      <c r="K131" s="52"/>
    </row>
    <row r="132" spans="1:11" x14ac:dyDescent="0.2">
      <c r="A132" s="51" t="s">
        <v>5131</v>
      </c>
      <c r="B132" s="51" t="s">
        <v>4693</v>
      </c>
      <c r="C132" s="51" t="s">
        <v>4698</v>
      </c>
      <c r="D132" s="51" t="s">
        <v>4695</v>
      </c>
      <c r="E132" s="58">
        <v>4319195.59</v>
      </c>
      <c r="F132" s="58">
        <v>4124551.98</v>
      </c>
      <c r="G132" s="58">
        <v>8443747.5700000003</v>
      </c>
      <c r="H132" s="57">
        <v>75</v>
      </c>
      <c r="J132" s="54"/>
      <c r="K132" s="52"/>
    </row>
    <row r="133" spans="1:11" x14ac:dyDescent="0.2">
      <c r="A133" s="51" t="s">
        <v>5130</v>
      </c>
      <c r="B133" s="51" t="s">
        <v>4693</v>
      </c>
      <c r="C133" s="51" t="s">
        <v>4728</v>
      </c>
      <c r="D133" s="51" t="s">
        <v>4695</v>
      </c>
      <c r="E133" s="58">
        <v>4239332.38</v>
      </c>
      <c r="F133" s="58">
        <v>4159507.93</v>
      </c>
      <c r="G133" s="58">
        <v>8398840.3100000005</v>
      </c>
      <c r="H133" s="57">
        <v>53</v>
      </c>
      <c r="J133" s="54"/>
      <c r="K133" s="52"/>
    </row>
    <row r="134" spans="1:11" x14ac:dyDescent="0.2">
      <c r="A134" s="51" t="s">
        <v>5129</v>
      </c>
      <c r="B134" s="51" t="s">
        <v>4693</v>
      </c>
      <c r="C134" s="51" t="s">
        <v>4747</v>
      </c>
      <c r="D134" s="51" t="s">
        <v>4695</v>
      </c>
      <c r="E134" s="58">
        <v>4442775.93</v>
      </c>
      <c r="F134" s="58">
        <v>3924364.8200000003</v>
      </c>
      <c r="G134" s="58">
        <v>8367140.75</v>
      </c>
      <c r="H134" s="57">
        <v>54</v>
      </c>
      <c r="J134" s="54"/>
      <c r="K134" s="52"/>
    </row>
    <row r="135" spans="1:11" x14ac:dyDescent="0.2">
      <c r="A135" s="51" t="s">
        <v>5128</v>
      </c>
      <c r="B135" s="51" t="s">
        <v>4693</v>
      </c>
      <c r="C135" s="51" t="s">
        <v>4735</v>
      </c>
      <c r="D135" s="51" t="s">
        <v>4695</v>
      </c>
      <c r="E135" s="58">
        <v>4030278.65</v>
      </c>
      <c r="F135" s="58">
        <v>4331480.4000000004</v>
      </c>
      <c r="G135" s="58">
        <v>8361759.0500000007</v>
      </c>
      <c r="H135" s="57">
        <v>50</v>
      </c>
      <c r="J135" s="54"/>
      <c r="K135" s="52"/>
    </row>
    <row r="136" spans="1:11" x14ac:dyDescent="0.2">
      <c r="A136" s="51" t="s">
        <v>5127</v>
      </c>
      <c r="B136" s="51" t="s">
        <v>4693</v>
      </c>
      <c r="C136" s="51" t="s">
        <v>4872</v>
      </c>
      <c r="D136" s="51" t="s">
        <v>4691</v>
      </c>
      <c r="E136" s="58">
        <v>4359431.7699999996</v>
      </c>
      <c r="F136" s="58">
        <v>4000695.1</v>
      </c>
      <c r="G136" s="58">
        <v>8360126.8699999992</v>
      </c>
      <c r="H136" s="57">
        <v>80</v>
      </c>
      <c r="J136" s="54"/>
      <c r="K136" s="52"/>
    </row>
    <row r="137" spans="1:11" x14ac:dyDescent="0.2">
      <c r="A137" s="51" t="s">
        <v>5126</v>
      </c>
      <c r="B137" s="51" t="s">
        <v>4693</v>
      </c>
      <c r="C137" s="51" t="s">
        <v>4918</v>
      </c>
      <c r="D137" s="51" t="s">
        <v>4695</v>
      </c>
      <c r="E137" s="58">
        <v>4360767.84</v>
      </c>
      <c r="F137" s="58">
        <v>3943869.78</v>
      </c>
      <c r="G137" s="58">
        <v>8304637.6199999992</v>
      </c>
      <c r="H137" s="57">
        <v>66</v>
      </c>
      <c r="J137" s="54"/>
      <c r="K137" s="52"/>
    </row>
    <row r="138" spans="1:11" x14ac:dyDescent="0.2">
      <c r="A138" s="51" t="s">
        <v>5125</v>
      </c>
      <c r="B138" s="51" t="s">
        <v>4693</v>
      </c>
      <c r="C138" s="51" t="s">
        <v>4892</v>
      </c>
      <c r="D138" s="51" t="s">
        <v>4695</v>
      </c>
      <c r="E138" s="58">
        <v>4365929.57</v>
      </c>
      <c r="F138" s="58">
        <v>3853066.21</v>
      </c>
      <c r="G138" s="58">
        <v>8218995.7800000003</v>
      </c>
      <c r="H138" s="57">
        <v>60</v>
      </c>
      <c r="J138" s="54"/>
      <c r="K138" s="52"/>
    </row>
    <row r="139" spans="1:11" x14ac:dyDescent="0.2">
      <c r="A139" s="51" t="s">
        <v>5124</v>
      </c>
      <c r="B139" s="51" t="s">
        <v>4717</v>
      </c>
      <c r="C139" s="51" t="s">
        <v>4740</v>
      </c>
      <c r="D139" s="51" t="s">
        <v>4691</v>
      </c>
      <c r="E139" s="58">
        <v>4270523.24</v>
      </c>
      <c r="F139" s="58">
        <v>3834044.61</v>
      </c>
      <c r="G139" s="58">
        <v>8104567.8499999996</v>
      </c>
      <c r="H139" s="57">
        <v>74</v>
      </c>
      <c r="J139" s="54"/>
      <c r="K139" s="52"/>
    </row>
    <row r="140" spans="1:11" x14ac:dyDescent="0.2">
      <c r="A140" s="51" t="s">
        <v>5123</v>
      </c>
      <c r="B140" s="51" t="s">
        <v>4693</v>
      </c>
      <c r="C140" s="51" t="s">
        <v>4704</v>
      </c>
      <c r="D140" s="51" t="s">
        <v>4691</v>
      </c>
      <c r="E140" s="58">
        <v>4212735.79</v>
      </c>
      <c r="F140" s="58">
        <v>3886187.36</v>
      </c>
      <c r="G140" s="58">
        <v>8098923.1500000004</v>
      </c>
      <c r="H140" s="57">
        <v>105</v>
      </c>
      <c r="J140" s="54"/>
      <c r="K140" s="52"/>
    </row>
    <row r="141" spans="1:11" x14ac:dyDescent="0.2">
      <c r="A141" s="51" t="s">
        <v>5122</v>
      </c>
      <c r="B141" s="51" t="s">
        <v>4693</v>
      </c>
      <c r="C141" s="51" t="s">
        <v>5121</v>
      </c>
      <c r="D141" s="51" t="s">
        <v>4691</v>
      </c>
      <c r="E141" s="58">
        <v>4179943.21</v>
      </c>
      <c r="F141" s="58">
        <v>3877759.44</v>
      </c>
      <c r="G141" s="58">
        <v>8057702.6500000004</v>
      </c>
      <c r="H141" s="57">
        <v>90</v>
      </c>
      <c r="J141" s="54"/>
      <c r="K141" s="52"/>
    </row>
    <row r="142" spans="1:11" x14ac:dyDescent="0.2">
      <c r="A142" s="51" t="s">
        <v>5120</v>
      </c>
      <c r="B142" s="51" t="s">
        <v>4693</v>
      </c>
      <c r="C142" s="51" t="s">
        <v>4779</v>
      </c>
      <c r="D142" s="51" t="s">
        <v>4695</v>
      </c>
      <c r="E142" s="58">
        <v>4031491.13</v>
      </c>
      <c r="F142" s="58">
        <v>3939953.03</v>
      </c>
      <c r="G142" s="58">
        <v>7971444.1600000001</v>
      </c>
      <c r="H142" s="57">
        <v>77</v>
      </c>
      <c r="J142" s="54"/>
      <c r="K142" s="52"/>
    </row>
    <row r="143" spans="1:11" x14ac:dyDescent="0.2">
      <c r="A143" s="51" t="s">
        <v>5119</v>
      </c>
      <c r="B143" s="51" t="s">
        <v>4693</v>
      </c>
      <c r="C143" s="51" t="s">
        <v>4830</v>
      </c>
      <c r="D143" s="51" t="s">
        <v>4695</v>
      </c>
      <c r="E143" s="58">
        <v>3940795.79</v>
      </c>
      <c r="F143" s="58">
        <v>4006881.29</v>
      </c>
      <c r="G143" s="58">
        <v>7947677.0800000001</v>
      </c>
      <c r="H143" s="57">
        <v>70</v>
      </c>
      <c r="J143" s="54"/>
      <c r="K143" s="52"/>
    </row>
    <row r="144" spans="1:11" x14ac:dyDescent="0.2">
      <c r="A144" s="51" t="s">
        <v>5118</v>
      </c>
      <c r="B144" s="51" t="s">
        <v>4717</v>
      </c>
      <c r="C144" s="51" t="s">
        <v>4726</v>
      </c>
      <c r="D144" s="51" t="s">
        <v>4695</v>
      </c>
      <c r="E144" s="58">
        <v>3909064.79</v>
      </c>
      <c r="F144" s="58">
        <v>3999075.64</v>
      </c>
      <c r="G144" s="58">
        <v>7908140.4299999997</v>
      </c>
      <c r="H144" s="57">
        <v>40</v>
      </c>
      <c r="J144" s="54"/>
      <c r="K144" s="52"/>
    </row>
    <row r="145" spans="1:256" x14ac:dyDescent="0.2">
      <c r="A145" s="51" t="s">
        <v>5117</v>
      </c>
      <c r="B145" s="51" t="s">
        <v>4717</v>
      </c>
      <c r="C145" s="51" t="s">
        <v>4716</v>
      </c>
      <c r="D145" s="51" t="s">
        <v>4691</v>
      </c>
      <c r="E145" s="58">
        <v>3873138.4</v>
      </c>
      <c r="F145" s="58">
        <v>4004193.61</v>
      </c>
      <c r="G145" s="58">
        <v>7877332.0099999998</v>
      </c>
      <c r="H145" s="57">
        <v>67</v>
      </c>
      <c r="J145" s="54"/>
      <c r="K145" s="52"/>
    </row>
    <row r="146" spans="1:256" x14ac:dyDescent="0.2">
      <c r="A146" s="51" t="s">
        <v>5116</v>
      </c>
      <c r="B146" s="51" t="s">
        <v>4693</v>
      </c>
      <c r="C146" s="51" t="s">
        <v>4796</v>
      </c>
      <c r="D146" s="51" t="s">
        <v>4691</v>
      </c>
      <c r="E146" s="58">
        <v>4385114.08</v>
      </c>
      <c r="F146" s="58">
        <v>3480789.5</v>
      </c>
      <c r="G146" s="58">
        <v>7865903.5800000001</v>
      </c>
      <c r="H146" s="57">
        <v>103</v>
      </c>
      <c r="J146" s="54"/>
      <c r="K146" s="52"/>
    </row>
    <row r="147" spans="1:256" x14ac:dyDescent="0.2">
      <c r="A147" s="51" t="s">
        <v>5115</v>
      </c>
      <c r="B147" s="51" t="s">
        <v>4693</v>
      </c>
      <c r="C147" s="51" t="s">
        <v>4910</v>
      </c>
      <c r="D147" s="51" t="s">
        <v>4695</v>
      </c>
      <c r="E147" s="58">
        <v>3894862.49</v>
      </c>
      <c r="F147" s="58">
        <v>3961896.62</v>
      </c>
      <c r="G147" s="58">
        <v>7856759.1100000003</v>
      </c>
      <c r="H147" s="57">
        <v>47</v>
      </c>
      <c r="J147" s="54"/>
      <c r="K147" s="52"/>
    </row>
    <row r="148" spans="1:256" x14ac:dyDescent="0.2">
      <c r="A148" s="51" t="s">
        <v>5114</v>
      </c>
      <c r="B148" s="51" t="s">
        <v>4693</v>
      </c>
      <c r="C148" s="51" t="s">
        <v>4822</v>
      </c>
      <c r="D148" s="51" t="s">
        <v>4691</v>
      </c>
      <c r="E148" s="58">
        <v>4058254.02</v>
      </c>
      <c r="F148" s="58">
        <v>3688047.27</v>
      </c>
      <c r="G148" s="58">
        <v>7746301.29</v>
      </c>
      <c r="H148" s="57">
        <v>60</v>
      </c>
      <c r="J148" s="54"/>
      <c r="K148" s="52"/>
    </row>
    <row r="149" spans="1:256" ht="12.75" x14ac:dyDescent="0.2">
      <c r="A149" s="51" t="s">
        <v>5113</v>
      </c>
      <c r="B149" s="51" t="s">
        <v>4693</v>
      </c>
      <c r="C149" s="51" t="s">
        <v>4830</v>
      </c>
      <c r="D149" s="51" t="s">
        <v>4691</v>
      </c>
      <c r="E149" s="58">
        <v>3947250.23</v>
      </c>
      <c r="F149" s="58">
        <v>3713830.13</v>
      </c>
      <c r="G149" s="58">
        <v>7661080.3599999994</v>
      </c>
      <c r="H149" s="57">
        <v>103</v>
      </c>
      <c r="I149" s="48"/>
      <c r="J149" s="54"/>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8"/>
      <c r="BJ149" s="48"/>
      <c r="BK149" s="48"/>
      <c r="BL149" s="48"/>
      <c r="BM149" s="48"/>
      <c r="BN149" s="48"/>
      <c r="BO149" s="48"/>
      <c r="BP149" s="48"/>
      <c r="BQ149" s="48"/>
      <c r="BR149" s="48"/>
      <c r="BS149" s="48"/>
      <c r="BT149" s="48"/>
      <c r="BU149" s="48"/>
      <c r="BV149" s="48"/>
      <c r="BW149" s="48"/>
      <c r="BX149" s="48"/>
      <c r="BY149" s="48"/>
      <c r="BZ149" s="48"/>
      <c r="CA149" s="48"/>
      <c r="CB149" s="48"/>
      <c r="CC149" s="48"/>
      <c r="CD149" s="48"/>
      <c r="CE149" s="48"/>
      <c r="CF149" s="48"/>
      <c r="CG149" s="48"/>
      <c r="CH149" s="48"/>
      <c r="CI149" s="48"/>
      <c r="CJ149" s="48"/>
      <c r="CK149" s="48"/>
      <c r="CL149" s="48"/>
      <c r="CM149" s="48"/>
      <c r="CN149" s="48"/>
      <c r="CO149" s="48"/>
      <c r="CP149" s="48"/>
      <c r="CQ149" s="48"/>
      <c r="CR149" s="48"/>
      <c r="CS149" s="48"/>
      <c r="CT149" s="48"/>
      <c r="CU149" s="48"/>
      <c r="CV149" s="48"/>
      <c r="CW149" s="48"/>
      <c r="CX149" s="48"/>
      <c r="CY149" s="48"/>
      <c r="CZ149" s="48"/>
      <c r="DA149" s="48"/>
      <c r="DB149" s="48"/>
      <c r="DC149" s="48"/>
      <c r="DD149" s="48"/>
      <c r="DE149" s="48"/>
      <c r="DF149" s="48"/>
      <c r="DG149" s="48"/>
      <c r="DH149" s="48"/>
      <c r="DI149" s="48"/>
      <c r="DJ149" s="48"/>
      <c r="DK149" s="48"/>
      <c r="DL149" s="48"/>
      <c r="DM149" s="48"/>
      <c r="DN149" s="48"/>
      <c r="DO149" s="48"/>
      <c r="DP149" s="48"/>
      <c r="DQ149" s="48"/>
      <c r="DR149" s="48"/>
      <c r="DS149" s="48"/>
      <c r="DT149" s="48"/>
      <c r="DU149" s="48"/>
      <c r="DV149" s="48"/>
      <c r="DW149" s="48"/>
      <c r="DX149" s="48"/>
      <c r="DY149" s="48"/>
      <c r="DZ149" s="48"/>
      <c r="EA149" s="48"/>
      <c r="EB149" s="48"/>
      <c r="EC149" s="48"/>
      <c r="ED149" s="48"/>
      <c r="EE149" s="48"/>
      <c r="EF149" s="48"/>
      <c r="EG149" s="48"/>
      <c r="EH149" s="48"/>
      <c r="EI149" s="48"/>
      <c r="EJ149" s="48"/>
      <c r="EK149" s="48"/>
      <c r="EL149" s="48"/>
      <c r="EM149" s="48"/>
      <c r="EN149" s="48"/>
      <c r="EO149" s="48"/>
      <c r="EP149" s="48"/>
      <c r="EQ149" s="48"/>
      <c r="ER149" s="48"/>
      <c r="ES149" s="48"/>
      <c r="ET149" s="48"/>
      <c r="EU149" s="48"/>
      <c r="EV149" s="48"/>
      <c r="EW149" s="48"/>
      <c r="EX149" s="48"/>
      <c r="EY149" s="48"/>
      <c r="EZ149" s="48"/>
      <c r="FA149" s="48"/>
      <c r="FB149" s="48"/>
      <c r="FC149" s="48"/>
      <c r="FD149" s="48"/>
      <c r="FE149" s="48"/>
      <c r="FF149" s="48"/>
      <c r="FG149" s="48"/>
      <c r="FH149" s="48"/>
      <c r="FI149" s="48"/>
      <c r="FJ149" s="48"/>
      <c r="FK149" s="48"/>
      <c r="FL149" s="48"/>
      <c r="FM149" s="48"/>
      <c r="FN149" s="48"/>
      <c r="FO149" s="48"/>
      <c r="FP149" s="48"/>
      <c r="FQ149" s="48"/>
      <c r="FR149" s="48"/>
      <c r="FS149" s="48"/>
      <c r="FT149" s="48"/>
      <c r="FU149" s="48"/>
      <c r="FV149" s="48"/>
      <c r="FW149" s="48"/>
      <c r="FX149" s="48"/>
      <c r="FY149" s="48"/>
      <c r="FZ149" s="48"/>
      <c r="GA149" s="48"/>
      <c r="GB149" s="48"/>
      <c r="GC149" s="48"/>
      <c r="GD149" s="48"/>
      <c r="GE149" s="48"/>
      <c r="GF149" s="48"/>
      <c r="GG149" s="48"/>
      <c r="GH149" s="48"/>
      <c r="GI149" s="48"/>
      <c r="GJ149" s="48"/>
      <c r="GK149" s="48"/>
      <c r="GL149" s="48"/>
      <c r="GM149" s="48"/>
      <c r="GN149" s="48"/>
      <c r="GO149" s="48"/>
      <c r="GP149" s="48"/>
      <c r="GQ149" s="48"/>
      <c r="GR149" s="48"/>
      <c r="GS149" s="48"/>
      <c r="GT149" s="48"/>
      <c r="GU149" s="48"/>
      <c r="GV149" s="48"/>
      <c r="GW149" s="48"/>
      <c r="GX149" s="48"/>
      <c r="GY149" s="48"/>
      <c r="GZ149" s="48"/>
      <c r="HA149" s="48"/>
      <c r="HB149" s="48"/>
      <c r="HC149" s="48"/>
      <c r="HD149" s="48"/>
      <c r="HE149" s="48"/>
      <c r="HF149" s="48"/>
      <c r="HG149" s="48"/>
      <c r="HH149" s="48"/>
      <c r="HI149" s="48"/>
      <c r="HJ149" s="48"/>
      <c r="HK149" s="48"/>
      <c r="HL149" s="48"/>
      <c r="HM149" s="48"/>
      <c r="HN149" s="48"/>
      <c r="HO149" s="48"/>
      <c r="HP149" s="48"/>
      <c r="HQ149" s="48"/>
      <c r="HR149" s="48"/>
      <c r="HS149" s="48"/>
      <c r="HT149" s="48"/>
      <c r="HU149" s="48"/>
      <c r="HV149" s="48"/>
      <c r="HW149" s="48"/>
      <c r="HX149" s="48"/>
      <c r="HY149" s="48"/>
      <c r="HZ149" s="48"/>
      <c r="IA149" s="48"/>
      <c r="IB149" s="48"/>
      <c r="IC149" s="48"/>
      <c r="ID149" s="48"/>
      <c r="IE149" s="48"/>
      <c r="IF149" s="48"/>
      <c r="IG149" s="48"/>
      <c r="IH149" s="48"/>
      <c r="II149" s="48"/>
      <c r="IJ149" s="48"/>
      <c r="IK149" s="48"/>
      <c r="IL149" s="48"/>
      <c r="IM149" s="48"/>
      <c r="IN149" s="48"/>
      <c r="IO149" s="48"/>
      <c r="IP149" s="48"/>
      <c r="IQ149" s="48"/>
      <c r="IR149" s="48"/>
      <c r="IS149" s="48"/>
      <c r="IT149" s="48"/>
      <c r="IU149" s="48"/>
      <c r="IV149" s="48"/>
    </row>
    <row r="150" spans="1:256" x14ac:dyDescent="0.2">
      <c r="A150" s="51" t="s">
        <v>5112</v>
      </c>
      <c r="B150" s="51" t="s">
        <v>4693</v>
      </c>
      <c r="C150" s="51" t="s">
        <v>4796</v>
      </c>
      <c r="D150" s="51" t="s">
        <v>4695</v>
      </c>
      <c r="E150" s="58">
        <v>3957369.63</v>
      </c>
      <c r="F150" s="58">
        <v>3664239.19</v>
      </c>
      <c r="G150" s="58">
        <v>7621608.8200000003</v>
      </c>
      <c r="H150" s="57">
        <v>85</v>
      </c>
      <c r="J150" s="54"/>
      <c r="K150" s="52"/>
    </row>
    <row r="151" spans="1:256" x14ac:dyDescent="0.2">
      <c r="A151" s="51" t="s">
        <v>5111</v>
      </c>
      <c r="B151" s="51" t="s">
        <v>4717</v>
      </c>
      <c r="C151" s="51" t="s">
        <v>4853</v>
      </c>
      <c r="D151" s="51" t="s">
        <v>4691</v>
      </c>
      <c r="E151" s="58">
        <v>3710862.2</v>
      </c>
      <c r="F151" s="58">
        <v>3754123.94</v>
      </c>
      <c r="G151" s="58">
        <v>7464986.1400000006</v>
      </c>
      <c r="H151" s="57">
        <v>80</v>
      </c>
      <c r="J151" s="54"/>
      <c r="K151" s="52"/>
    </row>
    <row r="152" spans="1:256" x14ac:dyDescent="0.2">
      <c r="A152" s="51" t="s">
        <v>5110</v>
      </c>
      <c r="B152" s="51" t="s">
        <v>4717</v>
      </c>
      <c r="C152" s="51" t="s">
        <v>4724</v>
      </c>
      <c r="D152" s="51" t="s">
        <v>4691</v>
      </c>
      <c r="E152" s="58">
        <v>3635703.19</v>
      </c>
      <c r="F152" s="58">
        <v>3823967.22</v>
      </c>
      <c r="G152" s="58">
        <v>7459670.4100000001</v>
      </c>
      <c r="H152" s="57">
        <v>58</v>
      </c>
      <c r="J152" s="54"/>
      <c r="K152" s="52"/>
    </row>
    <row r="153" spans="1:256" x14ac:dyDescent="0.2">
      <c r="A153" s="51" t="s">
        <v>5109</v>
      </c>
      <c r="B153" s="51" t="s">
        <v>4693</v>
      </c>
      <c r="C153" s="51" t="s">
        <v>4844</v>
      </c>
      <c r="D153" s="51" t="s">
        <v>4691</v>
      </c>
      <c r="E153" s="58">
        <v>3864092.24</v>
      </c>
      <c r="F153" s="58">
        <v>3578014.67</v>
      </c>
      <c r="G153" s="58">
        <v>7442106.9100000001</v>
      </c>
      <c r="H153" s="57">
        <v>75</v>
      </c>
      <c r="J153" s="54"/>
      <c r="K153" s="52"/>
    </row>
    <row r="154" spans="1:256" x14ac:dyDescent="0.2">
      <c r="A154" s="51" t="s">
        <v>5108</v>
      </c>
      <c r="B154" s="51" t="s">
        <v>4717</v>
      </c>
      <c r="C154" s="51" t="s">
        <v>4834</v>
      </c>
      <c r="D154" s="51" t="s">
        <v>4691</v>
      </c>
      <c r="E154" s="58">
        <v>3727821.43</v>
      </c>
      <c r="F154" s="58">
        <v>3662913.83</v>
      </c>
      <c r="G154" s="58">
        <v>7390735.2599999998</v>
      </c>
      <c r="H154" s="57">
        <v>83</v>
      </c>
      <c r="J154" s="54"/>
      <c r="K154" s="52"/>
    </row>
    <row r="155" spans="1:256" x14ac:dyDescent="0.2">
      <c r="A155" s="51" t="s">
        <v>5107</v>
      </c>
      <c r="B155" s="51" t="s">
        <v>4717</v>
      </c>
      <c r="C155" s="51" t="s">
        <v>4824</v>
      </c>
      <c r="D155" s="51" t="s">
        <v>4695</v>
      </c>
      <c r="E155" s="58">
        <v>3836812.01</v>
      </c>
      <c r="F155" s="58">
        <v>3528504.53</v>
      </c>
      <c r="G155" s="58">
        <v>7365316.5399999991</v>
      </c>
      <c r="H155" s="57">
        <v>40</v>
      </c>
      <c r="J155" s="54"/>
      <c r="K155" s="52"/>
    </row>
    <row r="156" spans="1:256" x14ac:dyDescent="0.2">
      <c r="A156" s="51" t="s">
        <v>5106</v>
      </c>
      <c r="B156" s="51" t="s">
        <v>4693</v>
      </c>
      <c r="C156" s="51" t="s">
        <v>4735</v>
      </c>
      <c r="D156" s="51" t="s">
        <v>4691</v>
      </c>
      <c r="E156" s="58">
        <v>3574071.89</v>
      </c>
      <c r="F156" s="58">
        <v>3736027.31</v>
      </c>
      <c r="G156" s="58">
        <v>7310099.2000000002</v>
      </c>
      <c r="H156" s="57">
        <v>70</v>
      </c>
      <c r="J156" s="54"/>
      <c r="K156" s="52"/>
    </row>
    <row r="157" spans="1:256" x14ac:dyDescent="0.2">
      <c r="A157" s="51" t="s">
        <v>5105</v>
      </c>
      <c r="B157" s="51" t="s">
        <v>4693</v>
      </c>
      <c r="C157" s="51" t="s">
        <v>4775</v>
      </c>
      <c r="D157" s="51" t="s">
        <v>4695</v>
      </c>
      <c r="E157" s="58">
        <v>3804809.97</v>
      </c>
      <c r="F157" s="58">
        <v>3469328.36</v>
      </c>
      <c r="G157" s="58">
        <v>7274138.3300000001</v>
      </c>
      <c r="H157" s="57">
        <v>70</v>
      </c>
      <c r="J157" s="54"/>
      <c r="K157" s="52"/>
    </row>
    <row r="158" spans="1:256" x14ac:dyDescent="0.2">
      <c r="A158" s="51" t="s">
        <v>5104</v>
      </c>
      <c r="B158" s="51" t="s">
        <v>4693</v>
      </c>
      <c r="C158" s="51" t="s">
        <v>4744</v>
      </c>
      <c r="D158" s="51" t="s">
        <v>4695</v>
      </c>
      <c r="E158" s="58">
        <v>3799016.47</v>
      </c>
      <c r="F158" s="58">
        <v>3442684.63</v>
      </c>
      <c r="G158" s="58">
        <v>7241701.0999999996</v>
      </c>
      <c r="H158" s="57">
        <v>45</v>
      </c>
      <c r="J158" s="54"/>
      <c r="K158" s="52"/>
    </row>
    <row r="159" spans="1:256" x14ac:dyDescent="0.2">
      <c r="A159" s="51" t="s">
        <v>5103</v>
      </c>
      <c r="B159" s="51" t="s">
        <v>4693</v>
      </c>
      <c r="C159" s="51" t="s">
        <v>4756</v>
      </c>
      <c r="D159" s="51" t="s">
        <v>4695</v>
      </c>
      <c r="E159" s="58">
        <v>3670827.3</v>
      </c>
      <c r="F159" s="58">
        <v>3524623.26</v>
      </c>
      <c r="G159" s="58">
        <v>7195450.5599999996</v>
      </c>
      <c r="H159" s="57">
        <v>31</v>
      </c>
      <c r="J159" s="54"/>
      <c r="K159" s="52"/>
    </row>
    <row r="160" spans="1:256" x14ac:dyDescent="0.2">
      <c r="A160" s="51" t="s">
        <v>5102</v>
      </c>
      <c r="B160" s="51" t="s">
        <v>4693</v>
      </c>
      <c r="C160" s="51" t="s">
        <v>4692</v>
      </c>
      <c r="D160" s="51" t="s">
        <v>4695</v>
      </c>
      <c r="E160" s="58">
        <v>3589418.87</v>
      </c>
      <c r="F160" s="58">
        <v>3553614.31</v>
      </c>
      <c r="G160" s="58">
        <v>7143033.1799999997</v>
      </c>
      <c r="H160" s="57">
        <v>50</v>
      </c>
      <c r="J160" s="54"/>
      <c r="K160" s="52"/>
    </row>
    <row r="161" spans="1:11" x14ac:dyDescent="0.2">
      <c r="A161" s="51" t="s">
        <v>5101</v>
      </c>
      <c r="B161" s="51" t="s">
        <v>4717</v>
      </c>
      <c r="C161" s="51" t="s">
        <v>4740</v>
      </c>
      <c r="D161" s="51" t="s">
        <v>4691</v>
      </c>
      <c r="E161" s="58">
        <v>3528274.02</v>
      </c>
      <c r="F161" s="58">
        <v>3602796.5</v>
      </c>
      <c r="G161" s="58">
        <v>7131070.5199999996</v>
      </c>
      <c r="H161" s="57">
        <v>79</v>
      </c>
      <c r="J161" s="54"/>
      <c r="K161" s="52"/>
    </row>
    <row r="162" spans="1:11" x14ac:dyDescent="0.2">
      <c r="A162" s="51" t="s">
        <v>5100</v>
      </c>
      <c r="B162" s="51" t="s">
        <v>4717</v>
      </c>
      <c r="C162" s="51" t="s">
        <v>4853</v>
      </c>
      <c r="D162" s="51" t="s">
        <v>4691</v>
      </c>
      <c r="E162" s="58">
        <v>3467118.82</v>
      </c>
      <c r="F162" s="58">
        <v>3663338.77</v>
      </c>
      <c r="G162" s="58">
        <v>7130457.5899999999</v>
      </c>
      <c r="H162" s="57">
        <v>100</v>
      </c>
      <c r="J162" s="54"/>
      <c r="K162" s="52"/>
    </row>
    <row r="163" spans="1:11" x14ac:dyDescent="0.2">
      <c r="A163" s="51" t="s">
        <v>5099</v>
      </c>
      <c r="B163" s="51" t="s">
        <v>4693</v>
      </c>
      <c r="C163" s="51" t="s">
        <v>4747</v>
      </c>
      <c r="D163" s="51" t="s">
        <v>4691</v>
      </c>
      <c r="E163" s="58">
        <v>3531856.69</v>
      </c>
      <c r="F163" s="58">
        <v>3573075.2</v>
      </c>
      <c r="G163" s="58">
        <v>7104931.8900000006</v>
      </c>
      <c r="H163" s="57">
        <v>60</v>
      </c>
      <c r="J163" s="54"/>
      <c r="K163" s="52"/>
    </row>
    <row r="164" spans="1:11" x14ac:dyDescent="0.2">
      <c r="A164" s="51" t="s">
        <v>5098</v>
      </c>
      <c r="B164" s="51" t="s">
        <v>4717</v>
      </c>
      <c r="C164" s="51" t="s">
        <v>4751</v>
      </c>
      <c r="D164" s="51" t="s">
        <v>4691</v>
      </c>
      <c r="E164" s="58">
        <v>3583850.5</v>
      </c>
      <c r="F164" s="58">
        <v>3501958.29</v>
      </c>
      <c r="G164" s="58">
        <v>7085808.79</v>
      </c>
      <c r="H164" s="57">
        <v>51</v>
      </c>
      <c r="J164" s="54"/>
      <c r="K164" s="52"/>
    </row>
    <row r="165" spans="1:11" x14ac:dyDescent="0.2">
      <c r="A165" s="51" t="s">
        <v>5097</v>
      </c>
      <c r="B165" s="51" t="s">
        <v>4717</v>
      </c>
      <c r="C165" s="51" t="s">
        <v>4732</v>
      </c>
      <c r="D165" s="51" t="s">
        <v>4695</v>
      </c>
      <c r="E165" s="58">
        <v>3646510.8</v>
      </c>
      <c r="F165" s="58">
        <v>3419300.05</v>
      </c>
      <c r="G165" s="58">
        <v>7065810.8499999996</v>
      </c>
      <c r="H165" s="57">
        <v>60</v>
      </c>
      <c r="J165" s="54"/>
      <c r="K165" s="52"/>
    </row>
    <row r="166" spans="1:11" x14ac:dyDescent="0.2">
      <c r="A166" s="51" t="s">
        <v>5096</v>
      </c>
      <c r="B166" s="51" t="s">
        <v>4693</v>
      </c>
      <c r="C166" s="51" t="s">
        <v>4775</v>
      </c>
      <c r="D166" s="51" t="s">
        <v>4695</v>
      </c>
      <c r="E166" s="58">
        <v>3515723.6</v>
      </c>
      <c r="F166" s="58">
        <v>3493247.99</v>
      </c>
      <c r="G166" s="58">
        <v>7008971.5899999999</v>
      </c>
      <c r="H166" s="57">
        <v>50</v>
      </c>
      <c r="J166" s="54"/>
      <c r="K166" s="52"/>
    </row>
    <row r="167" spans="1:11" x14ac:dyDescent="0.2">
      <c r="A167" s="51" t="s">
        <v>5095</v>
      </c>
      <c r="B167" s="51" t="s">
        <v>4717</v>
      </c>
      <c r="C167" s="51" t="s">
        <v>4726</v>
      </c>
      <c r="D167" s="51" t="s">
        <v>4691</v>
      </c>
      <c r="E167" s="58">
        <v>3493495.17</v>
      </c>
      <c r="F167" s="58">
        <v>3499357.15</v>
      </c>
      <c r="G167" s="58">
        <v>6992852.3200000003</v>
      </c>
      <c r="H167" s="57">
        <v>56</v>
      </c>
      <c r="J167" s="54"/>
      <c r="K167" s="52"/>
    </row>
    <row r="168" spans="1:11" x14ac:dyDescent="0.2">
      <c r="A168" s="51" t="s">
        <v>5094</v>
      </c>
      <c r="B168" s="51" t="s">
        <v>4717</v>
      </c>
      <c r="C168" s="51" t="s">
        <v>4726</v>
      </c>
      <c r="D168" s="51" t="s">
        <v>4695</v>
      </c>
      <c r="E168" s="58">
        <v>3414820.76</v>
      </c>
      <c r="F168" s="58">
        <v>3565041.57</v>
      </c>
      <c r="G168" s="58">
        <v>6979862.3300000001</v>
      </c>
      <c r="H168" s="57">
        <v>43</v>
      </c>
      <c r="J168" s="54"/>
      <c r="K168" s="52"/>
    </row>
    <row r="169" spans="1:11" x14ac:dyDescent="0.2">
      <c r="A169" s="51" t="s">
        <v>5093</v>
      </c>
      <c r="B169" s="51" t="s">
        <v>4693</v>
      </c>
      <c r="C169" s="51" t="s">
        <v>4830</v>
      </c>
      <c r="D169" s="51" t="s">
        <v>4695</v>
      </c>
      <c r="E169" s="58">
        <v>3314108.16</v>
      </c>
      <c r="F169" s="58">
        <v>3654534.14</v>
      </c>
      <c r="G169" s="58">
        <v>6968642.3000000007</v>
      </c>
      <c r="H169" s="57">
        <v>47</v>
      </c>
      <c r="J169" s="54"/>
      <c r="K169" s="52"/>
    </row>
    <row r="170" spans="1:11" x14ac:dyDescent="0.2">
      <c r="A170" s="51" t="s">
        <v>5092</v>
      </c>
      <c r="B170" s="51" t="s">
        <v>4717</v>
      </c>
      <c r="C170" s="51" t="s">
        <v>4961</v>
      </c>
      <c r="D170" s="51" t="s">
        <v>4695</v>
      </c>
      <c r="E170" s="58">
        <v>3437057.45</v>
      </c>
      <c r="F170" s="58">
        <v>3517078.75</v>
      </c>
      <c r="G170" s="58">
        <v>6954136.2000000002</v>
      </c>
      <c r="H170" s="57">
        <v>65</v>
      </c>
      <c r="J170" s="54"/>
      <c r="K170" s="52"/>
    </row>
    <row r="171" spans="1:11" x14ac:dyDescent="0.2">
      <c r="A171" s="51" t="s">
        <v>5091</v>
      </c>
      <c r="B171" s="51" t="s">
        <v>4717</v>
      </c>
      <c r="C171" s="51" t="s">
        <v>4961</v>
      </c>
      <c r="D171" s="51" t="s">
        <v>4691</v>
      </c>
      <c r="E171" s="58">
        <v>3552077.23</v>
      </c>
      <c r="F171" s="58">
        <v>3391495.85</v>
      </c>
      <c r="G171" s="58">
        <v>6943573.0800000001</v>
      </c>
      <c r="H171" s="57">
        <v>76</v>
      </c>
      <c r="J171" s="54"/>
      <c r="K171" s="52"/>
    </row>
    <row r="172" spans="1:11" x14ac:dyDescent="0.2">
      <c r="A172" s="51" t="s">
        <v>5090</v>
      </c>
      <c r="B172" s="51" t="s">
        <v>4693</v>
      </c>
      <c r="C172" s="51" t="s">
        <v>4880</v>
      </c>
      <c r="D172" s="51" t="s">
        <v>4691</v>
      </c>
      <c r="E172" s="58">
        <v>3373461.72</v>
      </c>
      <c r="F172" s="58">
        <v>3532873.53</v>
      </c>
      <c r="G172" s="58">
        <v>6906335.25</v>
      </c>
      <c r="H172" s="57">
        <v>60</v>
      </c>
      <c r="J172" s="54"/>
      <c r="K172" s="52"/>
    </row>
    <row r="173" spans="1:11" x14ac:dyDescent="0.2">
      <c r="A173" s="51" t="s">
        <v>5089</v>
      </c>
      <c r="B173" s="51" t="s">
        <v>4693</v>
      </c>
      <c r="C173" s="51" t="s">
        <v>4708</v>
      </c>
      <c r="D173" s="51" t="s">
        <v>4695</v>
      </c>
      <c r="E173" s="58">
        <v>3625980.06</v>
      </c>
      <c r="F173" s="58">
        <v>3233729.54</v>
      </c>
      <c r="G173" s="58">
        <v>6859709.5999999996</v>
      </c>
      <c r="H173" s="57">
        <v>69</v>
      </c>
      <c r="J173" s="54"/>
      <c r="K173" s="52"/>
    </row>
    <row r="174" spans="1:11" x14ac:dyDescent="0.2">
      <c r="A174" s="51" t="s">
        <v>5088</v>
      </c>
      <c r="B174" s="51" t="s">
        <v>4717</v>
      </c>
      <c r="C174" s="51" t="s">
        <v>4758</v>
      </c>
      <c r="D174" s="51" t="s">
        <v>4691</v>
      </c>
      <c r="E174" s="58">
        <v>3733687.08</v>
      </c>
      <c r="F174" s="58">
        <v>3122863.6</v>
      </c>
      <c r="G174" s="58">
        <v>6856550.6799999997</v>
      </c>
      <c r="H174" s="57">
        <v>59</v>
      </c>
      <c r="J174" s="54"/>
      <c r="K174" s="52"/>
    </row>
    <row r="175" spans="1:11" x14ac:dyDescent="0.2">
      <c r="A175" s="51" t="s">
        <v>5087</v>
      </c>
      <c r="B175" s="51" t="s">
        <v>4693</v>
      </c>
      <c r="C175" s="51" t="s">
        <v>4742</v>
      </c>
      <c r="D175" s="51" t="s">
        <v>4691</v>
      </c>
      <c r="E175" s="58">
        <v>3546455.44</v>
      </c>
      <c r="F175" s="58">
        <v>3295688.54</v>
      </c>
      <c r="G175" s="58">
        <v>6842143.9800000004</v>
      </c>
      <c r="H175" s="57">
        <v>80</v>
      </c>
      <c r="J175" s="54"/>
      <c r="K175" s="52"/>
    </row>
    <row r="176" spans="1:11" x14ac:dyDescent="0.2">
      <c r="A176" s="51" t="s">
        <v>5086</v>
      </c>
      <c r="B176" s="51" t="s">
        <v>4693</v>
      </c>
      <c r="C176" s="51" t="s">
        <v>4982</v>
      </c>
      <c r="D176" s="51" t="s">
        <v>4695</v>
      </c>
      <c r="E176" s="58">
        <v>3461136.95</v>
      </c>
      <c r="F176" s="58">
        <v>3266169.5</v>
      </c>
      <c r="G176" s="58">
        <v>6727306.4500000002</v>
      </c>
      <c r="H176" s="57">
        <v>35</v>
      </c>
      <c r="J176" s="54"/>
      <c r="K176" s="52"/>
    </row>
    <row r="177" spans="1:256" x14ac:dyDescent="0.2">
      <c r="A177" s="51" t="s">
        <v>5085</v>
      </c>
      <c r="B177" s="51" t="s">
        <v>4717</v>
      </c>
      <c r="C177" s="51" t="s">
        <v>4792</v>
      </c>
      <c r="D177" s="51" t="s">
        <v>4695</v>
      </c>
      <c r="E177" s="58">
        <v>3599711.81</v>
      </c>
      <c r="F177" s="58">
        <v>3084127.73</v>
      </c>
      <c r="G177" s="58">
        <v>6683839.54</v>
      </c>
      <c r="H177" s="57">
        <v>40</v>
      </c>
      <c r="J177" s="54"/>
      <c r="K177" s="52"/>
    </row>
    <row r="178" spans="1:256" x14ac:dyDescent="0.2">
      <c r="A178" s="51" t="s">
        <v>5084</v>
      </c>
      <c r="B178" s="51" t="s">
        <v>4693</v>
      </c>
      <c r="C178" s="51" t="s">
        <v>4735</v>
      </c>
      <c r="D178" s="51" t="s">
        <v>4691</v>
      </c>
      <c r="E178" s="58">
        <v>3196161.91</v>
      </c>
      <c r="F178" s="58">
        <v>3486910.6</v>
      </c>
      <c r="G178" s="58">
        <v>6683072.5099999998</v>
      </c>
      <c r="H178" s="57">
        <v>91</v>
      </c>
      <c r="J178" s="54"/>
      <c r="K178" s="52"/>
    </row>
    <row r="179" spans="1:256" x14ac:dyDescent="0.2">
      <c r="A179" s="51" t="s">
        <v>5083</v>
      </c>
      <c r="B179" s="51" t="s">
        <v>4693</v>
      </c>
      <c r="C179" s="51" t="s">
        <v>4880</v>
      </c>
      <c r="D179" s="51" t="s">
        <v>4695</v>
      </c>
      <c r="E179" s="58">
        <v>3429110.53</v>
      </c>
      <c r="F179" s="58">
        <v>3240281.02</v>
      </c>
      <c r="G179" s="58">
        <v>6669391.5499999998</v>
      </c>
      <c r="H179" s="57">
        <v>70</v>
      </c>
      <c r="J179" s="54"/>
      <c r="K179" s="52"/>
    </row>
    <row r="180" spans="1:256" x14ac:dyDescent="0.2">
      <c r="A180" s="51" t="s">
        <v>5082</v>
      </c>
      <c r="B180" s="51" t="s">
        <v>4717</v>
      </c>
      <c r="C180" s="51" t="s">
        <v>4716</v>
      </c>
      <c r="D180" s="51" t="s">
        <v>4691</v>
      </c>
      <c r="E180" s="58">
        <v>3266276.92</v>
      </c>
      <c r="F180" s="58">
        <v>3392464.44</v>
      </c>
      <c r="G180" s="58">
        <v>6658741.3599999994</v>
      </c>
      <c r="H180" s="57">
        <v>45</v>
      </c>
      <c r="J180" s="54"/>
      <c r="K180" s="52"/>
    </row>
    <row r="181" spans="1:256" ht="12.75" x14ac:dyDescent="0.2">
      <c r="A181" s="51" t="s">
        <v>5081</v>
      </c>
      <c r="B181" s="51" t="s">
        <v>4717</v>
      </c>
      <c r="C181" s="51" t="s">
        <v>4724</v>
      </c>
      <c r="D181" s="51" t="s">
        <v>4691</v>
      </c>
      <c r="E181" s="58">
        <v>3397686.3</v>
      </c>
      <c r="F181" s="58">
        <v>3258620.18</v>
      </c>
      <c r="G181" s="58">
        <v>6656306.4800000004</v>
      </c>
      <c r="H181" s="57">
        <v>68</v>
      </c>
      <c r="I181" s="48"/>
      <c r="J181" s="54"/>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8"/>
      <c r="BK181" s="48"/>
      <c r="BL181" s="48"/>
      <c r="BM181" s="48"/>
      <c r="BN181" s="48"/>
      <c r="BO181" s="48"/>
      <c r="BP181" s="48"/>
      <c r="BQ181" s="48"/>
      <c r="BR181" s="48"/>
      <c r="BS181" s="48"/>
      <c r="BT181" s="48"/>
      <c r="BU181" s="48"/>
      <c r="BV181" s="48"/>
      <c r="BW181" s="48"/>
      <c r="BX181" s="48"/>
      <c r="BY181" s="48"/>
      <c r="BZ181" s="48"/>
      <c r="CA181" s="48"/>
      <c r="CB181" s="48"/>
      <c r="CC181" s="48"/>
      <c r="CD181" s="48"/>
      <c r="CE181" s="48"/>
      <c r="CF181" s="48"/>
      <c r="CG181" s="48"/>
      <c r="CH181" s="48"/>
      <c r="CI181" s="48"/>
      <c r="CJ181" s="48"/>
      <c r="CK181" s="48"/>
      <c r="CL181" s="48"/>
      <c r="CM181" s="48"/>
      <c r="CN181" s="48"/>
      <c r="CO181" s="48"/>
      <c r="CP181" s="48"/>
      <c r="CQ181" s="48"/>
      <c r="CR181" s="48"/>
      <c r="CS181" s="48"/>
      <c r="CT181" s="48"/>
      <c r="CU181" s="48"/>
      <c r="CV181" s="48"/>
      <c r="CW181" s="48"/>
      <c r="CX181" s="48"/>
      <c r="CY181" s="48"/>
      <c r="CZ181" s="48"/>
      <c r="DA181" s="48"/>
      <c r="DB181" s="48"/>
      <c r="DC181" s="48"/>
      <c r="DD181" s="48"/>
      <c r="DE181" s="48"/>
      <c r="DF181" s="48"/>
      <c r="DG181" s="48"/>
      <c r="DH181" s="48"/>
      <c r="DI181" s="48"/>
      <c r="DJ181" s="48"/>
      <c r="DK181" s="48"/>
      <c r="DL181" s="48"/>
      <c r="DM181" s="48"/>
      <c r="DN181" s="48"/>
      <c r="DO181" s="48"/>
      <c r="DP181" s="48"/>
      <c r="DQ181" s="48"/>
      <c r="DR181" s="48"/>
      <c r="DS181" s="48"/>
      <c r="DT181" s="48"/>
      <c r="DU181" s="48"/>
      <c r="DV181" s="48"/>
      <c r="DW181" s="48"/>
      <c r="DX181" s="48"/>
      <c r="DY181" s="48"/>
      <c r="DZ181" s="48"/>
      <c r="EA181" s="48"/>
      <c r="EB181" s="48"/>
      <c r="EC181" s="48"/>
      <c r="ED181" s="48"/>
      <c r="EE181" s="48"/>
      <c r="EF181" s="48"/>
      <c r="EG181" s="48"/>
      <c r="EH181" s="48"/>
      <c r="EI181" s="48"/>
      <c r="EJ181" s="48"/>
      <c r="EK181" s="48"/>
      <c r="EL181" s="48"/>
      <c r="EM181" s="48"/>
      <c r="EN181" s="48"/>
      <c r="EO181" s="48"/>
      <c r="EP181" s="48"/>
      <c r="EQ181" s="48"/>
      <c r="ER181" s="48"/>
      <c r="ES181" s="48"/>
      <c r="ET181" s="48"/>
      <c r="EU181" s="48"/>
      <c r="EV181" s="48"/>
      <c r="EW181" s="48"/>
      <c r="EX181" s="48"/>
      <c r="EY181" s="48"/>
      <c r="EZ181" s="48"/>
      <c r="FA181" s="48"/>
      <c r="FB181" s="48"/>
      <c r="FC181" s="48"/>
      <c r="FD181" s="48"/>
      <c r="FE181" s="48"/>
      <c r="FF181" s="48"/>
      <c r="FG181" s="48"/>
      <c r="FH181" s="48"/>
      <c r="FI181" s="48"/>
      <c r="FJ181" s="48"/>
      <c r="FK181" s="48"/>
      <c r="FL181" s="48"/>
      <c r="FM181" s="48"/>
      <c r="FN181" s="48"/>
      <c r="FO181" s="48"/>
      <c r="FP181" s="48"/>
      <c r="FQ181" s="48"/>
      <c r="FR181" s="48"/>
      <c r="FS181" s="48"/>
      <c r="FT181" s="48"/>
      <c r="FU181" s="48"/>
      <c r="FV181" s="48"/>
      <c r="FW181" s="48"/>
      <c r="FX181" s="48"/>
      <c r="FY181" s="48"/>
      <c r="FZ181" s="48"/>
      <c r="GA181" s="48"/>
      <c r="GB181" s="48"/>
      <c r="GC181" s="48"/>
      <c r="GD181" s="48"/>
      <c r="GE181" s="48"/>
      <c r="GF181" s="48"/>
      <c r="GG181" s="48"/>
      <c r="GH181" s="48"/>
      <c r="GI181" s="48"/>
      <c r="GJ181" s="48"/>
      <c r="GK181" s="48"/>
      <c r="GL181" s="48"/>
      <c r="GM181" s="48"/>
      <c r="GN181" s="48"/>
      <c r="GO181" s="48"/>
      <c r="GP181" s="48"/>
      <c r="GQ181" s="48"/>
      <c r="GR181" s="48"/>
      <c r="GS181" s="48"/>
      <c r="GT181" s="48"/>
      <c r="GU181" s="48"/>
      <c r="GV181" s="48"/>
      <c r="GW181" s="48"/>
      <c r="GX181" s="48"/>
      <c r="GY181" s="48"/>
      <c r="GZ181" s="48"/>
      <c r="HA181" s="48"/>
      <c r="HB181" s="48"/>
      <c r="HC181" s="48"/>
      <c r="HD181" s="48"/>
      <c r="HE181" s="48"/>
      <c r="HF181" s="48"/>
      <c r="HG181" s="48"/>
      <c r="HH181" s="48"/>
      <c r="HI181" s="48"/>
      <c r="HJ181" s="48"/>
      <c r="HK181" s="48"/>
      <c r="HL181" s="48"/>
      <c r="HM181" s="48"/>
      <c r="HN181" s="48"/>
      <c r="HO181" s="48"/>
      <c r="HP181" s="48"/>
      <c r="HQ181" s="48"/>
      <c r="HR181" s="48"/>
      <c r="HS181" s="48"/>
      <c r="HT181" s="48"/>
      <c r="HU181" s="48"/>
      <c r="HV181" s="48"/>
      <c r="HW181" s="48"/>
      <c r="HX181" s="48"/>
      <c r="HY181" s="48"/>
      <c r="HZ181" s="48"/>
      <c r="IA181" s="48"/>
      <c r="IB181" s="48"/>
      <c r="IC181" s="48"/>
      <c r="ID181" s="48"/>
      <c r="IE181" s="48"/>
      <c r="IF181" s="48"/>
      <c r="IG181" s="48"/>
      <c r="IH181" s="48"/>
      <c r="II181" s="48"/>
      <c r="IJ181" s="48"/>
      <c r="IK181" s="48"/>
      <c r="IL181" s="48"/>
      <c r="IM181" s="48"/>
      <c r="IN181" s="48"/>
      <c r="IO181" s="48"/>
      <c r="IP181" s="48"/>
      <c r="IQ181" s="48"/>
      <c r="IR181" s="48"/>
      <c r="IS181" s="48"/>
      <c r="IT181" s="48"/>
      <c r="IU181" s="48"/>
      <c r="IV181" s="48"/>
    </row>
    <row r="182" spans="1:256" x14ac:dyDescent="0.2">
      <c r="A182" s="51" t="s">
        <v>5080</v>
      </c>
      <c r="B182" s="51" t="s">
        <v>4693</v>
      </c>
      <c r="C182" s="51" t="s">
        <v>4822</v>
      </c>
      <c r="D182" s="51" t="s">
        <v>4691</v>
      </c>
      <c r="E182" s="58">
        <v>3375510.88</v>
      </c>
      <c r="F182" s="58">
        <v>3275458.22</v>
      </c>
      <c r="G182" s="58">
        <v>6650969.0999999996</v>
      </c>
      <c r="H182" s="57">
        <v>66</v>
      </c>
      <c r="J182" s="54"/>
      <c r="K182" s="52"/>
    </row>
    <row r="183" spans="1:256" x14ac:dyDescent="0.2">
      <c r="A183" s="51" t="s">
        <v>5079</v>
      </c>
      <c r="B183" s="51" t="s">
        <v>4717</v>
      </c>
      <c r="C183" s="51" t="s">
        <v>4792</v>
      </c>
      <c r="D183" s="51" t="s">
        <v>4691</v>
      </c>
      <c r="E183" s="58">
        <v>3487766.95</v>
      </c>
      <c r="F183" s="58">
        <v>3081187.06</v>
      </c>
      <c r="G183" s="58">
        <v>6568954.0099999998</v>
      </c>
      <c r="H183" s="57">
        <v>105</v>
      </c>
      <c r="J183" s="54"/>
      <c r="K183" s="52"/>
    </row>
    <row r="184" spans="1:256" x14ac:dyDescent="0.2">
      <c r="A184" s="51" t="s">
        <v>5078</v>
      </c>
      <c r="B184" s="51" t="s">
        <v>4693</v>
      </c>
      <c r="C184" s="51" t="s">
        <v>4756</v>
      </c>
      <c r="D184" s="51" t="s">
        <v>4695</v>
      </c>
      <c r="E184" s="58">
        <v>3550025.15</v>
      </c>
      <c r="F184" s="58">
        <v>2993686.88</v>
      </c>
      <c r="G184" s="58">
        <v>6543712.0299999993</v>
      </c>
      <c r="H184" s="57">
        <v>47</v>
      </c>
      <c r="J184" s="54"/>
      <c r="K184" s="52"/>
    </row>
    <row r="185" spans="1:256" x14ac:dyDescent="0.2">
      <c r="A185" s="51" t="s">
        <v>5077</v>
      </c>
      <c r="B185" s="51" t="s">
        <v>4693</v>
      </c>
      <c r="C185" s="51" t="s">
        <v>4756</v>
      </c>
      <c r="D185" s="51" t="s">
        <v>4695</v>
      </c>
      <c r="E185" s="58">
        <v>3491560.87</v>
      </c>
      <c r="F185" s="58">
        <v>3038496.77</v>
      </c>
      <c r="G185" s="58">
        <v>6530057.6400000006</v>
      </c>
      <c r="H185" s="57">
        <v>43</v>
      </c>
      <c r="J185" s="54"/>
      <c r="K185" s="52"/>
    </row>
    <row r="186" spans="1:256" x14ac:dyDescent="0.2">
      <c r="A186" s="51" t="s">
        <v>5076</v>
      </c>
      <c r="B186" s="51" t="s">
        <v>4693</v>
      </c>
      <c r="C186" s="51" t="s">
        <v>4918</v>
      </c>
      <c r="D186" s="51" t="s">
        <v>4695</v>
      </c>
      <c r="E186" s="58">
        <v>3339270.09</v>
      </c>
      <c r="F186" s="58">
        <v>3154114.86</v>
      </c>
      <c r="G186" s="58">
        <v>6493384.9499999993</v>
      </c>
      <c r="H186" s="57">
        <v>60</v>
      </c>
      <c r="J186" s="54"/>
      <c r="K186" s="52"/>
    </row>
    <row r="187" spans="1:256" x14ac:dyDescent="0.2">
      <c r="A187" s="51" t="s">
        <v>5075</v>
      </c>
      <c r="B187" s="51" t="s">
        <v>4693</v>
      </c>
      <c r="C187" s="51" t="s">
        <v>4744</v>
      </c>
      <c r="D187" s="51" t="s">
        <v>4691</v>
      </c>
      <c r="E187" s="58">
        <v>3279829.8</v>
      </c>
      <c r="F187" s="58">
        <v>3204470.68</v>
      </c>
      <c r="G187" s="58">
        <v>6484300.4800000004</v>
      </c>
      <c r="H187" s="57">
        <v>75</v>
      </c>
      <c r="J187" s="54"/>
      <c r="K187" s="52"/>
    </row>
    <row r="188" spans="1:256" x14ac:dyDescent="0.2">
      <c r="A188" s="51" t="s">
        <v>5074</v>
      </c>
      <c r="B188" s="51" t="s">
        <v>4693</v>
      </c>
      <c r="C188" s="51" t="s">
        <v>4880</v>
      </c>
      <c r="D188" s="51" t="s">
        <v>4695</v>
      </c>
      <c r="E188" s="58">
        <v>3346355.1</v>
      </c>
      <c r="F188" s="58">
        <v>3092982.29</v>
      </c>
      <c r="G188" s="58">
        <v>6439337.3900000006</v>
      </c>
      <c r="H188" s="57">
        <v>70</v>
      </c>
      <c r="J188" s="54"/>
      <c r="K188" s="52"/>
    </row>
    <row r="189" spans="1:256" x14ac:dyDescent="0.2">
      <c r="A189" s="51" t="s">
        <v>5073</v>
      </c>
      <c r="B189" s="51" t="s">
        <v>4717</v>
      </c>
      <c r="C189" s="51" t="s">
        <v>4732</v>
      </c>
      <c r="D189" s="51" t="s">
        <v>4691</v>
      </c>
      <c r="E189" s="58">
        <v>3039762.88</v>
      </c>
      <c r="F189" s="58">
        <v>3393002.98</v>
      </c>
      <c r="G189" s="58">
        <v>6432765.8599999994</v>
      </c>
      <c r="H189" s="57">
        <v>65</v>
      </c>
      <c r="J189" s="54"/>
      <c r="K189" s="52"/>
    </row>
    <row r="190" spans="1:256" x14ac:dyDescent="0.2">
      <c r="A190" s="51" t="s">
        <v>5072</v>
      </c>
      <c r="B190" s="51" t="s">
        <v>4717</v>
      </c>
      <c r="C190" s="51" t="s">
        <v>4758</v>
      </c>
      <c r="D190" s="51" t="s">
        <v>4695</v>
      </c>
      <c r="E190" s="58">
        <v>3177905.14</v>
      </c>
      <c r="F190" s="58">
        <v>3250261.67</v>
      </c>
      <c r="G190" s="58">
        <v>6428166.8100000005</v>
      </c>
      <c r="H190" s="57">
        <v>34</v>
      </c>
      <c r="J190" s="54"/>
      <c r="K190" s="52"/>
    </row>
    <row r="191" spans="1:256" x14ac:dyDescent="0.2">
      <c r="A191" s="51" t="s">
        <v>5071</v>
      </c>
      <c r="B191" s="51" t="s">
        <v>4693</v>
      </c>
      <c r="C191" s="51" t="s">
        <v>4696</v>
      </c>
      <c r="D191" s="51" t="s">
        <v>4691</v>
      </c>
      <c r="E191" s="58">
        <v>3007005.39</v>
      </c>
      <c r="F191" s="58">
        <v>3380493.64</v>
      </c>
      <c r="G191" s="58">
        <v>6387499.0300000003</v>
      </c>
      <c r="H191" s="57">
        <v>55</v>
      </c>
      <c r="J191" s="54"/>
      <c r="K191" s="52"/>
    </row>
    <row r="192" spans="1:256" x14ac:dyDescent="0.2">
      <c r="A192" s="51" t="s">
        <v>5070</v>
      </c>
      <c r="B192" s="51" t="s">
        <v>4717</v>
      </c>
      <c r="C192" s="51" t="s">
        <v>4847</v>
      </c>
      <c r="D192" s="51" t="s">
        <v>4695</v>
      </c>
      <c r="E192" s="58">
        <v>3161383.28</v>
      </c>
      <c r="F192" s="58">
        <v>3206184.5</v>
      </c>
      <c r="G192" s="58">
        <v>6367567.7799999993</v>
      </c>
      <c r="H192" s="57">
        <v>80</v>
      </c>
      <c r="J192" s="54"/>
      <c r="K192" s="52"/>
    </row>
    <row r="193" spans="1:11" x14ac:dyDescent="0.2">
      <c r="A193" s="51" t="s">
        <v>5069</v>
      </c>
      <c r="B193" s="51" t="s">
        <v>4693</v>
      </c>
      <c r="C193" s="51" t="s">
        <v>4892</v>
      </c>
      <c r="D193" s="51" t="s">
        <v>4691</v>
      </c>
      <c r="E193" s="58">
        <v>3068253.61</v>
      </c>
      <c r="F193" s="58">
        <v>3292345.43</v>
      </c>
      <c r="G193" s="58">
        <v>6360599.04</v>
      </c>
      <c r="H193" s="57">
        <v>100</v>
      </c>
      <c r="J193" s="54"/>
      <c r="K193" s="52"/>
    </row>
    <row r="194" spans="1:11" x14ac:dyDescent="0.2">
      <c r="A194" s="51" t="s">
        <v>5068</v>
      </c>
      <c r="B194" s="51" t="s">
        <v>4693</v>
      </c>
      <c r="C194" s="51" t="s">
        <v>4779</v>
      </c>
      <c r="D194" s="51" t="s">
        <v>4695</v>
      </c>
      <c r="E194" s="58">
        <v>3312708.06</v>
      </c>
      <c r="F194" s="58">
        <v>3030869.6</v>
      </c>
      <c r="G194" s="58">
        <v>6343577.6600000001</v>
      </c>
      <c r="H194" s="57">
        <v>69</v>
      </c>
      <c r="J194" s="54"/>
      <c r="K194" s="52"/>
    </row>
    <row r="195" spans="1:11" x14ac:dyDescent="0.2">
      <c r="A195" s="51" t="s">
        <v>5067</v>
      </c>
      <c r="B195" s="51" t="s">
        <v>4717</v>
      </c>
      <c r="C195" s="51" t="s">
        <v>4832</v>
      </c>
      <c r="D195" s="51" t="s">
        <v>4691</v>
      </c>
      <c r="E195" s="58">
        <v>3192161.29</v>
      </c>
      <c r="F195" s="58">
        <v>3148925.73</v>
      </c>
      <c r="G195" s="58">
        <v>6341087.0199999996</v>
      </c>
      <c r="H195" s="57">
        <v>59</v>
      </c>
      <c r="J195" s="54"/>
      <c r="K195" s="52"/>
    </row>
    <row r="196" spans="1:11" x14ac:dyDescent="0.2">
      <c r="A196" s="51" t="s">
        <v>5066</v>
      </c>
      <c r="B196" s="51" t="s">
        <v>4693</v>
      </c>
      <c r="C196" s="51" t="s">
        <v>4756</v>
      </c>
      <c r="D196" s="51" t="s">
        <v>4695</v>
      </c>
      <c r="E196" s="58">
        <v>3226900.62</v>
      </c>
      <c r="F196" s="58">
        <v>3100438.4</v>
      </c>
      <c r="G196" s="58">
        <v>6327339.0199999996</v>
      </c>
      <c r="H196" s="57">
        <v>40</v>
      </c>
      <c r="J196" s="54"/>
      <c r="K196" s="52"/>
    </row>
    <row r="197" spans="1:11" x14ac:dyDescent="0.2">
      <c r="A197" s="51" t="s">
        <v>5065</v>
      </c>
      <c r="B197" s="51" t="s">
        <v>4717</v>
      </c>
      <c r="C197" s="51" t="s">
        <v>4824</v>
      </c>
      <c r="D197" s="51" t="s">
        <v>4695</v>
      </c>
      <c r="E197" s="58">
        <v>3056911.22</v>
      </c>
      <c r="F197" s="58">
        <v>3201099.77</v>
      </c>
      <c r="G197" s="58">
        <v>6258010.9900000002</v>
      </c>
      <c r="H197" s="57">
        <v>45</v>
      </c>
      <c r="J197" s="54"/>
      <c r="K197" s="52"/>
    </row>
    <row r="198" spans="1:11" x14ac:dyDescent="0.2">
      <c r="A198" s="51" t="s">
        <v>5064</v>
      </c>
      <c r="B198" s="51" t="s">
        <v>4717</v>
      </c>
      <c r="C198" s="51" t="s">
        <v>4732</v>
      </c>
      <c r="D198" s="51" t="s">
        <v>4695</v>
      </c>
      <c r="E198" s="58">
        <v>3235721.06</v>
      </c>
      <c r="F198" s="58">
        <v>3007940.61</v>
      </c>
      <c r="G198" s="58">
        <v>6243661.6699999999</v>
      </c>
      <c r="H198" s="57">
        <v>50</v>
      </c>
      <c r="J198" s="54"/>
      <c r="K198" s="52"/>
    </row>
    <row r="199" spans="1:11" x14ac:dyDescent="0.2">
      <c r="A199" s="51" t="s">
        <v>5063</v>
      </c>
      <c r="B199" s="51" t="s">
        <v>4717</v>
      </c>
      <c r="C199" s="51" t="s">
        <v>4732</v>
      </c>
      <c r="D199" s="51" t="s">
        <v>4695</v>
      </c>
      <c r="E199" s="58">
        <v>3015861.24</v>
      </c>
      <c r="F199" s="58">
        <v>3214087.59</v>
      </c>
      <c r="G199" s="58">
        <v>6229948.8300000001</v>
      </c>
      <c r="H199" s="57">
        <v>55</v>
      </c>
      <c r="J199" s="54"/>
      <c r="K199" s="52"/>
    </row>
    <row r="200" spans="1:11" x14ac:dyDescent="0.2">
      <c r="A200" s="51" t="s">
        <v>5062</v>
      </c>
      <c r="B200" s="51" t="s">
        <v>4693</v>
      </c>
      <c r="C200" s="51" t="s">
        <v>4844</v>
      </c>
      <c r="D200" s="51" t="s">
        <v>4691</v>
      </c>
      <c r="E200" s="58">
        <v>3138295.12</v>
      </c>
      <c r="F200" s="58">
        <v>3016278.27</v>
      </c>
      <c r="G200" s="58">
        <v>6154573.3900000006</v>
      </c>
      <c r="H200" s="57">
        <v>45</v>
      </c>
      <c r="J200" s="54"/>
      <c r="K200" s="52"/>
    </row>
    <row r="201" spans="1:11" x14ac:dyDescent="0.2">
      <c r="A201" s="51" t="s">
        <v>5061</v>
      </c>
      <c r="B201" s="51" t="s">
        <v>4717</v>
      </c>
      <c r="C201" s="51" t="s">
        <v>4824</v>
      </c>
      <c r="D201" s="51" t="s">
        <v>4691</v>
      </c>
      <c r="E201" s="58">
        <v>3075253.96</v>
      </c>
      <c r="F201" s="58">
        <v>3022405.87</v>
      </c>
      <c r="G201" s="58">
        <v>6097659.8300000001</v>
      </c>
      <c r="H201" s="57">
        <v>50</v>
      </c>
      <c r="J201" s="54"/>
      <c r="K201" s="52"/>
    </row>
    <row r="202" spans="1:11" x14ac:dyDescent="0.2">
      <c r="A202" s="51" t="s">
        <v>5060</v>
      </c>
      <c r="B202" s="51" t="s">
        <v>4693</v>
      </c>
      <c r="C202" s="51" t="s">
        <v>4704</v>
      </c>
      <c r="D202" s="51" t="s">
        <v>4691</v>
      </c>
      <c r="E202" s="58">
        <v>3132541.37</v>
      </c>
      <c r="F202" s="58">
        <v>2953799.11</v>
      </c>
      <c r="G202" s="58">
        <v>6086340.4800000004</v>
      </c>
      <c r="H202" s="57">
        <v>90</v>
      </c>
      <c r="J202" s="54"/>
      <c r="K202" s="52"/>
    </row>
    <row r="203" spans="1:11" x14ac:dyDescent="0.2">
      <c r="A203" s="51" t="s">
        <v>5059</v>
      </c>
      <c r="B203" s="51" t="s">
        <v>4693</v>
      </c>
      <c r="C203" s="51" t="s">
        <v>4775</v>
      </c>
      <c r="D203" s="51" t="s">
        <v>4691</v>
      </c>
      <c r="E203" s="58">
        <v>3023860.53</v>
      </c>
      <c r="F203" s="58">
        <v>3035092.2</v>
      </c>
      <c r="G203" s="58">
        <v>6058952.7300000004</v>
      </c>
      <c r="H203" s="57">
        <v>40</v>
      </c>
      <c r="J203" s="54"/>
      <c r="K203" s="52"/>
    </row>
    <row r="204" spans="1:11" x14ac:dyDescent="0.2">
      <c r="A204" s="51" t="s">
        <v>5058</v>
      </c>
      <c r="B204" s="51" t="s">
        <v>4717</v>
      </c>
      <c r="C204" s="51" t="s">
        <v>4726</v>
      </c>
      <c r="D204" s="51" t="s">
        <v>4695</v>
      </c>
      <c r="E204" s="58">
        <v>2928320.3</v>
      </c>
      <c r="F204" s="58">
        <v>3128237.51</v>
      </c>
      <c r="G204" s="58">
        <v>6056557.8099999996</v>
      </c>
      <c r="H204" s="57">
        <v>40</v>
      </c>
      <c r="J204" s="54"/>
      <c r="K204" s="52"/>
    </row>
    <row r="205" spans="1:11" x14ac:dyDescent="0.2">
      <c r="A205" s="51" t="s">
        <v>5057</v>
      </c>
      <c r="B205" s="51" t="s">
        <v>4693</v>
      </c>
      <c r="C205" s="51" t="s">
        <v>4747</v>
      </c>
      <c r="D205" s="51" t="s">
        <v>4695</v>
      </c>
      <c r="E205" s="58">
        <v>2994399.94</v>
      </c>
      <c r="F205" s="58">
        <v>3050172.49</v>
      </c>
      <c r="G205" s="58">
        <v>6044572.4299999997</v>
      </c>
      <c r="H205" s="57">
        <v>50</v>
      </c>
      <c r="J205" s="54"/>
      <c r="K205" s="52"/>
    </row>
    <row r="206" spans="1:11" x14ac:dyDescent="0.2">
      <c r="A206" s="51" t="s">
        <v>5056</v>
      </c>
      <c r="B206" s="51" t="s">
        <v>4693</v>
      </c>
      <c r="C206" s="51" t="s">
        <v>4837</v>
      </c>
      <c r="D206" s="51" t="s">
        <v>4695</v>
      </c>
      <c r="E206" s="58">
        <v>3282285.74</v>
      </c>
      <c r="F206" s="58">
        <v>2759618.98</v>
      </c>
      <c r="G206" s="58">
        <v>6041904.7200000007</v>
      </c>
      <c r="H206" s="57">
        <v>64</v>
      </c>
      <c r="J206" s="54"/>
      <c r="K206" s="52"/>
    </row>
    <row r="207" spans="1:11" x14ac:dyDescent="0.2">
      <c r="A207" s="51" t="s">
        <v>5055</v>
      </c>
      <c r="B207" s="51" t="s">
        <v>4693</v>
      </c>
      <c r="C207" s="51" t="s">
        <v>4696</v>
      </c>
      <c r="D207" s="51" t="s">
        <v>4691</v>
      </c>
      <c r="E207" s="58">
        <v>3162107.56</v>
      </c>
      <c r="F207" s="58">
        <v>2846243.02</v>
      </c>
      <c r="G207" s="58">
        <v>6008350.5800000001</v>
      </c>
      <c r="H207" s="57">
        <v>50</v>
      </c>
      <c r="J207" s="54"/>
      <c r="K207" s="52"/>
    </row>
    <row r="208" spans="1:11" x14ac:dyDescent="0.2">
      <c r="A208" s="51" t="s">
        <v>5054</v>
      </c>
      <c r="B208" s="51" t="s">
        <v>4693</v>
      </c>
      <c r="C208" s="51" t="s">
        <v>4747</v>
      </c>
      <c r="D208" s="51" t="s">
        <v>4691</v>
      </c>
      <c r="E208" s="58">
        <v>3183947.47</v>
      </c>
      <c r="F208" s="58">
        <v>2796746.27</v>
      </c>
      <c r="G208" s="58">
        <v>5980693.7400000002</v>
      </c>
      <c r="H208" s="57">
        <v>70</v>
      </c>
      <c r="J208" s="54"/>
      <c r="K208" s="52"/>
    </row>
    <row r="209" spans="1:256" x14ac:dyDescent="0.2">
      <c r="A209" s="51" t="s">
        <v>5053</v>
      </c>
      <c r="B209" s="51" t="s">
        <v>4693</v>
      </c>
      <c r="C209" s="51" t="s">
        <v>4796</v>
      </c>
      <c r="D209" s="51" t="s">
        <v>4691</v>
      </c>
      <c r="E209" s="58">
        <v>2930070.36</v>
      </c>
      <c r="F209" s="58">
        <v>3024158.97</v>
      </c>
      <c r="G209" s="58">
        <v>5954229.3300000001</v>
      </c>
      <c r="H209" s="57">
        <v>78</v>
      </c>
      <c r="J209" s="54"/>
      <c r="K209" s="52"/>
    </row>
    <row r="210" spans="1:256" x14ac:dyDescent="0.2">
      <c r="A210" s="51" t="s">
        <v>5052</v>
      </c>
      <c r="B210" s="51" t="s">
        <v>4717</v>
      </c>
      <c r="C210" s="51" t="s">
        <v>4758</v>
      </c>
      <c r="D210" s="51" t="s">
        <v>4691</v>
      </c>
      <c r="E210" s="58">
        <v>2957042.19</v>
      </c>
      <c r="F210" s="58">
        <v>2971761.29</v>
      </c>
      <c r="G210" s="58">
        <v>5928803.4800000004</v>
      </c>
      <c r="H210" s="57">
        <v>69</v>
      </c>
      <c r="J210" s="54"/>
      <c r="K210" s="52"/>
    </row>
    <row r="211" spans="1:256" x14ac:dyDescent="0.2">
      <c r="A211" s="51" t="s">
        <v>5051</v>
      </c>
      <c r="B211" s="51" t="s">
        <v>4693</v>
      </c>
      <c r="C211" s="51" t="s">
        <v>4710</v>
      </c>
      <c r="D211" s="51" t="s">
        <v>4691</v>
      </c>
      <c r="E211" s="58">
        <v>3071404.34</v>
      </c>
      <c r="F211" s="58">
        <v>2833577.25</v>
      </c>
      <c r="G211" s="58">
        <v>5904981.5899999999</v>
      </c>
      <c r="H211" s="57">
        <v>81</v>
      </c>
      <c r="J211" s="54"/>
      <c r="K211" s="52"/>
    </row>
    <row r="212" spans="1:256" x14ac:dyDescent="0.2">
      <c r="A212" s="51" t="s">
        <v>5050</v>
      </c>
      <c r="B212" s="51" t="s">
        <v>4717</v>
      </c>
      <c r="C212" s="51" t="s">
        <v>4732</v>
      </c>
      <c r="D212" s="51" t="s">
        <v>4691</v>
      </c>
      <c r="E212" s="58">
        <v>2953260.15</v>
      </c>
      <c r="F212" s="58">
        <v>2880434.01</v>
      </c>
      <c r="G212" s="58">
        <v>5833694.1600000001</v>
      </c>
      <c r="H212" s="57">
        <v>72</v>
      </c>
      <c r="J212" s="54"/>
      <c r="K212" s="52"/>
    </row>
    <row r="213" spans="1:256" x14ac:dyDescent="0.2">
      <c r="A213" s="51" t="s">
        <v>5049</v>
      </c>
      <c r="B213" s="51" t="s">
        <v>4693</v>
      </c>
      <c r="C213" s="51" t="s">
        <v>4742</v>
      </c>
      <c r="D213" s="51" t="s">
        <v>4695</v>
      </c>
      <c r="E213" s="58">
        <v>2957895.73</v>
      </c>
      <c r="F213" s="58">
        <v>2867534.74</v>
      </c>
      <c r="G213" s="58">
        <v>5825430.4700000007</v>
      </c>
      <c r="H213" s="57">
        <v>68</v>
      </c>
      <c r="J213" s="54"/>
      <c r="K213" s="52"/>
    </row>
    <row r="214" spans="1:256" x14ac:dyDescent="0.2">
      <c r="A214" s="51" t="s">
        <v>5048</v>
      </c>
      <c r="B214" s="51" t="s">
        <v>4693</v>
      </c>
      <c r="C214" s="51" t="s">
        <v>4982</v>
      </c>
      <c r="D214" s="51" t="s">
        <v>4691</v>
      </c>
      <c r="E214" s="58">
        <v>3123813.39</v>
      </c>
      <c r="F214" s="58">
        <v>2635110.9</v>
      </c>
      <c r="G214" s="58">
        <v>5758924.29</v>
      </c>
      <c r="H214" s="57">
        <v>67</v>
      </c>
      <c r="J214" s="54"/>
      <c r="K214" s="52"/>
    </row>
    <row r="215" spans="1:256" x14ac:dyDescent="0.2">
      <c r="A215" s="51" t="s">
        <v>5047</v>
      </c>
      <c r="B215" s="51" t="s">
        <v>4693</v>
      </c>
      <c r="C215" s="51" t="s">
        <v>4951</v>
      </c>
      <c r="D215" s="51" t="s">
        <v>4695</v>
      </c>
      <c r="E215" s="58">
        <v>3005338.06</v>
      </c>
      <c r="F215" s="58">
        <v>2726152.19</v>
      </c>
      <c r="G215" s="58">
        <v>5731490.25</v>
      </c>
      <c r="H215" s="57">
        <v>50</v>
      </c>
      <c r="J215" s="54"/>
      <c r="K215" s="52"/>
    </row>
    <row r="216" spans="1:256" ht="12.75" x14ac:dyDescent="0.2">
      <c r="A216" s="51" t="s">
        <v>5046</v>
      </c>
      <c r="B216" s="51" t="s">
        <v>4693</v>
      </c>
      <c r="C216" s="51" t="s">
        <v>4742</v>
      </c>
      <c r="D216" s="51" t="s">
        <v>4695</v>
      </c>
      <c r="E216" s="58">
        <v>2947272.32</v>
      </c>
      <c r="F216" s="58">
        <v>2746147.37</v>
      </c>
      <c r="G216" s="58">
        <v>5693419.6899999995</v>
      </c>
      <c r="H216" s="57">
        <v>70</v>
      </c>
      <c r="I216" s="48"/>
      <c r="J216" s="54"/>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48"/>
      <c r="BJ216" s="48"/>
      <c r="BK216" s="48"/>
      <c r="BL216" s="48"/>
      <c r="BM216" s="48"/>
      <c r="BN216" s="48"/>
      <c r="BO216" s="48"/>
      <c r="BP216" s="48"/>
      <c r="BQ216" s="48"/>
      <c r="BR216" s="48"/>
      <c r="BS216" s="48"/>
      <c r="BT216" s="48"/>
      <c r="BU216" s="48"/>
      <c r="BV216" s="48"/>
      <c r="BW216" s="48"/>
      <c r="BX216" s="48"/>
      <c r="BY216" s="48"/>
      <c r="BZ216" s="48"/>
      <c r="CA216" s="48"/>
      <c r="CB216" s="48"/>
      <c r="CC216" s="48"/>
      <c r="CD216" s="48"/>
      <c r="CE216" s="48"/>
      <c r="CF216" s="48"/>
      <c r="CG216" s="48"/>
      <c r="CH216" s="48"/>
      <c r="CI216" s="48"/>
      <c r="CJ216" s="48"/>
      <c r="CK216" s="48"/>
      <c r="CL216" s="48"/>
      <c r="CM216" s="48"/>
      <c r="CN216" s="48"/>
      <c r="CO216" s="48"/>
      <c r="CP216" s="48"/>
      <c r="CQ216" s="48"/>
      <c r="CR216" s="48"/>
      <c r="CS216" s="48"/>
      <c r="CT216" s="48"/>
      <c r="CU216" s="48"/>
      <c r="CV216" s="48"/>
      <c r="CW216" s="48"/>
      <c r="CX216" s="48"/>
      <c r="CY216" s="48"/>
      <c r="CZ216" s="48"/>
      <c r="DA216" s="48"/>
      <c r="DB216" s="48"/>
      <c r="DC216" s="48"/>
      <c r="DD216" s="48"/>
      <c r="DE216" s="48"/>
      <c r="DF216" s="48"/>
      <c r="DG216" s="48"/>
      <c r="DH216" s="48"/>
      <c r="DI216" s="48"/>
      <c r="DJ216" s="48"/>
      <c r="DK216" s="48"/>
      <c r="DL216" s="48"/>
      <c r="DM216" s="48"/>
      <c r="DN216" s="48"/>
      <c r="DO216" s="48"/>
      <c r="DP216" s="48"/>
      <c r="DQ216" s="48"/>
      <c r="DR216" s="48"/>
      <c r="DS216" s="48"/>
      <c r="DT216" s="48"/>
      <c r="DU216" s="48"/>
      <c r="DV216" s="48"/>
      <c r="DW216" s="48"/>
      <c r="DX216" s="48"/>
      <c r="DY216" s="48"/>
      <c r="DZ216" s="48"/>
      <c r="EA216" s="48"/>
      <c r="EB216" s="48"/>
      <c r="EC216" s="48"/>
      <c r="ED216" s="48"/>
      <c r="EE216" s="48"/>
      <c r="EF216" s="48"/>
      <c r="EG216" s="48"/>
      <c r="EH216" s="48"/>
      <c r="EI216" s="48"/>
      <c r="EJ216" s="48"/>
      <c r="EK216" s="48"/>
      <c r="EL216" s="48"/>
      <c r="EM216" s="48"/>
      <c r="EN216" s="48"/>
      <c r="EO216" s="48"/>
      <c r="EP216" s="48"/>
      <c r="EQ216" s="48"/>
      <c r="ER216" s="48"/>
      <c r="ES216" s="48"/>
      <c r="ET216" s="48"/>
      <c r="EU216" s="48"/>
      <c r="EV216" s="48"/>
      <c r="EW216" s="48"/>
      <c r="EX216" s="48"/>
      <c r="EY216" s="48"/>
      <c r="EZ216" s="48"/>
      <c r="FA216" s="48"/>
      <c r="FB216" s="48"/>
      <c r="FC216" s="48"/>
      <c r="FD216" s="48"/>
      <c r="FE216" s="48"/>
      <c r="FF216" s="48"/>
      <c r="FG216" s="48"/>
      <c r="FH216" s="48"/>
      <c r="FI216" s="48"/>
      <c r="FJ216" s="48"/>
      <c r="FK216" s="48"/>
      <c r="FL216" s="48"/>
      <c r="FM216" s="48"/>
      <c r="FN216" s="48"/>
      <c r="FO216" s="48"/>
      <c r="FP216" s="48"/>
      <c r="FQ216" s="48"/>
      <c r="FR216" s="48"/>
      <c r="FS216" s="48"/>
      <c r="FT216" s="48"/>
      <c r="FU216" s="48"/>
      <c r="FV216" s="48"/>
      <c r="FW216" s="48"/>
      <c r="FX216" s="48"/>
      <c r="FY216" s="48"/>
      <c r="FZ216" s="48"/>
      <c r="GA216" s="48"/>
      <c r="GB216" s="48"/>
      <c r="GC216" s="48"/>
      <c r="GD216" s="48"/>
      <c r="GE216" s="48"/>
      <c r="GF216" s="48"/>
      <c r="GG216" s="48"/>
      <c r="GH216" s="48"/>
      <c r="GI216" s="48"/>
      <c r="GJ216" s="48"/>
      <c r="GK216" s="48"/>
      <c r="GL216" s="48"/>
      <c r="GM216" s="48"/>
      <c r="GN216" s="48"/>
      <c r="GO216" s="48"/>
      <c r="GP216" s="48"/>
      <c r="GQ216" s="48"/>
      <c r="GR216" s="48"/>
      <c r="GS216" s="48"/>
      <c r="GT216" s="48"/>
      <c r="GU216" s="48"/>
      <c r="GV216" s="48"/>
      <c r="GW216" s="48"/>
      <c r="GX216" s="48"/>
      <c r="GY216" s="48"/>
      <c r="GZ216" s="48"/>
      <c r="HA216" s="48"/>
      <c r="HB216" s="48"/>
      <c r="HC216" s="48"/>
      <c r="HD216" s="48"/>
      <c r="HE216" s="48"/>
      <c r="HF216" s="48"/>
      <c r="HG216" s="48"/>
      <c r="HH216" s="48"/>
      <c r="HI216" s="48"/>
      <c r="HJ216" s="48"/>
      <c r="HK216" s="48"/>
      <c r="HL216" s="48"/>
      <c r="HM216" s="48"/>
      <c r="HN216" s="48"/>
      <c r="HO216" s="48"/>
      <c r="HP216" s="48"/>
      <c r="HQ216" s="48"/>
      <c r="HR216" s="48"/>
      <c r="HS216" s="48"/>
      <c r="HT216" s="48"/>
      <c r="HU216" s="48"/>
      <c r="HV216" s="48"/>
      <c r="HW216" s="48"/>
      <c r="HX216" s="48"/>
      <c r="HY216" s="48"/>
      <c r="HZ216" s="48"/>
      <c r="IA216" s="48"/>
      <c r="IB216" s="48"/>
      <c r="IC216" s="48"/>
      <c r="ID216" s="48"/>
      <c r="IE216" s="48"/>
      <c r="IF216" s="48"/>
      <c r="IG216" s="48"/>
      <c r="IH216" s="48"/>
      <c r="II216" s="48"/>
      <c r="IJ216" s="48"/>
      <c r="IK216" s="48"/>
      <c r="IL216" s="48"/>
      <c r="IM216" s="48"/>
      <c r="IN216" s="48"/>
      <c r="IO216" s="48"/>
      <c r="IP216" s="48"/>
      <c r="IQ216" s="48"/>
      <c r="IR216" s="48"/>
      <c r="IS216" s="48"/>
      <c r="IT216" s="48"/>
      <c r="IU216" s="48"/>
      <c r="IV216" s="48"/>
    </row>
    <row r="217" spans="1:256" x14ac:dyDescent="0.2">
      <c r="A217" s="51" t="s">
        <v>5045</v>
      </c>
      <c r="B217" s="51" t="s">
        <v>4693</v>
      </c>
      <c r="C217" s="51" t="s">
        <v>4892</v>
      </c>
      <c r="D217" s="51" t="s">
        <v>4691</v>
      </c>
      <c r="E217" s="58">
        <v>2750737.19</v>
      </c>
      <c r="F217" s="58">
        <v>2923698.42</v>
      </c>
      <c r="G217" s="58">
        <v>5674435.6099999994</v>
      </c>
      <c r="H217" s="57">
        <v>80</v>
      </c>
      <c r="J217" s="54"/>
      <c r="K217" s="52"/>
    </row>
    <row r="218" spans="1:256" x14ac:dyDescent="0.2">
      <c r="A218" s="51" t="s">
        <v>5044</v>
      </c>
      <c r="B218" s="51" t="s">
        <v>4717</v>
      </c>
      <c r="C218" s="51" t="s">
        <v>4809</v>
      </c>
      <c r="D218" s="51" t="s">
        <v>4695</v>
      </c>
      <c r="E218" s="58">
        <v>2972029.13</v>
      </c>
      <c r="F218" s="58">
        <v>2660754.2400000002</v>
      </c>
      <c r="G218" s="58">
        <v>5632783.3700000001</v>
      </c>
      <c r="H218" s="57">
        <v>50</v>
      </c>
      <c r="J218" s="54"/>
      <c r="K218" s="52"/>
    </row>
    <row r="219" spans="1:256" x14ac:dyDescent="0.2">
      <c r="A219" s="51" t="s">
        <v>5043</v>
      </c>
      <c r="B219" s="51" t="s">
        <v>4693</v>
      </c>
      <c r="C219" s="51" t="s">
        <v>4747</v>
      </c>
      <c r="D219" s="51" t="s">
        <v>4691</v>
      </c>
      <c r="E219" s="58">
        <v>2854638.52</v>
      </c>
      <c r="F219" s="58">
        <v>2777429.65</v>
      </c>
      <c r="G219" s="58">
        <v>5632068.1699999999</v>
      </c>
      <c r="H219" s="57">
        <v>35</v>
      </c>
      <c r="J219" s="54"/>
      <c r="K219" s="52"/>
    </row>
    <row r="220" spans="1:256" x14ac:dyDescent="0.2">
      <c r="A220" s="51" t="s">
        <v>5042</v>
      </c>
      <c r="B220" s="51" t="s">
        <v>4693</v>
      </c>
      <c r="C220" s="51" t="s">
        <v>4735</v>
      </c>
      <c r="D220" s="51" t="s">
        <v>4691</v>
      </c>
      <c r="E220" s="58">
        <v>2842856.74</v>
      </c>
      <c r="F220" s="58">
        <v>2766453.23</v>
      </c>
      <c r="G220" s="58">
        <v>5609309.9700000007</v>
      </c>
      <c r="H220" s="57">
        <v>55</v>
      </c>
      <c r="J220" s="54"/>
      <c r="K220" s="52"/>
    </row>
    <row r="221" spans="1:256" x14ac:dyDescent="0.2">
      <c r="A221" s="51" t="s">
        <v>5041</v>
      </c>
      <c r="B221" s="51" t="s">
        <v>4693</v>
      </c>
      <c r="C221" s="51" t="s">
        <v>4775</v>
      </c>
      <c r="D221" s="51" t="s">
        <v>4695</v>
      </c>
      <c r="E221" s="58">
        <v>2831884.15</v>
      </c>
      <c r="F221" s="58">
        <v>2704988.85</v>
      </c>
      <c r="G221" s="58">
        <v>5536873</v>
      </c>
      <c r="H221" s="57">
        <v>42</v>
      </c>
      <c r="J221" s="54"/>
      <c r="K221" s="52"/>
    </row>
    <row r="222" spans="1:256" x14ac:dyDescent="0.2">
      <c r="A222" s="51" t="s">
        <v>4497</v>
      </c>
      <c r="B222" s="51" t="s">
        <v>4693</v>
      </c>
      <c r="C222" s="51" t="s">
        <v>4738</v>
      </c>
      <c r="D222" s="51" t="s">
        <v>4695</v>
      </c>
      <c r="E222" s="58">
        <v>2891126.92</v>
      </c>
      <c r="F222" s="58">
        <v>2619545.6800000002</v>
      </c>
      <c r="G222" s="58">
        <v>5510672.5999999996</v>
      </c>
      <c r="H222" s="57">
        <v>45</v>
      </c>
      <c r="J222" s="54"/>
      <c r="K222" s="52"/>
    </row>
    <row r="223" spans="1:256" x14ac:dyDescent="0.2">
      <c r="A223" s="51" t="s">
        <v>5040</v>
      </c>
      <c r="B223" s="51" t="s">
        <v>4693</v>
      </c>
      <c r="C223" s="51" t="s">
        <v>4728</v>
      </c>
      <c r="D223" s="51" t="s">
        <v>4695</v>
      </c>
      <c r="E223" s="58">
        <v>2843599.56</v>
      </c>
      <c r="F223" s="58">
        <v>2566285.09</v>
      </c>
      <c r="G223" s="58">
        <v>5409884.6500000004</v>
      </c>
      <c r="H223" s="57">
        <v>40</v>
      </c>
      <c r="J223" s="54"/>
      <c r="K223" s="52"/>
    </row>
    <row r="224" spans="1:256" x14ac:dyDescent="0.2">
      <c r="A224" s="51" t="s">
        <v>5039</v>
      </c>
      <c r="B224" s="51" t="s">
        <v>4693</v>
      </c>
      <c r="C224" s="51" t="s">
        <v>4744</v>
      </c>
      <c r="D224" s="51" t="s">
        <v>4695</v>
      </c>
      <c r="E224" s="58">
        <v>2783585.28</v>
      </c>
      <c r="F224" s="58">
        <v>2604397.7799999998</v>
      </c>
      <c r="G224" s="58">
        <v>5387983.0599999996</v>
      </c>
      <c r="H224" s="57">
        <v>39</v>
      </c>
      <c r="J224" s="54"/>
      <c r="K224" s="52"/>
    </row>
    <row r="225" spans="1:11" x14ac:dyDescent="0.2">
      <c r="A225" s="51" t="s">
        <v>5038</v>
      </c>
      <c r="B225" s="51" t="s">
        <v>4693</v>
      </c>
      <c r="C225" s="51" t="s">
        <v>4775</v>
      </c>
      <c r="D225" s="51" t="s">
        <v>4695</v>
      </c>
      <c r="E225" s="58">
        <v>2725178.95</v>
      </c>
      <c r="F225" s="58">
        <v>2610650.5099999998</v>
      </c>
      <c r="G225" s="58">
        <v>5335829.46</v>
      </c>
      <c r="H225" s="57">
        <v>35</v>
      </c>
      <c r="J225" s="54"/>
      <c r="K225" s="52"/>
    </row>
    <row r="226" spans="1:11" x14ac:dyDescent="0.2">
      <c r="A226" s="51" t="s">
        <v>5037</v>
      </c>
      <c r="B226" s="51" t="s">
        <v>4717</v>
      </c>
      <c r="C226" s="51" t="s">
        <v>4783</v>
      </c>
      <c r="D226" s="51" t="s">
        <v>4695</v>
      </c>
      <c r="E226" s="58">
        <v>2809769.58</v>
      </c>
      <c r="F226" s="58">
        <v>2483418.2599999998</v>
      </c>
      <c r="G226" s="58">
        <v>5293187.84</v>
      </c>
      <c r="H226" s="57">
        <v>40</v>
      </c>
      <c r="J226" s="54"/>
      <c r="K226" s="52"/>
    </row>
    <row r="227" spans="1:11" x14ac:dyDescent="0.2">
      <c r="A227" s="51" t="s">
        <v>5036</v>
      </c>
      <c r="B227" s="51" t="s">
        <v>4693</v>
      </c>
      <c r="C227" s="51" t="s">
        <v>4700</v>
      </c>
      <c r="D227" s="51" t="s">
        <v>4695</v>
      </c>
      <c r="E227" s="58">
        <v>2631148.21</v>
      </c>
      <c r="F227" s="58">
        <v>2628544.1</v>
      </c>
      <c r="G227" s="58">
        <v>5259692.3100000005</v>
      </c>
      <c r="H227" s="57">
        <v>32</v>
      </c>
      <c r="J227" s="54"/>
      <c r="K227" s="52"/>
    </row>
    <row r="228" spans="1:11" x14ac:dyDescent="0.2">
      <c r="A228" s="51" t="s">
        <v>5035</v>
      </c>
      <c r="B228" s="51" t="s">
        <v>4693</v>
      </c>
      <c r="C228" s="51" t="s">
        <v>4744</v>
      </c>
      <c r="D228" s="51" t="s">
        <v>4691</v>
      </c>
      <c r="E228" s="58">
        <v>2493739.37</v>
      </c>
      <c r="F228" s="58">
        <v>2693689.7</v>
      </c>
      <c r="G228" s="58">
        <v>5187429.07</v>
      </c>
      <c r="H228" s="57">
        <v>60</v>
      </c>
      <c r="J228" s="54"/>
      <c r="K228" s="52"/>
    </row>
    <row r="229" spans="1:11" x14ac:dyDescent="0.2">
      <c r="A229" s="51" t="s">
        <v>5034</v>
      </c>
      <c r="B229" s="51" t="s">
        <v>4693</v>
      </c>
      <c r="C229" s="51" t="s">
        <v>4728</v>
      </c>
      <c r="D229" s="51" t="s">
        <v>4695</v>
      </c>
      <c r="E229" s="58">
        <v>2677578.1</v>
      </c>
      <c r="F229" s="58">
        <v>2508946.7599999998</v>
      </c>
      <c r="G229" s="58">
        <v>5186524.8599999994</v>
      </c>
      <c r="H229" s="57">
        <v>47</v>
      </c>
      <c r="J229" s="54"/>
      <c r="K229" s="52"/>
    </row>
    <row r="230" spans="1:11" x14ac:dyDescent="0.2">
      <c r="A230" s="51" t="s">
        <v>5033</v>
      </c>
      <c r="B230" s="51" t="s">
        <v>4717</v>
      </c>
      <c r="C230" s="51" t="s">
        <v>4792</v>
      </c>
      <c r="D230" s="51" t="s">
        <v>4695</v>
      </c>
      <c r="E230" s="58">
        <v>2659432.91</v>
      </c>
      <c r="F230" s="58">
        <v>2509437.33</v>
      </c>
      <c r="G230" s="58">
        <v>5168870.24</v>
      </c>
      <c r="H230" s="57">
        <v>65</v>
      </c>
      <c r="J230" s="54"/>
      <c r="K230" s="52"/>
    </row>
    <row r="231" spans="1:11" x14ac:dyDescent="0.2">
      <c r="A231" s="51" t="s">
        <v>5032</v>
      </c>
      <c r="B231" s="51" t="s">
        <v>4693</v>
      </c>
      <c r="C231" s="51" t="s">
        <v>4700</v>
      </c>
      <c r="D231" s="51" t="s">
        <v>4695</v>
      </c>
      <c r="E231" s="58">
        <v>2552549.92</v>
      </c>
      <c r="F231" s="58">
        <v>2614966.21</v>
      </c>
      <c r="G231" s="58">
        <v>5167516.13</v>
      </c>
      <c r="H231" s="57">
        <v>49</v>
      </c>
      <c r="J231" s="54"/>
      <c r="K231" s="52"/>
    </row>
    <row r="232" spans="1:11" x14ac:dyDescent="0.2">
      <c r="A232" s="51" t="s">
        <v>5031</v>
      </c>
      <c r="B232" s="51" t="s">
        <v>4693</v>
      </c>
      <c r="C232" s="51" t="s">
        <v>4702</v>
      </c>
      <c r="D232" s="51" t="s">
        <v>4695</v>
      </c>
      <c r="E232" s="58">
        <v>2723155.63</v>
      </c>
      <c r="F232" s="58">
        <v>2436685.9</v>
      </c>
      <c r="G232" s="58">
        <v>5159841.5299999993</v>
      </c>
      <c r="H232" s="57">
        <v>40</v>
      </c>
      <c r="J232" s="54"/>
      <c r="K232" s="52"/>
    </row>
    <row r="233" spans="1:11" x14ac:dyDescent="0.2">
      <c r="A233" s="51" t="s">
        <v>5030</v>
      </c>
      <c r="B233" s="51" t="s">
        <v>4693</v>
      </c>
      <c r="C233" s="51" t="s">
        <v>4728</v>
      </c>
      <c r="D233" s="51" t="s">
        <v>4695</v>
      </c>
      <c r="E233" s="58">
        <v>2609578.31</v>
      </c>
      <c r="F233" s="58">
        <v>2531161.96</v>
      </c>
      <c r="G233" s="58">
        <v>5140740.2699999996</v>
      </c>
      <c r="H233" s="57">
        <v>49</v>
      </c>
      <c r="J233" s="54"/>
      <c r="K233" s="52"/>
    </row>
    <row r="234" spans="1:11" x14ac:dyDescent="0.2">
      <c r="A234" s="51" t="s">
        <v>5029</v>
      </c>
      <c r="B234" s="51" t="s">
        <v>4693</v>
      </c>
      <c r="C234" s="51" t="s">
        <v>4714</v>
      </c>
      <c r="D234" s="51" t="s">
        <v>4691</v>
      </c>
      <c r="E234" s="58">
        <v>2500845.14</v>
      </c>
      <c r="F234" s="58">
        <v>2482318.33</v>
      </c>
      <c r="G234" s="58">
        <v>4983163.4700000007</v>
      </c>
      <c r="H234" s="57">
        <v>65</v>
      </c>
      <c r="J234" s="54"/>
      <c r="K234" s="52"/>
    </row>
    <row r="235" spans="1:11" x14ac:dyDescent="0.2">
      <c r="A235" s="51" t="s">
        <v>5028</v>
      </c>
      <c r="B235" s="51" t="s">
        <v>4717</v>
      </c>
      <c r="C235" s="51" t="s">
        <v>4787</v>
      </c>
      <c r="D235" s="51" t="s">
        <v>4691</v>
      </c>
      <c r="E235" s="58">
        <v>2476460.4</v>
      </c>
      <c r="F235" s="58">
        <v>2465866.19</v>
      </c>
      <c r="G235" s="58">
        <v>4942326.59</v>
      </c>
      <c r="H235" s="57">
        <v>55</v>
      </c>
      <c r="J235" s="54"/>
      <c r="K235" s="52"/>
    </row>
    <row r="236" spans="1:11" x14ac:dyDescent="0.2">
      <c r="A236" s="51" t="s">
        <v>5027</v>
      </c>
      <c r="B236" s="51" t="s">
        <v>4693</v>
      </c>
      <c r="C236" s="51" t="s">
        <v>4837</v>
      </c>
      <c r="D236" s="51" t="s">
        <v>4695</v>
      </c>
      <c r="E236" s="58">
        <v>2645273.52</v>
      </c>
      <c r="F236" s="58">
        <v>2268680.81</v>
      </c>
      <c r="G236" s="58">
        <v>4913954.33</v>
      </c>
      <c r="H236" s="57">
        <v>58</v>
      </c>
      <c r="J236" s="54"/>
      <c r="K236" s="52"/>
    </row>
    <row r="237" spans="1:11" x14ac:dyDescent="0.2">
      <c r="A237" s="51" t="s">
        <v>5026</v>
      </c>
      <c r="B237" s="51" t="s">
        <v>4693</v>
      </c>
      <c r="C237" s="51" t="s">
        <v>4892</v>
      </c>
      <c r="D237" s="51" t="s">
        <v>4695</v>
      </c>
      <c r="E237" s="58">
        <v>2452311.52</v>
      </c>
      <c r="F237" s="58">
        <v>2458313.15</v>
      </c>
      <c r="G237" s="58">
        <v>4910624.67</v>
      </c>
      <c r="H237" s="57">
        <v>40</v>
      </c>
      <c r="J237" s="54"/>
      <c r="K237" s="52"/>
    </row>
    <row r="238" spans="1:11" x14ac:dyDescent="0.2">
      <c r="A238" s="51" t="s">
        <v>5025</v>
      </c>
      <c r="B238" s="51" t="s">
        <v>4693</v>
      </c>
      <c r="C238" s="51" t="s">
        <v>4698</v>
      </c>
      <c r="D238" s="51" t="s">
        <v>4695</v>
      </c>
      <c r="E238" s="58">
        <v>2455009.3199999998</v>
      </c>
      <c r="F238" s="58">
        <v>2452348.7599999998</v>
      </c>
      <c r="G238" s="58">
        <v>4907358.08</v>
      </c>
      <c r="H238" s="57">
        <v>50</v>
      </c>
      <c r="J238" s="54"/>
      <c r="K238" s="52"/>
    </row>
    <row r="239" spans="1:11" x14ac:dyDescent="0.2">
      <c r="A239" s="51" t="s">
        <v>5024</v>
      </c>
      <c r="B239" s="51" t="s">
        <v>4693</v>
      </c>
      <c r="C239" s="51" t="s">
        <v>4744</v>
      </c>
      <c r="D239" s="51" t="s">
        <v>4695</v>
      </c>
      <c r="E239" s="58">
        <v>2485639.44</v>
      </c>
      <c r="F239" s="58">
        <v>2416831.7799999998</v>
      </c>
      <c r="G239" s="58">
        <v>4902471.22</v>
      </c>
      <c r="H239" s="57">
        <v>40</v>
      </c>
      <c r="J239" s="54"/>
      <c r="K239" s="52"/>
    </row>
    <row r="240" spans="1:11" x14ac:dyDescent="0.2">
      <c r="A240" s="51" t="s">
        <v>5023</v>
      </c>
      <c r="B240" s="51" t="s">
        <v>4693</v>
      </c>
      <c r="C240" s="51" t="s">
        <v>4700</v>
      </c>
      <c r="D240" s="51" t="s">
        <v>4695</v>
      </c>
      <c r="E240" s="58">
        <v>2350333.63</v>
      </c>
      <c r="F240" s="58">
        <v>2521083.66</v>
      </c>
      <c r="G240" s="58">
        <v>4871417.29</v>
      </c>
      <c r="H240" s="57">
        <v>40</v>
      </c>
      <c r="J240" s="54"/>
      <c r="K240" s="52"/>
    </row>
    <row r="241" spans="1:256" x14ac:dyDescent="0.2">
      <c r="A241" s="51" t="s">
        <v>5022</v>
      </c>
      <c r="B241" s="51" t="s">
        <v>4693</v>
      </c>
      <c r="C241" s="51" t="s">
        <v>4700</v>
      </c>
      <c r="D241" s="51" t="s">
        <v>4691</v>
      </c>
      <c r="E241" s="58">
        <v>2392967.25</v>
      </c>
      <c r="F241" s="58">
        <v>2435960.85</v>
      </c>
      <c r="G241" s="58">
        <v>4828928.0999999996</v>
      </c>
      <c r="H241" s="57">
        <v>80</v>
      </c>
      <c r="J241" s="54"/>
      <c r="K241" s="52"/>
    </row>
    <row r="242" spans="1:256" x14ac:dyDescent="0.2">
      <c r="A242" s="51" t="s">
        <v>5021</v>
      </c>
      <c r="B242" s="51" t="s">
        <v>4693</v>
      </c>
      <c r="C242" s="51" t="s">
        <v>4830</v>
      </c>
      <c r="D242" s="51" t="s">
        <v>4691</v>
      </c>
      <c r="E242" s="58">
        <v>2390162.2400000002</v>
      </c>
      <c r="F242" s="58">
        <v>2431784.54</v>
      </c>
      <c r="G242" s="58">
        <v>4821946.78</v>
      </c>
      <c r="H242" s="57">
        <v>30</v>
      </c>
      <c r="J242" s="54"/>
      <c r="K242" s="52"/>
    </row>
    <row r="243" spans="1:256" x14ac:dyDescent="0.2">
      <c r="A243" s="51" t="s">
        <v>5020</v>
      </c>
      <c r="B243" s="51" t="s">
        <v>4717</v>
      </c>
      <c r="C243" s="51" t="s">
        <v>4732</v>
      </c>
      <c r="D243" s="51" t="s">
        <v>4691</v>
      </c>
      <c r="E243" s="58">
        <v>2331611.1800000002</v>
      </c>
      <c r="F243" s="58">
        <v>2483356.4500000002</v>
      </c>
      <c r="G243" s="58">
        <v>4814967.6300000008</v>
      </c>
      <c r="H243" s="57">
        <v>60</v>
      </c>
      <c r="J243" s="54"/>
      <c r="K243" s="52"/>
    </row>
    <row r="244" spans="1:256" x14ac:dyDescent="0.2">
      <c r="A244" s="51" t="s">
        <v>5019</v>
      </c>
      <c r="B244" s="51" t="s">
        <v>4693</v>
      </c>
      <c r="C244" s="51" t="s">
        <v>4714</v>
      </c>
      <c r="D244" s="51" t="s">
        <v>4695</v>
      </c>
      <c r="E244" s="58">
        <v>2486981.2200000002</v>
      </c>
      <c r="F244" s="58">
        <v>2322820</v>
      </c>
      <c r="G244" s="58">
        <v>4809801.2200000007</v>
      </c>
      <c r="H244" s="57">
        <v>46</v>
      </c>
      <c r="J244" s="54"/>
      <c r="K244" s="52"/>
    </row>
    <row r="245" spans="1:256" x14ac:dyDescent="0.2">
      <c r="A245" s="51" t="s">
        <v>5018</v>
      </c>
      <c r="B245" s="51" t="s">
        <v>4693</v>
      </c>
      <c r="C245" s="51" t="s">
        <v>4704</v>
      </c>
      <c r="D245" s="51" t="s">
        <v>4691</v>
      </c>
      <c r="E245" s="58">
        <v>2462199.19</v>
      </c>
      <c r="F245" s="58">
        <v>2343096.89</v>
      </c>
      <c r="G245" s="58">
        <v>4805296.08</v>
      </c>
      <c r="H245" s="57">
        <v>82</v>
      </c>
      <c r="J245" s="54"/>
      <c r="K245" s="52"/>
    </row>
    <row r="246" spans="1:256" x14ac:dyDescent="0.2">
      <c r="A246" s="51" t="s">
        <v>5017</v>
      </c>
      <c r="B246" s="51" t="s">
        <v>4693</v>
      </c>
      <c r="C246" s="51" t="s">
        <v>4982</v>
      </c>
      <c r="D246" s="51" t="s">
        <v>4695</v>
      </c>
      <c r="E246" s="58">
        <v>2570078.64</v>
      </c>
      <c r="F246" s="58">
        <v>2227866.08</v>
      </c>
      <c r="G246" s="58">
        <v>4797944.7200000007</v>
      </c>
      <c r="H246" s="57">
        <v>45</v>
      </c>
      <c r="J246" s="54"/>
      <c r="K246" s="52"/>
    </row>
    <row r="247" spans="1:256" x14ac:dyDescent="0.2">
      <c r="A247" s="51" t="s">
        <v>5016</v>
      </c>
      <c r="B247" s="51" t="s">
        <v>4693</v>
      </c>
      <c r="C247" s="51" t="s">
        <v>4735</v>
      </c>
      <c r="D247" s="51" t="s">
        <v>4695</v>
      </c>
      <c r="E247" s="58">
        <v>2365756.84</v>
      </c>
      <c r="F247" s="58">
        <v>2421885.0099999998</v>
      </c>
      <c r="G247" s="58">
        <v>4787641.8499999996</v>
      </c>
      <c r="H247" s="57">
        <v>52</v>
      </c>
      <c r="J247" s="54"/>
      <c r="K247" s="52"/>
    </row>
    <row r="248" spans="1:256" x14ac:dyDescent="0.2">
      <c r="A248" s="51" t="s">
        <v>5015</v>
      </c>
      <c r="B248" s="51" t="s">
        <v>4693</v>
      </c>
      <c r="C248" s="51" t="s">
        <v>4982</v>
      </c>
      <c r="D248" s="51" t="s">
        <v>4695</v>
      </c>
      <c r="E248" s="58">
        <v>2541133.56</v>
      </c>
      <c r="F248" s="58">
        <v>2224814.88</v>
      </c>
      <c r="G248" s="58">
        <v>4765948.4399999995</v>
      </c>
      <c r="H248" s="57">
        <v>44</v>
      </c>
      <c r="J248" s="54"/>
      <c r="K248" s="52"/>
    </row>
    <row r="249" spans="1:256" x14ac:dyDescent="0.2">
      <c r="A249" s="51" t="s">
        <v>5014</v>
      </c>
      <c r="B249" s="51" t="s">
        <v>4693</v>
      </c>
      <c r="C249" s="51" t="s">
        <v>4744</v>
      </c>
      <c r="D249" s="51" t="s">
        <v>4695</v>
      </c>
      <c r="E249" s="58">
        <v>2294901.21</v>
      </c>
      <c r="F249" s="58">
        <v>2430678.12</v>
      </c>
      <c r="G249" s="58">
        <v>4725579.33</v>
      </c>
      <c r="H249" s="57">
        <v>33</v>
      </c>
      <c r="J249" s="54"/>
      <c r="K249" s="52"/>
    </row>
    <row r="250" spans="1:256" x14ac:dyDescent="0.2">
      <c r="A250" s="51" t="s">
        <v>5013</v>
      </c>
      <c r="B250" s="51" t="s">
        <v>4717</v>
      </c>
      <c r="C250" s="51" t="s">
        <v>4720</v>
      </c>
      <c r="D250" s="51" t="s">
        <v>4691</v>
      </c>
      <c r="E250" s="58">
        <v>2342324.34</v>
      </c>
      <c r="F250" s="58">
        <v>2369473.21</v>
      </c>
      <c r="G250" s="58">
        <v>4711797.55</v>
      </c>
      <c r="H250" s="57">
        <v>38</v>
      </c>
      <c r="J250" s="54"/>
      <c r="K250" s="52"/>
    </row>
    <row r="251" spans="1:256" x14ac:dyDescent="0.2">
      <c r="A251" s="51" t="s">
        <v>5012</v>
      </c>
      <c r="B251" s="51" t="s">
        <v>4693</v>
      </c>
      <c r="C251" s="51" t="s">
        <v>4714</v>
      </c>
      <c r="D251" s="51" t="s">
        <v>4695</v>
      </c>
      <c r="E251" s="58">
        <v>2563157.7999999998</v>
      </c>
      <c r="F251" s="58">
        <v>2144597.85</v>
      </c>
      <c r="G251" s="58">
        <v>4707755.6500000004</v>
      </c>
      <c r="H251" s="57">
        <v>54</v>
      </c>
      <c r="J251" s="54"/>
      <c r="K251" s="52"/>
    </row>
    <row r="252" spans="1:256" x14ac:dyDescent="0.2">
      <c r="A252" s="51" t="s">
        <v>5011</v>
      </c>
      <c r="B252" s="51" t="s">
        <v>4693</v>
      </c>
      <c r="C252" s="51" t="s">
        <v>4756</v>
      </c>
      <c r="D252" s="51" t="s">
        <v>4691</v>
      </c>
      <c r="E252" s="58">
        <v>2297440.87</v>
      </c>
      <c r="F252" s="58">
        <v>2403369.1</v>
      </c>
      <c r="G252" s="58">
        <v>4700809.9700000007</v>
      </c>
      <c r="H252" s="57">
        <v>78</v>
      </c>
      <c r="J252" s="54"/>
      <c r="K252" s="52"/>
    </row>
    <row r="253" spans="1:256" x14ac:dyDescent="0.2">
      <c r="A253" s="51" t="s">
        <v>5010</v>
      </c>
      <c r="B253" s="51" t="s">
        <v>4717</v>
      </c>
      <c r="C253" s="51" t="s">
        <v>4824</v>
      </c>
      <c r="D253" s="51" t="s">
        <v>4691</v>
      </c>
      <c r="E253" s="58">
        <v>2399667.17</v>
      </c>
      <c r="F253" s="58">
        <v>2284181.0499999998</v>
      </c>
      <c r="G253" s="58">
        <v>4683848.22</v>
      </c>
      <c r="H253" s="57">
        <v>50</v>
      </c>
      <c r="J253" s="54"/>
      <c r="K253" s="52"/>
    </row>
    <row r="254" spans="1:256" x14ac:dyDescent="0.2">
      <c r="A254" s="51" t="s">
        <v>5009</v>
      </c>
      <c r="B254" s="51" t="s">
        <v>4693</v>
      </c>
      <c r="C254" s="51" t="s">
        <v>4738</v>
      </c>
      <c r="D254" s="51" t="s">
        <v>4691</v>
      </c>
      <c r="E254" s="58">
        <v>2316710.08</v>
      </c>
      <c r="F254" s="58">
        <v>2339499.41</v>
      </c>
      <c r="G254" s="58">
        <v>4656209.49</v>
      </c>
      <c r="H254" s="57">
        <v>57</v>
      </c>
      <c r="J254" s="54"/>
      <c r="K254" s="52"/>
    </row>
    <row r="255" spans="1:256" x14ac:dyDescent="0.2">
      <c r="A255" s="51" t="s">
        <v>5008</v>
      </c>
      <c r="B255" s="51" t="s">
        <v>4693</v>
      </c>
      <c r="C255" s="51" t="s">
        <v>4728</v>
      </c>
      <c r="D255" s="51" t="s">
        <v>4691</v>
      </c>
      <c r="E255" s="58">
        <v>2269890.37</v>
      </c>
      <c r="F255" s="58">
        <v>2372204.2400000002</v>
      </c>
      <c r="G255" s="58">
        <v>4642094.6100000003</v>
      </c>
      <c r="H255" s="57">
        <v>80</v>
      </c>
      <c r="J255" s="54"/>
      <c r="K255" s="52"/>
    </row>
    <row r="256" spans="1:256" ht="12.75" x14ac:dyDescent="0.2">
      <c r="A256" s="51" t="s">
        <v>5007</v>
      </c>
      <c r="B256" s="51" t="s">
        <v>4717</v>
      </c>
      <c r="C256" s="51" t="s">
        <v>4724</v>
      </c>
      <c r="D256" s="51" t="s">
        <v>4691</v>
      </c>
      <c r="E256" s="58">
        <v>2360170.2799999998</v>
      </c>
      <c r="F256" s="58">
        <v>2256770.77</v>
      </c>
      <c r="G256" s="58">
        <v>4616941.05</v>
      </c>
      <c r="H256" s="57">
        <v>55</v>
      </c>
      <c r="I256" s="48"/>
      <c r="J256" s="54"/>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8"/>
      <c r="BK256" s="48"/>
      <c r="BL256" s="48"/>
      <c r="BM256" s="48"/>
      <c r="BN256" s="48"/>
      <c r="BO256" s="48"/>
      <c r="BP256" s="48"/>
      <c r="BQ256" s="48"/>
      <c r="BR256" s="48"/>
      <c r="BS256" s="48"/>
      <c r="BT256" s="48"/>
      <c r="BU256" s="48"/>
      <c r="BV256" s="48"/>
      <c r="BW256" s="48"/>
      <c r="BX256" s="48"/>
      <c r="BY256" s="48"/>
      <c r="BZ256" s="48"/>
      <c r="CA256" s="48"/>
      <c r="CB256" s="48"/>
      <c r="CC256" s="48"/>
      <c r="CD256" s="48"/>
      <c r="CE256" s="48"/>
      <c r="CF256" s="48"/>
      <c r="CG256" s="48"/>
      <c r="CH256" s="48"/>
      <c r="CI256" s="48"/>
      <c r="CJ256" s="48"/>
      <c r="CK256" s="48"/>
      <c r="CL256" s="48"/>
      <c r="CM256" s="48"/>
      <c r="CN256" s="48"/>
      <c r="CO256" s="48"/>
      <c r="CP256" s="48"/>
      <c r="CQ256" s="48"/>
      <c r="CR256" s="48"/>
      <c r="CS256" s="48"/>
      <c r="CT256" s="48"/>
      <c r="CU256" s="48"/>
      <c r="CV256" s="48"/>
      <c r="CW256" s="48"/>
      <c r="CX256" s="48"/>
      <c r="CY256" s="48"/>
      <c r="CZ256" s="48"/>
      <c r="DA256" s="48"/>
      <c r="DB256" s="48"/>
      <c r="DC256" s="48"/>
      <c r="DD256" s="48"/>
      <c r="DE256" s="48"/>
      <c r="DF256" s="48"/>
      <c r="DG256" s="48"/>
      <c r="DH256" s="48"/>
      <c r="DI256" s="48"/>
      <c r="DJ256" s="48"/>
      <c r="DK256" s="48"/>
      <c r="DL256" s="48"/>
      <c r="DM256" s="48"/>
      <c r="DN256" s="48"/>
      <c r="DO256" s="48"/>
      <c r="DP256" s="48"/>
      <c r="DQ256" s="48"/>
      <c r="DR256" s="48"/>
      <c r="DS256" s="48"/>
      <c r="DT256" s="48"/>
      <c r="DU256" s="48"/>
      <c r="DV256" s="48"/>
      <c r="DW256" s="48"/>
      <c r="DX256" s="48"/>
      <c r="DY256" s="48"/>
      <c r="DZ256" s="48"/>
      <c r="EA256" s="48"/>
      <c r="EB256" s="48"/>
      <c r="EC256" s="48"/>
      <c r="ED256" s="48"/>
      <c r="EE256" s="48"/>
      <c r="EF256" s="48"/>
      <c r="EG256" s="48"/>
      <c r="EH256" s="48"/>
      <c r="EI256" s="48"/>
      <c r="EJ256" s="48"/>
      <c r="EK256" s="48"/>
      <c r="EL256" s="48"/>
      <c r="EM256" s="48"/>
      <c r="EN256" s="48"/>
      <c r="EO256" s="48"/>
      <c r="EP256" s="48"/>
      <c r="EQ256" s="48"/>
      <c r="ER256" s="48"/>
      <c r="ES256" s="48"/>
      <c r="ET256" s="48"/>
      <c r="EU256" s="48"/>
      <c r="EV256" s="48"/>
      <c r="EW256" s="48"/>
      <c r="EX256" s="48"/>
      <c r="EY256" s="48"/>
      <c r="EZ256" s="48"/>
      <c r="FA256" s="48"/>
      <c r="FB256" s="48"/>
      <c r="FC256" s="48"/>
      <c r="FD256" s="48"/>
      <c r="FE256" s="48"/>
      <c r="FF256" s="48"/>
      <c r="FG256" s="48"/>
      <c r="FH256" s="48"/>
      <c r="FI256" s="48"/>
      <c r="FJ256" s="48"/>
      <c r="FK256" s="48"/>
      <c r="FL256" s="48"/>
      <c r="FM256" s="48"/>
      <c r="FN256" s="48"/>
      <c r="FO256" s="48"/>
      <c r="FP256" s="48"/>
      <c r="FQ256" s="48"/>
      <c r="FR256" s="48"/>
      <c r="FS256" s="48"/>
      <c r="FT256" s="48"/>
      <c r="FU256" s="48"/>
      <c r="FV256" s="48"/>
      <c r="FW256" s="48"/>
      <c r="FX256" s="48"/>
      <c r="FY256" s="48"/>
      <c r="FZ256" s="48"/>
      <c r="GA256" s="48"/>
      <c r="GB256" s="48"/>
      <c r="GC256" s="48"/>
      <c r="GD256" s="48"/>
      <c r="GE256" s="48"/>
      <c r="GF256" s="48"/>
      <c r="GG256" s="48"/>
      <c r="GH256" s="48"/>
      <c r="GI256" s="48"/>
      <c r="GJ256" s="48"/>
      <c r="GK256" s="48"/>
      <c r="GL256" s="48"/>
      <c r="GM256" s="48"/>
      <c r="GN256" s="48"/>
      <c r="GO256" s="48"/>
      <c r="GP256" s="48"/>
      <c r="GQ256" s="48"/>
      <c r="GR256" s="48"/>
      <c r="GS256" s="48"/>
      <c r="GT256" s="48"/>
      <c r="GU256" s="48"/>
      <c r="GV256" s="48"/>
      <c r="GW256" s="48"/>
      <c r="GX256" s="48"/>
      <c r="GY256" s="48"/>
      <c r="GZ256" s="48"/>
      <c r="HA256" s="48"/>
      <c r="HB256" s="48"/>
      <c r="HC256" s="48"/>
      <c r="HD256" s="48"/>
      <c r="HE256" s="48"/>
      <c r="HF256" s="48"/>
      <c r="HG256" s="48"/>
      <c r="HH256" s="48"/>
      <c r="HI256" s="48"/>
      <c r="HJ256" s="48"/>
      <c r="HK256" s="48"/>
      <c r="HL256" s="48"/>
      <c r="HM256" s="48"/>
      <c r="HN256" s="48"/>
      <c r="HO256" s="48"/>
      <c r="HP256" s="48"/>
      <c r="HQ256" s="48"/>
      <c r="HR256" s="48"/>
      <c r="HS256" s="48"/>
      <c r="HT256" s="48"/>
      <c r="HU256" s="48"/>
      <c r="HV256" s="48"/>
      <c r="HW256" s="48"/>
      <c r="HX256" s="48"/>
      <c r="HY256" s="48"/>
      <c r="HZ256" s="48"/>
      <c r="IA256" s="48"/>
      <c r="IB256" s="48"/>
      <c r="IC256" s="48"/>
      <c r="ID256" s="48"/>
      <c r="IE256" s="48"/>
      <c r="IF256" s="48"/>
      <c r="IG256" s="48"/>
      <c r="IH256" s="48"/>
      <c r="II256" s="48"/>
      <c r="IJ256" s="48"/>
      <c r="IK256" s="48"/>
      <c r="IL256" s="48"/>
      <c r="IM256" s="48"/>
      <c r="IN256" s="48"/>
      <c r="IO256" s="48"/>
      <c r="IP256" s="48"/>
      <c r="IQ256" s="48"/>
      <c r="IR256" s="48"/>
      <c r="IS256" s="48"/>
      <c r="IT256" s="48"/>
      <c r="IU256" s="48"/>
      <c r="IV256" s="48"/>
    </row>
    <row r="257" spans="1:11" ht="12.75" customHeight="1" x14ac:dyDescent="0.2">
      <c r="A257" s="51" t="s">
        <v>5006</v>
      </c>
      <c r="B257" s="51" t="s">
        <v>4717</v>
      </c>
      <c r="C257" s="51" t="s">
        <v>4732</v>
      </c>
      <c r="D257" s="51" t="s">
        <v>4691</v>
      </c>
      <c r="E257" s="58">
        <v>2266846.86</v>
      </c>
      <c r="F257" s="58">
        <v>2337004.12</v>
      </c>
      <c r="G257" s="58">
        <v>4603850.9800000004</v>
      </c>
      <c r="H257" s="57">
        <v>50</v>
      </c>
      <c r="J257" s="54"/>
      <c r="K257" s="52"/>
    </row>
    <row r="258" spans="1:11" x14ac:dyDescent="0.2">
      <c r="A258" s="51" t="s">
        <v>5005</v>
      </c>
      <c r="B258" s="51" t="s">
        <v>4717</v>
      </c>
      <c r="C258" s="51" t="s">
        <v>4762</v>
      </c>
      <c r="D258" s="51" t="s">
        <v>4691</v>
      </c>
      <c r="E258" s="58">
        <v>2246253.5</v>
      </c>
      <c r="F258" s="58">
        <v>2336384.39</v>
      </c>
      <c r="G258" s="58">
        <v>4582637.8900000006</v>
      </c>
      <c r="H258" s="57">
        <v>83</v>
      </c>
      <c r="J258" s="54"/>
      <c r="K258" s="52"/>
    </row>
    <row r="259" spans="1:11" x14ac:dyDescent="0.2">
      <c r="A259" s="51" t="s">
        <v>5004</v>
      </c>
      <c r="B259" s="51" t="s">
        <v>4717</v>
      </c>
      <c r="C259" s="51" t="s">
        <v>4961</v>
      </c>
      <c r="D259" s="51" t="s">
        <v>4695</v>
      </c>
      <c r="E259" s="58">
        <v>2292526.33</v>
      </c>
      <c r="F259" s="58">
        <v>2268795</v>
      </c>
      <c r="G259" s="58">
        <v>4561321.33</v>
      </c>
      <c r="H259" s="57">
        <v>33</v>
      </c>
      <c r="J259" s="54"/>
      <c r="K259" s="52"/>
    </row>
    <row r="260" spans="1:11" x14ac:dyDescent="0.2">
      <c r="A260" s="51" t="s">
        <v>5003</v>
      </c>
      <c r="B260" s="51" t="s">
        <v>4693</v>
      </c>
      <c r="C260" s="51" t="s">
        <v>4822</v>
      </c>
      <c r="D260" s="51" t="s">
        <v>4691</v>
      </c>
      <c r="E260" s="58">
        <v>2387313.4700000002</v>
      </c>
      <c r="F260" s="58">
        <v>2170157.16</v>
      </c>
      <c r="G260" s="58">
        <v>4557470.6300000008</v>
      </c>
      <c r="H260" s="57">
        <v>83</v>
      </c>
      <c r="J260" s="54"/>
      <c r="K260" s="52"/>
    </row>
    <row r="261" spans="1:11" x14ac:dyDescent="0.2">
      <c r="A261" s="51" t="s">
        <v>5002</v>
      </c>
      <c r="B261" s="51" t="s">
        <v>4693</v>
      </c>
      <c r="C261" s="51" t="s">
        <v>4779</v>
      </c>
      <c r="D261" s="51" t="s">
        <v>4691</v>
      </c>
      <c r="E261" s="58">
        <v>2247990.08</v>
      </c>
      <c r="F261" s="58">
        <v>2257831.89</v>
      </c>
      <c r="G261" s="58">
        <v>4505821.9700000007</v>
      </c>
      <c r="H261" s="57">
        <v>97</v>
      </c>
      <c r="J261" s="54"/>
      <c r="K261" s="52"/>
    </row>
    <row r="262" spans="1:11" x14ac:dyDescent="0.2">
      <c r="A262" s="51" t="s">
        <v>5001</v>
      </c>
      <c r="B262" s="51" t="s">
        <v>4693</v>
      </c>
      <c r="C262" s="51" t="s">
        <v>4982</v>
      </c>
      <c r="D262" s="51" t="s">
        <v>4691</v>
      </c>
      <c r="E262" s="58">
        <v>2271894.4700000002</v>
      </c>
      <c r="F262" s="58">
        <v>2230785.84</v>
      </c>
      <c r="G262" s="58">
        <v>4502680.3100000005</v>
      </c>
      <c r="H262" s="57">
        <v>71</v>
      </c>
      <c r="J262" s="54"/>
      <c r="K262" s="52"/>
    </row>
    <row r="263" spans="1:11" x14ac:dyDescent="0.2">
      <c r="A263" s="51" t="s">
        <v>5000</v>
      </c>
      <c r="B263" s="51" t="s">
        <v>4717</v>
      </c>
      <c r="C263" s="51" t="s">
        <v>4720</v>
      </c>
      <c r="D263" s="51" t="s">
        <v>4695</v>
      </c>
      <c r="E263" s="58">
        <v>2294241.4300000002</v>
      </c>
      <c r="F263" s="58">
        <v>2174233.3199999998</v>
      </c>
      <c r="G263" s="58">
        <v>4468474.75</v>
      </c>
      <c r="H263" s="57">
        <v>31</v>
      </c>
      <c r="J263" s="54"/>
      <c r="K263" s="52"/>
    </row>
    <row r="264" spans="1:11" x14ac:dyDescent="0.2">
      <c r="A264" s="51" t="s">
        <v>4999</v>
      </c>
      <c r="B264" s="51" t="s">
        <v>4717</v>
      </c>
      <c r="C264" s="51" t="s">
        <v>4824</v>
      </c>
      <c r="D264" s="51" t="s">
        <v>4691</v>
      </c>
      <c r="E264" s="58">
        <v>2293956.11</v>
      </c>
      <c r="F264" s="58">
        <v>2135419.81</v>
      </c>
      <c r="G264" s="58">
        <v>4429375.92</v>
      </c>
      <c r="H264" s="57">
        <v>70</v>
      </c>
      <c r="J264" s="54"/>
      <c r="K264" s="52"/>
    </row>
    <row r="265" spans="1:11" x14ac:dyDescent="0.2">
      <c r="A265" s="51" t="s">
        <v>4998</v>
      </c>
      <c r="B265" s="51" t="s">
        <v>4693</v>
      </c>
      <c r="C265" s="51" t="s">
        <v>4910</v>
      </c>
      <c r="D265" s="51" t="s">
        <v>4695</v>
      </c>
      <c r="E265" s="58">
        <v>2263318.9</v>
      </c>
      <c r="F265" s="58">
        <v>2158808.09</v>
      </c>
      <c r="G265" s="58">
        <v>4422126.99</v>
      </c>
      <c r="H265" s="57">
        <v>40</v>
      </c>
      <c r="J265" s="54"/>
      <c r="K265" s="52"/>
    </row>
    <row r="266" spans="1:11" x14ac:dyDescent="0.2">
      <c r="A266" s="51" t="s">
        <v>4997</v>
      </c>
      <c r="B266" s="51" t="s">
        <v>4693</v>
      </c>
      <c r="C266" s="51" t="s">
        <v>4692</v>
      </c>
      <c r="D266" s="51" t="s">
        <v>4691</v>
      </c>
      <c r="E266" s="58">
        <v>2287222.64</v>
      </c>
      <c r="F266" s="58">
        <v>2130779.6800000002</v>
      </c>
      <c r="G266" s="58">
        <v>4418002.32</v>
      </c>
      <c r="H266" s="57">
        <v>90</v>
      </c>
      <c r="J266" s="54"/>
      <c r="K266" s="52"/>
    </row>
    <row r="267" spans="1:11" x14ac:dyDescent="0.2">
      <c r="A267" s="51" t="s">
        <v>4996</v>
      </c>
      <c r="B267" s="51" t="s">
        <v>4693</v>
      </c>
      <c r="C267" s="51" t="s">
        <v>4708</v>
      </c>
      <c r="D267" s="51" t="s">
        <v>4695</v>
      </c>
      <c r="E267" s="58">
        <v>2223941.9300000002</v>
      </c>
      <c r="F267" s="58">
        <v>2162828.2999999998</v>
      </c>
      <c r="G267" s="58">
        <v>4386770.2300000004</v>
      </c>
      <c r="H267" s="57">
        <v>48</v>
      </c>
      <c r="J267" s="54"/>
      <c r="K267" s="52"/>
    </row>
    <row r="268" spans="1:11" x14ac:dyDescent="0.2">
      <c r="A268" s="51" t="s">
        <v>3991</v>
      </c>
      <c r="B268" s="51" t="s">
        <v>4717</v>
      </c>
      <c r="C268" s="51" t="s">
        <v>4824</v>
      </c>
      <c r="D268" s="51" t="s">
        <v>4695</v>
      </c>
      <c r="E268" s="58">
        <v>2166332.25</v>
      </c>
      <c r="F268" s="58">
        <v>2196326.19</v>
      </c>
      <c r="G268" s="58">
        <v>4362658.4399999995</v>
      </c>
      <c r="H268" s="57">
        <v>54</v>
      </c>
      <c r="J268" s="54"/>
      <c r="K268" s="52"/>
    </row>
    <row r="269" spans="1:11" x14ac:dyDescent="0.2">
      <c r="A269" s="51" t="s">
        <v>4995</v>
      </c>
      <c r="B269" s="51" t="s">
        <v>4717</v>
      </c>
      <c r="C269" s="51" t="s">
        <v>4732</v>
      </c>
      <c r="D269" s="51" t="s">
        <v>4691</v>
      </c>
      <c r="E269" s="58">
        <v>2197009.2400000002</v>
      </c>
      <c r="F269" s="58">
        <v>2119990.21</v>
      </c>
      <c r="G269" s="58">
        <v>4316999.45</v>
      </c>
      <c r="H269" s="57">
        <v>42</v>
      </c>
      <c r="J269" s="54"/>
      <c r="K269" s="52"/>
    </row>
    <row r="270" spans="1:11" x14ac:dyDescent="0.2">
      <c r="A270" s="51" t="s">
        <v>4994</v>
      </c>
      <c r="B270" s="51" t="s">
        <v>4717</v>
      </c>
      <c r="C270" s="51" t="s">
        <v>4889</v>
      </c>
      <c r="D270" s="51" t="s">
        <v>4695</v>
      </c>
      <c r="E270" s="58">
        <v>2153597.52</v>
      </c>
      <c r="F270" s="58">
        <v>2163097.02</v>
      </c>
      <c r="G270" s="58">
        <v>4316694.54</v>
      </c>
      <c r="H270" s="57">
        <v>40</v>
      </c>
      <c r="J270" s="54"/>
      <c r="K270" s="52"/>
    </row>
    <row r="271" spans="1:11" x14ac:dyDescent="0.2">
      <c r="A271" s="51" t="s">
        <v>4993</v>
      </c>
      <c r="B271" s="51" t="s">
        <v>4693</v>
      </c>
      <c r="C271" s="51" t="s">
        <v>4822</v>
      </c>
      <c r="D271" s="51" t="s">
        <v>4691</v>
      </c>
      <c r="E271" s="58">
        <v>2194106.8199999998</v>
      </c>
      <c r="F271" s="58">
        <v>2112653.66</v>
      </c>
      <c r="G271" s="58">
        <v>4306760.4800000004</v>
      </c>
      <c r="H271" s="57">
        <v>58</v>
      </c>
      <c r="J271" s="54"/>
      <c r="K271" s="52"/>
    </row>
    <row r="272" spans="1:11" x14ac:dyDescent="0.2">
      <c r="A272" s="51" t="s">
        <v>4992</v>
      </c>
      <c r="B272" s="51" t="s">
        <v>4693</v>
      </c>
      <c r="C272" s="51" t="s">
        <v>4714</v>
      </c>
      <c r="D272" s="51" t="s">
        <v>4691</v>
      </c>
      <c r="E272" s="58">
        <v>2261667.2599999998</v>
      </c>
      <c r="F272" s="58">
        <v>2039554.29</v>
      </c>
      <c r="G272" s="58">
        <v>4301221.55</v>
      </c>
      <c r="H272" s="57">
        <v>68</v>
      </c>
      <c r="J272" s="54"/>
      <c r="K272" s="52"/>
    </row>
    <row r="273" spans="1:11" x14ac:dyDescent="0.2">
      <c r="A273" s="51" t="s">
        <v>4991</v>
      </c>
      <c r="B273" s="51" t="s">
        <v>4693</v>
      </c>
      <c r="C273" s="51" t="s">
        <v>4779</v>
      </c>
      <c r="D273" s="51" t="s">
        <v>4695</v>
      </c>
      <c r="E273" s="58">
        <v>2302918.61</v>
      </c>
      <c r="F273" s="58">
        <v>1998210.63</v>
      </c>
      <c r="G273" s="58">
        <v>4301129.24</v>
      </c>
      <c r="H273" s="57">
        <v>40</v>
      </c>
      <c r="J273" s="54"/>
      <c r="K273" s="52"/>
    </row>
    <row r="274" spans="1:11" x14ac:dyDescent="0.2">
      <c r="A274" s="51" t="s">
        <v>4990</v>
      </c>
      <c r="B274" s="51" t="s">
        <v>4693</v>
      </c>
      <c r="C274" s="51" t="s">
        <v>4982</v>
      </c>
      <c r="D274" s="51" t="s">
        <v>4695</v>
      </c>
      <c r="E274" s="58">
        <v>2112602.66</v>
      </c>
      <c r="F274" s="58">
        <v>2181089.7799999998</v>
      </c>
      <c r="G274" s="58">
        <v>4293692.4399999995</v>
      </c>
      <c r="H274" s="57">
        <v>40</v>
      </c>
      <c r="J274" s="54"/>
      <c r="K274" s="52"/>
    </row>
    <row r="275" spans="1:11" x14ac:dyDescent="0.2">
      <c r="A275" s="51" t="s">
        <v>4989</v>
      </c>
      <c r="B275" s="51" t="s">
        <v>4717</v>
      </c>
      <c r="C275" s="51" t="s">
        <v>4751</v>
      </c>
      <c r="D275" s="51" t="s">
        <v>4691</v>
      </c>
      <c r="E275" s="58">
        <v>2151040.7400000002</v>
      </c>
      <c r="F275" s="58">
        <v>2135642.37</v>
      </c>
      <c r="G275" s="58">
        <v>4286683.1100000003</v>
      </c>
      <c r="H275" s="57">
        <v>63</v>
      </c>
      <c r="J275" s="54"/>
      <c r="K275" s="52"/>
    </row>
    <row r="276" spans="1:11" x14ac:dyDescent="0.2">
      <c r="A276" s="51" t="s">
        <v>4988</v>
      </c>
      <c r="B276" s="51" t="s">
        <v>4717</v>
      </c>
      <c r="C276" s="51" t="s">
        <v>4732</v>
      </c>
      <c r="D276" s="51" t="s">
        <v>4695</v>
      </c>
      <c r="E276" s="58">
        <v>2103178.5</v>
      </c>
      <c r="F276" s="58">
        <v>2172308.9900000002</v>
      </c>
      <c r="G276" s="58">
        <v>4275487.49</v>
      </c>
      <c r="H276" s="57">
        <v>47</v>
      </c>
      <c r="J276" s="54"/>
      <c r="K276" s="52"/>
    </row>
    <row r="277" spans="1:11" x14ac:dyDescent="0.2">
      <c r="A277" s="51" t="s">
        <v>4987</v>
      </c>
      <c r="B277" s="51" t="s">
        <v>4693</v>
      </c>
      <c r="C277" s="51" t="s">
        <v>4704</v>
      </c>
      <c r="D277" s="51" t="s">
        <v>4691</v>
      </c>
      <c r="E277" s="58">
        <v>2246423.7000000002</v>
      </c>
      <c r="F277" s="58">
        <v>2028359.73</v>
      </c>
      <c r="G277" s="58">
        <v>4274783.43</v>
      </c>
      <c r="H277" s="57">
        <v>70</v>
      </c>
      <c r="J277" s="54"/>
      <c r="K277" s="52"/>
    </row>
    <row r="278" spans="1:11" x14ac:dyDescent="0.2">
      <c r="A278" s="51" t="s">
        <v>4986</v>
      </c>
      <c r="B278" s="51" t="s">
        <v>4693</v>
      </c>
      <c r="C278" s="51" t="s">
        <v>4714</v>
      </c>
      <c r="D278" s="51" t="s">
        <v>4695</v>
      </c>
      <c r="E278" s="58">
        <v>2345271.35</v>
      </c>
      <c r="F278" s="58">
        <v>1917758.99</v>
      </c>
      <c r="G278" s="58">
        <v>4263030.34</v>
      </c>
      <c r="H278" s="57">
        <v>50</v>
      </c>
      <c r="J278" s="54"/>
      <c r="K278" s="52"/>
    </row>
    <row r="279" spans="1:11" x14ac:dyDescent="0.2">
      <c r="A279" s="51" t="s">
        <v>4985</v>
      </c>
      <c r="B279" s="51" t="s">
        <v>4693</v>
      </c>
      <c r="C279" s="51" t="s">
        <v>4744</v>
      </c>
      <c r="D279" s="51" t="s">
        <v>4695</v>
      </c>
      <c r="E279" s="58">
        <v>1994147.11</v>
      </c>
      <c r="F279" s="58">
        <v>2208309.7999999998</v>
      </c>
      <c r="G279" s="58">
        <v>4202456.91</v>
      </c>
      <c r="H279" s="57">
        <v>41</v>
      </c>
      <c r="J279" s="54"/>
      <c r="K279" s="52"/>
    </row>
    <row r="280" spans="1:11" x14ac:dyDescent="0.2">
      <c r="A280" s="51" t="s">
        <v>4984</v>
      </c>
      <c r="B280" s="51" t="s">
        <v>4693</v>
      </c>
      <c r="C280" s="51" t="s">
        <v>4880</v>
      </c>
      <c r="D280" s="51" t="s">
        <v>4695</v>
      </c>
      <c r="E280" s="58">
        <v>2053634.62</v>
      </c>
      <c r="F280" s="58">
        <v>2106821.9300000002</v>
      </c>
      <c r="G280" s="58">
        <v>4160456.5500000003</v>
      </c>
      <c r="H280" s="57">
        <v>60</v>
      </c>
      <c r="J280" s="54"/>
      <c r="K280" s="52"/>
    </row>
    <row r="281" spans="1:11" x14ac:dyDescent="0.2">
      <c r="A281" s="51" t="s">
        <v>4983</v>
      </c>
      <c r="B281" s="51" t="s">
        <v>4693</v>
      </c>
      <c r="C281" s="51" t="s">
        <v>4982</v>
      </c>
      <c r="D281" s="51" t="s">
        <v>4695</v>
      </c>
      <c r="E281" s="58">
        <v>2218432.35</v>
      </c>
      <c r="F281" s="58">
        <v>1938483.29</v>
      </c>
      <c r="G281" s="58">
        <v>4156915.64</v>
      </c>
      <c r="H281" s="57">
        <v>46</v>
      </c>
      <c r="J281" s="54"/>
      <c r="K281" s="52"/>
    </row>
    <row r="282" spans="1:11" x14ac:dyDescent="0.2">
      <c r="A282" s="51" t="s">
        <v>4981</v>
      </c>
      <c r="B282" s="51" t="s">
        <v>4717</v>
      </c>
      <c r="C282" s="51" t="s">
        <v>4751</v>
      </c>
      <c r="D282" s="51" t="s">
        <v>4691</v>
      </c>
      <c r="E282" s="58">
        <v>2088518.7</v>
      </c>
      <c r="F282" s="58">
        <v>2038774.66</v>
      </c>
      <c r="G282" s="58">
        <v>4127293.36</v>
      </c>
      <c r="H282" s="57">
        <v>41</v>
      </c>
      <c r="J282" s="54"/>
      <c r="K282" s="52"/>
    </row>
    <row r="283" spans="1:11" x14ac:dyDescent="0.2">
      <c r="A283" s="51" t="s">
        <v>4980</v>
      </c>
      <c r="B283" s="51" t="s">
        <v>4693</v>
      </c>
      <c r="C283" s="51" t="s">
        <v>4779</v>
      </c>
      <c r="D283" s="51" t="s">
        <v>4691</v>
      </c>
      <c r="E283" s="58">
        <v>2083164.13</v>
      </c>
      <c r="F283" s="58">
        <v>2018152.92</v>
      </c>
      <c r="G283" s="58">
        <v>4101317.05</v>
      </c>
      <c r="H283" s="57">
        <v>60</v>
      </c>
      <c r="J283" s="54"/>
      <c r="K283" s="52"/>
    </row>
    <row r="284" spans="1:11" x14ac:dyDescent="0.2">
      <c r="A284" s="51" t="s">
        <v>4979</v>
      </c>
      <c r="B284" s="51" t="s">
        <v>4693</v>
      </c>
      <c r="C284" s="51" t="s">
        <v>4714</v>
      </c>
      <c r="D284" s="51" t="s">
        <v>4695</v>
      </c>
      <c r="E284" s="58">
        <v>2103445.79</v>
      </c>
      <c r="F284" s="58">
        <v>1973088.76</v>
      </c>
      <c r="G284" s="58">
        <v>4076534.55</v>
      </c>
      <c r="H284" s="57">
        <v>40</v>
      </c>
      <c r="J284" s="54"/>
      <c r="K284" s="52"/>
    </row>
    <row r="285" spans="1:11" x14ac:dyDescent="0.2">
      <c r="A285" s="51" t="s">
        <v>4978</v>
      </c>
      <c r="B285" s="51" t="s">
        <v>4693</v>
      </c>
      <c r="C285" s="51" t="s">
        <v>4700</v>
      </c>
      <c r="D285" s="51" t="s">
        <v>4695</v>
      </c>
      <c r="E285" s="58">
        <v>2004910.45</v>
      </c>
      <c r="F285" s="58">
        <v>2060486.3</v>
      </c>
      <c r="G285" s="58">
        <v>4065396.75</v>
      </c>
      <c r="H285" s="57">
        <v>31</v>
      </c>
      <c r="J285" s="54"/>
      <c r="K285" s="52"/>
    </row>
    <row r="286" spans="1:11" x14ac:dyDescent="0.2">
      <c r="A286" s="51" t="s">
        <v>4977</v>
      </c>
      <c r="B286" s="51" t="s">
        <v>4693</v>
      </c>
      <c r="C286" s="51" t="s">
        <v>4702</v>
      </c>
      <c r="D286" s="51" t="s">
        <v>4695</v>
      </c>
      <c r="E286" s="58">
        <v>2129482.94</v>
      </c>
      <c r="F286" s="58">
        <v>1907361.24</v>
      </c>
      <c r="G286" s="58">
        <v>4036844.1799999997</v>
      </c>
      <c r="H286" s="57">
        <v>48</v>
      </c>
      <c r="J286" s="54"/>
      <c r="K286" s="52"/>
    </row>
    <row r="287" spans="1:11" x14ac:dyDescent="0.2">
      <c r="A287" s="51" t="s">
        <v>4976</v>
      </c>
      <c r="B287" s="51" t="s">
        <v>4717</v>
      </c>
      <c r="C287" s="51" t="s">
        <v>4801</v>
      </c>
      <c r="D287" s="51" t="s">
        <v>4695</v>
      </c>
      <c r="E287" s="58">
        <v>2040794.29</v>
      </c>
      <c r="F287" s="58">
        <v>1992156.21</v>
      </c>
      <c r="G287" s="58">
        <v>4032950.5</v>
      </c>
      <c r="H287" s="57">
        <v>44</v>
      </c>
      <c r="J287" s="54"/>
      <c r="K287" s="52"/>
    </row>
    <row r="288" spans="1:11" x14ac:dyDescent="0.2">
      <c r="A288" s="51" t="s">
        <v>4975</v>
      </c>
      <c r="B288" s="51" t="s">
        <v>4717</v>
      </c>
      <c r="C288" s="51" t="s">
        <v>4762</v>
      </c>
      <c r="D288" s="51" t="s">
        <v>4691</v>
      </c>
      <c r="E288" s="58">
        <v>1915109.02</v>
      </c>
      <c r="F288" s="58">
        <v>2105669.09</v>
      </c>
      <c r="G288" s="58">
        <v>4020778.11</v>
      </c>
      <c r="H288" s="57">
        <v>63</v>
      </c>
      <c r="J288" s="54"/>
      <c r="K288" s="52"/>
    </row>
    <row r="289" spans="1:11" x14ac:dyDescent="0.2">
      <c r="A289" s="51" t="s">
        <v>3320</v>
      </c>
      <c r="B289" s="51" t="s">
        <v>4717</v>
      </c>
      <c r="C289" s="51" t="s">
        <v>4792</v>
      </c>
      <c r="D289" s="51" t="s">
        <v>4695</v>
      </c>
      <c r="E289" s="58">
        <v>2040532.19</v>
      </c>
      <c r="F289" s="58">
        <v>1969447.56</v>
      </c>
      <c r="G289" s="58">
        <v>4009979.75</v>
      </c>
      <c r="H289" s="57">
        <v>35</v>
      </c>
      <c r="J289" s="54"/>
      <c r="K289" s="52"/>
    </row>
    <row r="290" spans="1:11" x14ac:dyDescent="0.2">
      <c r="A290" s="51" t="s">
        <v>4974</v>
      </c>
      <c r="B290" s="51" t="s">
        <v>4717</v>
      </c>
      <c r="C290" s="51" t="s">
        <v>4758</v>
      </c>
      <c r="D290" s="51" t="s">
        <v>4691</v>
      </c>
      <c r="E290" s="58">
        <v>2077605.26</v>
      </c>
      <c r="F290" s="58">
        <v>1924240.66</v>
      </c>
      <c r="G290" s="58">
        <v>4001845.92</v>
      </c>
      <c r="H290" s="57">
        <v>46</v>
      </c>
      <c r="J290" s="54"/>
      <c r="K290" s="52"/>
    </row>
    <row r="291" spans="1:11" x14ac:dyDescent="0.2">
      <c r="A291" s="51" t="s">
        <v>4973</v>
      </c>
      <c r="B291" s="51" t="s">
        <v>4717</v>
      </c>
      <c r="C291" s="51" t="s">
        <v>4789</v>
      </c>
      <c r="D291" s="51" t="s">
        <v>4691</v>
      </c>
      <c r="E291" s="58">
        <v>1908767.72</v>
      </c>
      <c r="F291" s="58">
        <v>2071083.74</v>
      </c>
      <c r="G291" s="58">
        <v>3979851.46</v>
      </c>
      <c r="H291" s="57">
        <v>68</v>
      </c>
      <c r="J291" s="54"/>
      <c r="K291" s="52"/>
    </row>
    <row r="292" spans="1:11" x14ac:dyDescent="0.2">
      <c r="A292" s="51" t="s">
        <v>4972</v>
      </c>
      <c r="B292" s="51" t="s">
        <v>4693</v>
      </c>
      <c r="C292" s="51" t="s">
        <v>4844</v>
      </c>
      <c r="D292" s="51" t="s">
        <v>4691</v>
      </c>
      <c r="E292" s="58">
        <v>1968623.55</v>
      </c>
      <c r="F292" s="58">
        <v>1993231.56</v>
      </c>
      <c r="G292" s="58">
        <v>3961855.1100000003</v>
      </c>
      <c r="H292" s="57">
        <v>50</v>
      </c>
      <c r="J292" s="54"/>
      <c r="K292" s="52"/>
    </row>
    <row r="293" spans="1:11" x14ac:dyDescent="0.2">
      <c r="A293" s="51" t="s">
        <v>4971</v>
      </c>
      <c r="B293" s="51" t="s">
        <v>4693</v>
      </c>
      <c r="C293" s="51" t="s">
        <v>4714</v>
      </c>
      <c r="D293" s="51" t="s">
        <v>4695</v>
      </c>
      <c r="E293" s="58">
        <v>2010730.74</v>
      </c>
      <c r="F293" s="58">
        <v>1942743.22</v>
      </c>
      <c r="G293" s="58">
        <v>3953473.96</v>
      </c>
      <c r="H293" s="57">
        <v>44</v>
      </c>
      <c r="J293" s="54"/>
      <c r="K293" s="52"/>
    </row>
    <row r="294" spans="1:11" x14ac:dyDescent="0.2">
      <c r="A294" s="51" t="s">
        <v>4970</v>
      </c>
      <c r="B294" s="51" t="s">
        <v>4717</v>
      </c>
      <c r="C294" s="51" t="s">
        <v>4758</v>
      </c>
      <c r="D294" s="51" t="s">
        <v>4691</v>
      </c>
      <c r="E294" s="58">
        <v>2035671.84</v>
      </c>
      <c r="F294" s="58">
        <v>1910876.49</v>
      </c>
      <c r="G294" s="58">
        <v>3946548.33</v>
      </c>
      <c r="H294" s="57">
        <v>42</v>
      </c>
      <c r="J294" s="54"/>
      <c r="K294" s="52"/>
    </row>
    <row r="295" spans="1:11" x14ac:dyDescent="0.2">
      <c r="A295" s="51" t="s">
        <v>4969</v>
      </c>
      <c r="B295" s="51" t="s">
        <v>4693</v>
      </c>
      <c r="C295" s="51" t="s">
        <v>4892</v>
      </c>
      <c r="D295" s="51" t="s">
        <v>4695</v>
      </c>
      <c r="E295" s="58">
        <v>2092115.78</v>
      </c>
      <c r="F295" s="58">
        <v>1816491.17</v>
      </c>
      <c r="G295" s="58">
        <v>3908606.95</v>
      </c>
      <c r="H295" s="57">
        <v>38</v>
      </c>
      <c r="J295" s="54"/>
      <c r="K295" s="52"/>
    </row>
    <row r="296" spans="1:11" x14ac:dyDescent="0.2">
      <c r="A296" s="51" t="s">
        <v>4968</v>
      </c>
      <c r="B296" s="51" t="s">
        <v>4693</v>
      </c>
      <c r="C296" s="51" t="s">
        <v>4747</v>
      </c>
      <c r="D296" s="51" t="s">
        <v>4691</v>
      </c>
      <c r="E296" s="58">
        <v>2007577.98</v>
      </c>
      <c r="F296" s="58">
        <v>1898055.25</v>
      </c>
      <c r="G296" s="58">
        <v>3905633.23</v>
      </c>
      <c r="H296" s="57">
        <v>60</v>
      </c>
      <c r="J296" s="54"/>
      <c r="K296" s="52"/>
    </row>
    <row r="297" spans="1:11" x14ac:dyDescent="0.2">
      <c r="A297" s="51" t="s">
        <v>4967</v>
      </c>
      <c r="B297" s="51" t="s">
        <v>4717</v>
      </c>
      <c r="C297" s="51" t="s">
        <v>4783</v>
      </c>
      <c r="D297" s="51" t="s">
        <v>4691</v>
      </c>
      <c r="E297" s="58">
        <v>2045912.65</v>
      </c>
      <c r="F297" s="58">
        <v>1852905.16</v>
      </c>
      <c r="G297" s="58">
        <v>3898817.8099999996</v>
      </c>
      <c r="H297" s="57">
        <v>40</v>
      </c>
      <c r="J297" s="54"/>
      <c r="K297" s="52"/>
    </row>
    <row r="298" spans="1:11" x14ac:dyDescent="0.2">
      <c r="A298" s="51" t="s">
        <v>4966</v>
      </c>
      <c r="B298" s="51" t="s">
        <v>4693</v>
      </c>
      <c r="C298" s="51" t="s">
        <v>4830</v>
      </c>
      <c r="D298" s="51" t="s">
        <v>4695</v>
      </c>
      <c r="E298" s="58">
        <v>1924864.2</v>
      </c>
      <c r="F298" s="58">
        <v>1970980.41</v>
      </c>
      <c r="G298" s="58">
        <v>3895844.61</v>
      </c>
      <c r="H298" s="57">
        <v>21</v>
      </c>
      <c r="J298" s="54"/>
      <c r="K298" s="52"/>
    </row>
    <row r="299" spans="1:11" x14ac:dyDescent="0.2">
      <c r="A299" s="51" t="s">
        <v>4965</v>
      </c>
      <c r="B299" s="51" t="s">
        <v>4693</v>
      </c>
      <c r="C299" s="51" t="s">
        <v>4822</v>
      </c>
      <c r="D299" s="51" t="s">
        <v>4691</v>
      </c>
      <c r="E299" s="58">
        <v>1934224.53</v>
      </c>
      <c r="F299" s="58">
        <v>1942520.23</v>
      </c>
      <c r="G299" s="58">
        <v>3876744.76</v>
      </c>
      <c r="H299" s="57">
        <v>61</v>
      </c>
      <c r="J299" s="54"/>
      <c r="K299" s="52"/>
    </row>
    <row r="300" spans="1:11" x14ac:dyDescent="0.2">
      <c r="A300" s="51" t="s">
        <v>4964</v>
      </c>
      <c r="B300" s="51" t="s">
        <v>4717</v>
      </c>
      <c r="C300" s="51" t="s">
        <v>4751</v>
      </c>
      <c r="D300" s="51" t="s">
        <v>4691</v>
      </c>
      <c r="E300" s="58">
        <v>1890437.69</v>
      </c>
      <c r="F300" s="58">
        <v>1976032.83</v>
      </c>
      <c r="G300" s="58">
        <v>3866470.52</v>
      </c>
      <c r="H300" s="57">
        <v>37</v>
      </c>
      <c r="J300" s="54"/>
      <c r="K300" s="52"/>
    </row>
    <row r="301" spans="1:11" x14ac:dyDescent="0.2">
      <c r="A301" s="51" t="s">
        <v>4963</v>
      </c>
      <c r="B301" s="51" t="s">
        <v>4717</v>
      </c>
      <c r="C301" s="51" t="s">
        <v>4732</v>
      </c>
      <c r="D301" s="51" t="s">
        <v>4695</v>
      </c>
      <c r="E301" s="58">
        <v>1936963.66</v>
      </c>
      <c r="F301" s="58">
        <v>1919200.45</v>
      </c>
      <c r="G301" s="58">
        <v>3856164.11</v>
      </c>
      <c r="H301" s="57">
        <v>36</v>
      </c>
      <c r="J301" s="54"/>
      <c r="K301" s="52"/>
    </row>
    <row r="302" spans="1:11" x14ac:dyDescent="0.2">
      <c r="A302" s="51" t="s">
        <v>4962</v>
      </c>
      <c r="B302" s="51" t="s">
        <v>4717</v>
      </c>
      <c r="C302" s="51" t="s">
        <v>4961</v>
      </c>
      <c r="D302" s="51" t="s">
        <v>4691</v>
      </c>
      <c r="E302" s="58">
        <v>1894708.59</v>
      </c>
      <c r="F302" s="58">
        <v>1868925.46</v>
      </c>
      <c r="G302" s="58">
        <v>3763634.05</v>
      </c>
      <c r="H302" s="57">
        <v>50</v>
      </c>
      <c r="J302" s="54"/>
      <c r="K302" s="52"/>
    </row>
    <row r="303" spans="1:11" x14ac:dyDescent="0.2">
      <c r="A303" s="51" t="s">
        <v>4960</v>
      </c>
      <c r="B303" s="51" t="s">
        <v>4717</v>
      </c>
      <c r="C303" s="51" t="s">
        <v>4720</v>
      </c>
      <c r="D303" s="51" t="s">
        <v>4695</v>
      </c>
      <c r="E303" s="58">
        <v>1849122.25</v>
      </c>
      <c r="F303" s="58">
        <v>1903035.23</v>
      </c>
      <c r="G303" s="58">
        <v>3752157.48</v>
      </c>
      <c r="H303" s="57">
        <v>34</v>
      </c>
      <c r="J303" s="54"/>
      <c r="K303" s="52"/>
    </row>
    <row r="304" spans="1:11" x14ac:dyDescent="0.2">
      <c r="A304" s="51" t="s">
        <v>4959</v>
      </c>
      <c r="B304" s="51" t="s">
        <v>4717</v>
      </c>
      <c r="C304" s="51" t="s">
        <v>4740</v>
      </c>
      <c r="D304" s="51" t="s">
        <v>4691</v>
      </c>
      <c r="E304" s="58">
        <v>1786430.51</v>
      </c>
      <c r="F304" s="58">
        <v>1940061.99</v>
      </c>
      <c r="G304" s="58">
        <v>3726492.5</v>
      </c>
      <c r="H304" s="57">
        <v>35</v>
      </c>
      <c r="J304" s="54"/>
      <c r="K304" s="52"/>
    </row>
    <row r="305" spans="1:11" x14ac:dyDescent="0.2">
      <c r="A305" s="51" t="s">
        <v>4958</v>
      </c>
      <c r="B305" s="51" t="s">
        <v>4717</v>
      </c>
      <c r="C305" s="51" t="s">
        <v>4874</v>
      </c>
      <c r="D305" s="51" t="s">
        <v>4695</v>
      </c>
      <c r="E305" s="58">
        <v>1771863.79</v>
      </c>
      <c r="F305" s="58">
        <v>1949317.17</v>
      </c>
      <c r="G305" s="58">
        <v>3721180.96</v>
      </c>
      <c r="H305" s="57">
        <v>43</v>
      </c>
      <c r="J305" s="54"/>
      <c r="K305" s="52"/>
    </row>
    <row r="306" spans="1:11" x14ac:dyDescent="0.2">
      <c r="A306" s="51" t="s">
        <v>4957</v>
      </c>
      <c r="B306" s="51" t="s">
        <v>4693</v>
      </c>
      <c r="C306" s="51" t="s">
        <v>4696</v>
      </c>
      <c r="D306" s="51" t="s">
        <v>4691</v>
      </c>
      <c r="E306" s="58">
        <v>1906755.26</v>
      </c>
      <c r="F306" s="58">
        <v>1792566.46</v>
      </c>
      <c r="G306" s="58">
        <v>3699321.7199999997</v>
      </c>
      <c r="H306" s="57">
        <v>35</v>
      </c>
      <c r="J306" s="54"/>
      <c r="K306" s="52"/>
    </row>
    <row r="307" spans="1:11" x14ac:dyDescent="0.2">
      <c r="A307" s="51" t="s">
        <v>4956</v>
      </c>
      <c r="B307" s="51" t="s">
        <v>4717</v>
      </c>
      <c r="C307" s="51" t="s">
        <v>4720</v>
      </c>
      <c r="D307" s="51" t="s">
        <v>4691</v>
      </c>
      <c r="E307" s="58">
        <v>1739513.07</v>
      </c>
      <c r="F307" s="58">
        <v>1954980.09</v>
      </c>
      <c r="G307" s="58">
        <v>3694493.16</v>
      </c>
      <c r="H307" s="57">
        <v>40</v>
      </c>
      <c r="J307" s="54"/>
      <c r="K307" s="52"/>
    </row>
    <row r="308" spans="1:11" x14ac:dyDescent="0.2">
      <c r="A308" s="51" t="s">
        <v>4955</v>
      </c>
      <c r="B308" s="51" t="s">
        <v>4693</v>
      </c>
      <c r="C308" s="51" t="s">
        <v>4910</v>
      </c>
      <c r="D308" s="51" t="s">
        <v>4695</v>
      </c>
      <c r="E308" s="58">
        <v>1780738.62</v>
      </c>
      <c r="F308" s="58">
        <v>1880446.76</v>
      </c>
      <c r="G308" s="58">
        <v>3661185.38</v>
      </c>
      <c r="H308" s="57">
        <v>42</v>
      </c>
      <c r="J308" s="54"/>
      <c r="K308" s="52"/>
    </row>
    <row r="309" spans="1:11" x14ac:dyDescent="0.2">
      <c r="A309" s="51" t="s">
        <v>4954</v>
      </c>
      <c r="B309" s="51" t="s">
        <v>4693</v>
      </c>
      <c r="C309" s="51" t="s">
        <v>4892</v>
      </c>
      <c r="D309" s="51" t="s">
        <v>4691</v>
      </c>
      <c r="E309" s="58">
        <v>1908379.46</v>
      </c>
      <c r="F309" s="58">
        <v>1747852.8</v>
      </c>
      <c r="G309" s="58">
        <v>3656232.26</v>
      </c>
      <c r="H309" s="57">
        <v>105</v>
      </c>
      <c r="J309" s="54"/>
      <c r="K309" s="52"/>
    </row>
    <row r="310" spans="1:11" x14ac:dyDescent="0.2">
      <c r="A310" s="51" t="s">
        <v>4953</v>
      </c>
      <c r="B310" s="51" t="s">
        <v>4717</v>
      </c>
      <c r="C310" s="51" t="s">
        <v>4853</v>
      </c>
      <c r="D310" s="51" t="s">
        <v>4695</v>
      </c>
      <c r="E310" s="58">
        <v>1953140.7</v>
      </c>
      <c r="F310" s="58">
        <v>1700369.48</v>
      </c>
      <c r="G310" s="58">
        <v>3653510.1799999997</v>
      </c>
      <c r="H310" s="57">
        <v>28</v>
      </c>
      <c r="J310" s="54"/>
      <c r="K310" s="52"/>
    </row>
    <row r="311" spans="1:11" x14ac:dyDescent="0.2">
      <c r="A311" s="51" t="s">
        <v>4952</v>
      </c>
      <c r="B311" s="51" t="s">
        <v>4693</v>
      </c>
      <c r="C311" s="51" t="s">
        <v>4951</v>
      </c>
      <c r="D311" s="51" t="s">
        <v>4695</v>
      </c>
      <c r="E311" s="58">
        <v>1789259.49</v>
      </c>
      <c r="F311" s="58">
        <v>1848120.28</v>
      </c>
      <c r="G311" s="58">
        <v>3637379.77</v>
      </c>
      <c r="H311" s="57">
        <v>40</v>
      </c>
      <c r="J311" s="54"/>
      <c r="K311" s="52"/>
    </row>
    <row r="312" spans="1:11" x14ac:dyDescent="0.2">
      <c r="A312" s="51" t="s">
        <v>4950</v>
      </c>
      <c r="B312" s="51" t="s">
        <v>4693</v>
      </c>
      <c r="C312" s="51" t="s">
        <v>4779</v>
      </c>
      <c r="D312" s="51" t="s">
        <v>4695</v>
      </c>
      <c r="E312" s="58">
        <v>1976796.75</v>
      </c>
      <c r="F312" s="58">
        <v>1649385.06</v>
      </c>
      <c r="G312" s="58">
        <v>3626181.81</v>
      </c>
      <c r="H312" s="57">
        <v>49</v>
      </c>
      <c r="J312" s="54"/>
      <c r="K312" s="52"/>
    </row>
    <row r="313" spans="1:11" x14ac:dyDescent="0.2">
      <c r="A313" s="51" t="s">
        <v>4949</v>
      </c>
      <c r="B313" s="51" t="s">
        <v>4693</v>
      </c>
      <c r="C313" s="51" t="s">
        <v>4738</v>
      </c>
      <c r="D313" s="51" t="s">
        <v>4695</v>
      </c>
      <c r="E313" s="58">
        <v>1777300.43</v>
      </c>
      <c r="F313" s="58">
        <v>1847766.25</v>
      </c>
      <c r="G313" s="58">
        <v>3625066.6799999997</v>
      </c>
      <c r="H313" s="57">
        <v>40</v>
      </c>
      <c r="J313" s="54"/>
      <c r="K313" s="52"/>
    </row>
    <row r="314" spans="1:11" x14ac:dyDescent="0.2">
      <c r="A314" s="51" t="s">
        <v>4948</v>
      </c>
      <c r="B314" s="51" t="s">
        <v>4717</v>
      </c>
      <c r="C314" s="51" t="s">
        <v>4732</v>
      </c>
      <c r="D314" s="51" t="s">
        <v>4691</v>
      </c>
      <c r="E314" s="58">
        <v>1890568.68</v>
      </c>
      <c r="F314" s="58">
        <v>1666824.93</v>
      </c>
      <c r="G314" s="58">
        <v>3557393.61</v>
      </c>
      <c r="H314" s="57">
        <v>30</v>
      </c>
      <c r="J314" s="54"/>
      <c r="K314" s="52"/>
    </row>
    <row r="315" spans="1:11" x14ac:dyDescent="0.2">
      <c r="A315" s="51" t="s">
        <v>4947</v>
      </c>
      <c r="B315" s="51" t="s">
        <v>4693</v>
      </c>
      <c r="C315" s="51" t="s">
        <v>4837</v>
      </c>
      <c r="D315" s="51" t="s">
        <v>4695</v>
      </c>
      <c r="E315" s="58">
        <v>1687856.63</v>
      </c>
      <c r="F315" s="58">
        <v>1839816.77</v>
      </c>
      <c r="G315" s="58">
        <v>3527673.4</v>
      </c>
      <c r="H315" s="57">
        <v>40</v>
      </c>
      <c r="J315" s="54"/>
      <c r="K315" s="52"/>
    </row>
    <row r="316" spans="1:11" x14ac:dyDescent="0.2">
      <c r="A316" s="51" t="s">
        <v>4946</v>
      </c>
      <c r="B316" s="51" t="s">
        <v>4693</v>
      </c>
      <c r="C316" s="51" t="s">
        <v>4822</v>
      </c>
      <c r="D316" s="51" t="s">
        <v>4691</v>
      </c>
      <c r="E316" s="58">
        <v>1863631.19</v>
      </c>
      <c r="F316" s="58">
        <v>1638237.91</v>
      </c>
      <c r="G316" s="58">
        <v>3501869.0999999996</v>
      </c>
      <c r="H316" s="57">
        <v>60</v>
      </c>
      <c r="J316" s="54"/>
      <c r="K316" s="52"/>
    </row>
    <row r="317" spans="1:11" x14ac:dyDescent="0.2">
      <c r="A317" s="51" t="s">
        <v>4945</v>
      </c>
      <c r="B317" s="51" t="s">
        <v>4693</v>
      </c>
      <c r="C317" s="51" t="s">
        <v>4692</v>
      </c>
      <c r="D317" s="51" t="s">
        <v>4691</v>
      </c>
      <c r="E317" s="58">
        <v>1963474.49</v>
      </c>
      <c r="F317" s="58">
        <v>1513045.7</v>
      </c>
      <c r="G317" s="58">
        <v>3476520.19</v>
      </c>
      <c r="H317" s="57">
        <v>90</v>
      </c>
      <c r="J317" s="54"/>
      <c r="K317" s="52"/>
    </row>
    <row r="318" spans="1:11" x14ac:dyDescent="0.2">
      <c r="A318" s="51" t="s">
        <v>4944</v>
      </c>
      <c r="B318" s="51" t="s">
        <v>4693</v>
      </c>
      <c r="C318" s="51" t="s">
        <v>4742</v>
      </c>
      <c r="D318" s="51" t="s">
        <v>4695</v>
      </c>
      <c r="E318" s="58">
        <v>1833429.12</v>
      </c>
      <c r="F318" s="58">
        <v>1628218.31</v>
      </c>
      <c r="G318" s="58">
        <v>3461647.43</v>
      </c>
      <c r="H318" s="57">
        <v>47</v>
      </c>
      <c r="J318" s="54"/>
      <c r="K318" s="52"/>
    </row>
    <row r="319" spans="1:11" x14ac:dyDescent="0.2">
      <c r="A319" s="51" t="s">
        <v>4943</v>
      </c>
      <c r="B319" s="51" t="s">
        <v>4693</v>
      </c>
      <c r="C319" s="51" t="s">
        <v>4775</v>
      </c>
      <c r="D319" s="51" t="s">
        <v>4691</v>
      </c>
      <c r="E319" s="58">
        <v>1677542.14</v>
      </c>
      <c r="F319" s="58">
        <v>1751412.55</v>
      </c>
      <c r="G319" s="58">
        <v>3428954.69</v>
      </c>
      <c r="H319" s="57">
        <v>85</v>
      </c>
      <c r="J319" s="54"/>
      <c r="K319" s="52"/>
    </row>
    <row r="320" spans="1:11" x14ac:dyDescent="0.2">
      <c r="A320" s="51" t="s">
        <v>4942</v>
      </c>
      <c r="B320" s="51" t="s">
        <v>4693</v>
      </c>
      <c r="C320" s="51" t="s">
        <v>4696</v>
      </c>
      <c r="D320" s="51" t="s">
        <v>4695</v>
      </c>
      <c r="E320" s="58">
        <v>1799224.81</v>
      </c>
      <c r="F320" s="58">
        <v>1592139.07</v>
      </c>
      <c r="G320" s="58">
        <v>3391363.88</v>
      </c>
      <c r="H320" s="57">
        <v>25</v>
      </c>
      <c r="J320" s="54"/>
      <c r="K320" s="52"/>
    </row>
    <row r="321" spans="1:11" x14ac:dyDescent="0.2">
      <c r="A321" s="51" t="s">
        <v>4941</v>
      </c>
      <c r="B321" s="51" t="s">
        <v>4693</v>
      </c>
      <c r="C321" s="51" t="s">
        <v>4872</v>
      </c>
      <c r="D321" s="51" t="s">
        <v>4691</v>
      </c>
      <c r="E321" s="58">
        <v>1876731.98</v>
      </c>
      <c r="F321" s="58">
        <v>1505954.57</v>
      </c>
      <c r="G321" s="58">
        <v>3382686.55</v>
      </c>
      <c r="H321" s="57">
        <v>50</v>
      </c>
      <c r="J321" s="54"/>
      <c r="K321" s="52"/>
    </row>
    <row r="322" spans="1:11" x14ac:dyDescent="0.2">
      <c r="A322" s="51" t="s">
        <v>4270</v>
      </c>
      <c r="B322" s="51" t="s">
        <v>4717</v>
      </c>
      <c r="C322" s="51" t="s">
        <v>4730</v>
      </c>
      <c r="D322" s="51" t="s">
        <v>4695</v>
      </c>
      <c r="E322" s="58">
        <v>1586210.08</v>
      </c>
      <c r="F322" s="58">
        <v>1740732.28</v>
      </c>
      <c r="G322" s="58">
        <v>3326942.3600000003</v>
      </c>
      <c r="H322" s="57">
        <v>45</v>
      </c>
      <c r="J322" s="54"/>
      <c r="K322" s="52"/>
    </row>
    <row r="323" spans="1:11" x14ac:dyDescent="0.2">
      <c r="A323" s="51" t="s">
        <v>4940</v>
      </c>
      <c r="B323" s="51" t="s">
        <v>4717</v>
      </c>
      <c r="C323" s="51" t="s">
        <v>4758</v>
      </c>
      <c r="D323" s="51" t="s">
        <v>4691</v>
      </c>
      <c r="E323" s="58">
        <v>1643498.69</v>
      </c>
      <c r="F323" s="58">
        <v>1682843.97</v>
      </c>
      <c r="G323" s="58">
        <v>3326342.66</v>
      </c>
      <c r="H323" s="57">
        <v>45</v>
      </c>
      <c r="J323" s="54"/>
      <c r="K323" s="52"/>
    </row>
    <row r="324" spans="1:11" x14ac:dyDescent="0.2">
      <c r="A324" s="51" t="s">
        <v>4939</v>
      </c>
      <c r="B324" s="51" t="s">
        <v>4693</v>
      </c>
      <c r="C324" s="51" t="s">
        <v>4698</v>
      </c>
      <c r="D324" s="51" t="s">
        <v>4695</v>
      </c>
      <c r="E324" s="58">
        <v>1816795.56</v>
      </c>
      <c r="F324" s="58">
        <v>1509380.99</v>
      </c>
      <c r="G324" s="58">
        <v>3326176.55</v>
      </c>
      <c r="H324" s="57">
        <v>45</v>
      </c>
      <c r="J324" s="54"/>
      <c r="K324" s="52"/>
    </row>
    <row r="325" spans="1:11" x14ac:dyDescent="0.2">
      <c r="A325" s="51" t="s">
        <v>4938</v>
      </c>
      <c r="B325" s="51" t="s">
        <v>4693</v>
      </c>
      <c r="C325" s="51" t="s">
        <v>4728</v>
      </c>
      <c r="D325" s="51" t="s">
        <v>4691</v>
      </c>
      <c r="E325" s="58">
        <v>1790169.6</v>
      </c>
      <c r="F325" s="58">
        <v>1535319.8</v>
      </c>
      <c r="G325" s="58">
        <v>3325489.4000000004</v>
      </c>
      <c r="H325" s="57">
        <v>82</v>
      </c>
      <c r="J325" s="54"/>
      <c r="K325" s="52"/>
    </row>
    <row r="326" spans="1:11" x14ac:dyDescent="0.2">
      <c r="A326" s="51" t="s">
        <v>4937</v>
      </c>
      <c r="B326" s="51" t="s">
        <v>4717</v>
      </c>
      <c r="C326" s="51" t="s">
        <v>4770</v>
      </c>
      <c r="D326" s="51" t="s">
        <v>4695</v>
      </c>
      <c r="E326" s="58">
        <v>1690169.02</v>
      </c>
      <c r="F326" s="58">
        <v>1613213.74</v>
      </c>
      <c r="G326" s="58">
        <v>3303382.76</v>
      </c>
      <c r="H326" s="57">
        <v>32</v>
      </c>
      <c r="J326" s="54"/>
      <c r="K326" s="52"/>
    </row>
    <row r="327" spans="1:11" x14ac:dyDescent="0.2">
      <c r="A327" s="51" t="s">
        <v>4936</v>
      </c>
      <c r="B327" s="51" t="s">
        <v>4693</v>
      </c>
      <c r="C327" s="51" t="s">
        <v>4744</v>
      </c>
      <c r="D327" s="51" t="s">
        <v>4695</v>
      </c>
      <c r="E327" s="58">
        <v>1624496.44</v>
      </c>
      <c r="F327" s="58">
        <v>1647115.28</v>
      </c>
      <c r="G327" s="58">
        <v>3271611.7199999997</v>
      </c>
      <c r="H327" s="57">
        <v>32</v>
      </c>
      <c r="J327" s="54"/>
      <c r="K327" s="52"/>
    </row>
    <row r="328" spans="1:11" x14ac:dyDescent="0.2">
      <c r="A328" s="51" t="s">
        <v>4935</v>
      </c>
      <c r="B328" s="51" t="s">
        <v>4693</v>
      </c>
      <c r="C328" s="51" t="s">
        <v>4728</v>
      </c>
      <c r="D328" s="51" t="s">
        <v>4695</v>
      </c>
      <c r="E328" s="58">
        <v>1767982.84</v>
      </c>
      <c r="F328" s="58">
        <v>1503073.9</v>
      </c>
      <c r="G328" s="58">
        <v>3271056.74</v>
      </c>
      <c r="H328" s="57">
        <v>50</v>
      </c>
      <c r="J328" s="54"/>
      <c r="K328" s="52"/>
    </row>
    <row r="329" spans="1:11" x14ac:dyDescent="0.2">
      <c r="A329" s="51" t="s">
        <v>4934</v>
      </c>
      <c r="B329" s="51" t="s">
        <v>4717</v>
      </c>
      <c r="C329" s="51" t="s">
        <v>4726</v>
      </c>
      <c r="D329" s="51" t="s">
        <v>4691</v>
      </c>
      <c r="E329" s="58">
        <v>1719760.53</v>
      </c>
      <c r="F329" s="58">
        <v>1537929.46</v>
      </c>
      <c r="G329" s="58">
        <v>3257689.99</v>
      </c>
      <c r="H329" s="57">
        <v>40</v>
      </c>
      <c r="J329" s="54"/>
      <c r="K329" s="52"/>
    </row>
    <row r="330" spans="1:11" x14ac:dyDescent="0.2">
      <c r="A330" s="51" t="s">
        <v>4933</v>
      </c>
      <c r="B330" s="51" t="s">
        <v>4693</v>
      </c>
      <c r="C330" s="51" t="s">
        <v>4738</v>
      </c>
      <c r="D330" s="51" t="s">
        <v>4695</v>
      </c>
      <c r="E330" s="58">
        <v>1735170.15</v>
      </c>
      <c r="F330" s="58">
        <v>1518337.3</v>
      </c>
      <c r="G330" s="58">
        <v>3253507.45</v>
      </c>
      <c r="H330" s="57">
        <v>31</v>
      </c>
      <c r="J330" s="54"/>
      <c r="K330" s="52"/>
    </row>
    <row r="331" spans="1:11" x14ac:dyDescent="0.2">
      <c r="A331" s="51" t="s">
        <v>4932</v>
      </c>
      <c r="B331" s="51" t="s">
        <v>4717</v>
      </c>
      <c r="C331" s="51" t="s">
        <v>4749</v>
      </c>
      <c r="D331" s="51" t="s">
        <v>4695</v>
      </c>
      <c r="E331" s="58">
        <v>1811469.5</v>
      </c>
      <c r="F331" s="58">
        <v>1437824.15</v>
      </c>
      <c r="G331" s="58">
        <v>3249293.65</v>
      </c>
      <c r="H331" s="57">
        <v>22</v>
      </c>
      <c r="J331" s="54"/>
      <c r="K331" s="52"/>
    </row>
    <row r="332" spans="1:11" x14ac:dyDescent="0.2">
      <c r="A332" s="51" t="s">
        <v>4931</v>
      </c>
      <c r="B332" s="51" t="s">
        <v>4693</v>
      </c>
      <c r="C332" s="51" t="s">
        <v>4710</v>
      </c>
      <c r="D332" s="51" t="s">
        <v>4695</v>
      </c>
      <c r="E332" s="58">
        <v>1679006.03</v>
      </c>
      <c r="F332" s="58">
        <v>1511327.07</v>
      </c>
      <c r="G332" s="58">
        <v>3190333.1</v>
      </c>
      <c r="H332" s="57">
        <v>30</v>
      </c>
      <c r="J332" s="54"/>
      <c r="K332" s="52"/>
    </row>
    <row r="333" spans="1:11" x14ac:dyDescent="0.2">
      <c r="A333" s="51" t="s">
        <v>4930</v>
      </c>
      <c r="B333" s="51" t="s">
        <v>4717</v>
      </c>
      <c r="C333" s="51" t="s">
        <v>4929</v>
      </c>
      <c r="D333" s="51" t="s">
        <v>4695</v>
      </c>
      <c r="E333" s="58">
        <v>1656210.46</v>
      </c>
      <c r="F333" s="58">
        <v>1515553.68</v>
      </c>
      <c r="G333" s="58">
        <v>3171764.1399999997</v>
      </c>
      <c r="H333" s="57">
        <v>30</v>
      </c>
      <c r="J333" s="54"/>
      <c r="K333" s="52"/>
    </row>
    <row r="334" spans="1:11" x14ac:dyDescent="0.2">
      <c r="A334" s="51" t="s">
        <v>4928</v>
      </c>
      <c r="B334" s="51" t="s">
        <v>4693</v>
      </c>
      <c r="C334" s="51" t="s">
        <v>4700</v>
      </c>
      <c r="D334" s="51" t="s">
        <v>4695</v>
      </c>
      <c r="E334" s="58">
        <v>1593854.01</v>
      </c>
      <c r="F334" s="58">
        <v>1561087.65</v>
      </c>
      <c r="G334" s="58">
        <v>3154941.66</v>
      </c>
      <c r="H334" s="57">
        <v>26</v>
      </c>
      <c r="J334" s="54"/>
      <c r="K334" s="52"/>
    </row>
    <row r="335" spans="1:11" x14ac:dyDescent="0.2">
      <c r="A335" s="51" t="s">
        <v>4927</v>
      </c>
      <c r="B335" s="51" t="s">
        <v>4693</v>
      </c>
      <c r="C335" s="51" t="s">
        <v>4738</v>
      </c>
      <c r="D335" s="51" t="s">
        <v>4691</v>
      </c>
      <c r="E335" s="58">
        <v>1642009.97</v>
      </c>
      <c r="F335" s="58">
        <v>1506275.91</v>
      </c>
      <c r="G335" s="58">
        <v>3148285.88</v>
      </c>
      <c r="H335" s="57">
        <v>53</v>
      </c>
      <c r="J335" s="54"/>
      <c r="K335" s="52"/>
    </row>
    <row r="336" spans="1:11" x14ac:dyDescent="0.2">
      <c r="A336" s="51" t="s">
        <v>4926</v>
      </c>
      <c r="B336" s="51" t="s">
        <v>4717</v>
      </c>
      <c r="C336" s="51" t="s">
        <v>4716</v>
      </c>
      <c r="D336" s="51" t="s">
        <v>4691</v>
      </c>
      <c r="E336" s="58">
        <v>1472856.12</v>
      </c>
      <c r="F336" s="58">
        <v>1651816.01</v>
      </c>
      <c r="G336" s="58">
        <v>3124672.13</v>
      </c>
      <c r="H336" s="57">
        <v>34</v>
      </c>
      <c r="J336" s="54"/>
      <c r="K336" s="52"/>
    </row>
    <row r="337" spans="1:11" x14ac:dyDescent="0.2">
      <c r="A337" s="51" t="s">
        <v>4925</v>
      </c>
      <c r="B337" s="51" t="s">
        <v>4693</v>
      </c>
      <c r="C337" s="51" t="s">
        <v>4892</v>
      </c>
      <c r="D337" s="51" t="s">
        <v>4691</v>
      </c>
      <c r="E337" s="58">
        <v>1652712.45</v>
      </c>
      <c r="F337" s="58">
        <v>1464079.4</v>
      </c>
      <c r="G337" s="58">
        <v>3116791.8499999996</v>
      </c>
      <c r="H337" s="57">
        <v>39</v>
      </c>
      <c r="J337" s="54"/>
      <c r="K337" s="52"/>
    </row>
    <row r="338" spans="1:11" x14ac:dyDescent="0.2">
      <c r="A338" s="51" t="s">
        <v>3993</v>
      </c>
      <c r="B338" s="51" t="s">
        <v>4717</v>
      </c>
      <c r="C338" s="51" t="s">
        <v>4732</v>
      </c>
      <c r="D338" s="51" t="s">
        <v>4695</v>
      </c>
      <c r="E338" s="58">
        <v>1622331.12</v>
      </c>
      <c r="F338" s="58">
        <v>1463609.78</v>
      </c>
      <c r="G338" s="58">
        <v>3085940.9000000004</v>
      </c>
      <c r="H338" s="57">
        <v>28</v>
      </c>
      <c r="J338" s="54"/>
      <c r="K338" s="52"/>
    </row>
    <row r="339" spans="1:11" x14ac:dyDescent="0.2">
      <c r="A339" s="51" t="s">
        <v>4924</v>
      </c>
      <c r="B339" s="51" t="s">
        <v>4717</v>
      </c>
      <c r="C339" s="51" t="s">
        <v>4824</v>
      </c>
      <c r="D339" s="51" t="s">
        <v>4691</v>
      </c>
      <c r="E339" s="58">
        <v>1666776.48</v>
      </c>
      <c r="F339" s="58">
        <v>1400167.13</v>
      </c>
      <c r="G339" s="58">
        <v>3066943.61</v>
      </c>
      <c r="H339" s="57">
        <v>54</v>
      </c>
      <c r="J339" s="54"/>
      <c r="K339" s="52"/>
    </row>
    <row r="340" spans="1:11" x14ac:dyDescent="0.2">
      <c r="A340" s="51" t="s">
        <v>4923</v>
      </c>
      <c r="B340" s="51" t="s">
        <v>4717</v>
      </c>
      <c r="C340" s="51" t="s">
        <v>4792</v>
      </c>
      <c r="D340" s="51" t="s">
        <v>4691</v>
      </c>
      <c r="E340" s="58">
        <v>1533865.42</v>
      </c>
      <c r="F340" s="58">
        <v>1513604.34</v>
      </c>
      <c r="G340" s="58">
        <v>3047469.76</v>
      </c>
      <c r="H340" s="57">
        <v>60</v>
      </c>
      <c r="J340" s="54"/>
      <c r="K340" s="52"/>
    </row>
    <row r="341" spans="1:11" x14ac:dyDescent="0.2">
      <c r="A341" s="51" t="s">
        <v>4922</v>
      </c>
      <c r="B341" s="51" t="s">
        <v>4717</v>
      </c>
      <c r="C341" s="51" t="s">
        <v>4732</v>
      </c>
      <c r="D341" s="51" t="s">
        <v>4695</v>
      </c>
      <c r="E341" s="58">
        <v>1586716.6</v>
      </c>
      <c r="F341" s="58">
        <v>1426055.48</v>
      </c>
      <c r="G341" s="58">
        <v>3012772.08</v>
      </c>
      <c r="H341" s="57">
        <v>39</v>
      </c>
      <c r="J341" s="54"/>
      <c r="K341" s="52"/>
    </row>
    <row r="342" spans="1:11" x14ac:dyDescent="0.2">
      <c r="A342" s="51" t="s">
        <v>4921</v>
      </c>
      <c r="B342" s="51" t="s">
        <v>4717</v>
      </c>
      <c r="C342" s="51" t="s">
        <v>4807</v>
      </c>
      <c r="D342" s="51" t="s">
        <v>4691</v>
      </c>
      <c r="E342" s="58">
        <v>1535200.73</v>
      </c>
      <c r="F342" s="58">
        <v>1429621.95</v>
      </c>
      <c r="G342" s="58">
        <v>2964822.6799999997</v>
      </c>
      <c r="H342" s="57">
        <v>45</v>
      </c>
      <c r="J342" s="54"/>
      <c r="K342" s="52"/>
    </row>
    <row r="343" spans="1:11" x14ac:dyDescent="0.2">
      <c r="A343" s="51" t="s">
        <v>4920</v>
      </c>
      <c r="B343" s="51" t="s">
        <v>4717</v>
      </c>
      <c r="C343" s="51" t="s">
        <v>4792</v>
      </c>
      <c r="D343" s="51" t="s">
        <v>4691</v>
      </c>
      <c r="E343" s="58">
        <v>1509300.27</v>
      </c>
      <c r="F343" s="58">
        <v>1447475.19</v>
      </c>
      <c r="G343" s="58">
        <v>2956775.46</v>
      </c>
      <c r="H343" s="57">
        <v>40</v>
      </c>
      <c r="J343" s="54"/>
      <c r="K343" s="52"/>
    </row>
    <row r="344" spans="1:11" x14ac:dyDescent="0.2">
      <c r="A344" s="51" t="s">
        <v>4919</v>
      </c>
      <c r="B344" s="51" t="s">
        <v>4693</v>
      </c>
      <c r="C344" s="51" t="s">
        <v>4918</v>
      </c>
      <c r="D344" s="51" t="s">
        <v>4691</v>
      </c>
      <c r="E344" s="58">
        <v>1509288.29</v>
      </c>
      <c r="F344" s="58">
        <v>1437787.81</v>
      </c>
      <c r="G344" s="58">
        <v>2947076.1</v>
      </c>
      <c r="H344" s="57">
        <v>39</v>
      </c>
      <c r="J344" s="54"/>
      <c r="K344" s="52"/>
    </row>
    <row r="345" spans="1:11" x14ac:dyDescent="0.2">
      <c r="A345" s="51" t="s">
        <v>4917</v>
      </c>
      <c r="B345" s="51" t="s">
        <v>4717</v>
      </c>
      <c r="C345" s="51" t="s">
        <v>4732</v>
      </c>
      <c r="D345" s="51" t="s">
        <v>4691</v>
      </c>
      <c r="E345" s="58">
        <v>1455683.39</v>
      </c>
      <c r="F345" s="58">
        <v>1489467</v>
      </c>
      <c r="G345" s="58">
        <v>2945150.3899999997</v>
      </c>
      <c r="H345" s="57">
        <v>35</v>
      </c>
      <c r="J345" s="54"/>
      <c r="K345" s="52"/>
    </row>
    <row r="346" spans="1:11" x14ac:dyDescent="0.2">
      <c r="A346" s="51" t="s">
        <v>4916</v>
      </c>
      <c r="B346" s="51" t="s">
        <v>4717</v>
      </c>
      <c r="C346" s="51" t="s">
        <v>4732</v>
      </c>
      <c r="D346" s="51" t="s">
        <v>4695</v>
      </c>
      <c r="E346" s="58">
        <v>1571448.97</v>
      </c>
      <c r="F346" s="58">
        <v>1358196.04</v>
      </c>
      <c r="G346" s="58">
        <v>2929645.01</v>
      </c>
      <c r="H346" s="57">
        <v>40</v>
      </c>
      <c r="J346" s="54"/>
      <c r="K346" s="52"/>
    </row>
    <row r="347" spans="1:11" x14ac:dyDescent="0.2">
      <c r="A347" s="51" t="s">
        <v>4915</v>
      </c>
      <c r="B347" s="51" t="s">
        <v>4717</v>
      </c>
      <c r="C347" s="51" t="s">
        <v>4824</v>
      </c>
      <c r="D347" s="51" t="s">
        <v>4691</v>
      </c>
      <c r="E347" s="58">
        <v>1524924.3</v>
      </c>
      <c r="F347" s="58">
        <v>1370085.75</v>
      </c>
      <c r="G347" s="58">
        <v>2895010.05</v>
      </c>
      <c r="H347" s="57">
        <v>31</v>
      </c>
      <c r="J347" s="54"/>
      <c r="K347" s="52"/>
    </row>
    <row r="348" spans="1:11" x14ac:dyDescent="0.2">
      <c r="A348" s="51" t="s">
        <v>4914</v>
      </c>
      <c r="B348" s="51" t="s">
        <v>4717</v>
      </c>
      <c r="C348" s="51" t="s">
        <v>4753</v>
      </c>
      <c r="D348" s="51" t="s">
        <v>4691</v>
      </c>
      <c r="E348" s="58">
        <v>1470304.35</v>
      </c>
      <c r="F348" s="58">
        <v>1419117.22</v>
      </c>
      <c r="G348" s="58">
        <v>2889421.5700000003</v>
      </c>
      <c r="H348" s="57">
        <v>44</v>
      </c>
      <c r="J348" s="54"/>
      <c r="K348" s="52"/>
    </row>
    <row r="349" spans="1:11" x14ac:dyDescent="0.2">
      <c r="A349" s="51" t="s">
        <v>4913</v>
      </c>
      <c r="B349" s="51" t="s">
        <v>4693</v>
      </c>
      <c r="C349" s="51" t="s">
        <v>4696</v>
      </c>
      <c r="D349" s="51" t="s">
        <v>4691</v>
      </c>
      <c r="E349" s="58">
        <v>1515499</v>
      </c>
      <c r="F349" s="58">
        <v>1359580.66</v>
      </c>
      <c r="G349" s="58">
        <v>2875079.66</v>
      </c>
      <c r="H349" s="57">
        <v>77</v>
      </c>
      <c r="J349" s="54"/>
      <c r="K349" s="52"/>
    </row>
    <row r="350" spans="1:11" x14ac:dyDescent="0.2">
      <c r="A350" s="51" t="s">
        <v>4912</v>
      </c>
      <c r="B350" s="51" t="s">
        <v>4693</v>
      </c>
      <c r="C350" s="51" t="s">
        <v>4738</v>
      </c>
      <c r="D350" s="51" t="s">
        <v>4695</v>
      </c>
      <c r="E350" s="58">
        <v>1467926.82</v>
      </c>
      <c r="F350" s="58">
        <v>1403853.36</v>
      </c>
      <c r="G350" s="58">
        <v>2871780.18</v>
      </c>
      <c r="H350" s="57">
        <v>29</v>
      </c>
      <c r="J350" s="54"/>
      <c r="K350" s="52"/>
    </row>
    <row r="351" spans="1:11" x14ac:dyDescent="0.2">
      <c r="A351" s="51" t="s">
        <v>4911</v>
      </c>
      <c r="B351" s="51" t="s">
        <v>4693</v>
      </c>
      <c r="C351" s="51" t="s">
        <v>4910</v>
      </c>
      <c r="D351" s="51" t="s">
        <v>4695</v>
      </c>
      <c r="E351" s="58">
        <v>1523442.09</v>
      </c>
      <c r="F351" s="58">
        <v>1341849.3700000001</v>
      </c>
      <c r="G351" s="58">
        <v>2865291.46</v>
      </c>
      <c r="H351" s="57">
        <v>33</v>
      </c>
      <c r="J351" s="54"/>
      <c r="K351" s="52"/>
    </row>
    <row r="352" spans="1:11" x14ac:dyDescent="0.2">
      <c r="A352" s="51" t="s">
        <v>4909</v>
      </c>
      <c r="B352" s="51" t="s">
        <v>4717</v>
      </c>
      <c r="C352" s="51" t="s">
        <v>4751</v>
      </c>
      <c r="D352" s="51" t="s">
        <v>4695</v>
      </c>
      <c r="E352" s="58">
        <v>1425160.19</v>
      </c>
      <c r="F352" s="58">
        <v>1423203.22</v>
      </c>
      <c r="G352" s="58">
        <v>2848363.41</v>
      </c>
      <c r="H352" s="57">
        <v>24</v>
      </c>
      <c r="J352" s="54"/>
      <c r="K352" s="52"/>
    </row>
    <row r="353" spans="1:11" x14ac:dyDescent="0.2">
      <c r="A353" s="51" t="s">
        <v>4908</v>
      </c>
      <c r="B353" s="51" t="s">
        <v>4717</v>
      </c>
      <c r="C353" s="51" t="s">
        <v>4720</v>
      </c>
      <c r="D353" s="51" t="s">
        <v>4691</v>
      </c>
      <c r="E353" s="58">
        <v>1461376.69</v>
      </c>
      <c r="F353" s="58">
        <v>1365541.31</v>
      </c>
      <c r="G353" s="58">
        <v>2826918</v>
      </c>
      <c r="H353" s="57">
        <v>40</v>
      </c>
      <c r="J353" s="54"/>
      <c r="K353" s="52"/>
    </row>
    <row r="354" spans="1:11" x14ac:dyDescent="0.2">
      <c r="A354" s="51" t="s">
        <v>4907</v>
      </c>
      <c r="B354" s="51" t="s">
        <v>4693</v>
      </c>
      <c r="C354" s="51" t="s">
        <v>4702</v>
      </c>
      <c r="D354" s="51" t="s">
        <v>4695</v>
      </c>
      <c r="E354" s="58">
        <v>1384313.29</v>
      </c>
      <c r="F354" s="58">
        <v>1442078.57</v>
      </c>
      <c r="G354" s="58">
        <v>2826391.8600000003</v>
      </c>
      <c r="H354" s="57">
        <v>50</v>
      </c>
      <c r="J354" s="54"/>
      <c r="K354" s="52"/>
    </row>
    <row r="355" spans="1:11" x14ac:dyDescent="0.2">
      <c r="A355" s="51" t="s">
        <v>4906</v>
      </c>
      <c r="B355" s="51" t="s">
        <v>4717</v>
      </c>
      <c r="C355" s="51" t="s">
        <v>4792</v>
      </c>
      <c r="D355" s="51" t="s">
        <v>4691</v>
      </c>
      <c r="E355" s="58">
        <v>1315304.7</v>
      </c>
      <c r="F355" s="58">
        <v>1463775.43</v>
      </c>
      <c r="G355" s="58">
        <v>2779080.13</v>
      </c>
      <c r="H355" s="57">
        <v>60</v>
      </c>
      <c r="J355" s="54"/>
      <c r="K355" s="52"/>
    </row>
    <row r="356" spans="1:11" x14ac:dyDescent="0.2">
      <c r="A356" s="51" t="s">
        <v>4905</v>
      </c>
      <c r="B356" s="51" t="s">
        <v>4717</v>
      </c>
      <c r="C356" s="51" t="s">
        <v>4765</v>
      </c>
      <c r="D356" s="51" t="s">
        <v>4695</v>
      </c>
      <c r="E356" s="58">
        <v>1330250.23</v>
      </c>
      <c r="F356" s="58">
        <v>1424635.18</v>
      </c>
      <c r="G356" s="58">
        <v>2754885.41</v>
      </c>
      <c r="H356" s="57">
        <v>29</v>
      </c>
      <c r="J356" s="54"/>
      <c r="K356" s="52"/>
    </row>
    <row r="357" spans="1:11" x14ac:dyDescent="0.2">
      <c r="A357" s="51" t="s">
        <v>4904</v>
      </c>
      <c r="B357" s="51" t="s">
        <v>4693</v>
      </c>
      <c r="C357" s="51" t="s">
        <v>4708</v>
      </c>
      <c r="D357" s="51" t="s">
        <v>4691</v>
      </c>
      <c r="E357" s="58">
        <v>1372266.82</v>
      </c>
      <c r="F357" s="58">
        <v>1381455.33</v>
      </c>
      <c r="G357" s="58">
        <v>2753722.1500000004</v>
      </c>
      <c r="H357" s="57">
        <v>80</v>
      </c>
      <c r="J357" s="54"/>
      <c r="K357" s="52"/>
    </row>
    <row r="358" spans="1:11" x14ac:dyDescent="0.2">
      <c r="A358" s="51" t="s">
        <v>4903</v>
      </c>
      <c r="B358" s="51" t="s">
        <v>4717</v>
      </c>
      <c r="C358" s="51" t="s">
        <v>4740</v>
      </c>
      <c r="D358" s="51" t="s">
        <v>4691</v>
      </c>
      <c r="E358" s="58">
        <v>1333946.9099999999</v>
      </c>
      <c r="F358" s="58">
        <v>1409654.77</v>
      </c>
      <c r="G358" s="58">
        <v>2743601.6799999997</v>
      </c>
      <c r="H358" s="57">
        <v>37</v>
      </c>
      <c r="J358" s="54"/>
      <c r="K358" s="52"/>
    </row>
    <row r="359" spans="1:11" x14ac:dyDescent="0.2">
      <c r="A359" s="51" t="s">
        <v>4902</v>
      </c>
      <c r="B359" s="51" t="s">
        <v>4693</v>
      </c>
      <c r="C359" s="51" t="s">
        <v>4735</v>
      </c>
      <c r="D359" s="51" t="s">
        <v>4691</v>
      </c>
      <c r="E359" s="58">
        <v>1378022.31</v>
      </c>
      <c r="F359" s="58">
        <v>1361368.31</v>
      </c>
      <c r="G359" s="58">
        <v>2739390.62</v>
      </c>
      <c r="H359" s="57">
        <v>60</v>
      </c>
      <c r="J359" s="54"/>
      <c r="K359" s="52"/>
    </row>
    <row r="360" spans="1:11" x14ac:dyDescent="0.2">
      <c r="A360" s="51" t="s">
        <v>4901</v>
      </c>
      <c r="B360" s="51" t="s">
        <v>4693</v>
      </c>
      <c r="C360" s="51" t="s">
        <v>4744</v>
      </c>
      <c r="D360" s="51" t="s">
        <v>4695</v>
      </c>
      <c r="E360" s="58">
        <v>1411598.02</v>
      </c>
      <c r="F360" s="58">
        <v>1307695.6499999999</v>
      </c>
      <c r="G360" s="58">
        <v>2719293.67</v>
      </c>
      <c r="H360" s="57">
        <v>40</v>
      </c>
      <c r="J360" s="54"/>
      <c r="K360" s="52"/>
    </row>
    <row r="361" spans="1:11" x14ac:dyDescent="0.2">
      <c r="A361" s="51" t="s">
        <v>4900</v>
      </c>
      <c r="B361" s="51" t="s">
        <v>4717</v>
      </c>
      <c r="C361" s="51" t="s">
        <v>4768</v>
      </c>
      <c r="D361" s="51" t="s">
        <v>4691</v>
      </c>
      <c r="E361" s="58">
        <v>1404408.3</v>
      </c>
      <c r="F361" s="58">
        <v>1312838.3600000001</v>
      </c>
      <c r="G361" s="58">
        <v>2717246.66</v>
      </c>
      <c r="H361" s="57">
        <v>50</v>
      </c>
      <c r="J361" s="54"/>
      <c r="K361" s="52"/>
    </row>
    <row r="362" spans="1:11" x14ac:dyDescent="0.2">
      <c r="A362" s="51" t="s">
        <v>4899</v>
      </c>
      <c r="B362" s="51" t="s">
        <v>4717</v>
      </c>
      <c r="C362" s="51" t="s">
        <v>4732</v>
      </c>
      <c r="D362" s="51" t="s">
        <v>4691</v>
      </c>
      <c r="E362" s="58">
        <v>1361624.77</v>
      </c>
      <c r="F362" s="58">
        <v>1340785.6000000001</v>
      </c>
      <c r="G362" s="58">
        <v>2702410.37</v>
      </c>
      <c r="H362" s="57">
        <v>50</v>
      </c>
      <c r="J362" s="54"/>
      <c r="K362" s="52"/>
    </row>
    <row r="363" spans="1:11" x14ac:dyDescent="0.2">
      <c r="A363" s="51" t="s">
        <v>4898</v>
      </c>
      <c r="B363" s="51" t="s">
        <v>4717</v>
      </c>
      <c r="C363" s="51" t="s">
        <v>4758</v>
      </c>
      <c r="D363" s="51" t="s">
        <v>4691</v>
      </c>
      <c r="E363" s="58">
        <v>1354134.37</v>
      </c>
      <c r="F363" s="58">
        <v>1345292.12</v>
      </c>
      <c r="G363" s="58">
        <v>2699426.49</v>
      </c>
      <c r="H363" s="57">
        <v>37</v>
      </c>
      <c r="J363" s="54"/>
      <c r="K363" s="52"/>
    </row>
    <row r="364" spans="1:11" x14ac:dyDescent="0.2">
      <c r="A364" s="51" t="s">
        <v>4897</v>
      </c>
      <c r="B364" s="51" t="s">
        <v>4693</v>
      </c>
      <c r="C364" s="51" t="s">
        <v>4698</v>
      </c>
      <c r="D364" s="51" t="s">
        <v>4691</v>
      </c>
      <c r="E364" s="58">
        <v>1377580.18</v>
      </c>
      <c r="F364" s="58">
        <v>1273042.97</v>
      </c>
      <c r="G364" s="58">
        <v>2650623.15</v>
      </c>
      <c r="H364" s="57">
        <v>52</v>
      </c>
      <c r="J364" s="54"/>
      <c r="K364" s="52"/>
    </row>
    <row r="365" spans="1:11" x14ac:dyDescent="0.2">
      <c r="A365" s="51" t="s">
        <v>4896</v>
      </c>
      <c r="B365" s="51" t="s">
        <v>4693</v>
      </c>
      <c r="C365" s="51" t="s">
        <v>4744</v>
      </c>
      <c r="D365" s="51" t="s">
        <v>4695</v>
      </c>
      <c r="E365" s="58">
        <v>1292083.03</v>
      </c>
      <c r="F365" s="58">
        <v>1352816.21</v>
      </c>
      <c r="G365" s="58">
        <v>2644899.2400000002</v>
      </c>
      <c r="H365" s="57">
        <v>30</v>
      </c>
      <c r="J365" s="54"/>
      <c r="K365" s="52"/>
    </row>
    <row r="366" spans="1:11" x14ac:dyDescent="0.2">
      <c r="A366" s="51" t="s">
        <v>4325</v>
      </c>
      <c r="B366" s="51" t="s">
        <v>4717</v>
      </c>
      <c r="C366" s="51" t="s">
        <v>4758</v>
      </c>
      <c r="D366" s="51" t="s">
        <v>4695</v>
      </c>
      <c r="E366" s="58">
        <v>1346996.81</v>
      </c>
      <c r="F366" s="58">
        <v>1258156.1000000001</v>
      </c>
      <c r="G366" s="58">
        <v>2605152.91</v>
      </c>
      <c r="H366" s="57">
        <v>20</v>
      </c>
      <c r="J366" s="54"/>
      <c r="K366" s="52"/>
    </row>
    <row r="367" spans="1:11" x14ac:dyDescent="0.2">
      <c r="A367" s="51" t="s">
        <v>4895</v>
      </c>
      <c r="B367" s="51" t="s">
        <v>4717</v>
      </c>
      <c r="C367" s="51" t="s">
        <v>4732</v>
      </c>
      <c r="D367" s="51" t="s">
        <v>4695</v>
      </c>
      <c r="E367" s="58">
        <v>1334204.49</v>
      </c>
      <c r="F367" s="58">
        <v>1265850.81</v>
      </c>
      <c r="G367" s="58">
        <v>2600055.2999999998</v>
      </c>
      <c r="H367" s="57">
        <v>29</v>
      </c>
      <c r="J367" s="54"/>
      <c r="K367" s="52"/>
    </row>
    <row r="368" spans="1:11" x14ac:dyDescent="0.2">
      <c r="A368" s="51" t="s">
        <v>4894</v>
      </c>
      <c r="B368" s="51" t="s">
        <v>4717</v>
      </c>
      <c r="C368" s="51" t="s">
        <v>4824</v>
      </c>
      <c r="D368" s="51" t="s">
        <v>4691</v>
      </c>
      <c r="E368" s="58">
        <v>1288623.55</v>
      </c>
      <c r="F368" s="58">
        <v>1310514.8500000001</v>
      </c>
      <c r="G368" s="58">
        <v>2599138.4000000004</v>
      </c>
      <c r="H368" s="57">
        <v>32</v>
      </c>
      <c r="J368" s="54"/>
      <c r="K368" s="52"/>
    </row>
    <row r="369" spans="1:11" x14ac:dyDescent="0.2">
      <c r="A369" s="51" t="s">
        <v>4893</v>
      </c>
      <c r="B369" s="51" t="s">
        <v>4693</v>
      </c>
      <c r="C369" s="51" t="s">
        <v>4892</v>
      </c>
      <c r="D369" s="51" t="s">
        <v>4691</v>
      </c>
      <c r="E369" s="58">
        <v>1271403.0900000001</v>
      </c>
      <c r="F369" s="58">
        <v>1317401.21</v>
      </c>
      <c r="G369" s="58">
        <v>2588804.2999999998</v>
      </c>
      <c r="H369" s="57">
        <v>50</v>
      </c>
      <c r="J369" s="54"/>
      <c r="K369" s="52"/>
    </row>
    <row r="370" spans="1:11" x14ac:dyDescent="0.2">
      <c r="A370" s="51" t="s">
        <v>4891</v>
      </c>
      <c r="B370" s="51" t="s">
        <v>4693</v>
      </c>
      <c r="C370" s="51" t="s">
        <v>4728</v>
      </c>
      <c r="D370" s="51" t="s">
        <v>4691</v>
      </c>
      <c r="E370" s="58">
        <v>1228347.7</v>
      </c>
      <c r="F370" s="58">
        <v>1354636.27</v>
      </c>
      <c r="G370" s="58">
        <v>2582983.9699999997</v>
      </c>
      <c r="H370" s="57">
        <v>41</v>
      </c>
      <c r="J370" s="54"/>
      <c r="K370" s="52"/>
    </row>
    <row r="371" spans="1:11" x14ac:dyDescent="0.2">
      <c r="A371" s="51" t="s">
        <v>4890</v>
      </c>
      <c r="B371" s="51" t="s">
        <v>4717</v>
      </c>
      <c r="C371" s="51" t="s">
        <v>4889</v>
      </c>
      <c r="D371" s="51" t="s">
        <v>4691</v>
      </c>
      <c r="E371" s="58">
        <v>1267263.4099999999</v>
      </c>
      <c r="F371" s="58">
        <v>1290778.69</v>
      </c>
      <c r="G371" s="58">
        <v>2558042.0999999996</v>
      </c>
      <c r="H371" s="57">
        <v>35</v>
      </c>
      <c r="J371" s="54"/>
      <c r="K371" s="52"/>
    </row>
    <row r="372" spans="1:11" x14ac:dyDescent="0.2">
      <c r="A372" s="51" t="s">
        <v>4888</v>
      </c>
      <c r="B372" s="51" t="s">
        <v>4717</v>
      </c>
      <c r="C372" s="51" t="s">
        <v>4801</v>
      </c>
      <c r="D372" s="51" t="s">
        <v>4691</v>
      </c>
      <c r="E372" s="58">
        <v>1325934.8799999999</v>
      </c>
      <c r="F372" s="58">
        <v>1211871.3999999999</v>
      </c>
      <c r="G372" s="58">
        <v>2537806.2799999998</v>
      </c>
      <c r="H372" s="57">
        <v>50</v>
      </c>
      <c r="J372" s="54"/>
      <c r="K372" s="52"/>
    </row>
    <row r="373" spans="1:11" x14ac:dyDescent="0.2">
      <c r="A373" s="51" t="s">
        <v>4887</v>
      </c>
      <c r="B373" s="51" t="s">
        <v>4717</v>
      </c>
      <c r="C373" s="51" t="s">
        <v>4768</v>
      </c>
      <c r="D373" s="51" t="s">
        <v>4695</v>
      </c>
      <c r="E373" s="58">
        <v>1321185.72</v>
      </c>
      <c r="F373" s="58">
        <v>1202186.6499999999</v>
      </c>
      <c r="G373" s="58">
        <v>2523372.37</v>
      </c>
      <c r="H373" s="57">
        <v>30</v>
      </c>
      <c r="J373" s="54"/>
      <c r="K373" s="52"/>
    </row>
    <row r="374" spans="1:11" x14ac:dyDescent="0.2">
      <c r="A374" s="51" t="s">
        <v>4886</v>
      </c>
      <c r="B374" s="51" t="s">
        <v>4693</v>
      </c>
      <c r="C374" s="51" t="s">
        <v>4756</v>
      </c>
      <c r="D374" s="51" t="s">
        <v>4691</v>
      </c>
      <c r="E374" s="58">
        <v>1312054.8700000001</v>
      </c>
      <c r="F374" s="58">
        <v>1201800.1200000001</v>
      </c>
      <c r="G374" s="58">
        <v>2513854.9900000002</v>
      </c>
      <c r="H374" s="57">
        <v>40</v>
      </c>
      <c r="J374" s="54"/>
      <c r="K374" s="52"/>
    </row>
    <row r="375" spans="1:11" x14ac:dyDescent="0.2">
      <c r="A375" s="51" t="s">
        <v>4885</v>
      </c>
      <c r="B375" s="51" t="s">
        <v>4717</v>
      </c>
      <c r="C375" s="51" t="s">
        <v>4789</v>
      </c>
      <c r="D375" s="51" t="s">
        <v>4695</v>
      </c>
      <c r="E375" s="58">
        <v>1304854.4099999999</v>
      </c>
      <c r="F375" s="58">
        <v>1200585.17</v>
      </c>
      <c r="G375" s="58">
        <v>2505439.58</v>
      </c>
      <c r="H375" s="57">
        <v>14</v>
      </c>
      <c r="J375" s="54"/>
      <c r="K375" s="52"/>
    </row>
    <row r="376" spans="1:11" x14ac:dyDescent="0.2">
      <c r="A376" s="51" t="s">
        <v>4884</v>
      </c>
      <c r="B376" s="51" t="s">
        <v>4693</v>
      </c>
      <c r="C376" s="51" t="s">
        <v>4742</v>
      </c>
      <c r="D376" s="51" t="s">
        <v>4691</v>
      </c>
      <c r="E376" s="58">
        <v>1215154.9099999999</v>
      </c>
      <c r="F376" s="58">
        <v>1285829.45</v>
      </c>
      <c r="G376" s="58">
        <v>2500984.36</v>
      </c>
      <c r="H376" s="57">
        <v>50</v>
      </c>
      <c r="J376" s="54"/>
      <c r="K376" s="52"/>
    </row>
    <row r="377" spans="1:11" x14ac:dyDescent="0.2">
      <c r="A377" s="51" t="s">
        <v>4883</v>
      </c>
      <c r="B377" s="51" t="s">
        <v>4693</v>
      </c>
      <c r="C377" s="51" t="s">
        <v>4700</v>
      </c>
      <c r="D377" s="51" t="s">
        <v>4695</v>
      </c>
      <c r="E377" s="58">
        <v>1234998.26</v>
      </c>
      <c r="F377" s="58">
        <v>1259448.7</v>
      </c>
      <c r="G377" s="58">
        <v>2494446.96</v>
      </c>
      <c r="H377" s="57">
        <v>30</v>
      </c>
      <c r="J377" s="54"/>
      <c r="K377" s="52"/>
    </row>
    <row r="378" spans="1:11" x14ac:dyDescent="0.2">
      <c r="A378" s="51" t="s">
        <v>4882</v>
      </c>
      <c r="B378" s="51" t="s">
        <v>4693</v>
      </c>
      <c r="C378" s="51" t="s">
        <v>4744</v>
      </c>
      <c r="D378" s="51" t="s">
        <v>4691</v>
      </c>
      <c r="E378" s="58">
        <v>1209247.28</v>
      </c>
      <c r="F378" s="58">
        <v>1280566.05</v>
      </c>
      <c r="G378" s="58">
        <v>2489813.33</v>
      </c>
      <c r="H378" s="57">
        <v>35</v>
      </c>
      <c r="J378" s="54"/>
      <c r="K378" s="52"/>
    </row>
    <row r="379" spans="1:11" x14ac:dyDescent="0.2">
      <c r="A379" s="51" t="s">
        <v>4881</v>
      </c>
      <c r="B379" s="51" t="s">
        <v>4693</v>
      </c>
      <c r="C379" s="51" t="s">
        <v>4880</v>
      </c>
      <c r="D379" s="51" t="s">
        <v>4695</v>
      </c>
      <c r="E379" s="58">
        <v>1275064.06</v>
      </c>
      <c r="F379" s="58">
        <v>1207428.43</v>
      </c>
      <c r="G379" s="58">
        <v>2482492.4900000002</v>
      </c>
      <c r="H379" s="57">
        <v>40</v>
      </c>
      <c r="J379" s="54"/>
      <c r="K379" s="52"/>
    </row>
    <row r="380" spans="1:11" x14ac:dyDescent="0.2">
      <c r="A380" s="51" t="s">
        <v>4879</v>
      </c>
      <c r="B380" s="51" t="s">
        <v>4717</v>
      </c>
      <c r="C380" s="51" t="s">
        <v>4751</v>
      </c>
      <c r="D380" s="51" t="s">
        <v>4691</v>
      </c>
      <c r="E380" s="58">
        <v>1187081.52</v>
      </c>
      <c r="F380" s="58">
        <v>1294200.48</v>
      </c>
      <c r="G380" s="58">
        <v>2481282</v>
      </c>
      <c r="H380" s="57">
        <v>35</v>
      </c>
      <c r="J380" s="54"/>
      <c r="K380" s="52"/>
    </row>
    <row r="381" spans="1:11" x14ac:dyDescent="0.2">
      <c r="A381" s="51" t="s">
        <v>4878</v>
      </c>
      <c r="B381" s="51" t="s">
        <v>4717</v>
      </c>
      <c r="C381" s="51" t="s">
        <v>4751</v>
      </c>
      <c r="D381" s="51" t="s">
        <v>4691</v>
      </c>
      <c r="E381" s="58">
        <v>1235872.1399999999</v>
      </c>
      <c r="F381" s="58">
        <v>1198073.8400000001</v>
      </c>
      <c r="G381" s="58">
        <v>2433945.98</v>
      </c>
      <c r="H381" s="57">
        <v>26</v>
      </c>
      <c r="J381" s="54"/>
      <c r="K381" s="52"/>
    </row>
    <row r="382" spans="1:11" x14ac:dyDescent="0.2">
      <c r="A382" s="51" t="s">
        <v>4877</v>
      </c>
      <c r="B382" s="51" t="s">
        <v>4717</v>
      </c>
      <c r="C382" s="51" t="s">
        <v>4801</v>
      </c>
      <c r="D382" s="51" t="s">
        <v>4695</v>
      </c>
      <c r="E382" s="58">
        <v>1260548.06</v>
      </c>
      <c r="F382" s="58">
        <v>1164304.0900000001</v>
      </c>
      <c r="G382" s="58">
        <v>2424852.1500000004</v>
      </c>
      <c r="H382" s="57">
        <v>35</v>
      </c>
      <c r="J382" s="54"/>
      <c r="K382" s="52"/>
    </row>
    <row r="383" spans="1:11" x14ac:dyDescent="0.2">
      <c r="A383" s="51" t="s">
        <v>4876</v>
      </c>
      <c r="B383" s="51" t="s">
        <v>4717</v>
      </c>
      <c r="C383" s="51" t="s">
        <v>4809</v>
      </c>
      <c r="D383" s="51" t="s">
        <v>4691</v>
      </c>
      <c r="E383" s="58">
        <v>1146657.6499999999</v>
      </c>
      <c r="F383" s="58">
        <v>1273289.32</v>
      </c>
      <c r="G383" s="58">
        <v>2419946.9699999997</v>
      </c>
      <c r="H383" s="57">
        <v>28</v>
      </c>
      <c r="J383" s="54"/>
      <c r="K383" s="52"/>
    </row>
    <row r="384" spans="1:11" x14ac:dyDescent="0.2">
      <c r="A384" s="51" t="s">
        <v>4875</v>
      </c>
      <c r="B384" s="51" t="s">
        <v>4717</v>
      </c>
      <c r="C384" s="51" t="s">
        <v>4874</v>
      </c>
      <c r="D384" s="51" t="s">
        <v>4691</v>
      </c>
      <c r="E384" s="58">
        <v>1235239.4099999999</v>
      </c>
      <c r="F384" s="58">
        <v>1181405.28</v>
      </c>
      <c r="G384" s="58">
        <v>2416644.69</v>
      </c>
      <c r="H384" s="57">
        <v>60</v>
      </c>
      <c r="J384" s="54"/>
      <c r="K384" s="52"/>
    </row>
    <row r="385" spans="1:11" x14ac:dyDescent="0.2">
      <c r="A385" s="51" t="s">
        <v>4873</v>
      </c>
      <c r="B385" s="51" t="s">
        <v>4693</v>
      </c>
      <c r="C385" s="51" t="s">
        <v>4872</v>
      </c>
      <c r="D385" s="51" t="s">
        <v>4691</v>
      </c>
      <c r="E385" s="58">
        <v>1155591.3</v>
      </c>
      <c r="F385" s="58">
        <v>1250180.05</v>
      </c>
      <c r="G385" s="58">
        <v>2405771.35</v>
      </c>
      <c r="H385" s="57">
        <v>46</v>
      </c>
      <c r="J385" s="54"/>
      <c r="K385" s="52"/>
    </row>
    <row r="386" spans="1:11" x14ac:dyDescent="0.2">
      <c r="A386" s="51" t="s">
        <v>4871</v>
      </c>
      <c r="B386" s="51" t="s">
        <v>4693</v>
      </c>
      <c r="C386" s="51" t="s">
        <v>4796</v>
      </c>
      <c r="D386" s="51" t="s">
        <v>4695</v>
      </c>
      <c r="E386" s="58">
        <v>1274866.1100000001</v>
      </c>
      <c r="F386" s="58">
        <v>1104676.43</v>
      </c>
      <c r="G386" s="58">
        <v>2379542.54</v>
      </c>
      <c r="H386" s="57">
        <v>30</v>
      </c>
      <c r="J386" s="54"/>
      <c r="K386" s="52"/>
    </row>
    <row r="387" spans="1:11" x14ac:dyDescent="0.2">
      <c r="A387" s="51" t="s">
        <v>4870</v>
      </c>
      <c r="B387" s="51" t="s">
        <v>4693</v>
      </c>
      <c r="C387" s="51" t="s">
        <v>4775</v>
      </c>
      <c r="D387" s="51" t="s">
        <v>4691</v>
      </c>
      <c r="E387" s="58">
        <v>1231488.21</v>
      </c>
      <c r="F387" s="58">
        <v>1140614.0900000001</v>
      </c>
      <c r="G387" s="58">
        <v>2372102.2999999998</v>
      </c>
      <c r="H387" s="57">
        <v>47</v>
      </c>
      <c r="J387" s="54"/>
      <c r="K387" s="52"/>
    </row>
    <row r="388" spans="1:11" x14ac:dyDescent="0.2">
      <c r="A388" s="51" t="s">
        <v>4869</v>
      </c>
      <c r="B388" s="51" t="s">
        <v>4717</v>
      </c>
      <c r="C388" s="51" t="s">
        <v>4824</v>
      </c>
      <c r="D388" s="51" t="s">
        <v>4691</v>
      </c>
      <c r="E388" s="58">
        <v>1194923.96</v>
      </c>
      <c r="F388" s="58">
        <v>1173482.4099999999</v>
      </c>
      <c r="G388" s="58">
        <v>2368406.37</v>
      </c>
      <c r="H388" s="57">
        <v>35</v>
      </c>
      <c r="J388" s="54"/>
      <c r="K388" s="52"/>
    </row>
    <row r="389" spans="1:11" x14ac:dyDescent="0.2">
      <c r="A389" s="51" t="s">
        <v>4868</v>
      </c>
      <c r="B389" s="51" t="s">
        <v>4693</v>
      </c>
      <c r="C389" s="51" t="s">
        <v>4696</v>
      </c>
      <c r="D389" s="51" t="s">
        <v>4691</v>
      </c>
      <c r="E389" s="58">
        <v>1222445.5900000001</v>
      </c>
      <c r="F389" s="58">
        <v>1115409.99</v>
      </c>
      <c r="G389" s="58">
        <v>2337855.58</v>
      </c>
      <c r="H389" s="57">
        <v>77</v>
      </c>
      <c r="J389" s="54"/>
      <c r="K389" s="52"/>
    </row>
    <row r="390" spans="1:11" x14ac:dyDescent="0.2">
      <c r="A390" s="51" t="s">
        <v>4867</v>
      </c>
      <c r="B390" s="51" t="s">
        <v>4717</v>
      </c>
      <c r="C390" s="51" t="s">
        <v>4866</v>
      </c>
      <c r="D390" s="51" t="s">
        <v>4691</v>
      </c>
      <c r="E390" s="58">
        <v>1209661.75</v>
      </c>
      <c r="F390" s="58">
        <v>1123077.9099999999</v>
      </c>
      <c r="G390" s="58">
        <v>2332739.66</v>
      </c>
      <c r="H390" s="57">
        <v>32</v>
      </c>
      <c r="J390" s="54"/>
      <c r="K390" s="52"/>
    </row>
    <row r="391" spans="1:11" x14ac:dyDescent="0.2">
      <c r="A391" s="51" t="s">
        <v>4865</v>
      </c>
      <c r="B391" s="51" t="s">
        <v>4693</v>
      </c>
      <c r="C391" s="51" t="s">
        <v>4742</v>
      </c>
      <c r="D391" s="51" t="s">
        <v>4691</v>
      </c>
      <c r="E391" s="58">
        <v>1185727.43</v>
      </c>
      <c r="F391" s="58">
        <v>1124867.8</v>
      </c>
      <c r="G391" s="58">
        <v>2310595.23</v>
      </c>
      <c r="H391" s="57">
        <v>37</v>
      </c>
      <c r="J391" s="54"/>
      <c r="K391" s="52"/>
    </row>
    <row r="392" spans="1:11" x14ac:dyDescent="0.2">
      <c r="A392" s="51" t="s">
        <v>4864</v>
      </c>
      <c r="B392" s="51" t="s">
        <v>4717</v>
      </c>
      <c r="C392" s="51" t="s">
        <v>4863</v>
      </c>
      <c r="D392" s="51" t="s">
        <v>4691</v>
      </c>
      <c r="E392" s="58">
        <v>1137459.28</v>
      </c>
      <c r="F392" s="58">
        <v>1172271.8</v>
      </c>
      <c r="G392" s="58">
        <v>2309731.08</v>
      </c>
      <c r="H392" s="57">
        <v>45</v>
      </c>
      <c r="J392" s="54"/>
      <c r="K392" s="52"/>
    </row>
    <row r="393" spans="1:11" x14ac:dyDescent="0.2">
      <c r="A393" s="51" t="s">
        <v>4862</v>
      </c>
      <c r="B393" s="51" t="s">
        <v>4717</v>
      </c>
      <c r="C393" s="51" t="s">
        <v>4834</v>
      </c>
      <c r="D393" s="51" t="s">
        <v>4691</v>
      </c>
      <c r="E393" s="58">
        <v>1203189.23</v>
      </c>
      <c r="F393" s="58">
        <v>1091411.0900000001</v>
      </c>
      <c r="G393" s="58">
        <v>2294600.3200000003</v>
      </c>
      <c r="H393" s="57">
        <v>36</v>
      </c>
      <c r="J393" s="54"/>
      <c r="K393" s="52"/>
    </row>
    <row r="394" spans="1:11" x14ac:dyDescent="0.2">
      <c r="A394" s="51" t="s">
        <v>4861</v>
      </c>
      <c r="B394" s="51" t="s">
        <v>4693</v>
      </c>
      <c r="C394" s="51" t="s">
        <v>4822</v>
      </c>
      <c r="D394" s="51" t="s">
        <v>4695</v>
      </c>
      <c r="E394" s="58">
        <v>1163479.2</v>
      </c>
      <c r="F394" s="58">
        <v>1123789.71</v>
      </c>
      <c r="G394" s="58">
        <v>2287268.91</v>
      </c>
      <c r="H394" s="57">
        <v>40</v>
      </c>
      <c r="J394" s="54"/>
      <c r="K394" s="52"/>
    </row>
    <row r="395" spans="1:11" x14ac:dyDescent="0.2">
      <c r="A395" s="51" t="s">
        <v>4860</v>
      </c>
      <c r="B395" s="51" t="s">
        <v>4717</v>
      </c>
      <c r="C395" s="51" t="s">
        <v>4847</v>
      </c>
      <c r="D395" s="51" t="s">
        <v>4695</v>
      </c>
      <c r="E395" s="58">
        <v>1225847.92</v>
      </c>
      <c r="F395" s="58">
        <v>1040969.94</v>
      </c>
      <c r="G395" s="58">
        <v>2266817.86</v>
      </c>
      <c r="H395" s="57">
        <v>40</v>
      </c>
      <c r="J395" s="54"/>
      <c r="K395" s="52"/>
    </row>
    <row r="396" spans="1:11" x14ac:dyDescent="0.2">
      <c r="A396" s="51" t="s">
        <v>4859</v>
      </c>
      <c r="B396" s="51" t="s">
        <v>4693</v>
      </c>
      <c r="C396" s="51" t="s">
        <v>4756</v>
      </c>
      <c r="D396" s="51" t="s">
        <v>4691</v>
      </c>
      <c r="E396" s="58">
        <v>1229419.56</v>
      </c>
      <c r="F396" s="58">
        <v>1027675.49</v>
      </c>
      <c r="G396" s="58">
        <v>2257095.0499999998</v>
      </c>
      <c r="H396" s="57">
        <v>55</v>
      </c>
      <c r="J396" s="54"/>
      <c r="K396" s="52"/>
    </row>
    <row r="397" spans="1:11" x14ac:dyDescent="0.2">
      <c r="A397" s="51" t="s">
        <v>4858</v>
      </c>
      <c r="B397" s="51" t="s">
        <v>4717</v>
      </c>
      <c r="C397" s="51" t="s">
        <v>4726</v>
      </c>
      <c r="D397" s="51" t="s">
        <v>4695</v>
      </c>
      <c r="E397" s="58">
        <v>1104486.69</v>
      </c>
      <c r="F397" s="58">
        <v>1129401.3400000001</v>
      </c>
      <c r="G397" s="58">
        <v>2233888.0300000003</v>
      </c>
      <c r="H397" s="57">
        <v>20</v>
      </c>
      <c r="J397" s="54"/>
      <c r="K397" s="52"/>
    </row>
    <row r="398" spans="1:11" x14ac:dyDescent="0.2">
      <c r="A398" s="51" t="s">
        <v>4857</v>
      </c>
      <c r="B398" s="51" t="s">
        <v>4717</v>
      </c>
      <c r="C398" s="51" t="s">
        <v>4740</v>
      </c>
      <c r="D398" s="51" t="s">
        <v>4695</v>
      </c>
      <c r="E398" s="58">
        <v>1145754.8799999999</v>
      </c>
      <c r="F398" s="58">
        <v>1077660.29</v>
      </c>
      <c r="G398" s="58">
        <v>2223415.17</v>
      </c>
      <c r="H398" s="57">
        <v>23</v>
      </c>
      <c r="J398" s="54"/>
      <c r="K398" s="52"/>
    </row>
    <row r="399" spans="1:11" x14ac:dyDescent="0.2">
      <c r="A399" s="51" t="s">
        <v>4856</v>
      </c>
      <c r="B399" s="51" t="s">
        <v>4693</v>
      </c>
      <c r="C399" s="51" t="s">
        <v>4744</v>
      </c>
      <c r="D399" s="51" t="s">
        <v>4691</v>
      </c>
      <c r="E399" s="58">
        <v>1467446.89</v>
      </c>
      <c r="F399" s="58">
        <v>755445.9</v>
      </c>
      <c r="G399" s="58">
        <v>2222892.79</v>
      </c>
      <c r="H399" s="57">
        <v>0</v>
      </c>
      <c r="J399" s="54"/>
      <c r="K399" s="52"/>
    </row>
    <row r="400" spans="1:11" x14ac:dyDescent="0.2">
      <c r="A400" s="51" t="s">
        <v>4509</v>
      </c>
      <c r="B400" s="51" t="s">
        <v>4693</v>
      </c>
      <c r="C400" s="51" t="s">
        <v>4696</v>
      </c>
      <c r="D400" s="51" t="s">
        <v>4695</v>
      </c>
      <c r="E400" s="58">
        <v>1137936.02</v>
      </c>
      <c r="F400" s="58">
        <v>1076528.3700000001</v>
      </c>
      <c r="G400" s="58">
        <v>2214464.39</v>
      </c>
      <c r="H400" s="57">
        <v>24</v>
      </c>
      <c r="J400" s="54"/>
      <c r="K400" s="52"/>
    </row>
    <row r="401" spans="1:11" x14ac:dyDescent="0.2">
      <c r="A401" s="51" t="s">
        <v>4855</v>
      </c>
      <c r="B401" s="51" t="s">
        <v>4693</v>
      </c>
      <c r="C401" s="51" t="s">
        <v>4728</v>
      </c>
      <c r="D401" s="51" t="s">
        <v>4691</v>
      </c>
      <c r="E401" s="58">
        <v>1053747.4099999999</v>
      </c>
      <c r="F401" s="58">
        <v>1137600.73</v>
      </c>
      <c r="G401" s="58">
        <v>2191348.1399999997</v>
      </c>
      <c r="H401" s="57">
        <v>29</v>
      </c>
      <c r="J401" s="54"/>
      <c r="K401" s="52"/>
    </row>
    <row r="402" spans="1:11" x14ac:dyDescent="0.2">
      <c r="A402" s="51" t="s">
        <v>4854</v>
      </c>
      <c r="B402" s="51" t="s">
        <v>4717</v>
      </c>
      <c r="C402" s="51" t="s">
        <v>4853</v>
      </c>
      <c r="D402" s="51" t="s">
        <v>4691</v>
      </c>
      <c r="E402" s="58">
        <v>1091428.02</v>
      </c>
      <c r="F402" s="58">
        <v>1090413.23</v>
      </c>
      <c r="G402" s="58">
        <v>2181841.25</v>
      </c>
      <c r="H402" s="57">
        <v>30</v>
      </c>
      <c r="J402" s="54"/>
      <c r="K402" s="52"/>
    </row>
    <row r="403" spans="1:11" x14ac:dyDescent="0.2">
      <c r="A403" s="51" t="s">
        <v>4852</v>
      </c>
      <c r="B403" s="51" t="s">
        <v>4717</v>
      </c>
      <c r="C403" s="51" t="s">
        <v>4824</v>
      </c>
      <c r="D403" s="51" t="s">
        <v>4695</v>
      </c>
      <c r="E403" s="58">
        <v>1097984.49</v>
      </c>
      <c r="F403" s="58">
        <v>1082260.29</v>
      </c>
      <c r="G403" s="58">
        <v>2180244.7800000003</v>
      </c>
      <c r="H403" s="57">
        <v>28</v>
      </c>
      <c r="J403" s="54"/>
      <c r="K403" s="52"/>
    </row>
    <row r="404" spans="1:11" x14ac:dyDescent="0.2">
      <c r="A404" s="51" t="s">
        <v>4851</v>
      </c>
      <c r="B404" s="51" t="s">
        <v>4693</v>
      </c>
      <c r="C404" s="51" t="s">
        <v>4728</v>
      </c>
      <c r="D404" s="51" t="s">
        <v>4691</v>
      </c>
      <c r="E404" s="58">
        <v>1092569.6000000001</v>
      </c>
      <c r="F404" s="58">
        <v>1084843.1399999999</v>
      </c>
      <c r="G404" s="58">
        <v>2177412.7400000002</v>
      </c>
      <c r="H404" s="57">
        <v>41</v>
      </c>
      <c r="J404" s="54"/>
      <c r="K404" s="52"/>
    </row>
    <row r="405" spans="1:11" x14ac:dyDescent="0.2">
      <c r="A405" s="51" t="s">
        <v>4850</v>
      </c>
      <c r="B405" s="51" t="s">
        <v>4717</v>
      </c>
      <c r="C405" s="51" t="s">
        <v>4720</v>
      </c>
      <c r="D405" s="51" t="s">
        <v>4695</v>
      </c>
      <c r="E405" s="58">
        <v>1084978.45</v>
      </c>
      <c r="F405" s="58">
        <v>1074932.02</v>
      </c>
      <c r="G405" s="58">
        <v>2159910.4699999997</v>
      </c>
      <c r="H405" s="57">
        <v>19</v>
      </c>
      <c r="J405" s="54"/>
      <c r="K405" s="52"/>
    </row>
    <row r="406" spans="1:11" x14ac:dyDescent="0.2">
      <c r="A406" s="51" t="s">
        <v>4849</v>
      </c>
      <c r="B406" s="51" t="s">
        <v>4717</v>
      </c>
      <c r="C406" s="51" t="s">
        <v>4753</v>
      </c>
      <c r="D406" s="51" t="s">
        <v>4695</v>
      </c>
      <c r="E406" s="58">
        <v>1071773.26</v>
      </c>
      <c r="F406" s="58">
        <v>1087407.7</v>
      </c>
      <c r="G406" s="58">
        <v>2159180.96</v>
      </c>
      <c r="H406" s="57">
        <v>16</v>
      </c>
      <c r="J406" s="54"/>
      <c r="K406" s="52"/>
    </row>
    <row r="407" spans="1:11" x14ac:dyDescent="0.2">
      <c r="A407" s="51" t="s">
        <v>4848</v>
      </c>
      <c r="B407" s="51" t="s">
        <v>4717</v>
      </c>
      <c r="C407" s="51" t="s">
        <v>4847</v>
      </c>
      <c r="D407" s="51" t="s">
        <v>4695</v>
      </c>
      <c r="E407" s="58">
        <v>1044901.53</v>
      </c>
      <c r="F407" s="58">
        <v>1103479.6399999999</v>
      </c>
      <c r="G407" s="58">
        <v>2148381.17</v>
      </c>
      <c r="H407" s="57">
        <v>30</v>
      </c>
      <c r="J407" s="54"/>
      <c r="K407" s="52"/>
    </row>
    <row r="408" spans="1:11" x14ac:dyDescent="0.2">
      <c r="A408" s="51" t="s">
        <v>4846</v>
      </c>
      <c r="B408" s="51" t="s">
        <v>4693</v>
      </c>
      <c r="C408" s="51" t="s">
        <v>4738</v>
      </c>
      <c r="D408" s="51" t="s">
        <v>4695</v>
      </c>
      <c r="E408" s="58">
        <v>946509.5</v>
      </c>
      <c r="F408" s="58">
        <v>1195045.3400000001</v>
      </c>
      <c r="G408" s="58">
        <v>2141554.84</v>
      </c>
      <c r="H408" s="57">
        <v>32</v>
      </c>
      <c r="J408" s="54"/>
      <c r="K408" s="52"/>
    </row>
    <row r="409" spans="1:11" x14ac:dyDescent="0.2">
      <c r="A409" s="51" t="s">
        <v>4845</v>
      </c>
      <c r="B409" s="51" t="s">
        <v>4693</v>
      </c>
      <c r="C409" s="51" t="s">
        <v>4844</v>
      </c>
      <c r="D409" s="51" t="s">
        <v>4691</v>
      </c>
      <c r="E409" s="58">
        <v>1120012.49</v>
      </c>
      <c r="F409" s="58">
        <v>988759.47</v>
      </c>
      <c r="G409" s="58">
        <v>2108771.96</v>
      </c>
      <c r="H409" s="57">
        <v>36</v>
      </c>
      <c r="J409" s="54"/>
      <c r="K409" s="52"/>
    </row>
    <row r="410" spans="1:11" x14ac:dyDescent="0.2">
      <c r="A410" s="51" t="s">
        <v>4843</v>
      </c>
      <c r="B410" s="51" t="s">
        <v>4693</v>
      </c>
      <c r="C410" s="51" t="s">
        <v>4837</v>
      </c>
      <c r="D410" s="51" t="s">
        <v>4691</v>
      </c>
      <c r="E410" s="58">
        <v>1068180.1100000001</v>
      </c>
      <c r="F410" s="58">
        <v>1021697.55</v>
      </c>
      <c r="G410" s="58">
        <v>2089877.6600000001</v>
      </c>
      <c r="H410" s="57">
        <v>29</v>
      </c>
      <c r="J410" s="54"/>
      <c r="K410" s="52"/>
    </row>
    <row r="411" spans="1:11" x14ac:dyDescent="0.2">
      <c r="A411" s="51" t="s">
        <v>4842</v>
      </c>
      <c r="B411" s="51" t="s">
        <v>4717</v>
      </c>
      <c r="C411" s="51" t="s">
        <v>4792</v>
      </c>
      <c r="D411" s="51" t="s">
        <v>4691</v>
      </c>
      <c r="E411" s="58">
        <v>1047377.54</v>
      </c>
      <c r="F411" s="58">
        <v>1036305.48</v>
      </c>
      <c r="G411" s="58">
        <v>2083683.02</v>
      </c>
      <c r="H411" s="57">
        <v>39</v>
      </c>
      <c r="J411" s="54"/>
      <c r="K411" s="52"/>
    </row>
    <row r="412" spans="1:11" x14ac:dyDescent="0.2">
      <c r="A412" s="51" t="s">
        <v>4841</v>
      </c>
      <c r="B412" s="51" t="s">
        <v>4717</v>
      </c>
      <c r="C412" s="51" t="s">
        <v>4770</v>
      </c>
      <c r="D412" s="51" t="s">
        <v>4691</v>
      </c>
      <c r="E412" s="58">
        <v>1043842.15</v>
      </c>
      <c r="F412" s="58">
        <v>1035218.59</v>
      </c>
      <c r="G412" s="58">
        <v>2079060.74</v>
      </c>
      <c r="H412" s="57">
        <v>40</v>
      </c>
      <c r="J412" s="54"/>
      <c r="K412" s="52"/>
    </row>
    <row r="413" spans="1:11" x14ac:dyDescent="0.2">
      <c r="A413" s="51" t="s">
        <v>4840</v>
      </c>
      <c r="B413" s="51" t="s">
        <v>4693</v>
      </c>
      <c r="C413" s="51" t="s">
        <v>4796</v>
      </c>
      <c r="D413" s="51" t="s">
        <v>4691</v>
      </c>
      <c r="E413" s="58">
        <v>1015403.34</v>
      </c>
      <c r="F413" s="58">
        <v>1045116.11</v>
      </c>
      <c r="G413" s="58">
        <v>2060519.45</v>
      </c>
      <c r="H413" s="57">
        <v>50</v>
      </c>
      <c r="J413" s="54"/>
      <c r="K413" s="52"/>
    </row>
    <row r="414" spans="1:11" x14ac:dyDescent="0.2">
      <c r="A414" s="51" t="s">
        <v>4839</v>
      </c>
      <c r="B414" s="51" t="s">
        <v>4693</v>
      </c>
      <c r="C414" s="51" t="s">
        <v>4710</v>
      </c>
      <c r="D414" s="51" t="s">
        <v>4695</v>
      </c>
      <c r="E414" s="58">
        <v>1016694.17</v>
      </c>
      <c r="F414" s="58">
        <v>1010865.84</v>
      </c>
      <c r="G414" s="58">
        <v>2027560.01</v>
      </c>
      <c r="H414" s="57">
        <v>40</v>
      </c>
      <c r="J414" s="54"/>
      <c r="K414" s="52"/>
    </row>
    <row r="415" spans="1:11" x14ac:dyDescent="0.2">
      <c r="A415" s="51" t="s">
        <v>4838</v>
      </c>
      <c r="B415" s="51" t="s">
        <v>4693</v>
      </c>
      <c r="C415" s="51" t="s">
        <v>4837</v>
      </c>
      <c r="D415" s="51" t="s">
        <v>4691</v>
      </c>
      <c r="E415" s="58">
        <v>1075027.29</v>
      </c>
      <c r="F415" s="58">
        <v>949794.61</v>
      </c>
      <c r="G415" s="58">
        <v>2024821.9</v>
      </c>
      <c r="H415" s="57">
        <v>25</v>
      </c>
      <c r="J415" s="54"/>
      <c r="K415" s="52"/>
    </row>
    <row r="416" spans="1:11" x14ac:dyDescent="0.2">
      <c r="A416" s="51" t="s">
        <v>4836</v>
      </c>
      <c r="B416" s="51" t="s">
        <v>4717</v>
      </c>
      <c r="C416" s="51" t="s">
        <v>4794</v>
      </c>
      <c r="D416" s="51" t="s">
        <v>4695</v>
      </c>
      <c r="E416" s="58">
        <v>1059203.8799999999</v>
      </c>
      <c r="F416" s="58">
        <v>962852.69</v>
      </c>
      <c r="G416" s="58">
        <v>2022056.5699999998</v>
      </c>
      <c r="H416" s="57">
        <v>25</v>
      </c>
      <c r="J416" s="54"/>
      <c r="K416" s="52"/>
    </row>
    <row r="417" spans="1:256" x14ac:dyDescent="0.2">
      <c r="A417" s="51" t="s">
        <v>4835</v>
      </c>
      <c r="B417" s="51" t="s">
        <v>4717</v>
      </c>
      <c r="C417" s="51" t="s">
        <v>4834</v>
      </c>
      <c r="D417" s="51" t="s">
        <v>4691</v>
      </c>
      <c r="E417" s="58">
        <v>1017660.88</v>
      </c>
      <c r="F417" s="58">
        <v>938006.13</v>
      </c>
      <c r="G417" s="58">
        <v>1955667.01</v>
      </c>
      <c r="H417" s="57">
        <v>34</v>
      </c>
      <c r="J417" s="54"/>
      <c r="K417" s="52"/>
    </row>
    <row r="418" spans="1:256" x14ac:dyDescent="0.2">
      <c r="A418" s="51" t="s">
        <v>4833</v>
      </c>
      <c r="B418" s="51" t="s">
        <v>4717</v>
      </c>
      <c r="C418" s="51" t="s">
        <v>4832</v>
      </c>
      <c r="D418" s="51" t="s">
        <v>4691</v>
      </c>
      <c r="E418" s="58">
        <v>1040229.24</v>
      </c>
      <c r="F418" s="58">
        <v>897042.43</v>
      </c>
      <c r="G418" s="58">
        <v>1937271.67</v>
      </c>
      <c r="H418" s="57">
        <v>40</v>
      </c>
      <c r="J418" s="54"/>
      <c r="K418" s="52"/>
    </row>
    <row r="419" spans="1:256" ht="12.75" x14ac:dyDescent="0.2">
      <c r="A419" s="51" t="s">
        <v>4831</v>
      </c>
      <c r="B419" s="51" t="s">
        <v>4693</v>
      </c>
      <c r="C419" s="51" t="s">
        <v>4830</v>
      </c>
      <c r="D419" s="51" t="s">
        <v>4691</v>
      </c>
      <c r="E419" s="58">
        <v>1029975.88</v>
      </c>
      <c r="F419" s="58">
        <v>866808.75</v>
      </c>
      <c r="G419" s="58">
        <v>1896784.63</v>
      </c>
      <c r="H419" s="57">
        <v>29</v>
      </c>
      <c r="I419" s="48"/>
      <c r="J419" s="54"/>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48"/>
      <c r="BJ419" s="48"/>
      <c r="BK419" s="48"/>
      <c r="BL419" s="48"/>
      <c r="BM419" s="48"/>
      <c r="BN419" s="48"/>
      <c r="BO419" s="48"/>
      <c r="BP419" s="48"/>
      <c r="BQ419" s="48"/>
      <c r="BR419" s="48"/>
      <c r="BS419" s="48"/>
      <c r="BT419" s="48"/>
      <c r="BU419" s="48"/>
      <c r="BV419" s="48"/>
      <c r="BW419" s="48"/>
      <c r="BX419" s="48"/>
      <c r="BY419" s="48"/>
      <c r="BZ419" s="48"/>
      <c r="CA419" s="48"/>
      <c r="CB419" s="48"/>
      <c r="CC419" s="48"/>
      <c r="CD419" s="48"/>
      <c r="CE419" s="48"/>
      <c r="CF419" s="48"/>
      <c r="CG419" s="48"/>
      <c r="CH419" s="48"/>
      <c r="CI419" s="48"/>
      <c r="CJ419" s="48"/>
      <c r="CK419" s="48"/>
      <c r="CL419" s="48"/>
      <c r="CM419" s="48"/>
      <c r="CN419" s="48"/>
      <c r="CO419" s="48"/>
      <c r="CP419" s="48"/>
      <c r="CQ419" s="48"/>
      <c r="CR419" s="48"/>
      <c r="CS419" s="48"/>
      <c r="CT419" s="48"/>
      <c r="CU419" s="48"/>
      <c r="CV419" s="48"/>
      <c r="CW419" s="48"/>
      <c r="CX419" s="48"/>
      <c r="CY419" s="48"/>
      <c r="CZ419" s="48"/>
      <c r="DA419" s="48"/>
      <c r="DB419" s="48"/>
      <c r="DC419" s="48"/>
      <c r="DD419" s="48"/>
      <c r="DE419" s="48"/>
      <c r="DF419" s="48"/>
      <c r="DG419" s="48"/>
      <c r="DH419" s="48"/>
      <c r="DI419" s="48"/>
      <c r="DJ419" s="48"/>
      <c r="DK419" s="48"/>
      <c r="DL419" s="48"/>
      <c r="DM419" s="48"/>
      <c r="DN419" s="48"/>
      <c r="DO419" s="48"/>
      <c r="DP419" s="48"/>
      <c r="DQ419" s="48"/>
      <c r="DR419" s="48"/>
      <c r="DS419" s="48"/>
      <c r="DT419" s="48"/>
      <c r="DU419" s="48"/>
      <c r="DV419" s="48"/>
      <c r="DW419" s="48"/>
      <c r="DX419" s="48"/>
      <c r="DY419" s="48"/>
      <c r="DZ419" s="48"/>
      <c r="EA419" s="48"/>
      <c r="EB419" s="48"/>
      <c r="EC419" s="48"/>
      <c r="ED419" s="48"/>
      <c r="EE419" s="48"/>
      <c r="EF419" s="48"/>
      <c r="EG419" s="48"/>
      <c r="EH419" s="48"/>
      <c r="EI419" s="48"/>
      <c r="EJ419" s="48"/>
      <c r="EK419" s="48"/>
      <c r="EL419" s="48"/>
      <c r="EM419" s="48"/>
      <c r="EN419" s="48"/>
      <c r="EO419" s="48"/>
      <c r="EP419" s="48"/>
      <c r="EQ419" s="48"/>
      <c r="ER419" s="48"/>
      <c r="ES419" s="48"/>
      <c r="ET419" s="48"/>
      <c r="EU419" s="48"/>
      <c r="EV419" s="48"/>
      <c r="EW419" s="48"/>
      <c r="EX419" s="48"/>
      <c r="EY419" s="48"/>
      <c r="EZ419" s="48"/>
      <c r="FA419" s="48"/>
      <c r="FB419" s="48"/>
      <c r="FC419" s="48"/>
      <c r="FD419" s="48"/>
      <c r="FE419" s="48"/>
      <c r="FF419" s="48"/>
      <c r="FG419" s="48"/>
      <c r="FH419" s="48"/>
      <c r="FI419" s="48"/>
      <c r="FJ419" s="48"/>
      <c r="FK419" s="48"/>
      <c r="FL419" s="48"/>
      <c r="FM419" s="48"/>
      <c r="FN419" s="48"/>
      <c r="FO419" s="48"/>
      <c r="FP419" s="48"/>
      <c r="FQ419" s="48"/>
      <c r="FR419" s="48"/>
      <c r="FS419" s="48"/>
      <c r="FT419" s="48"/>
      <c r="FU419" s="48"/>
      <c r="FV419" s="48"/>
      <c r="FW419" s="48"/>
      <c r="FX419" s="48"/>
      <c r="FY419" s="48"/>
      <c r="FZ419" s="48"/>
      <c r="GA419" s="48"/>
      <c r="GB419" s="48"/>
      <c r="GC419" s="48"/>
      <c r="GD419" s="48"/>
      <c r="GE419" s="48"/>
      <c r="GF419" s="48"/>
      <c r="GG419" s="48"/>
      <c r="GH419" s="48"/>
      <c r="GI419" s="48"/>
      <c r="GJ419" s="48"/>
      <c r="GK419" s="48"/>
      <c r="GL419" s="48"/>
      <c r="GM419" s="48"/>
      <c r="GN419" s="48"/>
      <c r="GO419" s="48"/>
      <c r="GP419" s="48"/>
      <c r="GQ419" s="48"/>
      <c r="GR419" s="48"/>
      <c r="GS419" s="48"/>
      <c r="GT419" s="48"/>
      <c r="GU419" s="48"/>
      <c r="GV419" s="48"/>
      <c r="GW419" s="48"/>
      <c r="GX419" s="48"/>
      <c r="GY419" s="48"/>
      <c r="GZ419" s="48"/>
      <c r="HA419" s="48"/>
      <c r="HB419" s="48"/>
      <c r="HC419" s="48"/>
      <c r="HD419" s="48"/>
      <c r="HE419" s="48"/>
      <c r="HF419" s="48"/>
      <c r="HG419" s="48"/>
      <c r="HH419" s="48"/>
      <c r="HI419" s="48"/>
      <c r="HJ419" s="48"/>
      <c r="HK419" s="48"/>
      <c r="HL419" s="48"/>
      <c r="HM419" s="48"/>
      <c r="HN419" s="48"/>
      <c r="HO419" s="48"/>
      <c r="HP419" s="48"/>
      <c r="HQ419" s="48"/>
      <c r="HR419" s="48"/>
      <c r="HS419" s="48"/>
      <c r="HT419" s="48"/>
      <c r="HU419" s="48"/>
      <c r="HV419" s="48"/>
      <c r="HW419" s="48"/>
      <c r="HX419" s="48"/>
      <c r="HY419" s="48"/>
      <c r="HZ419" s="48"/>
      <c r="IA419" s="48"/>
      <c r="IB419" s="48"/>
      <c r="IC419" s="48"/>
      <c r="ID419" s="48"/>
      <c r="IE419" s="48"/>
      <c r="IF419" s="48"/>
      <c r="IG419" s="48"/>
      <c r="IH419" s="48"/>
      <c r="II419" s="48"/>
      <c r="IJ419" s="48"/>
      <c r="IK419" s="48"/>
      <c r="IL419" s="48"/>
      <c r="IM419" s="48"/>
      <c r="IN419" s="48"/>
      <c r="IO419" s="48"/>
      <c r="IP419" s="48"/>
      <c r="IQ419" s="48"/>
      <c r="IR419" s="48"/>
      <c r="IS419" s="48"/>
      <c r="IT419" s="48"/>
      <c r="IU419" s="48"/>
      <c r="IV419" s="48"/>
    </row>
    <row r="420" spans="1:256" x14ac:dyDescent="0.2">
      <c r="A420" s="51" t="s">
        <v>4829</v>
      </c>
      <c r="B420" s="51" t="s">
        <v>4717</v>
      </c>
      <c r="C420" s="51" t="s">
        <v>4824</v>
      </c>
      <c r="D420" s="51" t="s">
        <v>4695</v>
      </c>
      <c r="E420" s="58">
        <v>954145.07</v>
      </c>
      <c r="F420" s="58">
        <v>939219.68</v>
      </c>
      <c r="G420" s="58">
        <v>1893364.75</v>
      </c>
      <c r="H420" s="57">
        <v>30</v>
      </c>
      <c r="J420" s="54"/>
      <c r="K420" s="52"/>
    </row>
    <row r="421" spans="1:256" x14ac:dyDescent="0.2">
      <c r="A421" s="51" t="s">
        <v>4828</v>
      </c>
      <c r="B421" s="51" t="s">
        <v>4693</v>
      </c>
      <c r="C421" s="51" t="s">
        <v>4775</v>
      </c>
      <c r="D421" s="51" t="s">
        <v>4691</v>
      </c>
      <c r="E421" s="58">
        <v>926036.38</v>
      </c>
      <c r="F421" s="58">
        <v>964002.4</v>
      </c>
      <c r="G421" s="58">
        <v>1890038.78</v>
      </c>
      <c r="H421" s="57">
        <v>55</v>
      </c>
      <c r="J421" s="54"/>
    </row>
    <row r="422" spans="1:256" x14ac:dyDescent="0.2">
      <c r="A422" s="51" t="s">
        <v>4827</v>
      </c>
      <c r="B422" s="51" t="s">
        <v>4693</v>
      </c>
      <c r="C422" s="51" t="s">
        <v>4738</v>
      </c>
      <c r="D422" s="51" t="s">
        <v>4695</v>
      </c>
      <c r="E422" s="58">
        <v>988487.89</v>
      </c>
      <c r="F422" s="58">
        <v>898610.69</v>
      </c>
      <c r="G422" s="58">
        <v>1887098.58</v>
      </c>
      <c r="H422" s="57">
        <v>40</v>
      </c>
      <c r="J422" s="54"/>
      <c r="K422" s="52"/>
    </row>
    <row r="423" spans="1:256" x14ac:dyDescent="0.2">
      <c r="A423" s="51" t="s">
        <v>4826</v>
      </c>
      <c r="B423" s="51" t="s">
        <v>4717</v>
      </c>
      <c r="C423" s="51" t="s">
        <v>4789</v>
      </c>
      <c r="D423" s="51" t="s">
        <v>4691</v>
      </c>
      <c r="E423" s="58">
        <v>907882.09</v>
      </c>
      <c r="F423" s="58">
        <v>952186.11</v>
      </c>
      <c r="G423" s="58">
        <v>1860068.2</v>
      </c>
      <c r="H423" s="57">
        <v>42</v>
      </c>
      <c r="J423" s="54"/>
      <c r="K423" s="52"/>
    </row>
    <row r="424" spans="1:256" x14ac:dyDescent="0.2">
      <c r="A424" s="51" t="s">
        <v>4825</v>
      </c>
      <c r="B424" s="51" t="s">
        <v>4717</v>
      </c>
      <c r="C424" s="51" t="s">
        <v>4824</v>
      </c>
      <c r="D424" s="51" t="s">
        <v>4695</v>
      </c>
      <c r="E424" s="58">
        <v>993617.03</v>
      </c>
      <c r="F424" s="58">
        <v>842458.32</v>
      </c>
      <c r="G424" s="58">
        <v>1836075.35</v>
      </c>
      <c r="H424" s="57">
        <v>28</v>
      </c>
      <c r="J424" s="54"/>
      <c r="K424" s="52"/>
    </row>
    <row r="425" spans="1:256" x14ac:dyDescent="0.2">
      <c r="A425" s="51" t="s">
        <v>4823</v>
      </c>
      <c r="B425" s="51" t="s">
        <v>4693</v>
      </c>
      <c r="C425" s="51" t="s">
        <v>4822</v>
      </c>
      <c r="D425" s="51" t="s">
        <v>4691</v>
      </c>
      <c r="E425" s="58">
        <v>981141.64</v>
      </c>
      <c r="F425" s="58">
        <v>831032.68</v>
      </c>
      <c r="G425" s="58">
        <v>1812174.32</v>
      </c>
      <c r="H425" s="57">
        <v>37</v>
      </c>
      <c r="J425" s="54"/>
      <c r="K425" s="52"/>
    </row>
    <row r="426" spans="1:256" x14ac:dyDescent="0.2">
      <c r="A426" s="51" t="s">
        <v>4821</v>
      </c>
      <c r="B426" s="51" t="s">
        <v>4717</v>
      </c>
      <c r="C426" s="51" t="s">
        <v>4770</v>
      </c>
      <c r="D426" s="51" t="s">
        <v>4695</v>
      </c>
      <c r="E426" s="58">
        <v>843957.01</v>
      </c>
      <c r="F426" s="58">
        <v>962882.49</v>
      </c>
      <c r="G426" s="58">
        <v>1806839.5</v>
      </c>
      <c r="H426" s="57">
        <v>23</v>
      </c>
      <c r="J426" s="54"/>
      <c r="K426" s="52"/>
    </row>
    <row r="427" spans="1:256" x14ac:dyDescent="0.2">
      <c r="A427" s="51" t="s">
        <v>4820</v>
      </c>
      <c r="B427" s="51" t="s">
        <v>4717</v>
      </c>
      <c r="C427" s="51" t="s">
        <v>4732</v>
      </c>
      <c r="D427" s="51" t="s">
        <v>4691</v>
      </c>
      <c r="E427" s="58">
        <v>923850.27</v>
      </c>
      <c r="F427" s="58">
        <v>829695.51</v>
      </c>
      <c r="G427" s="58">
        <v>1753545.78</v>
      </c>
      <c r="H427" s="57">
        <v>35</v>
      </c>
      <c r="J427" s="54"/>
      <c r="K427" s="52"/>
    </row>
    <row r="428" spans="1:256" x14ac:dyDescent="0.2">
      <c r="A428" s="51" t="s">
        <v>4819</v>
      </c>
      <c r="B428" s="51" t="s">
        <v>4717</v>
      </c>
      <c r="C428" s="51" t="s">
        <v>4772</v>
      </c>
      <c r="D428" s="51" t="s">
        <v>4695</v>
      </c>
      <c r="E428" s="58">
        <v>900957.36</v>
      </c>
      <c r="F428" s="58">
        <v>831789</v>
      </c>
      <c r="G428" s="58">
        <v>1732746.3599999999</v>
      </c>
      <c r="H428" s="57">
        <v>18</v>
      </c>
      <c r="J428" s="54"/>
      <c r="K428" s="52"/>
    </row>
    <row r="429" spans="1:256" x14ac:dyDescent="0.2">
      <c r="A429" s="51" t="s">
        <v>4498</v>
      </c>
      <c r="B429" s="51" t="s">
        <v>4717</v>
      </c>
      <c r="C429" s="51" t="s">
        <v>4749</v>
      </c>
      <c r="D429" s="51" t="s">
        <v>4695</v>
      </c>
      <c r="E429" s="58">
        <v>867574.07</v>
      </c>
      <c r="F429" s="58">
        <v>863782.84</v>
      </c>
      <c r="G429" s="58">
        <v>1731356.91</v>
      </c>
      <c r="H429" s="57">
        <v>23</v>
      </c>
      <c r="J429" s="54"/>
      <c r="K429" s="52"/>
    </row>
    <row r="430" spans="1:256" x14ac:dyDescent="0.2">
      <c r="A430" s="51" t="s">
        <v>4818</v>
      </c>
      <c r="B430" s="51" t="s">
        <v>4693</v>
      </c>
      <c r="C430" s="51" t="s">
        <v>4728</v>
      </c>
      <c r="D430" s="51" t="s">
        <v>4691</v>
      </c>
      <c r="E430" s="58">
        <v>891217.98</v>
      </c>
      <c r="F430" s="58">
        <v>837689.31</v>
      </c>
      <c r="G430" s="58">
        <v>1728907.29</v>
      </c>
      <c r="H430" s="57">
        <v>83</v>
      </c>
      <c r="J430" s="54"/>
      <c r="K430" s="52"/>
    </row>
    <row r="431" spans="1:256" x14ac:dyDescent="0.2">
      <c r="A431" s="51" t="s">
        <v>4817</v>
      </c>
      <c r="B431" s="51" t="s">
        <v>4693</v>
      </c>
      <c r="C431" s="51" t="s">
        <v>4742</v>
      </c>
      <c r="D431" s="51" t="s">
        <v>4691</v>
      </c>
      <c r="E431" s="58">
        <v>863899.49</v>
      </c>
      <c r="F431" s="58">
        <v>851041.37</v>
      </c>
      <c r="G431" s="58">
        <v>1714940.8599999999</v>
      </c>
      <c r="H431" s="57">
        <v>40</v>
      </c>
      <c r="J431" s="54"/>
      <c r="K431" s="52"/>
    </row>
    <row r="432" spans="1:256" x14ac:dyDescent="0.2">
      <c r="A432" s="51" t="s">
        <v>4816</v>
      </c>
      <c r="B432" s="51" t="s">
        <v>4717</v>
      </c>
      <c r="C432" s="51" t="s">
        <v>4740</v>
      </c>
      <c r="D432" s="51" t="s">
        <v>4691</v>
      </c>
      <c r="E432" s="58">
        <v>863045.94</v>
      </c>
      <c r="F432" s="58">
        <v>841215.16</v>
      </c>
      <c r="G432" s="58">
        <v>1704261.1</v>
      </c>
      <c r="H432" s="57">
        <v>36</v>
      </c>
      <c r="J432" s="54"/>
      <c r="K432" s="52"/>
    </row>
    <row r="433" spans="1:11" x14ac:dyDescent="0.2">
      <c r="A433" s="51" t="s">
        <v>4815</v>
      </c>
      <c r="B433" s="51" t="s">
        <v>4693</v>
      </c>
      <c r="C433" s="51" t="s">
        <v>4738</v>
      </c>
      <c r="D433" s="51" t="s">
        <v>4695</v>
      </c>
      <c r="E433" s="58">
        <v>835789.21</v>
      </c>
      <c r="F433" s="58">
        <v>868431.26</v>
      </c>
      <c r="G433" s="58">
        <v>1704220.47</v>
      </c>
      <c r="H433" s="57">
        <v>28</v>
      </c>
      <c r="J433" s="54"/>
      <c r="K433" s="52"/>
    </row>
    <row r="434" spans="1:11" x14ac:dyDescent="0.2">
      <c r="A434" s="51" t="s">
        <v>4814</v>
      </c>
      <c r="B434" s="51" t="s">
        <v>4693</v>
      </c>
      <c r="C434" s="51" t="s">
        <v>4728</v>
      </c>
      <c r="D434" s="51" t="s">
        <v>4691</v>
      </c>
      <c r="E434" s="58">
        <v>895928.01</v>
      </c>
      <c r="F434" s="58">
        <v>786905.61</v>
      </c>
      <c r="G434" s="58">
        <v>1682833.62</v>
      </c>
      <c r="H434" s="57">
        <v>35</v>
      </c>
      <c r="J434" s="54"/>
      <c r="K434" s="52"/>
    </row>
    <row r="435" spans="1:11" x14ac:dyDescent="0.2">
      <c r="A435" s="51" t="s">
        <v>4813</v>
      </c>
      <c r="B435" s="51" t="s">
        <v>4717</v>
      </c>
      <c r="C435" s="51" t="s">
        <v>4758</v>
      </c>
      <c r="D435" s="51" t="s">
        <v>4695</v>
      </c>
      <c r="E435" s="58">
        <v>846015.63</v>
      </c>
      <c r="F435" s="58">
        <v>826135.26</v>
      </c>
      <c r="G435" s="58">
        <v>1672150.8900000001</v>
      </c>
      <c r="H435" s="57">
        <v>15</v>
      </c>
      <c r="J435" s="54"/>
      <c r="K435" s="52"/>
    </row>
    <row r="436" spans="1:11" x14ac:dyDescent="0.2">
      <c r="A436" s="51" t="s">
        <v>4812</v>
      </c>
      <c r="B436" s="51" t="s">
        <v>4717</v>
      </c>
      <c r="C436" s="51" t="s">
        <v>4811</v>
      </c>
      <c r="D436" s="51" t="s">
        <v>4691</v>
      </c>
      <c r="E436" s="58">
        <v>816804.39</v>
      </c>
      <c r="F436" s="58">
        <v>836024.86</v>
      </c>
      <c r="G436" s="58">
        <v>1652829.25</v>
      </c>
      <c r="H436" s="57">
        <v>40</v>
      </c>
      <c r="J436" s="54"/>
      <c r="K436" s="52"/>
    </row>
    <row r="437" spans="1:11" x14ac:dyDescent="0.2">
      <c r="A437" s="51" t="s">
        <v>4810</v>
      </c>
      <c r="B437" s="51" t="s">
        <v>4717</v>
      </c>
      <c r="C437" s="51" t="s">
        <v>4809</v>
      </c>
      <c r="D437" s="51" t="s">
        <v>4691</v>
      </c>
      <c r="E437" s="58">
        <v>829501.99</v>
      </c>
      <c r="F437" s="58">
        <v>813650.95</v>
      </c>
      <c r="G437" s="58">
        <v>1643152.94</v>
      </c>
      <c r="H437" s="57">
        <v>25</v>
      </c>
      <c r="J437" s="54"/>
      <c r="K437" s="52"/>
    </row>
    <row r="438" spans="1:11" x14ac:dyDescent="0.2">
      <c r="A438" s="51" t="s">
        <v>4808</v>
      </c>
      <c r="B438" s="51" t="s">
        <v>4717</v>
      </c>
      <c r="C438" s="51" t="s">
        <v>4807</v>
      </c>
      <c r="D438" s="51" t="s">
        <v>4691</v>
      </c>
      <c r="E438" s="58">
        <v>853810.35</v>
      </c>
      <c r="F438" s="58">
        <v>772257.07</v>
      </c>
      <c r="G438" s="58">
        <v>1626067.42</v>
      </c>
      <c r="H438" s="57">
        <v>35</v>
      </c>
      <c r="J438" s="54"/>
      <c r="K438" s="52"/>
    </row>
    <row r="439" spans="1:11" x14ac:dyDescent="0.2">
      <c r="A439" s="51" t="s">
        <v>4806</v>
      </c>
      <c r="B439" s="51" t="s">
        <v>4717</v>
      </c>
      <c r="C439" s="51" t="s">
        <v>4805</v>
      </c>
      <c r="D439" s="51" t="s">
        <v>4695</v>
      </c>
      <c r="E439" s="58">
        <v>817255.88</v>
      </c>
      <c r="F439" s="58">
        <v>795456.09</v>
      </c>
      <c r="G439" s="58">
        <v>1612711.97</v>
      </c>
      <c r="H439" s="57">
        <v>25</v>
      </c>
      <c r="J439" s="54"/>
      <c r="K439" s="52"/>
    </row>
    <row r="440" spans="1:11" x14ac:dyDescent="0.2">
      <c r="A440" s="51" t="s">
        <v>4804</v>
      </c>
      <c r="B440" s="51" t="s">
        <v>4717</v>
      </c>
      <c r="C440" s="51" t="s">
        <v>4758</v>
      </c>
      <c r="D440" s="51" t="s">
        <v>4691</v>
      </c>
      <c r="E440" s="58">
        <v>848399.58</v>
      </c>
      <c r="F440" s="58">
        <v>763109.07</v>
      </c>
      <c r="G440" s="58">
        <v>1611508.65</v>
      </c>
      <c r="H440" s="57">
        <v>35</v>
      </c>
      <c r="J440" s="54"/>
      <c r="K440" s="52"/>
    </row>
    <row r="441" spans="1:11" x14ac:dyDescent="0.2">
      <c r="A441" s="51" t="s">
        <v>4803</v>
      </c>
      <c r="B441" s="51" t="s">
        <v>4693</v>
      </c>
      <c r="C441" s="51" t="s">
        <v>4742</v>
      </c>
      <c r="D441" s="51" t="s">
        <v>4691</v>
      </c>
      <c r="E441" s="58">
        <v>822436.79</v>
      </c>
      <c r="F441" s="58">
        <v>755440.36</v>
      </c>
      <c r="G441" s="58">
        <v>1577877.15</v>
      </c>
      <c r="H441" s="57">
        <v>30</v>
      </c>
      <c r="J441" s="54"/>
      <c r="K441" s="52"/>
    </row>
    <row r="442" spans="1:11" x14ac:dyDescent="0.2">
      <c r="A442" s="51" t="s">
        <v>4802</v>
      </c>
      <c r="B442" s="51" t="s">
        <v>4717</v>
      </c>
      <c r="C442" s="51" t="s">
        <v>4801</v>
      </c>
      <c r="D442" s="51" t="s">
        <v>4691</v>
      </c>
      <c r="E442" s="58">
        <v>775302.84</v>
      </c>
      <c r="F442" s="58">
        <v>788204.18</v>
      </c>
      <c r="G442" s="58">
        <v>1563507.02</v>
      </c>
      <c r="H442" s="57">
        <v>25</v>
      </c>
      <c r="J442" s="54"/>
      <c r="K442" s="52"/>
    </row>
    <row r="443" spans="1:11" x14ac:dyDescent="0.2">
      <c r="A443" s="51" t="s">
        <v>4800</v>
      </c>
      <c r="B443" s="51" t="s">
        <v>4717</v>
      </c>
      <c r="C443" s="51" t="s">
        <v>4762</v>
      </c>
      <c r="D443" s="51" t="s">
        <v>4695</v>
      </c>
      <c r="E443" s="58">
        <v>847276.99</v>
      </c>
      <c r="F443" s="58">
        <v>690645.72</v>
      </c>
      <c r="G443" s="58">
        <v>1537922.71</v>
      </c>
      <c r="H443" s="57">
        <v>42</v>
      </c>
      <c r="J443" s="54"/>
      <c r="K443" s="52"/>
    </row>
    <row r="444" spans="1:11" x14ac:dyDescent="0.2">
      <c r="A444" s="51" t="s">
        <v>4799</v>
      </c>
      <c r="B444" s="51" t="s">
        <v>4717</v>
      </c>
      <c r="C444" s="51" t="s">
        <v>4716</v>
      </c>
      <c r="D444" s="51" t="s">
        <v>4695</v>
      </c>
      <c r="E444" s="58">
        <v>869454.96</v>
      </c>
      <c r="F444" s="58">
        <v>653332.01</v>
      </c>
      <c r="G444" s="58">
        <v>1522786.97</v>
      </c>
      <c r="H444" s="57">
        <v>15</v>
      </c>
      <c r="J444" s="54"/>
      <c r="K444" s="52"/>
    </row>
    <row r="445" spans="1:11" x14ac:dyDescent="0.2">
      <c r="A445" s="51" t="s">
        <v>4798</v>
      </c>
      <c r="B445" s="51" t="s">
        <v>4717</v>
      </c>
      <c r="C445" s="51" t="s">
        <v>4751</v>
      </c>
      <c r="D445" s="51" t="s">
        <v>4695</v>
      </c>
      <c r="E445" s="58">
        <v>780903.36</v>
      </c>
      <c r="F445" s="58">
        <v>715157.32</v>
      </c>
      <c r="G445" s="58">
        <v>1496060.68</v>
      </c>
      <c r="H445" s="57">
        <v>16</v>
      </c>
      <c r="J445" s="54"/>
      <c r="K445" s="52"/>
    </row>
    <row r="446" spans="1:11" x14ac:dyDescent="0.2">
      <c r="A446" s="51" t="s">
        <v>4797</v>
      </c>
      <c r="B446" s="51" t="s">
        <v>4693</v>
      </c>
      <c r="C446" s="51" t="s">
        <v>4796</v>
      </c>
      <c r="D446" s="51" t="s">
        <v>4691</v>
      </c>
      <c r="E446" s="58">
        <v>754798.95</v>
      </c>
      <c r="F446" s="58">
        <v>729608.62</v>
      </c>
      <c r="G446" s="58">
        <v>1484407.5699999998</v>
      </c>
      <c r="H446" s="57">
        <v>31</v>
      </c>
      <c r="J446" s="54"/>
      <c r="K446" s="52"/>
    </row>
    <row r="447" spans="1:11" x14ac:dyDescent="0.2">
      <c r="A447" s="51" t="s">
        <v>4795</v>
      </c>
      <c r="B447" s="51" t="s">
        <v>4717</v>
      </c>
      <c r="C447" s="51" t="s">
        <v>4794</v>
      </c>
      <c r="D447" s="51" t="s">
        <v>4691</v>
      </c>
      <c r="E447" s="58">
        <v>722363.92</v>
      </c>
      <c r="F447" s="58">
        <v>747224.16</v>
      </c>
      <c r="G447" s="58">
        <v>1469588.08</v>
      </c>
      <c r="H447" s="57">
        <v>32</v>
      </c>
      <c r="J447" s="54"/>
      <c r="K447" s="52"/>
    </row>
    <row r="448" spans="1:11" x14ac:dyDescent="0.2">
      <c r="A448" s="51" t="s">
        <v>4793</v>
      </c>
      <c r="B448" s="51" t="s">
        <v>4717</v>
      </c>
      <c r="C448" s="51" t="s">
        <v>4792</v>
      </c>
      <c r="D448" s="51" t="s">
        <v>4695</v>
      </c>
      <c r="E448" s="58">
        <v>663528.56000000006</v>
      </c>
      <c r="F448" s="58">
        <v>769518.12</v>
      </c>
      <c r="G448" s="58">
        <v>1433046.6800000002</v>
      </c>
      <c r="H448" s="57">
        <v>25</v>
      </c>
      <c r="J448" s="54"/>
      <c r="K448" s="52"/>
    </row>
    <row r="449" spans="1:11" x14ac:dyDescent="0.2">
      <c r="A449" s="51" t="s">
        <v>4791</v>
      </c>
      <c r="B449" s="51" t="s">
        <v>4717</v>
      </c>
      <c r="C449" s="51" t="s">
        <v>4724</v>
      </c>
      <c r="D449" s="51" t="s">
        <v>4695</v>
      </c>
      <c r="E449" s="58">
        <v>741605.49</v>
      </c>
      <c r="F449" s="58">
        <v>666569.97</v>
      </c>
      <c r="G449" s="58">
        <v>1408175.46</v>
      </c>
      <c r="H449" s="57">
        <v>17</v>
      </c>
      <c r="J449" s="54"/>
      <c r="K449" s="52"/>
    </row>
    <row r="450" spans="1:11" x14ac:dyDescent="0.2">
      <c r="A450" s="51" t="s">
        <v>4790</v>
      </c>
      <c r="B450" s="51" t="s">
        <v>4717</v>
      </c>
      <c r="C450" s="51" t="s">
        <v>4789</v>
      </c>
      <c r="D450" s="51" t="s">
        <v>4691</v>
      </c>
      <c r="E450" s="58">
        <v>652583.38</v>
      </c>
      <c r="F450" s="58">
        <v>662536.85</v>
      </c>
      <c r="G450" s="58">
        <v>1315120.23</v>
      </c>
      <c r="H450" s="57">
        <v>35</v>
      </c>
      <c r="J450" s="54"/>
      <c r="K450" s="52"/>
    </row>
    <row r="451" spans="1:11" x14ac:dyDescent="0.2">
      <c r="A451" s="51" t="s">
        <v>4788</v>
      </c>
      <c r="B451" s="51" t="s">
        <v>4717</v>
      </c>
      <c r="C451" s="51" t="s">
        <v>4787</v>
      </c>
      <c r="D451" s="51" t="s">
        <v>4691</v>
      </c>
      <c r="E451" s="58">
        <v>683427.29</v>
      </c>
      <c r="F451" s="58">
        <v>630815.34</v>
      </c>
      <c r="G451" s="58">
        <v>1314242.6299999999</v>
      </c>
      <c r="H451" s="57">
        <v>33</v>
      </c>
      <c r="J451" s="54"/>
      <c r="K451" s="52"/>
    </row>
    <row r="452" spans="1:11" x14ac:dyDescent="0.2">
      <c r="A452" s="51" t="s">
        <v>4786</v>
      </c>
      <c r="B452" s="51" t="s">
        <v>4717</v>
      </c>
      <c r="C452" s="51" t="s">
        <v>4716</v>
      </c>
      <c r="D452" s="51" t="s">
        <v>4691</v>
      </c>
      <c r="E452" s="58">
        <v>644020.05000000005</v>
      </c>
      <c r="F452" s="58">
        <v>658970.49</v>
      </c>
      <c r="G452" s="58">
        <v>1302990.54</v>
      </c>
      <c r="H452" s="57">
        <v>20</v>
      </c>
      <c r="J452" s="54"/>
      <c r="K452" s="52"/>
    </row>
    <row r="453" spans="1:11" x14ac:dyDescent="0.2">
      <c r="A453" s="51" t="s">
        <v>4785</v>
      </c>
      <c r="B453" s="51" t="s">
        <v>4717</v>
      </c>
      <c r="C453" s="51" t="s">
        <v>4753</v>
      </c>
      <c r="D453" s="51" t="s">
        <v>4695</v>
      </c>
      <c r="E453" s="58">
        <v>627472.02</v>
      </c>
      <c r="F453" s="58">
        <v>629309.88</v>
      </c>
      <c r="G453" s="58">
        <v>1256781.8999999999</v>
      </c>
      <c r="H453" s="57">
        <v>20</v>
      </c>
      <c r="J453" s="54"/>
      <c r="K453" s="52"/>
    </row>
    <row r="454" spans="1:11" x14ac:dyDescent="0.2">
      <c r="A454" s="51" t="s">
        <v>4784</v>
      </c>
      <c r="B454" s="51" t="s">
        <v>4717</v>
      </c>
      <c r="C454" s="51" t="s">
        <v>4783</v>
      </c>
      <c r="D454" s="51" t="s">
        <v>4691</v>
      </c>
      <c r="E454" s="58">
        <v>611960.63</v>
      </c>
      <c r="F454" s="58">
        <v>587936.68000000005</v>
      </c>
      <c r="G454" s="58">
        <v>1199897.31</v>
      </c>
      <c r="H454" s="57">
        <v>30</v>
      </c>
      <c r="J454" s="54"/>
      <c r="K454" s="52"/>
    </row>
    <row r="455" spans="1:11" x14ac:dyDescent="0.2">
      <c r="A455" s="51" t="s">
        <v>4782</v>
      </c>
      <c r="B455" s="51" t="s">
        <v>4693</v>
      </c>
      <c r="C455" s="51" t="s">
        <v>4775</v>
      </c>
      <c r="D455" s="51" t="s">
        <v>4691</v>
      </c>
      <c r="E455" s="58">
        <v>571023.39</v>
      </c>
      <c r="F455" s="58">
        <v>628091</v>
      </c>
      <c r="G455" s="58">
        <v>1199114.3900000001</v>
      </c>
      <c r="H455" s="57">
        <v>33</v>
      </c>
      <c r="J455" s="54"/>
      <c r="K455" s="52"/>
    </row>
    <row r="456" spans="1:11" x14ac:dyDescent="0.2">
      <c r="A456" s="51" t="s">
        <v>4781</v>
      </c>
      <c r="B456" s="51" t="s">
        <v>4717</v>
      </c>
      <c r="C456" s="51" t="s">
        <v>4720</v>
      </c>
      <c r="D456" s="51" t="s">
        <v>4691</v>
      </c>
      <c r="E456" s="58">
        <v>565648.97</v>
      </c>
      <c r="F456" s="58">
        <v>625148.11</v>
      </c>
      <c r="G456" s="58">
        <v>1190797.08</v>
      </c>
      <c r="H456" s="57">
        <v>24</v>
      </c>
      <c r="J456" s="54"/>
      <c r="K456" s="52"/>
    </row>
    <row r="457" spans="1:11" x14ac:dyDescent="0.2">
      <c r="A457" s="51" t="s">
        <v>4780</v>
      </c>
      <c r="B457" s="51" t="s">
        <v>4693</v>
      </c>
      <c r="C457" s="51" t="s">
        <v>4779</v>
      </c>
      <c r="D457" s="51" t="s">
        <v>4691</v>
      </c>
      <c r="E457" s="58">
        <v>554940.46</v>
      </c>
      <c r="F457" s="58">
        <v>627212.11</v>
      </c>
      <c r="G457" s="58">
        <v>1182152.5699999998</v>
      </c>
      <c r="H457" s="57">
        <v>34</v>
      </c>
      <c r="J457" s="54"/>
      <c r="K457" s="52"/>
    </row>
    <row r="458" spans="1:11" x14ac:dyDescent="0.2">
      <c r="A458" s="51" t="s">
        <v>4778</v>
      </c>
      <c r="B458" s="51" t="s">
        <v>4717</v>
      </c>
      <c r="C458" s="51" t="s">
        <v>4777</v>
      </c>
      <c r="D458" s="51" t="s">
        <v>4691</v>
      </c>
      <c r="E458" s="58">
        <v>601964.39</v>
      </c>
      <c r="F458" s="58">
        <v>574879.04</v>
      </c>
      <c r="G458" s="58">
        <v>1176843.4300000002</v>
      </c>
      <c r="H458" s="57">
        <v>30</v>
      </c>
      <c r="J458" s="54"/>
      <c r="K458" s="52"/>
    </row>
    <row r="459" spans="1:11" x14ac:dyDescent="0.2">
      <c r="A459" s="51" t="s">
        <v>4776</v>
      </c>
      <c r="B459" s="51" t="s">
        <v>4693</v>
      </c>
      <c r="C459" s="51" t="s">
        <v>4775</v>
      </c>
      <c r="D459" s="51" t="s">
        <v>4691</v>
      </c>
      <c r="E459" s="58">
        <v>609256.34</v>
      </c>
      <c r="F459" s="58">
        <v>558169.69999999995</v>
      </c>
      <c r="G459" s="58">
        <v>1167426.04</v>
      </c>
      <c r="H459" s="57">
        <v>43</v>
      </c>
      <c r="J459" s="54"/>
      <c r="K459" s="52"/>
    </row>
    <row r="460" spans="1:11" x14ac:dyDescent="0.2">
      <c r="A460" s="51" t="s">
        <v>4774</v>
      </c>
      <c r="B460" s="51" t="s">
        <v>4693</v>
      </c>
      <c r="C460" s="51" t="s">
        <v>4744</v>
      </c>
      <c r="D460" s="51" t="s">
        <v>4695</v>
      </c>
      <c r="E460" s="58">
        <v>583925.07999999996</v>
      </c>
      <c r="F460" s="58">
        <v>581849.21</v>
      </c>
      <c r="G460" s="58">
        <v>1165774.29</v>
      </c>
      <c r="H460" s="57">
        <v>40</v>
      </c>
      <c r="J460" s="54"/>
      <c r="K460" s="52"/>
    </row>
    <row r="461" spans="1:11" x14ac:dyDescent="0.2">
      <c r="A461" s="51" t="s">
        <v>4773</v>
      </c>
      <c r="B461" s="51" t="s">
        <v>4717</v>
      </c>
      <c r="C461" s="51" t="s">
        <v>4772</v>
      </c>
      <c r="D461" s="51" t="s">
        <v>4691</v>
      </c>
      <c r="E461" s="58">
        <v>525625.12</v>
      </c>
      <c r="F461" s="58">
        <v>618807.93000000005</v>
      </c>
      <c r="G461" s="58">
        <v>1144433.05</v>
      </c>
      <c r="H461" s="57">
        <v>40</v>
      </c>
      <c r="J461" s="54"/>
      <c r="K461" s="52"/>
    </row>
    <row r="462" spans="1:11" x14ac:dyDescent="0.2">
      <c r="A462" s="51" t="s">
        <v>4771</v>
      </c>
      <c r="B462" s="51" t="s">
        <v>4717</v>
      </c>
      <c r="C462" s="51" t="s">
        <v>4770</v>
      </c>
      <c r="D462" s="51" t="s">
        <v>4691</v>
      </c>
      <c r="E462" s="58">
        <v>575662.94999999995</v>
      </c>
      <c r="F462" s="58">
        <v>555382.17000000004</v>
      </c>
      <c r="G462" s="58">
        <v>1131045.1200000001</v>
      </c>
      <c r="H462" s="57">
        <v>25</v>
      </c>
      <c r="J462" s="54"/>
      <c r="K462" s="52"/>
    </row>
    <row r="463" spans="1:11" x14ac:dyDescent="0.2">
      <c r="A463" s="51" t="s">
        <v>4769</v>
      </c>
      <c r="B463" s="51" t="s">
        <v>4717</v>
      </c>
      <c r="C463" s="51" t="s">
        <v>4768</v>
      </c>
      <c r="D463" s="51" t="s">
        <v>4691</v>
      </c>
      <c r="E463" s="58">
        <v>569735.36</v>
      </c>
      <c r="F463" s="58">
        <v>496851.99</v>
      </c>
      <c r="G463" s="58">
        <v>1066587.3500000001</v>
      </c>
      <c r="H463" s="57">
        <v>25</v>
      </c>
      <c r="J463" s="54"/>
      <c r="K463" s="52"/>
    </row>
    <row r="464" spans="1:11" x14ac:dyDescent="0.2">
      <c r="A464" s="51" t="s">
        <v>4767</v>
      </c>
      <c r="B464" s="51" t="s">
        <v>4717</v>
      </c>
      <c r="C464" s="51" t="s">
        <v>4758</v>
      </c>
      <c r="D464" s="51" t="s">
        <v>4695</v>
      </c>
      <c r="E464" s="58">
        <v>584131.22</v>
      </c>
      <c r="F464" s="58">
        <v>467682.1</v>
      </c>
      <c r="G464" s="58">
        <v>1051813.3199999998</v>
      </c>
      <c r="H464" s="57">
        <v>22</v>
      </c>
      <c r="J464" s="54"/>
      <c r="K464" s="52"/>
    </row>
    <row r="465" spans="1:11" x14ac:dyDescent="0.2">
      <c r="A465" s="51" t="s">
        <v>4766</v>
      </c>
      <c r="B465" s="51" t="s">
        <v>4717</v>
      </c>
      <c r="C465" s="51" t="s">
        <v>4765</v>
      </c>
      <c r="D465" s="51" t="s">
        <v>4691</v>
      </c>
      <c r="E465" s="58">
        <v>567661.87</v>
      </c>
      <c r="F465" s="58">
        <v>462880.21</v>
      </c>
      <c r="G465" s="58">
        <v>1030542.0800000001</v>
      </c>
      <c r="H465" s="57">
        <v>28</v>
      </c>
      <c r="J465" s="54"/>
      <c r="K465" s="52"/>
    </row>
    <row r="466" spans="1:11" x14ac:dyDescent="0.2">
      <c r="A466" s="51" t="s">
        <v>4764</v>
      </c>
      <c r="B466" s="51" t="s">
        <v>4717</v>
      </c>
      <c r="C466" s="51" t="s">
        <v>4749</v>
      </c>
      <c r="D466" s="51" t="s">
        <v>4691</v>
      </c>
      <c r="E466" s="58">
        <v>563943.69999999995</v>
      </c>
      <c r="F466" s="58">
        <v>463015.73</v>
      </c>
      <c r="G466" s="58">
        <v>1026959.4299999999</v>
      </c>
      <c r="H466" s="57">
        <v>20</v>
      </c>
      <c r="J466" s="54"/>
      <c r="K466" s="52"/>
    </row>
    <row r="467" spans="1:11" x14ac:dyDescent="0.2">
      <c r="A467" s="51" t="s">
        <v>4763</v>
      </c>
      <c r="B467" s="51" t="s">
        <v>4717</v>
      </c>
      <c r="C467" s="51" t="s">
        <v>4762</v>
      </c>
      <c r="D467" s="51" t="s">
        <v>4695</v>
      </c>
      <c r="E467" s="58">
        <v>460479.49</v>
      </c>
      <c r="F467" s="58">
        <v>492545.43</v>
      </c>
      <c r="G467" s="58">
        <v>953024.91999999993</v>
      </c>
      <c r="H467" s="57">
        <v>30</v>
      </c>
      <c r="J467" s="54"/>
      <c r="K467" s="52"/>
    </row>
    <row r="468" spans="1:11" x14ac:dyDescent="0.2">
      <c r="A468" s="51" t="s">
        <v>4761</v>
      </c>
      <c r="B468" s="51" t="s">
        <v>4717</v>
      </c>
      <c r="C468" s="51" t="s">
        <v>4751</v>
      </c>
      <c r="D468" s="51" t="s">
        <v>4691</v>
      </c>
      <c r="E468" s="58">
        <v>458903.42</v>
      </c>
      <c r="F468" s="58">
        <v>488537.26</v>
      </c>
      <c r="G468" s="58">
        <v>947440.67999999993</v>
      </c>
      <c r="H468" s="57">
        <v>15</v>
      </c>
      <c r="J468" s="54"/>
      <c r="K468" s="52"/>
    </row>
    <row r="469" spans="1:11" x14ac:dyDescent="0.2">
      <c r="A469" s="51" t="s">
        <v>4760</v>
      </c>
      <c r="B469" s="51" t="s">
        <v>4717</v>
      </c>
      <c r="C469" s="51" t="s">
        <v>4749</v>
      </c>
      <c r="D469" s="51" t="s">
        <v>4691</v>
      </c>
      <c r="E469" s="58">
        <v>456907.13</v>
      </c>
      <c r="F469" s="58">
        <v>488627.61</v>
      </c>
      <c r="G469" s="58">
        <v>945534.74</v>
      </c>
      <c r="H469" s="57">
        <v>20</v>
      </c>
      <c r="J469" s="54"/>
      <c r="K469" s="52"/>
    </row>
    <row r="470" spans="1:11" x14ac:dyDescent="0.2">
      <c r="A470" s="51" t="s">
        <v>4759</v>
      </c>
      <c r="B470" s="51" t="s">
        <v>4717</v>
      </c>
      <c r="C470" s="51" t="s">
        <v>4758</v>
      </c>
      <c r="D470" s="51" t="s">
        <v>4691</v>
      </c>
      <c r="E470" s="58">
        <v>507117.76</v>
      </c>
      <c r="F470" s="58">
        <v>428026.61</v>
      </c>
      <c r="G470" s="58">
        <v>935144.37</v>
      </c>
      <c r="H470" s="57">
        <v>23</v>
      </c>
      <c r="J470" s="54"/>
      <c r="K470" s="52"/>
    </row>
    <row r="471" spans="1:11" x14ac:dyDescent="0.2">
      <c r="A471" s="51" t="s">
        <v>4757</v>
      </c>
      <c r="B471" s="51" t="s">
        <v>4693</v>
      </c>
      <c r="C471" s="51" t="s">
        <v>4756</v>
      </c>
      <c r="D471" s="51" t="s">
        <v>4691</v>
      </c>
      <c r="E471" s="58">
        <v>496317.26</v>
      </c>
      <c r="F471" s="58">
        <v>431455</v>
      </c>
      <c r="G471" s="58">
        <v>927772.26</v>
      </c>
      <c r="H471" s="57">
        <v>38</v>
      </c>
      <c r="J471" s="54"/>
      <c r="K471" s="52"/>
    </row>
    <row r="472" spans="1:11" x14ac:dyDescent="0.2">
      <c r="A472" s="51" t="s">
        <v>4755</v>
      </c>
      <c r="B472" s="51" t="s">
        <v>4693</v>
      </c>
      <c r="C472" s="51" t="s">
        <v>4698</v>
      </c>
      <c r="D472" s="51" t="s">
        <v>4691</v>
      </c>
      <c r="E472" s="58">
        <v>478791.94</v>
      </c>
      <c r="F472" s="58">
        <v>447329.34</v>
      </c>
      <c r="G472" s="58">
        <v>926121.28</v>
      </c>
      <c r="H472" s="57">
        <v>32</v>
      </c>
      <c r="J472" s="54"/>
      <c r="K472" s="52"/>
    </row>
    <row r="473" spans="1:11" x14ac:dyDescent="0.2">
      <c r="A473" s="51" t="s">
        <v>4754</v>
      </c>
      <c r="B473" s="51" t="s">
        <v>4717</v>
      </c>
      <c r="C473" s="51" t="s">
        <v>4753</v>
      </c>
      <c r="D473" s="51" t="s">
        <v>4691</v>
      </c>
      <c r="E473" s="58">
        <v>480711.98</v>
      </c>
      <c r="F473" s="58">
        <v>371338.13</v>
      </c>
      <c r="G473" s="58">
        <v>852050.11</v>
      </c>
      <c r="H473" s="57">
        <v>25</v>
      </c>
      <c r="J473" s="54"/>
      <c r="K473" s="52"/>
    </row>
    <row r="474" spans="1:11" x14ac:dyDescent="0.2">
      <c r="A474" s="51" t="s">
        <v>4752</v>
      </c>
      <c r="B474" s="51" t="s">
        <v>4717</v>
      </c>
      <c r="C474" s="51" t="s">
        <v>4751</v>
      </c>
      <c r="D474" s="51" t="s">
        <v>4691</v>
      </c>
      <c r="E474" s="58">
        <v>386661.98</v>
      </c>
      <c r="F474" s="58">
        <v>417341.81</v>
      </c>
      <c r="G474" s="58">
        <v>804003.79</v>
      </c>
      <c r="H474" s="57">
        <v>24</v>
      </c>
      <c r="J474" s="54"/>
      <c r="K474" s="52"/>
    </row>
    <row r="475" spans="1:11" x14ac:dyDescent="0.2">
      <c r="A475" s="51" t="s">
        <v>4750</v>
      </c>
      <c r="B475" s="51" t="s">
        <v>4717</v>
      </c>
      <c r="C475" s="51" t="s">
        <v>4749</v>
      </c>
      <c r="D475" s="51" t="s">
        <v>4691</v>
      </c>
      <c r="E475" s="58">
        <v>391286.7</v>
      </c>
      <c r="F475" s="58">
        <v>378935.28</v>
      </c>
      <c r="G475" s="58">
        <v>770221.98</v>
      </c>
      <c r="H475" s="57">
        <v>25</v>
      </c>
      <c r="J475" s="54"/>
      <c r="K475" s="52"/>
    </row>
    <row r="476" spans="1:11" x14ac:dyDescent="0.2">
      <c r="A476" s="51" t="s">
        <v>4748</v>
      </c>
      <c r="B476" s="51" t="s">
        <v>4693</v>
      </c>
      <c r="C476" s="51" t="s">
        <v>4747</v>
      </c>
      <c r="D476" s="51" t="s">
        <v>4691</v>
      </c>
      <c r="E476" s="58">
        <v>448750.29</v>
      </c>
      <c r="F476" s="58">
        <v>312961.05</v>
      </c>
      <c r="G476" s="58">
        <v>761711.34</v>
      </c>
      <c r="H476" s="57">
        <v>18</v>
      </c>
      <c r="J476" s="54"/>
      <c r="K476" s="52"/>
    </row>
    <row r="477" spans="1:11" x14ac:dyDescent="0.2">
      <c r="A477" s="51" t="s">
        <v>4746</v>
      </c>
      <c r="B477" s="51" t="s">
        <v>4717</v>
      </c>
      <c r="C477" s="51" t="s">
        <v>4716</v>
      </c>
      <c r="D477" s="51" t="s">
        <v>4691</v>
      </c>
      <c r="E477" s="58">
        <v>385549.57</v>
      </c>
      <c r="F477" s="58">
        <v>315768.01</v>
      </c>
      <c r="G477" s="58">
        <v>701317.58000000007</v>
      </c>
      <c r="H477" s="57">
        <v>20</v>
      </c>
      <c r="J477" s="54"/>
      <c r="K477" s="52"/>
    </row>
    <row r="478" spans="1:11" x14ac:dyDescent="0.2">
      <c r="A478" s="51" t="s">
        <v>4745</v>
      </c>
      <c r="B478" s="51" t="s">
        <v>4693</v>
      </c>
      <c r="C478" s="51" t="s">
        <v>4744</v>
      </c>
      <c r="D478" s="51" t="s">
        <v>4691</v>
      </c>
      <c r="E478" s="58">
        <v>342629.03</v>
      </c>
      <c r="F478" s="58">
        <v>350473.08</v>
      </c>
      <c r="G478" s="58">
        <v>693102.1100000001</v>
      </c>
      <c r="H478" s="57">
        <v>40</v>
      </c>
      <c r="J478" s="54"/>
      <c r="K478" s="52"/>
    </row>
    <row r="479" spans="1:11" x14ac:dyDescent="0.2">
      <c r="A479" s="51" t="s">
        <v>4743</v>
      </c>
      <c r="B479" s="51" t="s">
        <v>4693</v>
      </c>
      <c r="C479" s="51" t="s">
        <v>4742</v>
      </c>
      <c r="D479" s="51" t="s">
        <v>4695</v>
      </c>
      <c r="E479" s="58">
        <v>373853.99</v>
      </c>
      <c r="F479" s="58">
        <v>295925.13</v>
      </c>
      <c r="G479" s="58">
        <v>669779.12</v>
      </c>
      <c r="H479" s="57">
        <v>30</v>
      </c>
      <c r="J479" s="54"/>
      <c r="K479" s="52"/>
    </row>
    <row r="480" spans="1:11" x14ac:dyDescent="0.2">
      <c r="A480" s="51" t="s">
        <v>4741</v>
      </c>
      <c r="B480" s="51" t="s">
        <v>4717</v>
      </c>
      <c r="C480" s="51" t="s">
        <v>4740</v>
      </c>
      <c r="D480" s="51" t="s">
        <v>4691</v>
      </c>
      <c r="E480" s="58">
        <v>335976.6</v>
      </c>
      <c r="F480" s="58">
        <v>322475.84000000003</v>
      </c>
      <c r="G480" s="58">
        <v>658452.43999999994</v>
      </c>
      <c r="H480" s="57">
        <v>33</v>
      </c>
      <c r="J480" s="54"/>
      <c r="K480" s="52"/>
    </row>
    <row r="481" spans="1:256" x14ac:dyDescent="0.2">
      <c r="A481" s="51" t="s">
        <v>4739</v>
      </c>
      <c r="B481" s="51" t="s">
        <v>4693</v>
      </c>
      <c r="C481" s="51" t="s">
        <v>4738</v>
      </c>
      <c r="D481" s="51" t="s">
        <v>4695</v>
      </c>
      <c r="E481" s="58">
        <v>330539.59999999998</v>
      </c>
      <c r="F481" s="58">
        <v>313847.46000000002</v>
      </c>
      <c r="G481" s="58">
        <v>644387.06000000006</v>
      </c>
      <c r="H481" s="57">
        <v>22</v>
      </c>
      <c r="J481" s="54"/>
      <c r="K481" s="52"/>
    </row>
    <row r="482" spans="1:256" x14ac:dyDescent="0.2">
      <c r="A482" s="51" t="s">
        <v>4737</v>
      </c>
      <c r="B482" s="51" t="s">
        <v>4693</v>
      </c>
      <c r="C482" s="51" t="s">
        <v>4708</v>
      </c>
      <c r="D482" s="51" t="s">
        <v>4695</v>
      </c>
      <c r="E482" s="58">
        <v>0</v>
      </c>
      <c r="F482" s="58">
        <v>575270.02</v>
      </c>
      <c r="G482" s="58">
        <v>575270.02</v>
      </c>
      <c r="H482" s="57">
        <v>50</v>
      </c>
      <c r="J482" s="54"/>
      <c r="K482" s="52"/>
    </row>
    <row r="483" spans="1:256" x14ac:dyDescent="0.2">
      <c r="A483" s="51" t="s">
        <v>4736</v>
      </c>
      <c r="B483" s="51" t="s">
        <v>4693</v>
      </c>
      <c r="C483" s="51" t="s">
        <v>4735</v>
      </c>
      <c r="D483" s="51" t="s">
        <v>4691</v>
      </c>
      <c r="E483" s="58">
        <v>0</v>
      </c>
      <c r="F483" s="58">
        <v>573043.07999999996</v>
      </c>
      <c r="G483" s="58">
        <v>573043.07999999996</v>
      </c>
      <c r="H483" s="57">
        <v>70</v>
      </c>
      <c r="J483" s="54"/>
      <c r="K483" s="52"/>
    </row>
    <row r="484" spans="1:256" x14ac:dyDescent="0.2">
      <c r="A484" s="51" t="s">
        <v>4734</v>
      </c>
      <c r="B484" s="51" t="s">
        <v>4717</v>
      </c>
      <c r="C484" s="51" t="s">
        <v>4730</v>
      </c>
      <c r="D484" s="51" t="s">
        <v>4691</v>
      </c>
      <c r="E484" s="58">
        <v>276233.36</v>
      </c>
      <c r="F484" s="58">
        <v>291048.92</v>
      </c>
      <c r="G484" s="58">
        <v>567282.28</v>
      </c>
      <c r="H484" s="57">
        <v>34</v>
      </c>
      <c r="J484" s="54"/>
      <c r="K484" s="52"/>
    </row>
    <row r="485" spans="1:256" x14ac:dyDescent="0.2">
      <c r="A485" s="51" t="s">
        <v>4733</v>
      </c>
      <c r="B485" s="51" t="s">
        <v>4717</v>
      </c>
      <c r="C485" s="51" t="s">
        <v>4732</v>
      </c>
      <c r="D485" s="51" t="s">
        <v>4691</v>
      </c>
      <c r="E485" s="58">
        <v>286665.05</v>
      </c>
      <c r="F485" s="58">
        <v>270341.46000000002</v>
      </c>
      <c r="G485" s="58">
        <v>557006.51</v>
      </c>
      <c r="H485" s="57">
        <v>28</v>
      </c>
      <c r="J485" s="54"/>
      <c r="K485" s="52"/>
    </row>
    <row r="486" spans="1:256" x14ac:dyDescent="0.2">
      <c r="A486" s="51" t="s">
        <v>4731</v>
      </c>
      <c r="B486" s="51" t="s">
        <v>4717</v>
      </c>
      <c r="C486" s="51" t="s">
        <v>4730</v>
      </c>
      <c r="D486" s="51" t="s">
        <v>4695</v>
      </c>
      <c r="E486" s="58">
        <v>237000.77</v>
      </c>
      <c r="F486" s="58">
        <v>318031.35999999999</v>
      </c>
      <c r="G486" s="58">
        <v>555032.13</v>
      </c>
      <c r="H486" s="57">
        <v>10</v>
      </c>
      <c r="J486" s="54"/>
      <c r="K486" s="52"/>
    </row>
    <row r="487" spans="1:256" x14ac:dyDescent="0.2">
      <c r="A487" s="51" t="s">
        <v>4729</v>
      </c>
      <c r="B487" s="51" t="s">
        <v>4693</v>
      </c>
      <c r="C487" s="51" t="s">
        <v>4728</v>
      </c>
      <c r="D487" s="51" t="s">
        <v>4691</v>
      </c>
      <c r="E487" s="58">
        <v>292177.42</v>
      </c>
      <c r="F487" s="58">
        <v>261154.17</v>
      </c>
      <c r="G487" s="58">
        <v>553331.59</v>
      </c>
      <c r="H487" s="57">
        <v>25</v>
      </c>
      <c r="J487" s="54"/>
      <c r="K487" s="52"/>
    </row>
    <row r="488" spans="1:256" x14ac:dyDescent="0.2">
      <c r="A488" s="51" t="s">
        <v>4727</v>
      </c>
      <c r="B488" s="51" t="s">
        <v>4717</v>
      </c>
      <c r="C488" s="51" t="s">
        <v>4726</v>
      </c>
      <c r="D488" s="51" t="s">
        <v>4691</v>
      </c>
      <c r="E488" s="58">
        <v>306441.90000000002</v>
      </c>
      <c r="F488" s="58">
        <v>241547.35</v>
      </c>
      <c r="G488" s="58">
        <v>547989.25</v>
      </c>
      <c r="H488" s="57">
        <v>10</v>
      </c>
      <c r="J488" s="54"/>
      <c r="K488" s="52"/>
    </row>
    <row r="489" spans="1:256" ht="12.75" x14ac:dyDescent="0.2">
      <c r="A489" s="51" t="s">
        <v>4725</v>
      </c>
      <c r="B489" s="51" t="s">
        <v>4717</v>
      </c>
      <c r="C489" s="51" t="s">
        <v>4724</v>
      </c>
      <c r="D489" s="51" t="s">
        <v>4691</v>
      </c>
      <c r="E489" s="58">
        <v>222155.68</v>
      </c>
      <c r="F489" s="58">
        <v>258587.53</v>
      </c>
      <c r="G489" s="58">
        <v>480743.20999999996</v>
      </c>
      <c r="H489" s="57">
        <v>15</v>
      </c>
      <c r="I489" s="48"/>
      <c r="J489" s="54"/>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c r="BO489" s="48"/>
      <c r="BP489" s="48"/>
      <c r="BQ489" s="48"/>
      <c r="BR489" s="48"/>
      <c r="BS489" s="48"/>
      <c r="BT489" s="48"/>
      <c r="BU489" s="48"/>
      <c r="BV489" s="48"/>
      <c r="BW489" s="48"/>
      <c r="BX489" s="48"/>
      <c r="BY489" s="48"/>
      <c r="BZ489" s="48"/>
      <c r="CA489" s="48"/>
      <c r="CB489" s="48"/>
      <c r="CC489" s="48"/>
      <c r="CD489" s="48"/>
      <c r="CE489" s="48"/>
      <c r="CF489" s="48"/>
      <c r="CG489" s="48"/>
      <c r="CH489" s="48"/>
      <c r="CI489" s="48"/>
      <c r="CJ489" s="48"/>
      <c r="CK489" s="48"/>
      <c r="CL489" s="48"/>
      <c r="CM489" s="48"/>
      <c r="CN489" s="48"/>
      <c r="CO489" s="48"/>
      <c r="CP489" s="48"/>
      <c r="CQ489" s="48"/>
      <c r="CR489" s="48"/>
      <c r="CS489" s="48"/>
      <c r="CT489" s="48"/>
      <c r="CU489" s="48"/>
      <c r="CV489" s="48"/>
      <c r="CW489" s="48"/>
      <c r="CX489" s="48"/>
      <c r="CY489" s="48"/>
      <c r="CZ489" s="48"/>
      <c r="DA489" s="48"/>
      <c r="DB489" s="48"/>
      <c r="DC489" s="48"/>
      <c r="DD489" s="48"/>
      <c r="DE489" s="48"/>
      <c r="DF489" s="48"/>
      <c r="DG489" s="48"/>
      <c r="DH489" s="48"/>
      <c r="DI489" s="48"/>
      <c r="DJ489" s="48"/>
      <c r="DK489" s="48"/>
      <c r="DL489" s="48"/>
      <c r="DM489" s="48"/>
      <c r="DN489" s="48"/>
      <c r="DO489" s="48"/>
      <c r="DP489" s="48"/>
      <c r="DQ489" s="48"/>
      <c r="DR489" s="48"/>
      <c r="DS489" s="48"/>
      <c r="DT489" s="48"/>
      <c r="DU489" s="48"/>
      <c r="DV489" s="48"/>
      <c r="DW489" s="48"/>
      <c r="DX489" s="48"/>
      <c r="DY489" s="48"/>
      <c r="DZ489" s="48"/>
      <c r="EA489" s="48"/>
      <c r="EB489" s="48"/>
      <c r="EC489" s="48"/>
      <c r="ED489" s="48"/>
      <c r="EE489" s="48"/>
      <c r="EF489" s="48"/>
      <c r="EG489" s="48"/>
      <c r="EH489" s="48"/>
      <c r="EI489" s="48"/>
      <c r="EJ489" s="48"/>
      <c r="EK489" s="48"/>
      <c r="EL489" s="48"/>
      <c r="EM489" s="48"/>
      <c r="EN489" s="48"/>
      <c r="EO489" s="48"/>
      <c r="EP489" s="48"/>
      <c r="EQ489" s="48"/>
      <c r="ER489" s="48"/>
      <c r="ES489" s="48"/>
      <c r="ET489" s="48"/>
      <c r="EU489" s="48"/>
      <c r="EV489" s="48"/>
      <c r="EW489" s="48"/>
      <c r="EX489" s="48"/>
      <c r="EY489" s="48"/>
      <c r="EZ489" s="48"/>
      <c r="FA489" s="48"/>
      <c r="FB489" s="48"/>
      <c r="FC489" s="48"/>
      <c r="FD489" s="48"/>
      <c r="FE489" s="48"/>
      <c r="FF489" s="48"/>
      <c r="FG489" s="48"/>
      <c r="FH489" s="48"/>
      <c r="FI489" s="48"/>
      <c r="FJ489" s="48"/>
      <c r="FK489" s="48"/>
      <c r="FL489" s="48"/>
      <c r="FM489" s="48"/>
      <c r="FN489" s="48"/>
      <c r="FO489" s="48"/>
      <c r="FP489" s="48"/>
      <c r="FQ489" s="48"/>
      <c r="FR489" s="48"/>
      <c r="FS489" s="48"/>
      <c r="FT489" s="48"/>
      <c r="FU489" s="48"/>
      <c r="FV489" s="48"/>
      <c r="FW489" s="48"/>
      <c r="FX489" s="48"/>
      <c r="FY489" s="48"/>
      <c r="FZ489" s="48"/>
      <c r="GA489" s="48"/>
      <c r="GB489" s="48"/>
      <c r="GC489" s="48"/>
      <c r="GD489" s="48"/>
      <c r="GE489" s="48"/>
      <c r="GF489" s="48"/>
      <c r="GG489" s="48"/>
      <c r="GH489" s="48"/>
      <c r="GI489" s="48"/>
      <c r="GJ489" s="48"/>
      <c r="GK489" s="48"/>
      <c r="GL489" s="48"/>
      <c r="GM489" s="48"/>
      <c r="GN489" s="48"/>
      <c r="GO489" s="48"/>
      <c r="GP489" s="48"/>
      <c r="GQ489" s="48"/>
      <c r="GR489" s="48"/>
      <c r="GS489" s="48"/>
      <c r="GT489" s="48"/>
      <c r="GU489" s="48"/>
      <c r="GV489" s="48"/>
      <c r="GW489" s="48"/>
      <c r="GX489" s="48"/>
      <c r="GY489" s="48"/>
      <c r="GZ489" s="48"/>
      <c r="HA489" s="48"/>
      <c r="HB489" s="48"/>
      <c r="HC489" s="48"/>
      <c r="HD489" s="48"/>
      <c r="HE489" s="48"/>
      <c r="HF489" s="48"/>
      <c r="HG489" s="48"/>
      <c r="HH489" s="48"/>
      <c r="HI489" s="48"/>
      <c r="HJ489" s="48"/>
      <c r="HK489" s="48"/>
      <c r="HL489" s="48"/>
      <c r="HM489" s="48"/>
      <c r="HN489" s="48"/>
      <c r="HO489" s="48"/>
      <c r="HP489" s="48"/>
      <c r="HQ489" s="48"/>
      <c r="HR489" s="48"/>
      <c r="HS489" s="48"/>
      <c r="HT489" s="48"/>
      <c r="HU489" s="48"/>
      <c r="HV489" s="48"/>
      <c r="HW489" s="48"/>
      <c r="HX489" s="48"/>
      <c r="HY489" s="48"/>
      <c r="HZ489" s="48"/>
      <c r="IA489" s="48"/>
      <c r="IB489" s="48"/>
      <c r="IC489" s="48"/>
      <c r="ID489" s="48"/>
      <c r="IE489" s="48"/>
      <c r="IF489" s="48"/>
      <c r="IG489" s="48"/>
      <c r="IH489" s="48"/>
      <c r="II489" s="48"/>
      <c r="IJ489" s="48"/>
      <c r="IK489" s="48"/>
      <c r="IL489" s="48"/>
      <c r="IM489" s="48"/>
      <c r="IN489" s="48"/>
      <c r="IO489" s="48"/>
      <c r="IP489" s="48"/>
      <c r="IQ489" s="48"/>
      <c r="IR489" s="48"/>
      <c r="IS489" s="48"/>
      <c r="IT489" s="48"/>
      <c r="IU489" s="48"/>
      <c r="IV489" s="48"/>
    </row>
    <row r="490" spans="1:256" x14ac:dyDescent="0.2">
      <c r="A490" s="51" t="s">
        <v>4723</v>
      </c>
      <c r="B490" s="51" t="s">
        <v>4717</v>
      </c>
      <c r="C490" s="51" t="s">
        <v>4722</v>
      </c>
      <c r="D490" s="51" t="s">
        <v>4691</v>
      </c>
      <c r="E490" s="58">
        <v>188392.08</v>
      </c>
      <c r="F490" s="58">
        <v>247644.07</v>
      </c>
      <c r="G490" s="58">
        <v>436036.15</v>
      </c>
      <c r="H490" s="57">
        <v>10</v>
      </c>
      <c r="J490" s="54"/>
      <c r="K490" s="52"/>
    </row>
    <row r="491" spans="1:256" x14ac:dyDescent="0.2">
      <c r="A491" s="51" t="s">
        <v>4721</v>
      </c>
      <c r="B491" s="51" t="s">
        <v>4717</v>
      </c>
      <c r="C491" s="51" t="s">
        <v>4720</v>
      </c>
      <c r="D491" s="51" t="s">
        <v>4695</v>
      </c>
      <c r="E491" s="58">
        <v>206907.9</v>
      </c>
      <c r="F491" s="58">
        <v>200141.36</v>
      </c>
      <c r="G491" s="58">
        <v>407049.26</v>
      </c>
      <c r="H491" s="57">
        <v>8</v>
      </c>
      <c r="J491" s="54"/>
      <c r="K491" s="52"/>
    </row>
    <row r="492" spans="1:256" x14ac:dyDescent="0.2">
      <c r="A492" s="51" t="s">
        <v>4719</v>
      </c>
      <c r="B492" s="51" t="s">
        <v>4693</v>
      </c>
      <c r="C492" s="51" t="s">
        <v>4702</v>
      </c>
      <c r="D492" s="51" t="s">
        <v>4695</v>
      </c>
      <c r="E492" s="58">
        <v>322042.42</v>
      </c>
      <c r="F492" s="58">
        <v>0</v>
      </c>
      <c r="G492" s="58">
        <v>322042.42</v>
      </c>
      <c r="H492" s="57">
        <v>0</v>
      </c>
      <c r="J492" s="54"/>
      <c r="K492" s="52"/>
    </row>
    <row r="493" spans="1:256" x14ac:dyDescent="0.2">
      <c r="A493" s="51" t="s">
        <v>4718</v>
      </c>
      <c r="B493" s="51" t="s">
        <v>4717</v>
      </c>
      <c r="C493" s="51" t="s">
        <v>4716</v>
      </c>
      <c r="D493" s="51" t="s">
        <v>4691</v>
      </c>
      <c r="E493" s="58">
        <v>158816.17000000001</v>
      </c>
      <c r="F493" s="58">
        <v>151981.68</v>
      </c>
      <c r="G493" s="58">
        <v>310797.84999999998</v>
      </c>
      <c r="H493" s="57">
        <v>5</v>
      </c>
      <c r="J493" s="54"/>
      <c r="K493" s="52"/>
    </row>
    <row r="494" spans="1:256" x14ac:dyDescent="0.2">
      <c r="A494" s="51" t="s">
        <v>4715</v>
      </c>
      <c r="B494" s="51" t="s">
        <v>4693</v>
      </c>
      <c r="C494" s="51" t="s">
        <v>4714</v>
      </c>
      <c r="D494" s="51" t="s">
        <v>4691</v>
      </c>
      <c r="E494" s="58">
        <v>225074.35</v>
      </c>
      <c r="F494" s="58">
        <v>49650.63</v>
      </c>
      <c r="G494" s="58">
        <v>274724.98</v>
      </c>
      <c r="H494" s="57">
        <v>0</v>
      </c>
      <c r="J494" s="54"/>
      <c r="K494" s="52"/>
    </row>
    <row r="495" spans="1:256" x14ac:dyDescent="0.2">
      <c r="A495" s="51" t="s">
        <v>4713</v>
      </c>
      <c r="B495" s="51" t="s">
        <v>4693</v>
      </c>
      <c r="C495" s="51" t="s">
        <v>4704</v>
      </c>
      <c r="D495" s="51" t="s">
        <v>4691</v>
      </c>
      <c r="E495" s="59">
        <v>58472.7</v>
      </c>
      <c r="F495" s="59">
        <v>63379.45</v>
      </c>
      <c r="G495" s="59">
        <v>121852.15</v>
      </c>
      <c r="H495" s="57">
        <v>19</v>
      </c>
      <c r="J495" s="54"/>
      <c r="K495" s="52"/>
    </row>
    <row r="496" spans="1:256" x14ac:dyDescent="0.2">
      <c r="A496" s="51" t="s">
        <v>4712</v>
      </c>
      <c r="B496" s="51" t="s">
        <v>4693</v>
      </c>
      <c r="C496" s="51" t="s">
        <v>4702</v>
      </c>
      <c r="D496" s="51" t="s">
        <v>4691</v>
      </c>
      <c r="E496" s="58">
        <v>35340.239999999998</v>
      </c>
      <c r="F496" s="58">
        <v>0</v>
      </c>
      <c r="G496" s="58">
        <v>35340.239999999998</v>
      </c>
      <c r="H496" s="57">
        <v>0</v>
      </c>
      <c r="J496" s="54"/>
      <c r="K496" s="52"/>
    </row>
    <row r="497" spans="1:256" x14ac:dyDescent="0.2">
      <c r="A497" s="51" t="s">
        <v>4711</v>
      </c>
      <c r="B497" s="51" t="s">
        <v>4693</v>
      </c>
      <c r="C497" s="51" t="s">
        <v>4710</v>
      </c>
      <c r="D497" s="51" t="s">
        <v>4695</v>
      </c>
      <c r="E497" s="58">
        <v>0</v>
      </c>
      <c r="F497" s="58">
        <v>0</v>
      </c>
      <c r="G497" s="58">
        <v>0</v>
      </c>
      <c r="H497" s="57">
        <v>0</v>
      </c>
      <c r="J497" s="54"/>
      <c r="K497" s="52"/>
    </row>
    <row r="498" spans="1:256" x14ac:dyDescent="0.2">
      <c r="A498" s="51" t="s">
        <v>4709</v>
      </c>
      <c r="B498" s="51" t="s">
        <v>4693</v>
      </c>
      <c r="C498" s="51" t="s">
        <v>4708</v>
      </c>
      <c r="D498" s="51" t="s">
        <v>4695</v>
      </c>
      <c r="E498" s="58">
        <v>0</v>
      </c>
      <c r="F498" s="58">
        <v>0</v>
      </c>
      <c r="G498" s="58">
        <v>0</v>
      </c>
      <c r="H498" s="57">
        <v>0</v>
      </c>
      <c r="J498" s="54"/>
      <c r="K498" s="52"/>
    </row>
    <row r="499" spans="1:256" x14ac:dyDescent="0.2">
      <c r="A499" s="51" t="s">
        <v>4707</v>
      </c>
      <c r="B499" s="51" t="s">
        <v>4693</v>
      </c>
      <c r="C499" s="51" t="s">
        <v>4698</v>
      </c>
      <c r="D499" s="51" t="s">
        <v>4691</v>
      </c>
      <c r="E499" s="58">
        <v>0</v>
      </c>
      <c r="F499" s="58">
        <v>0</v>
      </c>
      <c r="G499" s="58">
        <v>0</v>
      </c>
      <c r="H499" s="57">
        <v>0</v>
      </c>
      <c r="J499" s="54"/>
      <c r="K499" s="52"/>
    </row>
    <row r="500" spans="1:256" x14ac:dyDescent="0.2">
      <c r="A500" s="51" t="s">
        <v>4706</v>
      </c>
      <c r="B500" s="51" t="s">
        <v>4693</v>
      </c>
      <c r="C500" s="51" t="s">
        <v>4704</v>
      </c>
      <c r="D500" s="51" t="s">
        <v>4695</v>
      </c>
      <c r="E500" s="58">
        <v>0</v>
      </c>
      <c r="F500" s="58">
        <v>0</v>
      </c>
      <c r="G500" s="58">
        <v>0</v>
      </c>
      <c r="H500" s="57">
        <v>0</v>
      </c>
      <c r="J500" s="54"/>
      <c r="K500" s="52"/>
    </row>
    <row r="501" spans="1:256" x14ac:dyDescent="0.2">
      <c r="A501" s="51" t="s">
        <v>4705</v>
      </c>
      <c r="B501" s="51" t="s">
        <v>4693</v>
      </c>
      <c r="C501" s="51" t="s">
        <v>4704</v>
      </c>
      <c r="D501" s="51" t="s">
        <v>4691</v>
      </c>
      <c r="E501" s="58">
        <v>0</v>
      </c>
      <c r="F501" s="58">
        <v>0</v>
      </c>
      <c r="G501" s="58">
        <v>0</v>
      </c>
      <c r="H501" s="57">
        <v>0</v>
      </c>
      <c r="J501" s="54"/>
      <c r="K501" s="52"/>
    </row>
    <row r="502" spans="1:256" x14ac:dyDescent="0.2">
      <c r="A502" s="51" t="s">
        <v>4703</v>
      </c>
      <c r="B502" s="51" t="s">
        <v>4693</v>
      </c>
      <c r="C502" s="51" t="s">
        <v>4702</v>
      </c>
      <c r="D502" s="51" t="s">
        <v>4695</v>
      </c>
      <c r="E502" s="58">
        <v>0</v>
      </c>
      <c r="F502" s="58">
        <v>0</v>
      </c>
      <c r="G502" s="58">
        <v>0</v>
      </c>
      <c r="H502" s="57">
        <v>0</v>
      </c>
      <c r="J502" s="54"/>
      <c r="K502" s="52"/>
    </row>
    <row r="503" spans="1:256" x14ac:dyDescent="0.2">
      <c r="A503" s="51" t="s">
        <v>4701</v>
      </c>
      <c r="B503" s="51" t="s">
        <v>4693</v>
      </c>
      <c r="C503" s="51" t="s">
        <v>4700</v>
      </c>
      <c r="D503" s="51" t="s">
        <v>4695</v>
      </c>
      <c r="E503" s="58">
        <v>0</v>
      </c>
      <c r="F503" s="58">
        <v>0</v>
      </c>
      <c r="G503" s="58">
        <v>0</v>
      </c>
      <c r="H503" s="57">
        <v>0</v>
      </c>
      <c r="J503" s="54"/>
      <c r="K503" s="52"/>
    </row>
    <row r="504" spans="1:256" x14ac:dyDescent="0.2">
      <c r="A504" s="51" t="s">
        <v>4699</v>
      </c>
      <c r="B504" s="51" t="s">
        <v>4693</v>
      </c>
      <c r="C504" s="51" t="s">
        <v>4698</v>
      </c>
      <c r="D504" s="51" t="s">
        <v>4691</v>
      </c>
      <c r="E504" s="58">
        <v>0</v>
      </c>
      <c r="F504" s="58">
        <v>0</v>
      </c>
      <c r="G504" s="58">
        <v>0</v>
      </c>
      <c r="H504" s="57">
        <v>0</v>
      </c>
      <c r="J504" s="54"/>
      <c r="K504" s="52"/>
    </row>
    <row r="505" spans="1:256" x14ac:dyDescent="0.2">
      <c r="A505" s="51" t="s">
        <v>4697</v>
      </c>
      <c r="B505" s="51" t="s">
        <v>4693</v>
      </c>
      <c r="C505" s="51" t="s">
        <v>4696</v>
      </c>
      <c r="D505" s="51" t="s">
        <v>4695</v>
      </c>
      <c r="E505" s="58">
        <v>0</v>
      </c>
      <c r="F505" s="58">
        <v>0</v>
      </c>
      <c r="G505" s="58">
        <v>0</v>
      </c>
      <c r="H505" s="57">
        <v>0</v>
      </c>
      <c r="J505" s="54"/>
      <c r="K505" s="52"/>
    </row>
    <row r="506" spans="1:256" ht="13.5" thickBot="1" x14ac:dyDescent="0.25">
      <c r="A506" s="51" t="s">
        <v>4694</v>
      </c>
      <c r="B506" s="51" t="s">
        <v>4693</v>
      </c>
      <c r="C506" s="51" t="s">
        <v>4692</v>
      </c>
      <c r="D506" s="51" t="s">
        <v>4691</v>
      </c>
      <c r="E506" s="56">
        <v>0</v>
      </c>
      <c r="F506" s="56">
        <v>0</v>
      </c>
      <c r="G506" s="56">
        <v>0</v>
      </c>
      <c r="H506" s="55">
        <v>0</v>
      </c>
      <c r="I506" s="48"/>
      <c r="J506" s="54"/>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48"/>
      <c r="BH506" s="48"/>
      <c r="BI506" s="48"/>
      <c r="BJ506" s="48"/>
      <c r="BK506" s="48"/>
      <c r="BL506" s="48"/>
      <c r="BM506" s="48"/>
      <c r="BN506" s="48"/>
      <c r="BO506" s="48"/>
      <c r="BP506" s="48"/>
      <c r="BQ506" s="48"/>
      <c r="BR506" s="48"/>
      <c r="BS506" s="48"/>
      <c r="BT506" s="48"/>
      <c r="BU506" s="48"/>
      <c r="BV506" s="48"/>
      <c r="BW506" s="48"/>
      <c r="BX506" s="48"/>
      <c r="BY506" s="48"/>
      <c r="BZ506" s="48"/>
      <c r="CA506" s="48"/>
      <c r="CB506" s="48"/>
      <c r="CC506" s="48"/>
      <c r="CD506" s="48"/>
      <c r="CE506" s="48"/>
      <c r="CF506" s="48"/>
      <c r="CG506" s="48"/>
      <c r="CH506" s="48"/>
      <c r="CI506" s="48"/>
      <c r="CJ506" s="48"/>
      <c r="CK506" s="48"/>
      <c r="CL506" s="48"/>
      <c r="CM506" s="48"/>
      <c r="CN506" s="48"/>
      <c r="CO506" s="48"/>
      <c r="CP506" s="48"/>
      <c r="CQ506" s="48"/>
      <c r="CR506" s="48"/>
      <c r="CS506" s="48"/>
      <c r="CT506" s="48"/>
      <c r="CU506" s="48"/>
      <c r="CV506" s="48"/>
      <c r="CW506" s="48"/>
      <c r="CX506" s="48"/>
      <c r="CY506" s="48"/>
      <c r="CZ506" s="48"/>
      <c r="DA506" s="48"/>
      <c r="DB506" s="48"/>
      <c r="DC506" s="48"/>
      <c r="DD506" s="48"/>
      <c r="DE506" s="48"/>
      <c r="DF506" s="48"/>
      <c r="DG506" s="48"/>
      <c r="DH506" s="48"/>
      <c r="DI506" s="48"/>
      <c r="DJ506" s="48"/>
      <c r="DK506" s="48"/>
      <c r="DL506" s="48"/>
      <c r="DM506" s="48"/>
      <c r="DN506" s="48"/>
      <c r="DO506" s="48"/>
      <c r="DP506" s="48"/>
      <c r="DQ506" s="48"/>
      <c r="DR506" s="48"/>
      <c r="DS506" s="48"/>
      <c r="DT506" s="48"/>
      <c r="DU506" s="48"/>
      <c r="DV506" s="48"/>
      <c r="DW506" s="48"/>
      <c r="DX506" s="48"/>
      <c r="DY506" s="48"/>
      <c r="DZ506" s="48"/>
      <c r="EA506" s="48"/>
      <c r="EB506" s="48"/>
      <c r="EC506" s="48"/>
      <c r="ED506" s="48"/>
      <c r="EE506" s="48"/>
      <c r="EF506" s="48"/>
      <c r="EG506" s="48"/>
      <c r="EH506" s="48"/>
      <c r="EI506" s="48"/>
      <c r="EJ506" s="48"/>
      <c r="EK506" s="48"/>
      <c r="EL506" s="48"/>
      <c r="EM506" s="48"/>
      <c r="EN506" s="48"/>
      <c r="EO506" s="48"/>
      <c r="EP506" s="48"/>
      <c r="EQ506" s="48"/>
      <c r="ER506" s="48"/>
      <c r="ES506" s="48"/>
      <c r="ET506" s="48"/>
      <c r="EU506" s="48"/>
      <c r="EV506" s="48"/>
      <c r="EW506" s="48"/>
      <c r="EX506" s="48"/>
      <c r="EY506" s="48"/>
      <c r="EZ506" s="48"/>
      <c r="FA506" s="48"/>
      <c r="FB506" s="48"/>
      <c r="FC506" s="48"/>
      <c r="FD506" s="48"/>
      <c r="FE506" s="48"/>
      <c r="FF506" s="48"/>
      <c r="FG506" s="48"/>
      <c r="FH506" s="48"/>
      <c r="FI506" s="48"/>
      <c r="FJ506" s="48"/>
      <c r="FK506" s="48"/>
      <c r="FL506" s="48"/>
      <c r="FM506" s="48"/>
      <c r="FN506" s="48"/>
      <c r="FO506" s="48"/>
      <c r="FP506" s="48"/>
      <c r="FQ506" s="48"/>
      <c r="FR506" s="48"/>
      <c r="FS506" s="48"/>
      <c r="FT506" s="48"/>
      <c r="FU506" s="48"/>
      <c r="FV506" s="48"/>
      <c r="FW506" s="48"/>
      <c r="FX506" s="48"/>
      <c r="FY506" s="48"/>
      <c r="FZ506" s="48"/>
      <c r="GA506" s="48"/>
      <c r="GB506" s="48"/>
      <c r="GC506" s="48"/>
      <c r="GD506" s="48"/>
      <c r="GE506" s="48"/>
      <c r="GF506" s="48"/>
      <c r="GG506" s="48"/>
      <c r="GH506" s="48"/>
      <c r="GI506" s="48"/>
      <c r="GJ506" s="48"/>
      <c r="GK506" s="48"/>
      <c r="GL506" s="48"/>
      <c r="GM506" s="48"/>
      <c r="GN506" s="48"/>
      <c r="GO506" s="48"/>
      <c r="GP506" s="48"/>
      <c r="GQ506" s="48"/>
      <c r="GR506" s="48"/>
      <c r="GS506" s="48"/>
      <c r="GT506" s="48"/>
      <c r="GU506" s="48"/>
      <c r="GV506" s="48"/>
      <c r="GW506" s="48"/>
      <c r="GX506" s="48"/>
      <c r="GY506" s="48"/>
      <c r="GZ506" s="48"/>
      <c r="HA506" s="48"/>
      <c r="HB506" s="48"/>
      <c r="HC506" s="48"/>
      <c r="HD506" s="48"/>
      <c r="HE506" s="48"/>
      <c r="HF506" s="48"/>
      <c r="HG506" s="48"/>
      <c r="HH506" s="48"/>
      <c r="HI506" s="48"/>
      <c r="HJ506" s="48"/>
      <c r="HK506" s="48"/>
      <c r="HL506" s="48"/>
      <c r="HM506" s="48"/>
      <c r="HN506" s="48"/>
      <c r="HO506" s="48"/>
      <c r="HP506" s="48"/>
      <c r="HQ506" s="48"/>
      <c r="HR506" s="48"/>
      <c r="HS506" s="48"/>
      <c r="HT506" s="48"/>
      <c r="HU506" s="48"/>
      <c r="HV506" s="48"/>
      <c r="HW506" s="48"/>
      <c r="HX506" s="48"/>
      <c r="HY506" s="48"/>
      <c r="HZ506" s="48"/>
      <c r="IA506" s="48"/>
      <c r="IB506" s="48"/>
      <c r="IC506" s="48"/>
      <c r="ID506" s="48"/>
      <c r="IE506" s="48"/>
      <c r="IF506" s="48"/>
      <c r="IG506" s="48"/>
      <c r="IH506" s="48"/>
      <c r="II506" s="48"/>
      <c r="IJ506" s="48"/>
      <c r="IK506" s="48"/>
      <c r="IL506" s="48"/>
      <c r="IM506" s="48"/>
      <c r="IN506" s="48"/>
      <c r="IO506" s="48"/>
      <c r="IP506" s="48"/>
      <c r="IQ506" s="48"/>
      <c r="IR506" s="48"/>
      <c r="IS506" s="48"/>
      <c r="IT506" s="48"/>
      <c r="IU506" s="48"/>
      <c r="IV506" s="48"/>
    </row>
    <row r="507" spans="1:256" ht="12.75" thickTop="1" x14ac:dyDescent="0.2">
      <c r="A507" s="52"/>
    </row>
    <row r="508" spans="1:256" x14ac:dyDescent="0.2">
      <c r="A508" s="52"/>
    </row>
    <row r="509" spans="1:256" x14ac:dyDescent="0.2">
      <c r="A509" s="53" t="s">
        <v>4690</v>
      </c>
    </row>
    <row r="849" spans="17:17" x14ac:dyDescent="0.2">
      <c r="Q849" s="52"/>
    </row>
    <row r="853" spans="17:17" x14ac:dyDescent="0.2">
      <c r="Q853" s="52"/>
    </row>
  </sheetData>
  <autoFilter ref="A9:WVQ9" xr:uid="{4AB7FC47-B56D-4E3C-9273-68795CFCB2AB}">
    <sortState xmlns:xlrd2="http://schemas.microsoft.com/office/spreadsheetml/2017/richdata2" ref="A10:WVQ506">
      <sortCondition descending="1" ref="G9"/>
    </sortState>
  </autoFilter>
  <conditionalFormatting sqref="A11:A505">
    <cfRule type="duplicateValues" dxfId="5" priority="4"/>
  </conditionalFormatting>
  <conditionalFormatting sqref="A507:A508 A510:A511">
    <cfRule type="duplicateValues" dxfId="4" priority="5"/>
  </conditionalFormatting>
  <conditionalFormatting sqref="A509">
    <cfRule type="duplicateValues" dxfId="3" priority="1"/>
  </conditionalFormatting>
  <conditionalFormatting sqref="A512:A1048576 A1:A506">
    <cfRule type="duplicateValues" dxfId="2" priority="2"/>
  </conditionalFormatting>
  <conditionalFormatting sqref="Q507:Q511">
    <cfRule type="duplicateValues" dxfId="1" priority="6" stopIfTrue="1"/>
  </conditionalFormatting>
  <conditionalFormatting sqref="Q512:Q970 Q490:Q506">
    <cfRule type="duplicateValues" dxfId="0" priority="3" stopIfTrue="1"/>
  </conditionalFormatting>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FD4E-2BA7-420D-9DED-107539C6E8C5}">
  <sheetPr>
    <tabColor theme="1"/>
  </sheetPr>
  <dimension ref="A1"/>
  <sheetViews>
    <sheetView workbookViewId="0">
      <selection activeCell="K37" sqref="K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276BF-74F6-44B6-A192-3026E21C7B74}">
  <sheetPr>
    <tabColor theme="2" tint="-9.9978637043366805E-2"/>
  </sheetPr>
  <dimension ref="B2:D31"/>
  <sheetViews>
    <sheetView workbookViewId="0">
      <selection activeCell="K37" sqref="K37"/>
    </sheetView>
  </sheetViews>
  <sheetFormatPr defaultRowHeight="15" x14ac:dyDescent="0.25"/>
  <cols>
    <col min="2" max="2" width="33.140625" customWidth="1"/>
    <col min="3" max="3" width="32.5703125" bestFit="1" customWidth="1"/>
  </cols>
  <sheetData>
    <row r="2" spans="2:4" s="12" customFormat="1" x14ac:dyDescent="0.25">
      <c r="B2" s="12" t="s">
        <v>5426</v>
      </c>
      <c r="C2" s="12" t="s">
        <v>5425</v>
      </c>
      <c r="D2" s="12" t="s">
        <v>319</v>
      </c>
    </row>
    <row r="4" spans="2:4" x14ac:dyDescent="0.25">
      <c r="B4" s="5" t="s">
        <v>5424</v>
      </c>
    </row>
    <row r="5" spans="2:4" x14ac:dyDescent="0.25">
      <c r="B5" s="34" t="s">
        <v>5423</v>
      </c>
      <c r="C5" t="s">
        <v>5422</v>
      </c>
      <c r="D5" s="4" t="s">
        <v>5421</v>
      </c>
    </row>
    <row r="6" spans="2:4" x14ac:dyDescent="0.25">
      <c r="B6" s="34"/>
      <c r="D6" s="4"/>
    </row>
    <row r="8" spans="2:4" x14ac:dyDescent="0.25">
      <c r="B8" s="5" t="s">
        <v>5420</v>
      </c>
    </row>
    <row r="9" spans="2:4" x14ac:dyDescent="0.25">
      <c r="B9" s="34" t="s">
        <v>5419</v>
      </c>
      <c r="C9" t="s">
        <v>5402</v>
      </c>
    </row>
    <row r="10" spans="2:4" x14ac:dyDescent="0.25">
      <c r="B10" s="34" t="s">
        <v>5418</v>
      </c>
    </row>
    <row r="11" spans="2:4" x14ac:dyDescent="0.25">
      <c r="B11" s="34"/>
    </row>
    <row r="13" spans="2:4" x14ac:dyDescent="0.25">
      <c r="B13" s="5" t="s">
        <v>5417</v>
      </c>
    </row>
    <row r="14" spans="2:4" x14ac:dyDescent="0.25">
      <c r="B14" s="34" t="s">
        <v>5416</v>
      </c>
    </row>
    <row r="15" spans="2:4" x14ac:dyDescent="0.25">
      <c r="B15" s="34" t="s">
        <v>5415</v>
      </c>
    </row>
    <row r="16" spans="2:4" x14ac:dyDescent="0.25">
      <c r="B16" s="34" t="s">
        <v>5414</v>
      </c>
      <c r="C16" t="s">
        <v>5413</v>
      </c>
    </row>
    <row r="17" spans="2:3" x14ac:dyDescent="0.25">
      <c r="B17" s="34" t="s">
        <v>5412</v>
      </c>
      <c r="C17" t="s">
        <v>5411</v>
      </c>
    </row>
    <row r="18" spans="2:3" x14ac:dyDescent="0.25">
      <c r="B18" s="34"/>
    </row>
    <row r="20" spans="2:3" x14ac:dyDescent="0.25">
      <c r="B20" s="5" t="s">
        <v>5410</v>
      </c>
    </row>
    <row r="21" spans="2:3" x14ac:dyDescent="0.25">
      <c r="B21" s="34" t="s">
        <v>5409</v>
      </c>
    </row>
    <row r="22" spans="2:3" x14ac:dyDescent="0.25">
      <c r="B22" s="34" t="s">
        <v>5408</v>
      </c>
    </row>
    <row r="23" spans="2:3" x14ac:dyDescent="0.25">
      <c r="B23" s="34" t="s">
        <v>5407</v>
      </c>
    </row>
    <row r="24" spans="2:3" x14ac:dyDescent="0.25">
      <c r="B24" s="34"/>
    </row>
    <row r="26" spans="2:3" x14ac:dyDescent="0.25">
      <c r="B26" s="5" t="s">
        <v>5406</v>
      </c>
    </row>
    <row r="27" spans="2:3" x14ac:dyDescent="0.25">
      <c r="B27" s="34" t="s">
        <v>5405</v>
      </c>
    </row>
    <row r="30" spans="2:3" x14ac:dyDescent="0.25">
      <c r="B30" s="5" t="s">
        <v>5404</v>
      </c>
    </row>
    <row r="31" spans="2:3" x14ac:dyDescent="0.25">
      <c r="B31" s="34" t="s">
        <v>5403</v>
      </c>
      <c r="C31" t="s">
        <v>5402</v>
      </c>
    </row>
  </sheetData>
  <hyperlinks>
    <hyperlink ref="D5" r:id="rId1" xr:uid="{C02BEDA0-A455-4EA7-AD5A-5981C62510DF}"/>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22E3E-C1F7-4E6A-A4C0-2D389AC006FB}">
  <sheetPr>
    <tabColor theme="2" tint="-9.9978637043366805E-2"/>
  </sheetPr>
  <dimension ref="B2:D30"/>
  <sheetViews>
    <sheetView workbookViewId="0">
      <selection activeCell="B31" sqref="B31"/>
    </sheetView>
  </sheetViews>
  <sheetFormatPr defaultRowHeight="15" x14ac:dyDescent="0.25"/>
  <cols>
    <col min="2" max="2" width="33.140625" customWidth="1"/>
    <col min="3" max="3" width="32.5703125" bestFit="1" customWidth="1"/>
  </cols>
  <sheetData>
    <row r="2" spans="2:4" s="12" customFormat="1" x14ac:dyDescent="0.25">
      <c r="B2" s="12" t="s">
        <v>5426</v>
      </c>
      <c r="C2" s="12" t="s">
        <v>5425</v>
      </c>
      <c r="D2" s="12" t="s">
        <v>319</v>
      </c>
    </row>
    <row r="4" spans="2:4" x14ac:dyDescent="0.25">
      <c r="B4" s="5" t="s">
        <v>5424</v>
      </c>
    </row>
    <row r="5" spans="2:4" x14ac:dyDescent="0.25">
      <c r="B5" s="34"/>
      <c r="D5" s="4"/>
    </row>
    <row r="6" spans="2:4" x14ac:dyDescent="0.25">
      <c r="B6" s="34"/>
      <c r="D6" s="4"/>
    </row>
    <row r="8" spans="2:4" x14ac:dyDescent="0.25">
      <c r="B8" s="5" t="s">
        <v>5420</v>
      </c>
    </row>
    <row r="9" spans="2:4" x14ac:dyDescent="0.25">
      <c r="B9" s="34" t="s">
        <v>5435</v>
      </c>
    </row>
    <row r="10" spans="2:4" x14ac:dyDescent="0.25">
      <c r="B10" s="34" t="s">
        <v>6342</v>
      </c>
    </row>
    <row r="11" spans="2:4" x14ac:dyDescent="0.25">
      <c r="B11" s="34"/>
    </row>
    <row r="13" spans="2:4" x14ac:dyDescent="0.25">
      <c r="B13" s="5" t="s">
        <v>5417</v>
      </c>
    </row>
    <row r="14" spans="2:4" x14ac:dyDescent="0.25">
      <c r="B14" s="34" t="s">
        <v>5434</v>
      </c>
    </row>
    <row r="15" spans="2:4" x14ac:dyDescent="0.25">
      <c r="B15" s="34"/>
    </row>
    <row r="17" spans="2:2" x14ac:dyDescent="0.25">
      <c r="B17" s="5" t="s">
        <v>5410</v>
      </c>
    </row>
    <row r="18" spans="2:2" x14ac:dyDescent="0.25">
      <c r="B18" s="34" t="s">
        <v>5433</v>
      </c>
    </row>
    <row r="19" spans="2:2" x14ac:dyDescent="0.25">
      <c r="B19" s="34" t="s">
        <v>5432</v>
      </c>
    </row>
    <row r="20" spans="2:2" x14ac:dyDescent="0.25">
      <c r="B20" s="34" t="s">
        <v>5431</v>
      </c>
    </row>
    <row r="21" spans="2:2" x14ac:dyDescent="0.25">
      <c r="B21" s="34" t="s">
        <v>5430</v>
      </c>
    </row>
    <row r="22" spans="2:2" x14ac:dyDescent="0.25">
      <c r="B22" s="34" t="s">
        <v>5429</v>
      </c>
    </row>
    <row r="23" spans="2:2" x14ac:dyDescent="0.25">
      <c r="B23" s="34"/>
    </row>
    <row r="25" spans="2:2" x14ac:dyDescent="0.25">
      <c r="B25" s="5" t="s">
        <v>5406</v>
      </c>
    </row>
    <row r="26" spans="2:2" x14ac:dyDescent="0.25">
      <c r="B26" s="34" t="s">
        <v>5428</v>
      </c>
    </row>
    <row r="29" spans="2:2" x14ac:dyDescent="0.25">
      <c r="B29" s="5" t="s">
        <v>5404</v>
      </c>
    </row>
    <row r="30" spans="2:2" x14ac:dyDescent="0.25">
      <c r="B30" s="34" t="s">
        <v>5427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46FE-9838-4A48-A9E3-9D9DA1AA6292}">
  <sheetPr>
    <tabColor rgb="FFFFFF00"/>
  </sheetPr>
  <dimension ref="B3:B14"/>
  <sheetViews>
    <sheetView workbookViewId="0">
      <selection activeCell="L12" sqref="L12"/>
    </sheetView>
  </sheetViews>
  <sheetFormatPr defaultRowHeight="15" x14ac:dyDescent="0.25"/>
  <sheetData>
    <row r="3" spans="2:2" x14ac:dyDescent="0.25">
      <c r="B3" s="1" t="s">
        <v>6161</v>
      </c>
    </row>
    <row r="4" spans="2:2" x14ac:dyDescent="0.25">
      <c r="B4" t="s">
        <v>6159</v>
      </c>
    </row>
    <row r="5" spans="2:2" x14ac:dyDescent="0.25">
      <c r="B5" t="s">
        <v>6160</v>
      </c>
    </row>
    <row r="6" spans="2:2" x14ac:dyDescent="0.25">
      <c r="B6" t="s">
        <v>6178</v>
      </c>
    </row>
    <row r="13" spans="2:2" x14ac:dyDescent="0.25">
      <c r="B13" s="1" t="s">
        <v>6166</v>
      </c>
    </row>
    <row r="14" spans="2:2" x14ac:dyDescent="0.25">
      <c r="B14" t="s">
        <v>6165</v>
      </c>
    </row>
  </sheetData>
  <hyperlinks>
    <hyperlink ref="B6" r:id="rId1" xr:uid="{8A2EAA89-D626-4C9D-88BD-B9E4B489FDE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vt:i4>
      </vt:variant>
    </vt:vector>
  </HeadingPairs>
  <TitlesOfParts>
    <vt:vector size="24" baseType="lpstr">
      <vt:lpstr>Potential</vt:lpstr>
      <vt:lpstr>SLOTS</vt:lpstr>
      <vt:lpstr>Big 3 Emp</vt:lpstr>
      <vt:lpstr>Backup Slots</vt:lpstr>
      <vt:lpstr>IGT</vt:lpstr>
      <vt:lpstr>LOTTERIES</vt:lpstr>
      <vt:lpstr>Emp Lotteries</vt:lpstr>
      <vt:lpstr>TLC New</vt:lpstr>
      <vt:lpstr>Backup Lotteries</vt:lpstr>
      <vt:lpstr>WAGERING</vt:lpstr>
      <vt:lpstr>Emp Wagering</vt:lpstr>
      <vt:lpstr>SB &amp; Ent Wagering</vt:lpstr>
      <vt:lpstr>Backup Wagering</vt:lpstr>
      <vt:lpstr>Sheet1</vt:lpstr>
      <vt:lpstr>CLUBS LIST</vt:lpstr>
      <vt:lpstr>NSW</vt:lpstr>
      <vt:lpstr>QLD</vt:lpstr>
      <vt:lpstr>VIC</vt:lpstr>
      <vt:lpstr>LOCATIONS</vt:lpstr>
      <vt:lpstr>QLD Trip</vt:lpstr>
      <vt:lpstr>VIC Trip</vt:lpstr>
      <vt:lpstr>CLEAN</vt:lpstr>
      <vt:lpstr>NSW!Print_Area</vt:lpstr>
      <vt:lpstr>NSW!Print_Titles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Bradshaw</dc:creator>
  <cp:lastModifiedBy>Sam Bradshaw</cp:lastModifiedBy>
  <dcterms:created xsi:type="dcterms:W3CDTF">2026-01-06T05:09:08Z</dcterms:created>
  <dcterms:modified xsi:type="dcterms:W3CDTF">2026-10-13T05:31:47Z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ad4959-a4d7-4a60-89ba-8fd96e834276_Enabled">
    <vt:lpwstr>true</vt:lpwstr>
  </property>
  <property fmtid="{D5CDD505-2E9C-101B-9397-08002B2CF9AE}" pid="3" name="MSIP_Label_faad4959-a4d7-4a60-89ba-8fd96e834276_SetDate">
    <vt:lpwstr>2026-01-06T05:09:20Z</vt:lpwstr>
  </property>
  <property fmtid="{D5CDD505-2E9C-101B-9397-08002B2CF9AE}" pid="4" name="MSIP_Label_faad4959-a4d7-4a60-89ba-8fd96e834276_Method">
    <vt:lpwstr>Standard</vt:lpwstr>
  </property>
  <property fmtid="{D5CDD505-2E9C-101B-9397-08002B2CF9AE}" pid="5" name="MSIP_Label_faad4959-a4d7-4a60-89ba-8fd96e834276_Name">
    <vt:lpwstr>Restricted - General</vt:lpwstr>
  </property>
  <property fmtid="{D5CDD505-2E9C-101B-9397-08002B2CF9AE}" pid="6" name="MSIP_Label_faad4959-a4d7-4a60-89ba-8fd96e834276_SiteId">
    <vt:lpwstr>6d13d3d5-8b13-4ab4-a345-350f909f5f65</vt:lpwstr>
  </property>
  <property fmtid="{D5CDD505-2E9C-101B-9397-08002B2CF9AE}" pid="7" name="MSIP_Label_faad4959-a4d7-4a60-89ba-8fd96e834276_ActionId">
    <vt:lpwstr>6e6e6dbe-f301-4eae-b63f-2b0166185fe4</vt:lpwstr>
  </property>
  <property fmtid="{D5CDD505-2E9C-101B-9397-08002B2CF9AE}" pid="8" name="MSIP_Label_faad4959-a4d7-4a60-89ba-8fd96e834276_ContentBits">
    <vt:lpwstr>0</vt:lpwstr>
  </property>
  <property fmtid="{D5CDD505-2E9C-101B-9397-08002B2CF9AE}" pid="9" name="MSIP_Label_faad4959-a4d7-4a60-89ba-8fd96e834276_Tag">
    <vt:lpwstr>10, 3, 0, 1</vt:lpwstr>
  </property>
</Properties>
</file>