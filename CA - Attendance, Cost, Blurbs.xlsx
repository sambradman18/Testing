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mc:AlternateContent xmlns:mc="http://schemas.openxmlformats.org/markup-compatibility/2006">
    <mc:Choice Requires="x15">
      <x15ac:absPath xmlns:x15ac="http://schemas.microsoft.com/office/spreadsheetml/2010/11/ac" url="P:\Research\SB - Research\1. Admin\2. Corporate Access\"/>
    </mc:Choice>
  </mc:AlternateContent>
  <xr:revisionPtr revIDLastSave="0" documentId="13_ncr:1_{90C9426E-6BD3-4240-AB06-7D2B041AF392}" xr6:coauthVersionLast="47" xr6:coauthVersionMax="47" xr10:uidLastSave="{00000000-0000-0000-0000-000000000000}"/>
  <bookViews>
    <workbookView xWindow="-120" yWindow="-120" windowWidth="29040" windowHeight="15720" xr2:uid="{33DF09B4-89C0-4634-A1F8-55C8989CB2CC}"/>
  </bookViews>
  <sheets>
    <sheet name="Cost" sheetId="3" r:id="rId1"/>
    <sheet name="Blurbs" sheetId="4" r:id="rId2"/>
    <sheet name="Attendance"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3" l="1"/>
  <c r="G42" i="3"/>
  <c r="E26" i="1" l="1" a="1"/>
  <c r="E26" i="1" s="1"/>
  <c r="G17" i="3"/>
  <c r="G15" i="3"/>
  <c r="G14" i="3"/>
  <c r="P18" i="3"/>
  <c r="P14" i="3"/>
  <c r="P13" i="3"/>
  <c r="P12" i="3"/>
  <c r="P4" i="3" l="1"/>
  <c r="E27" i="1" a="1"/>
  <c r="E27" i="1" s="1"/>
  <c r="F27" i="1" a="1"/>
  <c r="F27" i="1" s="1"/>
  <c r="E28" i="1" a="1"/>
  <c r="E28" i="1" s="1"/>
  <c r="F28" i="1" a="1"/>
  <c r="F28" i="1" s="1"/>
  <c r="E29" i="1" a="1"/>
  <c r="E29" i="1" s="1"/>
  <c r="F29" i="1" a="1"/>
  <c r="F29" i="1" s="1"/>
  <c r="E30" i="1" a="1"/>
  <c r="E30" i="1" s="1"/>
  <c r="F30" i="1" a="1"/>
  <c r="F30" i="1" s="1"/>
  <c r="E31" i="1" a="1"/>
  <c r="E31" i="1" s="1"/>
  <c r="F31" i="1" a="1"/>
  <c r="F31" i="1" s="1"/>
  <c r="E32" i="1" a="1"/>
  <c r="E32" i="1" s="1"/>
  <c r="F32" i="1" a="1"/>
  <c r="F32" i="1" s="1"/>
  <c r="E33" i="1" a="1"/>
  <c r="E33" i="1" s="1"/>
  <c r="F33" i="1" a="1"/>
  <c r="F33" i="1" s="1"/>
  <c r="E34" i="1" a="1"/>
  <c r="E34" i="1" s="1"/>
  <c r="F34" i="1" a="1"/>
  <c r="F34" i="1" s="1"/>
  <c r="E35" i="1" a="1"/>
  <c r="E35" i="1" s="1"/>
  <c r="F35" i="1" a="1"/>
  <c r="F35" i="1" s="1"/>
  <c r="E36" i="1" a="1"/>
  <c r="E36" i="1" s="1"/>
  <c r="F36" i="1" a="1"/>
  <c r="F36" i="1" s="1"/>
  <c r="E37" i="1" a="1"/>
  <c r="E37" i="1" s="1"/>
  <c r="F37" i="1" a="1"/>
  <c r="F37" i="1" s="1"/>
  <c r="E38" i="1" a="1"/>
  <c r="E38" i="1" s="1"/>
  <c r="F38" i="1" a="1"/>
  <c r="F38" i="1" s="1"/>
  <c r="E39" i="1" a="1"/>
  <c r="E39" i="1" s="1"/>
  <c r="F39" i="1" a="1"/>
  <c r="F39" i="1" s="1"/>
  <c r="E40" i="1" a="1"/>
  <c r="E40" i="1" s="1"/>
  <c r="F40" i="1" a="1"/>
  <c r="F40" i="1" s="1"/>
  <c r="E41" i="1" a="1"/>
  <c r="E41" i="1" s="1"/>
  <c r="F41" i="1" a="1"/>
  <c r="F41" i="1" s="1"/>
  <c r="E42" i="1" a="1"/>
  <c r="E42" i="1" s="1"/>
  <c r="F42" i="1" a="1"/>
  <c r="F42" i="1" s="1"/>
  <c r="E43" i="1" a="1"/>
  <c r="E43" i="1" s="1"/>
  <c r="F43" i="1" a="1"/>
  <c r="F43" i="1" s="1"/>
  <c r="E44" i="1" a="1"/>
  <c r="E44" i="1" s="1"/>
  <c r="F44" i="1" a="1"/>
  <c r="F44" i="1" s="1"/>
  <c r="E45" i="1" a="1"/>
  <c r="E45" i="1" s="1"/>
  <c r="F45" i="1" a="1"/>
  <c r="F45" i="1" s="1"/>
  <c r="E46" i="1" a="1"/>
  <c r="E46" i="1" s="1"/>
  <c r="F46" i="1" a="1"/>
  <c r="F46" i="1" s="1"/>
  <c r="E47" i="1" a="1"/>
  <c r="E47" i="1" s="1"/>
  <c r="F47" i="1" a="1"/>
  <c r="F47" i="1" s="1"/>
  <c r="E48" i="1" a="1"/>
  <c r="E48" i="1" s="1"/>
  <c r="F48" i="1" a="1"/>
  <c r="F48" i="1" s="1"/>
  <c r="E49" i="1" a="1"/>
  <c r="E49" i="1" s="1"/>
  <c r="F49" i="1" a="1"/>
  <c r="F49" i="1" s="1"/>
  <c r="E50" i="1" a="1"/>
  <c r="E50" i="1" s="1"/>
  <c r="F50" i="1" a="1"/>
  <c r="F50" i="1" s="1"/>
  <c r="E51" i="1" a="1"/>
  <c r="E51" i="1" s="1"/>
  <c r="F51" i="1" a="1"/>
  <c r="F51" i="1" s="1"/>
  <c r="E52" i="1" a="1"/>
  <c r="E52" i="1" s="1"/>
  <c r="F52" i="1" a="1"/>
  <c r="F52" i="1" s="1"/>
  <c r="E53" i="1" a="1"/>
  <c r="E53" i="1" s="1"/>
  <c r="F53" i="1" a="1"/>
  <c r="F53" i="1" s="1"/>
  <c r="E54" i="1" a="1"/>
  <c r="E54" i="1" s="1"/>
  <c r="F54" i="1" a="1"/>
  <c r="F54" i="1" s="1"/>
  <c r="E55" i="1" a="1"/>
  <c r="E55" i="1" s="1"/>
  <c r="F55" i="1" a="1"/>
  <c r="F55" i="1" s="1"/>
  <c r="E56" i="1" a="1"/>
  <c r="E56" i="1" s="1"/>
  <c r="F56" i="1" a="1"/>
  <c r="F56" i="1" s="1"/>
  <c r="E57" i="1" a="1"/>
  <c r="E57" i="1" s="1"/>
  <c r="F57" i="1" a="1"/>
  <c r="F57" i="1" s="1"/>
  <c r="E58" i="1" a="1"/>
  <c r="E58" i="1" s="1"/>
  <c r="F58" i="1" a="1"/>
  <c r="F58" i="1" s="1"/>
  <c r="E59" i="1" a="1"/>
  <c r="E59" i="1" s="1"/>
  <c r="F59" i="1" a="1"/>
  <c r="F59" i="1" s="1"/>
  <c r="E60" i="1" a="1"/>
  <c r="E60" i="1" s="1"/>
  <c r="F60" i="1" a="1"/>
  <c r="F60" i="1" s="1"/>
  <c r="E61" i="1" a="1"/>
  <c r="E61" i="1" s="1"/>
  <c r="F61" i="1" a="1"/>
  <c r="F61" i="1" s="1"/>
  <c r="E62" i="1" a="1"/>
  <c r="E62" i="1" s="1"/>
  <c r="F62" i="1" a="1"/>
  <c r="F62" i="1" s="1"/>
  <c r="E63" i="1" a="1"/>
  <c r="E63" i="1" s="1"/>
  <c r="F63" i="1" a="1"/>
  <c r="F63" i="1" s="1"/>
  <c r="E64" i="1" a="1"/>
  <c r="E64" i="1" s="1"/>
  <c r="F64" i="1" a="1"/>
  <c r="F64" i="1" s="1"/>
  <c r="E65" i="1" a="1"/>
  <c r="E65" i="1" s="1"/>
  <c r="F65" i="1" a="1"/>
  <c r="F65" i="1" s="1"/>
  <c r="E66" i="1" a="1"/>
  <c r="E66" i="1" s="1"/>
  <c r="F66" i="1" a="1"/>
  <c r="F66" i="1" s="1"/>
  <c r="E67" i="1" a="1"/>
  <c r="E67" i="1" s="1"/>
  <c r="F67" i="1" a="1"/>
  <c r="F67" i="1" s="1"/>
  <c r="E68" i="1" a="1"/>
  <c r="E68" i="1" s="1"/>
  <c r="F68" i="1" a="1"/>
  <c r="F68" i="1" s="1"/>
  <c r="E69" i="1" a="1"/>
  <c r="E69" i="1" s="1"/>
  <c r="F69" i="1" a="1"/>
  <c r="F69" i="1" s="1"/>
  <c r="E70" i="1" a="1"/>
  <c r="E70" i="1" s="1"/>
  <c r="F70" i="1" a="1"/>
  <c r="F70" i="1" s="1"/>
  <c r="E71" i="1" a="1"/>
  <c r="E71" i="1" s="1"/>
  <c r="F71" i="1" a="1"/>
  <c r="F71" i="1" s="1"/>
  <c r="E72" i="1" a="1"/>
  <c r="E72" i="1" s="1"/>
  <c r="F72" i="1" a="1"/>
  <c r="F72" i="1" s="1"/>
  <c r="E73" i="1" a="1"/>
  <c r="E73" i="1" s="1"/>
  <c r="F73" i="1" a="1"/>
  <c r="F73" i="1" s="1"/>
  <c r="E74" i="1" a="1"/>
  <c r="E74" i="1" s="1"/>
  <c r="F74" i="1" a="1"/>
  <c r="F74" i="1" s="1"/>
  <c r="E75" i="1" a="1"/>
  <c r="E75" i="1" s="1"/>
  <c r="F75" i="1" a="1"/>
  <c r="F75" i="1" s="1"/>
  <c r="E76" i="1" a="1"/>
  <c r="E76" i="1" s="1"/>
  <c r="F76" i="1" a="1"/>
  <c r="F76" i="1" s="1"/>
  <c r="E77" i="1" a="1"/>
  <c r="E77" i="1" s="1"/>
  <c r="F77" i="1" a="1"/>
  <c r="F77" i="1" s="1"/>
  <c r="F26" i="1" a="1"/>
  <c r="F26" i="1" s="1"/>
  <c r="P31" i="3" l="1"/>
  <c r="P30" i="3"/>
  <c r="P27" i="3"/>
  <c r="P26" i="3"/>
  <c r="P23" i="3"/>
  <c r="P22" i="3"/>
  <c r="P15" i="3"/>
  <c r="P19" i="3" s="1"/>
  <c r="P11" i="3"/>
  <c r="Q11" i="3" l="1"/>
  <c r="Q18" i="3"/>
  <c r="Q19" i="3"/>
  <c r="Q14" i="3"/>
  <c r="Q13" i="3"/>
  <c r="Q1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I2" authorId="0" shapeId="0" xr:uid="{473E5E1E-0595-4D43-A9C0-08C30B1A72FF}">
      <text>
        <r>
          <rPr>
            <b/>
            <sz val="9"/>
            <color indexed="81"/>
            <rFont val="Tahoma"/>
            <family val="2"/>
          </rPr>
          <t>Sam Bradshaw:</t>
        </r>
        <r>
          <rPr>
            <sz val="9"/>
            <color indexed="81"/>
            <rFont val="Tahoma"/>
            <family val="2"/>
          </rPr>
          <t xml:space="preserve">
At least logged on</t>
        </r>
      </text>
    </comment>
    <comment ref="F25" authorId="0" shapeId="0" xr:uid="{219A31A0-0714-4730-958C-D4037D091270}">
      <text>
        <r>
          <rPr>
            <b/>
            <sz val="9"/>
            <color indexed="81"/>
            <rFont val="Tahoma"/>
            <family val="2"/>
          </rPr>
          <t>Sam Bradshaw:</t>
        </r>
        <r>
          <rPr>
            <sz val="9"/>
            <color indexed="81"/>
            <rFont val="Tahoma"/>
            <family val="2"/>
          </rPr>
          <t xml:space="preserve">
400 x 6.5 hours. 
Includes Prep Time</t>
        </r>
      </text>
    </comment>
    <comment ref="H29" authorId="0" shapeId="0" xr:uid="{49DE3C78-7BB6-421D-9526-61E058DC455E}">
      <text>
        <r>
          <rPr>
            <b/>
            <sz val="9"/>
            <color indexed="81"/>
            <rFont val="Tahoma"/>
            <family val="2"/>
          </rPr>
          <t>Sam Bradshaw:</t>
        </r>
        <r>
          <rPr>
            <sz val="9"/>
            <color indexed="81"/>
            <rFont val="Tahoma"/>
            <family val="2"/>
          </rPr>
          <t xml:space="preserve">
Hadn't actually attended G2E</t>
        </r>
      </text>
    </comment>
    <comment ref="I32" authorId="0" shapeId="0" xr:uid="{7E00FEA4-79AC-46B2-A59C-C80EF305D7F0}">
      <text>
        <r>
          <rPr>
            <b/>
            <sz val="9"/>
            <color indexed="81"/>
            <rFont val="Tahoma"/>
            <family val="2"/>
          </rPr>
          <t>Sam Bradshaw:</t>
        </r>
        <r>
          <rPr>
            <sz val="9"/>
            <color indexed="81"/>
            <rFont val="Tahoma"/>
            <family val="2"/>
          </rPr>
          <t xml:space="preserve">
Capped</t>
        </r>
      </text>
    </comment>
    <comment ref="H34" authorId="0" shapeId="0" xr:uid="{7C98C418-0EDB-4773-91A5-E9C8E393233E}">
      <text>
        <r>
          <rPr>
            <b/>
            <sz val="9"/>
            <color indexed="81"/>
            <rFont val="Tahoma"/>
            <family val="2"/>
          </rPr>
          <t>Sam Bradshaw:</t>
        </r>
        <r>
          <rPr>
            <sz val="9"/>
            <color indexed="81"/>
            <rFont val="Tahoma"/>
            <family val="2"/>
          </rPr>
          <t xml:space="preserve">
Unique market</t>
        </r>
      </text>
    </comment>
    <comment ref="H35" authorId="0" shapeId="0" xr:uid="{CD9E1ECC-4D72-4EF5-9120-51036F40965E}">
      <text>
        <r>
          <rPr>
            <b/>
            <sz val="9"/>
            <color indexed="81"/>
            <rFont val="Tahoma"/>
            <family val="2"/>
          </rPr>
          <t>Sam Bradshaw:</t>
        </r>
        <r>
          <rPr>
            <sz val="9"/>
            <color indexed="81"/>
            <rFont val="Tahoma"/>
            <family val="2"/>
          </rPr>
          <t xml:space="preserve">
Washington a unique market</t>
        </r>
      </text>
    </comment>
    <comment ref="I49" authorId="0" shapeId="0" xr:uid="{6332EBE0-E225-460D-83A3-B4D2CCF39DE0}">
      <text>
        <r>
          <rPr>
            <b/>
            <sz val="9"/>
            <color indexed="81"/>
            <rFont val="Tahoma"/>
            <family val="2"/>
          </rPr>
          <t>Sam Bradshaw:</t>
        </r>
        <r>
          <rPr>
            <sz val="9"/>
            <color indexed="81"/>
            <rFont val="Tahoma"/>
            <family val="2"/>
          </rPr>
          <t xml:space="preserve">
Restricted</t>
        </r>
      </text>
    </comment>
    <comment ref="H52" authorId="0" shapeId="0" xr:uid="{4B649B30-6835-4B77-89A7-FC0304831320}">
      <text>
        <r>
          <rPr>
            <b/>
            <sz val="9"/>
            <color indexed="81"/>
            <rFont val="Tahoma"/>
            <family val="2"/>
          </rPr>
          <t>Sam Bradshaw:</t>
        </r>
        <r>
          <rPr>
            <sz val="9"/>
            <color indexed="81"/>
            <rFont val="Tahoma"/>
            <family val="2"/>
          </rPr>
          <t xml:space="preserve">
Washington a unique market</t>
        </r>
      </text>
    </comment>
    <comment ref="I54" authorId="0" shapeId="0" xr:uid="{E8F8AF4E-122E-4744-A63B-8435F316C102}">
      <text>
        <r>
          <rPr>
            <b/>
            <sz val="9"/>
            <color indexed="81"/>
            <rFont val="Tahoma"/>
            <family val="2"/>
          </rPr>
          <t>Sam Bradshaw:</t>
        </r>
        <r>
          <rPr>
            <sz val="9"/>
            <color indexed="81"/>
            <rFont val="Tahoma"/>
            <family val="2"/>
          </rPr>
          <t xml:space="preserve">
Restricted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<sst xmlns="http://schemas.openxmlformats.org/spreadsheetml/2006/main" count="785" uniqueCount="425">
  <si>
    <t>Sector</t>
  </si>
  <si>
    <t>Read / Tickers</t>
  </si>
  <si>
    <t>Event Type</t>
  </si>
  <si>
    <t>Event/ Trip Name</t>
  </si>
  <si>
    <t>Dates / Time (AEDT)</t>
  </si>
  <si>
    <t>Location</t>
  </si>
  <si>
    <t>PAID</t>
  </si>
  <si>
    <t>Details</t>
  </si>
  <si>
    <t>E&amp;P Host</t>
  </si>
  <si>
    <t>RSVPs</t>
  </si>
  <si>
    <t>Declines / Cancelled / No shows</t>
  </si>
  <si>
    <t>Gaming</t>
  </si>
  <si>
    <t>ALL, LNW read</t>
  </si>
  <si>
    <t>Offshore Company Briefing</t>
  </si>
  <si>
    <r>
      <t xml:space="preserve">International Gaming Technology (IGT)
</t>
    </r>
    <r>
      <rPr>
        <sz val="9"/>
        <rFont val="Calibri"/>
        <family val="2"/>
        <scheme val="minor"/>
      </rPr>
      <t>James Hurley - Snr VP IR</t>
    </r>
  </si>
  <si>
    <t>Friday 17 January 2025
8.00am - 9.00am</t>
  </si>
  <si>
    <t>Virtual</t>
  </si>
  <si>
    <t>No</t>
  </si>
  <si>
    <t>Gaming Machines, Lotteries, Sports Betting and Slots / Gambling Technology</t>
  </si>
  <si>
    <t>Sam Bradshaw</t>
  </si>
  <si>
    <t xml:space="preserve">Andrew McLennan - Solaris Investment Management Limited
Aaron Yeoh - OC Funds Management
Daniel Gafforini - Endeavor Asset Management
Jack Briggs - Ellerston Capital Limited
Matt Thomson - Firetrail Investments Pty Ltd
Ron Sargeant - Bennelong Australian Equity Partners
Yipeng Liu - Allan Gray Australia
</t>
  </si>
  <si>
    <t xml:space="preserve">Jack Briggs - Ellerston Capital Limited
Max Molinari - Tribeca Investment Partners
Mark Devcich - Discovery Funds Management
Nira Sonah - UniSuper Management Pty Ltd
</t>
  </si>
  <si>
    <t>Industry Briefing</t>
  </si>
  <si>
    <t>The Chickasaw Nation</t>
  </si>
  <si>
    <t>Wednesday 29 January 2025
10:30am - 11:30am</t>
  </si>
  <si>
    <t>Hear an update on the gaming floor market in North America. Potential revenue exposures.</t>
  </si>
  <si>
    <t>Anthony Tan - WaveStone Capital Pty Ltd
Andrew McLennan - Solaris Investment Management Limited
Amar Naik - L1 Capital
Brendan Warton - Platypus Asset Management 
Bradley Clibborn - Bennelong Australian Equity Partners
Edward Pham - Cbus Superannuation Fund
Prasad Patkar - Platypus Asset Management 
Max Molinari - Tribeca Investment Partners Pty Ltd
Marc Hester - Greencape Capital Pty Ltd
Mark East - Bennelong Australian Equity Partners
Mark Devcich - Discovery Funds Management
Nira Sonah - UniSuper Management Pty Ltd
Roland Houghton - Milford Asset Management 
Steven Green - REST (Retail Employees Superannuation Trust)
Thi Doan - EQT Holdings Limited
Yipeng Liu - Allan Gray Australia</t>
  </si>
  <si>
    <t xml:space="preserve">Anthony Moran - Pendal Group Limited
Matt Thomson - Firetrail Investments Pty Ltd
Stephen Butel - Platypus Asset Management </t>
  </si>
  <si>
    <t>JIN</t>
  </si>
  <si>
    <t>Post Results</t>
  </si>
  <si>
    <r>
      <t xml:space="preserve">Jumbo Interactive
</t>
    </r>
    <r>
      <rPr>
        <sz val="9"/>
        <color theme="1"/>
        <rFont val="Calibri"/>
        <family val="2"/>
        <scheme val="minor"/>
      </rPr>
      <t xml:space="preserve">Mike Veverka – CEO and Founder
Jatin Khosla – CFO
Brad Board - Chief Commercial Officer
Jonathan Chuong – Head of Corporate Finance
</t>
    </r>
  </si>
  <si>
    <t xml:space="preserve">Tuesday 25 February 2025
2.00pm - 3.00pm </t>
  </si>
  <si>
    <t xml:space="preserve">Virtual </t>
  </si>
  <si>
    <t>Yes</t>
  </si>
  <si>
    <t>Post results virtual meeting with JIN management</t>
  </si>
  <si>
    <t xml:space="preserve">Andrey McLennan - Solaris Investment Management Limited
Bradley Ablett - Alceon Group
Daniel Chersky - Alceon Group
Jack Briggs - Ellerston Capital Limited
Jeremy Light - Tudollar
Josh Phillips - Tyndall Management Australia
Mason Willoughby-Thomas- ICE Investors Pty Ltd
Man Ho Lam - Opal Capital Management
Oscar King - Clime Investment Management Limited
Swapan Pandya - Quest Asset Partners
</t>
  </si>
  <si>
    <t>Mark Devcich - Discovery Funds Management
Michael Teran - Blackwattle Investment Partners
Peter Wilson- Blackwattle Investment Partners
Michael Kordick - SG Hiscock &amp; Company Limited
Nira Sonah - UniSuper Management Pty Ltd
Tim Riordan - Blackwattle Investment Partners
Vidhur Rangaswamy - Tanarra Capital</t>
  </si>
  <si>
    <t>LNW, SKC and ALL reads
NYSE: LVS</t>
  </si>
  <si>
    <r>
      <t xml:space="preserve">Las Vegas Sands Corp
</t>
    </r>
    <r>
      <rPr>
        <sz val="9"/>
        <rFont val="Calibri"/>
        <family val="2"/>
        <scheme val="minor"/>
      </rPr>
      <t>Daniel Briggs - SVP, Investor Relations</t>
    </r>
  </si>
  <si>
    <t>Tuesday 11 March 2025
8.00am - 9.00am</t>
  </si>
  <si>
    <t>World leader in developing and operating international, world-class integrated resorts.</t>
  </si>
  <si>
    <t xml:space="preserve">Oscar King - Clime Investment Management 
Stella McMullen - Ausbil Investment Management </t>
  </si>
  <si>
    <t xml:space="preserve">Bradley Clibborn - Bennelong Australian Equity Partners
Scott Olsson - Firetrail Investments </t>
  </si>
  <si>
    <t>LNW, SKC and ALL reads
WYNN</t>
  </si>
  <si>
    <r>
      <t xml:space="preserve">Wynn Resorts
</t>
    </r>
    <r>
      <rPr>
        <sz val="9"/>
        <rFont val="Calibri"/>
        <family val="2"/>
        <scheme val="minor"/>
      </rPr>
      <t>Price Karr - Senior Vice President, Corporate Finance &amp; Treasurer
Lauren Seiler - Vice President, Investor Relations</t>
    </r>
  </si>
  <si>
    <t>Tuesday 11 March 2025
9.00am - 10.00am</t>
  </si>
  <si>
    <t>Wynn Resorts owns and operates Wynn Las Vegas, Encore Boston Harbor, Wynn Macau and Wynn Palace, Cotai.</t>
  </si>
  <si>
    <t>Edward Pham - CBUS Super
Max Molinari - Tribeca Investment Partners 
Vincent Li - Tyndall Asset Management</t>
  </si>
  <si>
    <t>LNW read</t>
  </si>
  <si>
    <r>
      <t xml:space="preserve">Grover Acquisition &amp; E-Pull Tabs Discussion
</t>
    </r>
    <r>
      <rPr>
        <sz val="9"/>
        <rFont val="Calibri"/>
        <family val="2"/>
        <scheme val="minor"/>
      </rPr>
      <t xml:space="preserve">Tony M. - Regional Organizer at The Global Game Jam, former VP, Pilot Games </t>
    </r>
  </si>
  <si>
    <t>Tuesday 11 March 2025
11.00am - 12.00pm</t>
  </si>
  <si>
    <t>Tony was a VP at Pilot Games which was a direct competitor to Grover in North Dakota. He has personally studied their games and has visited the factory that produces Grover’s cabinets.</t>
  </si>
  <si>
    <t>Anthony Tan - WaveStone Capital
Bradley Clibborn - Bennelong Australian Equity Partners
Bruce Du - Investors Mutal Limited
Edward Pham - CBUS Super
Max Molinari - Tribeca Investment Partners Pty Ltd
Oscar King - Clime Investment Management 
Swapan Pandya - Quest Asset Partners Pty Ltd
Stella McMullen - Ausbil Investment Management t</t>
  </si>
  <si>
    <t>Anthony Moran - Pendal Group Limited
Chris Haynes - EQT Holdings Limited
Scott Olsson - Firetrail Investments 
Vincent Li - Tyndall Asset Managemen</t>
  </si>
  <si>
    <t>ALL/LNW read</t>
  </si>
  <si>
    <t>Tribal Gaming &amp; Adjacent Markets Discussion</t>
  </si>
  <si>
    <t>Tuesday 18 March 2025
11.00am - 12.00pm</t>
  </si>
  <si>
    <t xml:space="preserve">Steven Slotwinski has had previous experience supplying tribal and adjacent markets with gaming content. He is currently helping tribal gaming operators grow their online iGaming presence. </t>
  </si>
  <si>
    <t>Bradley Clibborn - Bennelong Australian Equity Partners
Edward Pham - CBUS Super
Vincent Li - Tyndall Asset Management</t>
  </si>
  <si>
    <t xml:space="preserve">Alex Gallard - First Sentier Investors
Anthony Moran - Pendal Group Limited
Nira Sonah - UniSuper Management 
Scott Olsson - Firetrail Investments 
Swapan Pandya - Quest Asset Partners Pty Ltd
Stella McMullen - Ausbil Investment Management 
</t>
  </si>
  <si>
    <t>ALL/LNW read
JPY: KNAMF</t>
  </si>
  <si>
    <r>
      <t xml:space="preserve">Konami Group Corporation
</t>
    </r>
    <r>
      <rPr>
        <sz val="9"/>
        <color theme="1"/>
        <rFont val="Calibri"/>
        <family val="2"/>
        <scheme val="minor"/>
      </rPr>
      <t>Shingo Kagawa, General Manager, Investor Relations Department</t>
    </r>
  </si>
  <si>
    <t>Wednesday 19 March 2025
11.00am – 12.00pm</t>
  </si>
  <si>
    <t>Konami is a Japanese multinational entertainment company, game developer and slot manufacturer.</t>
  </si>
  <si>
    <t>Scott Olsson - Firetrail Investments 
Swapan Pandya - Quest Asset Partners Pty Ltd
Vincent Li - Tyndall Asset Management</t>
  </si>
  <si>
    <t xml:space="preserve">Bradley Clibborn - Bennelong Australian Equity Partners
Max Molinari - Tribeca Investment Partners Pty Ltd
Nira Sonah - UniSuper Management 
Sam Taylor - Bennelong Long Short
</t>
  </si>
  <si>
    <t>TAH read</t>
  </si>
  <si>
    <r>
      <t xml:space="preserve">Racing Queensland
</t>
    </r>
    <r>
      <rPr>
        <sz val="9"/>
        <color theme="1"/>
        <rFont val="Calibri"/>
        <family val="2"/>
        <scheme val="minor"/>
      </rPr>
      <t>Jason Scott - CEO</t>
    </r>
  </si>
  <si>
    <t>Thursday 20 March 2025
11.00am - 12.00pm</t>
  </si>
  <si>
    <t>Governing principal racing authority, has responsibilities to develop, encourage, promote and manage the conduct of Thoroughbred horse racing in the State of Queensland</t>
  </si>
  <si>
    <t xml:space="preserve">Anthony Moran - Pendal Group Limited
Jack McNally - Airlie Funds Management
Max Molinari - Tribeca Investment Partners Pty Ltd
Nira Sonah - UniSuper Management 
Scott Olsson - Firetrail Investments 
Stella McMullen - Ausbil Investment Management 
Tim Mitchell - Ophir Asset Management
Vincent Li - Tyndall Asset Management
Yipeng Liu - Allan Gray Australia
</t>
  </si>
  <si>
    <t>Alex Gallard - First Sentier</t>
  </si>
  <si>
    <r>
      <t xml:space="preserve">Slot Game Design Discussion
</t>
    </r>
    <r>
      <rPr>
        <sz val="9"/>
        <color theme="1"/>
        <rFont val="Calibri"/>
        <family val="2"/>
        <scheme val="minor"/>
      </rPr>
      <t>Arram Bekarian</t>
    </r>
  </si>
  <si>
    <t>Friday 21 March 2025
11.00am - 12.00pm</t>
  </si>
  <si>
    <t>Arram Bekarian was most recently Head of Producers for IGT’s APAC land-based studios until Dec-2024. He also spent 12-years working for SciGames (LNW’s) NextGen Gaming Studio in the online real money slots space.</t>
  </si>
  <si>
    <t xml:space="preserve">Jacob Barnes - Alphinity Investment Management
Michael Kordick -  SG Hiscock &amp; Company Limited
Vincent Li - Tyndall Asset Management
</t>
  </si>
  <si>
    <t xml:space="preserve">Alex Gallard - First Sentier Investors
Max Molinari - Tribeca Investment Partners Pty Ltd
Nira Sonah - UniSuper Management 
Scott Olsson - Firetrail Investments </t>
  </si>
  <si>
    <t>Slot director at a USA-based Casino</t>
  </si>
  <si>
    <t>Wednesday 26 March 2025
10.00am - 11.00am</t>
  </si>
  <si>
    <t>North America gaming and slots market update</t>
  </si>
  <si>
    <t xml:space="preserve">Man Ho Lam - Opal Capital Management
Mark East - Bennelong Australian Equity Partners
Nira Sonah - UniSuper Management 
Omkar Joshi - Opal Capital Management
Thi Doan - EQT Holdings Limited
</t>
  </si>
  <si>
    <t xml:space="preserve">Jen Lee - Australian Super
Max Molinari - Tribeca Investment Partners Pty Ltd
Scott Olsson - Firetrail Investments 
Swapan Pandya - Quest Asset Partners Pty Ltd
</t>
  </si>
  <si>
    <r>
      <t xml:space="preserve">Social Casino &amp; iGaming Game Design Discussion
</t>
    </r>
    <r>
      <rPr>
        <sz val="9"/>
        <color theme="1"/>
        <rFont val="Calibri"/>
        <family val="2"/>
        <scheme val="minor"/>
      </rPr>
      <t>Ernie Lafky</t>
    </r>
  </si>
  <si>
    <t>Tuesday 1 April 2025
10.00am - 11.00am</t>
  </si>
  <si>
    <t>Ernie Lafky was most recently Senior Director of PlayDigital Game Studios (IGT) until Jan-2025. He is an experience game designer in Social Casino &amp; iGaming. We expect this call will provide insight into why Aristocrat has been slow to migrate their best land-based content into iGaming &amp; why IGT has been able to establish a market leading position. We will also explore whether the top land-based content will also be the top content online &amp; the potential impact from the IGT-Everi Merger.</t>
  </si>
  <si>
    <t xml:space="preserve">Max Molinari - Tribeca Investment Partners Pty Ltd
Omkar Joshi - Opal Capital Management
Vincent Li - Tyndall Asset Management </t>
  </si>
  <si>
    <t>Nira Sonah - UniSuper Management 
Scott Olsson - Firetrail Investments</t>
  </si>
  <si>
    <r>
      <t xml:space="preserve">iLottery Discussion with ex NeoGames MD
</t>
    </r>
    <r>
      <rPr>
        <sz val="9"/>
        <color theme="1"/>
        <rFont val="Calibri"/>
        <family val="2"/>
        <scheme val="minor"/>
      </rPr>
      <t>Hili Shakked</t>
    </r>
  </si>
  <si>
    <t>Monday 7 April 2025
4.00pm - 5.00pm</t>
  </si>
  <si>
    <t>Hili Shakked was the Managing Director of the world’s leading iLottery Studio at NeoGames and spent time at Aristocrat post their acquisition.  We expect this call will provide insight into whether NeoGames/Aristocrat can maintain their market leading position in iLottery and the potential scale of the market. We will also explore the difference between iLottery &amp; iGaming and the competitive landscape in the US.</t>
  </si>
  <si>
    <t>Brendan Warton - Platypus
Man Ho Lam - Opal Capital Management
Max Molinari - Tribeca Investment Partners
Michael Kordick - SG Hiscock &amp; Company Limited
Marc Hester - Greencape Capital
Omkar Joshi - Opal Capital Management
Roman Aliev - ICE Investors</t>
  </si>
  <si>
    <t>Anthony Moran- Pendal Group Limited
Prasad Patkar - Platypus
Oscar King - Clime</t>
  </si>
  <si>
    <t>ALL/LNW read
XSTO: GiG</t>
  </si>
  <si>
    <r>
      <t xml:space="preserve">Gaming Innovation Group
</t>
    </r>
    <r>
      <rPr>
        <sz val="9"/>
        <color theme="1"/>
        <rFont val="Calibri"/>
        <family val="2"/>
        <scheme val="minor"/>
      </rPr>
      <t>Richard Carter - CEO
Phil Richards - CFO</t>
    </r>
  </si>
  <si>
    <t>Wednesday 9 April 2025
5.00pm - 5.45pm</t>
  </si>
  <si>
    <t>iGaming company offering iGaming platform, sportsbook and AI services. We expect this call will provide insight into the current performance and potential of both Aristocrat &amp; LNW in iGaming. We will also explore the platform &amp; media services in iGaming and the various revenue sharing arrangements for each.</t>
  </si>
  <si>
    <t>Anthony Tan - WaveStone Capital
Daniel Gafforini - Endeavor Asset Management 
Yipeng Liu - Allan Gray Australia</t>
  </si>
  <si>
    <t>Anthony Kavanagh - Chester Asset Management 
Max Molinari - Tribeca Investment Partners Pty Ltd
Michael Kordick - SG Hiscock &amp; Company Limited
Nira Sonah - UniSuper Management 
Scott Olsson - Firetrail Investments 
Swapan Pandya - Quest Asset Partners Pty Ltd
Yipeng Liu - Allan Gray Australia</t>
  </si>
  <si>
    <r>
      <t xml:space="preserve">iGaming Aggregation &amp; Platform Discussion with ex IGT Director
</t>
    </r>
    <r>
      <rPr>
        <sz val="9"/>
        <rFont val="Calibri"/>
        <family val="2"/>
        <scheme val="minor"/>
      </rPr>
      <t>Marc Burroughes</t>
    </r>
  </si>
  <si>
    <t>Monday 28 April 2025
5.30pm - 6.30pm</t>
  </si>
  <si>
    <t>Marc Burroughes was most recently the Senior Commercial Director of Aggregation at IGT. He had over a decade experience in the now mature European market and recently helped IGT scale up to become the #1 player in North America based on GGR Share. We expect this call will provide insight into why Aristocrat has been slow to migrate their best land-based content into iGaming &amp; why IGT has been able to establish a market leading position. We will also explore how aggregation sits in the value chain, the differences between the European &amp; US markets, the various revenue sharing arrangements in iGaming &amp; the potential impact from the IGT-Everi Merger.</t>
  </si>
  <si>
    <t xml:space="preserve">Anthony Tan - WaveStone Capital
Bradley Clibborn - Bennelong Australian Equity Partners
Edward Pham - CBUS Super
Jen Lee - Australian Super
Omkar Joshi - Opal Capital Management
Sam Taylor - Bennelong Long Short Equity Management
</t>
  </si>
  <si>
    <t>Vishal Bhammer - Balyasny Asset Management (BAM)
Nga Lucas - OC Funds Management
Steven Lambeth - Clime Investment Management 
Vincent Li - Tyndall</t>
  </si>
  <si>
    <t>ALL/LNW read
WSE - HUG</t>
  </si>
  <si>
    <r>
      <t xml:space="preserve">Huuuge Games
</t>
    </r>
    <r>
      <rPr>
        <sz val="9"/>
        <color theme="1"/>
        <rFont val="Calibri"/>
        <family val="2"/>
        <scheme val="minor"/>
      </rPr>
      <t>Magdalena Kupiec - Investor Relations
Grzegorz Kania - CFO</t>
    </r>
  </si>
  <si>
    <t>Monday 5 May 2025
4.00pm - 4.45pm</t>
  </si>
  <si>
    <t>Huuuge are a global game developer primarily focused on casino slot games. We expect this call will provide insight into the industry trends for Aristocrat &amp; LNW’s social casino business such revenue trends, monetisation, DTC platforms, beta testing &amp; the impact of Sweepstakes.</t>
  </si>
  <si>
    <r>
      <t xml:space="preserve">Slot Game Design Discussion
</t>
    </r>
    <r>
      <rPr>
        <sz val="9"/>
        <color theme="1"/>
        <rFont val="Calibri"/>
        <family val="2"/>
        <scheme val="minor"/>
      </rPr>
      <t>Jay Gordon</t>
    </r>
  </si>
  <si>
    <t>Friday 9 May 2025
11.00am - 12noon</t>
  </si>
  <si>
    <t>Jay Gordon was previously Director of Production at Aristocrat’s Oz Games Studio. We expect this call will provide insight into why the potential ramifications for both Aristocrat &amp; LNW on the Dragon Train Lawsuit. We will also explore the game design process and arrangement of game design studios, including the poaching of key personal within the industry.</t>
  </si>
  <si>
    <t xml:space="preserve">Bradley Clibborn - Bennelong Australian Equity Partners
Darshana Nair Syama - Bell Asset Mgmt
Jen Lee - Australian Super
Man Ho Lam - Opal Capital Management
Max Molinari - Tribeca Investment Partners Pty Ltd
Nira Sonah - UniSuper Management 
Nga Lucas - OC Funds Management
Swapan Pandya - Quest Asset Partners Pty Ltd
Sam Taylor - Bennelong Long Short Equity Management
Scott Olsson - Firetrail Investments 
Roman Aliev - ICE Investors
Omkar Joshi - Opal Capital Management
</t>
  </si>
  <si>
    <t>COST</t>
  </si>
  <si>
    <t>Bradley Clibborn - Bennelong Australian Equity Partners
Darshana Nair Syama - Bell Asset Mgmt
Thi Doan - EQT
Vincent Li - Tyndall Asset Management</t>
  </si>
  <si>
    <t>Daniel Gafforini - Endeavor Asset Management 
Max Molinari - Tribeca Investment Partners Pty Ltd
Nira Sonah - UniSuper Management 
Nga Lucas - OC Funds Management
Scott Olsson - Firetrail Investments 
Sam Taylor - Bennelong Long Short Equity Management
Swapan Pandya - Quest Asset Partners Pty Ltd</t>
  </si>
  <si>
    <t>N/A</t>
  </si>
  <si>
    <t>Guidepoint FOC</t>
  </si>
  <si>
    <t>AUD500</t>
  </si>
  <si>
    <t>GLG 1 Credit</t>
  </si>
  <si>
    <t>USD400</t>
  </si>
  <si>
    <t>USD300</t>
  </si>
  <si>
    <t xml:space="preserve">£400 </t>
  </si>
  <si>
    <t>AUD400</t>
  </si>
  <si>
    <t>Slot Game Design</t>
  </si>
  <si>
    <t>Listed</t>
  </si>
  <si>
    <t>Huuuge Games</t>
  </si>
  <si>
    <t>GiG</t>
  </si>
  <si>
    <t>300 USD</t>
  </si>
  <si>
    <t>iGaming Design</t>
  </si>
  <si>
    <t>GLG</t>
  </si>
  <si>
    <t>500 AUD</t>
  </si>
  <si>
    <t>Industry Body</t>
  </si>
  <si>
    <t>Racing Qld</t>
  </si>
  <si>
    <t>Konami</t>
  </si>
  <si>
    <t>Wynn</t>
  </si>
  <si>
    <t>Las Vegas Sands</t>
  </si>
  <si>
    <t>Coverage</t>
  </si>
  <si>
    <t>Jumbo</t>
  </si>
  <si>
    <t>Firm Contact</t>
  </si>
  <si>
    <t>IGT</t>
  </si>
  <si>
    <t>AUD est</t>
  </si>
  <si>
    <t>Source</t>
  </si>
  <si>
    <t>Count:</t>
  </si>
  <si>
    <t>Free</t>
  </si>
  <si>
    <t>Paid</t>
  </si>
  <si>
    <t>Overall</t>
  </si>
  <si>
    <t>Paid Linkedin</t>
  </si>
  <si>
    <t>Total</t>
  </si>
  <si>
    <t>Guidepoint</t>
  </si>
  <si>
    <t>Total Cost</t>
  </si>
  <si>
    <t>To Date</t>
  </si>
  <si>
    <t>Cost</t>
  </si>
  <si>
    <t>Date</t>
  </si>
  <si>
    <t>Stats</t>
  </si>
  <si>
    <t>Speaker</t>
  </si>
  <si>
    <t>Paid Network</t>
  </si>
  <si>
    <t>Value</t>
  </si>
  <si>
    <t>Attendees</t>
  </si>
  <si>
    <t>NA</t>
  </si>
  <si>
    <t>Racing Vic</t>
  </si>
  <si>
    <t>TLC</t>
  </si>
  <si>
    <t>Status</t>
  </si>
  <si>
    <t>Hili Shakked was the Managing Director of the world’s leading iLottery Studio at NeoGames and spent time at Aristocrat post their acquisition. We expect this call will provide insight into whether NeoGames/Aristocrat can maintain their market leading position in iLottery and the potential scale of the market. We will also explore the difference between iLottery &amp; iGaming and the competitive landscape in the US.</t>
  </si>
  <si>
    <t>Justin Keane was most recently the Director of Table Games, Utilities &amp; ETG’s at Light and Wonder until Feb-2025. Prior to this he held various casino management position in Macao, Singapore and Australia. We expect this call will provide insight into what LNW’s strategy is for Table Products and the competitive landscape.</t>
  </si>
  <si>
    <r>
      <t xml:space="preserve">iLottery Discussion with ex NeoGames MD
</t>
    </r>
    <r>
      <rPr>
        <sz val="11"/>
        <color rgb="FF000000"/>
        <rFont val="Calibri"/>
        <family val="2"/>
        <scheme val="minor"/>
      </rPr>
      <t>Hili Shakked</t>
    </r>
  </si>
  <si>
    <r>
      <t xml:space="preserve">Gaming Innovation Group
</t>
    </r>
    <r>
      <rPr>
        <sz val="11"/>
        <color rgb="FF000000"/>
        <rFont val="Calibri"/>
        <family val="2"/>
        <scheme val="minor"/>
      </rPr>
      <t>Richard Carter - CEO</t>
    </r>
    <r>
      <rPr>
        <b/>
        <sz val="11"/>
        <color rgb="FF000000"/>
        <rFont val="Calibri"/>
        <family val="2"/>
        <scheme val="minor"/>
      </rPr>
      <t xml:space="preserve">
</t>
    </r>
    <r>
      <rPr>
        <sz val="11"/>
        <color rgb="FF000000"/>
        <rFont val="Calibri"/>
        <family val="2"/>
        <scheme val="minor"/>
      </rPr>
      <t>Phil Richards - CFO</t>
    </r>
  </si>
  <si>
    <r>
      <t xml:space="preserve">iGaming Aggregation &amp; Platform Discussion with ex IGT Director
</t>
    </r>
    <r>
      <rPr>
        <sz val="11"/>
        <color rgb="FF000000"/>
        <rFont val="Calibri"/>
        <family val="2"/>
        <scheme val="minor"/>
      </rPr>
      <t>Marc Burroughes</t>
    </r>
  </si>
  <si>
    <t>Monday 28 April 2025
2.30pm – 3.15pm</t>
  </si>
  <si>
    <r>
      <t xml:space="preserve">Casino Table Game Products Discussion with ex LNW Director
</t>
    </r>
    <r>
      <rPr>
        <sz val="11"/>
        <color theme="1"/>
        <rFont val="Calibri"/>
        <family val="2"/>
        <scheme val="minor"/>
      </rPr>
      <t>Justin Keane</t>
    </r>
  </si>
  <si>
    <r>
      <t>Huuuge Games</t>
    </r>
    <r>
      <rPr>
        <sz val="11"/>
        <color rgb="FF000000"/>
        <rFont val="Calibri"/>
        <family val="2"/>
        <scheme val="minor"/>
      </rPr>
      <t xml:space="preserve">
Magdalena Kupiec - Investor Relations</t>
    </r>
  </si>
  <si>
    <t>Monday 5 May 2025
4.00pm – 4.45pm</t>
  </si>
  <si>
    <t>Friday 9 May 2025
11.00am – 12.00pm</t>
  </si>
  <si>
    <r>
      <t xml:space="preserve">Slot Game Design Discussion
</t>
    </r>
    <r>
      <rPr>
        <sz val="11"/>
        <color rgb="FF000000"/>
        <rFont val="Calibri"/>
        <family val="2"/>
        <scheme val="minor"/>
      </rPr>
      <t>Jay Gordon</t>
    </r>
  </si>
  <si>
    <t>Slot Director at a USA based Casino</t>
  </si>
  <si>
    <r>
      <t xml:space="preserve">Wagering Discussion with ex Tabcorp Director
</t>
    </r>
    <r>
      <rPr>
        <sz val="11"/>
        <color theme="1"/>
        <rFont val="Calibri"/>
        <family val="2"/>
        <scheme val="minor"/>
      </rPr>
      <t>Andrew Holmes</t>
    </r>
  </si>
  <si>
    <t>Lon O'Donnell</t>
  </si>
  <si>
    <t>Don Joshua</t>
  </si>
  <si>
    <r>
      <t xml:space="preserve">Slot Game Design Discussion with ex LNW Director
</t>
    </r>
    <r>
      <rPr>
        <sz val="11"/>
        <color rgb="FF000000"/>
        <rFont val="Calibri"/>
        <family val="2"/>
        <scheme val="minor"/>
      </rPr>
      <t>John Vallego</t>
    </r>
  </si>
  <si>
    <r>
      <t xml:space="preserve">Expert Slot Witness
</t>
    </r>
    <r>
      <rPr>
        <sz val="11"/>
        <color rgb="FF000000"/>
        <rFont val="Calibri"/>
        <family val="2"/>
        <scheme val="minor"/>
      </rPr>
      <t>Kevin Harrigan</t>
    </r>
  </si>
  <si>
    <r>
      <t xml:space="preserve">Slot Floor Optimization &amp; AI Discussion
</t>
    </r>
    <r>
      <rPr>
        <sz val="11"/>
        <color rgb="FF000000"/>
        <rFont val="Calibri"/>
        <family val="2"/>
        <scheme val="minor"/>
      </rPr>
      <t>Jason Fiege</t>
    </r>
  </si>
  <si>
    <r>
      <rPr>
        <b/>
        <sz val="11"/>
        <color theme="1"/>
        <rFont val="Calibri"/>
        <family val="2"/>
        <scheme val="minor"/>
      </rPr>
      <t>Association of Gaming Equipment Manufacturers (AGEM)</t>
    </r>
    <r>
      <rPr>
        <sz val="11"/>
        <color theme="1"/>
        <rFont val="Calibri"/>
        <family val="2"/>
        <scheme val="minor"/>
      </rPr>
      <t xml:space="preserve">
Daron Dorsey - President &amp; CEO</t>
    </r>
  </si>
  <si>
    <t>John Vallejo was previously Vice President of Development at Light &amp; Wonder. John cannot directly comment on the current Dragon Train litigation but has agreed to a list of questions that includes potential read-throughs. John has a particular interest in the applications of AI in game development.</t>
  </si>
  <si>
    <t>Dr. Kevin Harrigan is an expert in slot machine maths. He has been a technical expert witness in multiple legal disputes. We expect this call will provide insight into why the potential ramifications for both Aristocrat &amp; LNW on the Dragon Train Lawsuit. Dr Harrigan has read the key case files and can explain the mathematical components at issue.</t>
  </si>
  <si>
    <t>Andrew was recently left Tabcorp in Dec-24 after leading the Strategy for Racing &amp; Sports. He has expert knowledge in topics such as product innovations, the retail wagering overhaul &amp; competitive dynamics, but can also touch on other Tabcorp initiates.</t>
  </si>
  <si>
    <t>Jason Fiege is CEO of nQube, an AI based company that specialises in slot floor optimization in the casino industry. We expect this call will provide insight into trends that impact Aristocrat &amp; LNW such outright sales vs leasing and the right concentration of key franchises such as Dragon Link.</t>
  </si>
  <si>
    <t>Daron is the President &amp; CEO of AGEM. Daron's role is to further the interests of gaming equipment suppliers throughout the world through political action, regulatory influence &amp; trade show partnerships.</t>
  </si>
  <si>
    <t>Discussion with a US casino floor manager on the latest GGR levels, purchasing intentions, game performance &amp; vendor trends.</t>
  </si>
  <si>
    <t>Ex-Tabcorp</t>
  </si>
  <si>
    <t>Linkedin/Search</t>
  </si>
  <si>
    <t>500 USD</t>
  </si>
  <si>
    <t>Slot Expert Witness</t>
  </si>
  <si>
    <t>2,600 USD</t>
  </si>
  <si>
    <t>AGEM</t>
  </si>
  <si>
    <t xml:space="preserve">Brandon Laxton </t>
  </si>
  <si>
    <t xml:space="preserve">Fred David </t>
  </si>
  <si>
    <t>Ian Garner</t>
  </si>
  <si>
    <r>
      <t xml:space="preserve">US Based Casino Slot Director
</t>
    </r>
    <r>
      <rPr>
        <sz val="11"/>
        <color theme="1"/>
        <rFont val="Calibri"/>
        <family val="2"/>
        <scheme val="minor"/>
      </rPr>
      <t>Brandon Laxton – Chickasaw Nation</t>
    </r>
  </si>
  <si>
    <r>
      <t xml:space="preserve">US Based Casino Slot Director
</t>
    </r>
    <r>
      <rPr>
        <sz val="11"/>
        <color theme="1"/>
        <rFont val="Calibri"/>
        <family val="2"/>
        <scheme val="minor"/>
      </rPr>
      <t>Fred David – Mystic Lake Casino</t>
    </r>
  </si>
  <si>
    <t xml:space="preserve">Philippines Based Casino Slot Director
</t>
  </si>
  <si>
    <t>Skyelar Perkins</t>
  </si>
  <si>
    <r>
      <t xml:space="preserve">US Based Casino Slot Director
</t>
    </r>
    <r>
      <rPr>
        <sz val="11"/>
        <color theme="1"/>
        <rFont val="Calibri"/>
        <family val="2"/>
        <scheme val="minor"/>
      </rPr>
      <t>Skyelar Perkins – Mystic Lake Casino</t>
    </r>
  </si>
  <si>
    <t xml:space="preserve">Slot director at a USA-based Casino
</t>
  </si>
  <si>
    <t>Tuesday 1 July 2025
8.00am - 9.00am</t>
  </si>
  <si>
    <t xml:space="preserve">Amar Naik - L1 Capital
Andrew McLennan - Solaris
Bradley Clibborn - Bennelong Australian Equity Partners
Edward Pham - Cbus Superannuation Fund
Jacob Barnes - Alphinity Investment Management
Mark East - Bennelong Australian Equity Partners
Scott Olsson - Firetrail Investments Pty Ltd
</t>
  </si>
  <si>
    <t xml:space="preserve">Anthony Moran - Pendal Group
Nira Sonah - UniSuper Management Pty Ltd
Tama Willis - Devon Funds Management
Vincent Li - Tyndall Management Australia
</t>
  </si>
  <si>
    <r>
      <t xml:space="preserve">Wagering Discussion with ex Tabcorp Director
</t>
    </r>
    <r>
      <rPr>
        <sz val="9"/>
        <color theme="1"/>
        <rFont val="Calibri"/>
        <family val="2"/>
        <scheme val="minor"/>
      </rPr>
      <t>Andrew Holmes</t>
    </r>
  </si>
  <si>
    <t>Thursday 3 July 2025
10.00am - 11.00am</t>
  </si>
  <si>
    <t>Andrew has recently left Tabcorp in Dec-24 after leading the Strategy for Racing &amp; Sports. He has expert knowledge in topics such as product innovations, the retail wagering overhaul &amp; competitive dynamics, but can also touch on other Tabcorp initiates.</t>
  </si>
  <si>
    <t>Patrick Potts - Martin Currie
Scott Olsson - Firetrail Investments Pty Ltd
Yipeng Liu - Allan Gray Australia</t>
  </si>
  <si>
    <t xml:space="preserve">Nick Pashias - Antares Capital Partners
Simon Brown - Tribeca Investment Partners
Tama Willis - Devon Funds Management
Tom Richardson - Paradice Investment Management Pty Ltd
</t>
  </si>
  <si>
    <r>
      <t xml:space="preserve">Expert Slot Witness
</t>
    </r>
    <r>
      <rPr>
        <sz val="9"/>
        <color theme="1"/>
        <rFont val="Calibri"/>
        <family val="2"/>
        <scheme val="minor"/>
      </rPr>
      <t>Kevin Harrigan</t>
    </r>
  </si>
  <si>
    <t>Friday 4 July 2025
8.00am - 9.00am</t>
  </si>
  <si>
    <t xml:space="preserve">Anthony Tan - WaveStone Capital Pty Ltd
Amar Naik - L1 Capital
Anthony Moran - Pendal Group
Bradley Clibborn - Bennelong Australian Equity Partners
Edward Pham - CBUS Superannuation
Man Ho Lam - Opal Capital Management
Roman Aliev - ICE Investors Pty Ltd
Steven Green - REST (Retail Employees Superannuation Trust)
Thi Doan - EQT Holdings Limited
</t>
  </si>
  <si>
    <t>Mark East - Bennelong Australian Equity Partners
Jacob Barnes - Alphinity Investment Management
Simon Brown - Tribeca
Scott Olsson - Firetrail Investments Pty Ltd
Tama Willis - Devon Funds Management
Vincent Li - Tyndall</t>
  </si>
  <si>
    <r>
      <t xml:space="preserve">Association of Gaming Equipment Manufacturers (AGEM)
</t>
    </r>
    <r>
      <rPr>
        <sz val="9"/>
        <color theme="1"/>
        <rFont val="Calibri"/>
        <family val="2"/>
        <scheme val="minor"/>
      </rPr>
      <t>Daron Dorsey - President &amp; CEO</t>
    </r>
  </si>
  <si>
    <t>Wednesday 9 July 2025
8.30am - 9.30am</t>
  </si>
  <si>
    <t>Jacob Barnes - Alphinity Investment Management
Tim Morrison - Allan Gray Australia</t>
  </si>
  <si>
    <t xml:space="preserve">Brenton Saunders - Pendal Group Limited
Stella McMullen - Ausbil
Tama Willis - Devon Funds Management
</t>
  </si>
  <si>
    <t>Group Investor Trip</t>
  </si>
  <si>
    <t>Melbourne Gaming Day</t>
  </si>
  <si>
    <t xml:space="preserve">Wednesday 4 June 2025 </t>
  </si>
  <si>
    <t>Melbourne</t>
  </si>
  <si>
    <t>Confirmed meetings so far:
Former National Gaming Mgr at ALH
Racing Victoria
The Lottery Corporation</t>
  </si>
  <si>
    <t>Michael Kordick - SG Hiscock
Nira Sonah - Unisuper</t>
  </si>
  <si>
    <t>Attendance</t>
  </si>
  <si>
    <t>Aaron Yeoh</t>
  </si>
  <si>
    <t>Amar Naik</t>
  </si>
  <si>
    <t>Andrew McLennan</t>
  </si>
  <si>
    <t>Andrew Peros</t>
  </si>
  <si>
    <t>Andrey McLennan</t>
  </si>
  <si>
    <t>Anthony Kavanagh</t>
  </si>
  <si>
    <t>Anthony Moran</t>
  </si>
  <si>
    <t>Anthony Tan</t>
  </si>
  <si>
    <t>Bradley Ablett</t>
  </si>
  <si>
    <t>Bradley Clibborn</t>
  </si>
  <si>
    <t>Brendan Warton</t>
  </si>
  <si>
    <t>Bruce Du</t>
  </si>
  <si>
    <t>Chris Sott</t>
  </si>
  <si>
    <t>Damien Diamant</t>
  </si>
  <si>
    <t>Daniel Chersky</t>
  </si>
  <si>
    <t>Daniel Gafforini</t>
  </si>
  <si>
    <t>Darshana Nair Syama</t>
  </si>
  <si>
    <t>Edward Pham</t>
  </si>
  <si>
    <t>Jack Briggs</t>
  </si>
  <si>
    <t>Jack McNally</t>
  </si>
  <si>
    <t>Jacob Barnes</t>
  </si>
  <si>
    <t>Jen Lee</t>
  </si>
  <si>
    <t>Jeremy Light</t>
  </si>
  <si>
    <t>Josh Phillips</t>
  </si>
  <si>
    <t>Man Ho Lam</t>
  </si>
  <si>
    <t>Marc Hester</t>
  </si>
  <si>
    <t>Mark Devcich</t>
  </si>
  <si>
    <t>Mark East</t>
  </si>
  <si>
    <t>Mason Willoughby</t>
  </si>
  <si>
    <t>Matt Riordan</t>
  </si>
  <si>
    <t>Matt Thomson</t>
  </si>
  <si>
    <t>Max Molinari</t>
  </si>
  <si>
    <t>Michael Kordick</t>
  </si>
  <si>
    <t>Nira Sonah</t>
  </si>
  <si>
    <t>Omkar Joshi</t>
  </si>
  <si>
    <t>Oscar King</t>
  </si>
  <si>
    <t>Patrick Potts</t>
  </si>
  <si>
    <t>Prasad Patkar</t>
  </si>
  <si>
    <t>Roland Houghton</t>
  </si>
  <si>
    <t>Roman Aliev</t>
  </si>
  <si>
    <t>Ron Sargeant</t>
  </si>
  <si>
    <t>Sam Taylor</t>
  </si>
  <si>
    <t>Scott Olsson</t>
  </si>
  <si>
    <t>Sean Kiriwan</t>
  </si>
  <si>
    <t>Stella McMullen</t>
  </si>
  <si>
    <t>Steven Green</t>
  </si>
  <si>
    <t>Swapan Pandya</t>
  </si>
  <si>
    <t>Thi Doan</t>
  </si>
  <si>
    <t>Tim Mitchell</t>
  </si>
  <si>
    <t>Tim Morrison</t>
  </si>
  <si>
    <t>Vincent Li</t>
  </si>
  <si>
    <t>Yipeng Liu</t>
  </si>
  <si>
    <t>GAME DESIGN</t>
  </si>
  <si>
    <t>SLOT FLOOR MANAGERS</t>
  </si>
  <si>
    <t>OTHER</t>
  </si>
  <si>
    <t>Eilers</t>
  </si>
  <si>
    <t>Philippines Casino</t>
  </si>
  <si>
    <t>Average Cost</t>
  </si>
  <si>
    <t>Average Value</t>
  </si>
  <si>
    <t>Paid Other</t>
  </si>
  <si>
    <t>Other</t>
  </si>
  <si>
    <t>3,000 USD</t>
  </si>
  <si>
    <t>1,000 USD</t>
  </si>
  <si>
    <t>Average Attendees</t>
  </si>
  <si>
    <t>Unlisted</t>
  </si>
  <si>
    <t>GLG 2 Credit</t>
  </si>
  <si>
    <t>Eric Karmark</t>
  </si>
  <si>
    <r>
      <t xml:space="preserve">Canada Based VLT Director
</t>
    </r>
    <r>
      <rPr>
        <sz val="11"/>
        <color theme="1"/>
        <rFont val="Calibri"/>
        <family val="2"/>
        <scheme val="minor"/>
      </rPr>
      <t>Eric Karmark – Western Canada Lottery Corporation</t>
    </r>
  </si>
  <si>
    <t>Discussion with a Canadian VLT Director on the latest GGR levels, game performance &amp; vendor trends. We will also explore the difference between government run VLT markets vs Commercial &amp; Tribal slot markets. Eric cannot comment on the specific details in his upcoming purchase orders, but can talk about general trends and about his existing footprint.</t>
  </si>
  <si>
    <t>Recurring</t>
  </si>
  <si>
    <t>Frequency</t>
  </si>
  <si>
    <t>Semi-Annual</t>
  </si>
  <si>
    <t>Note</t>
  </si>
  <si>
    <t>Jason has left</t>
  </si>
  <si>
    <t>Annual</t>
  </si>
  <si>
    <t>Organisation / Type</t>
  </si>
  <si>
    <t>James Hurley</t>
  </si>
  <si>
    <t>Slot Floor</t>
  </si>
  <si>
    <t>Brandon Laxton</t>
  </si>
  <si>
    <t>Mike Veverka</t>
  </si>
  <si>
    <t>Daniel Briggs</t>
  </si>
  <si>
    <t>Price Karr</t>
  </si>
  <si>
    <t>Tony Morelli</t>
  </si>
  <si>
    <t>Steven Slotwinski</t>
  </si>
  <si>
    <t>Shingo Kagawa</t>
  </si>
  <si>
    <t>Jason Scott</t>
  </si>
  <si>
    <t>Semi-Annual / Annual</t>
  </si>
  <si>
    <t>Arram Bekarian</t>
  </si>
  <si>
    <t>Warren Davidson</t>
  </si>
  <si>
    <t>Ernie Lafky</t>
  </si>
  <si>
    <t>Hili Shakked</t>
  </si>
  <si>
    <t>Richard Carter</t>
  </si>
  <si>
    <t>Marc Burroughes</t>
  </si>
  <si>
    <t>Magdalena Kupiec</t>
  </si>
  <si>
    <t>Jay Gordon</t>
  </si>
  <si>
    <t>Andrew Holmes</t>
  </si>
  <si>
    <t>Aus Slots</t>
  </si>
  <si>
    <t>Con Nikitas</t>
  </si>
  <si>
    <t>Aaron Morrison</t>
  </si>
  <si>
    <t>Chris Richardson</t>
  </si>
  <si>
    <t>Lon ODonnell</t>
  </si>
  <si>
    <t>Kevin Harrigan</t>
  </si>
  <si>
    <t>Daron Dorsey</t>
  </si>
  <si>
    <t>John Vallejo</t>
  </si>
  <si>
    <t>Fred David</t>
  </si>
  <si>
    <t>Brendan Moore</t>
  </si>
  <si>
    <t>Maybe</t>
  </si>
  <si>
    <t>Depends on Lawsuit</t>
  </si>
  <si>
    <t>Was in between jobs</t>
  </si>
  <si>
    <t>Best call but expensive</t>
  </si>
  <si>
    <t>*</t>
  </si>
  <si>
    <t>Tabcorp</t>
  </si>
  <si>
    <t>Gillon Mclachlan</t>
  </si>
  <si>
    <t>Jeff Wheatley</t>
  </si>
  <si>
    <t>Coleman</t>
  </si>
  <si>
    <t>Probably</t>
  </si>
  <si>
    <t>Good but unique market</t>
  </si>
  <si>
    <t>1.5 Credits</t>
  </si>
  <si>
    <t>Tribal Gaming</t>
  </si>
  <si>
    <t>Charitable Gaming</t>
  </si>
  <si>
    <t>iLottery</t>
  </si>
  <si>
    <t>iGaming Aggregation</t>
  </si>
  <si>
    <r>
      <t xml:space="preserve">Ex IGT Executive
</t>
    </r>
    <r>
      <rPr>
        <sz val="11"/>
        <color theme="1"/>
        <rFont val="Calibri"/>
        <family val="2"/>
        <scheme val="minor"/>
      </rPr>
      <t>Drew Keeley - CFO Global Gaming</t>
    </r>
  </si>
  <si>
    <t>Drew was most recently the CFO of Global Gaming (Slots) at IGT. Prior to this, he was an investment banker in the gaming sector for over 10 years. We expect this call will provide insight into the new strategy for IGT/Everi post-merger, an update on the competitive landscape of the slots manufacturing industry, and the potential M&amp;A opportunities for the major slots vendors.</t>
  </si>
  <si>
    <r>
      <t xml:space="preserve">US Based Casino Slot Director
</t>
    </r>
    <r>
      <rPr>
        <sz val="11"/>
        <color theme="1"/>
        <rFont val="Calibri"/>
        <family val="2"/>
        <scheme val="minor"/>
      </rPr>
      <t>Leon Brimm – Rolling Hills Casino</t>
    </r>
  </si>
  <si>
    <t>Colin Hadden is the GM of NeoPollard - the 50/50 JV between Aristocrat (NeoGames) &amp; Pollard Banknote. We expect this call will provide insight into the transition of new licences from the JV to solo Aristocrat licences. We will also explore the potential scale of the US iLottery market and whether Aristocrat can maintain their market leading position in iLottery.</t>
  </si>
  <si>
    <r>
      <t xml:space="preserve">iLottery Discussion with NeoPollard GM
</t>
    </r>
    <r>
      <rPr>
        <sz val="11"/>
        <color rgb="FF000000"/>
        <rFont val="Calibri"/>
        <family val="2"/>
        <scheme val="minor"/>
      </rPr>
      <t>Colin Hadden</t>
    </r>
  </si>
  <si>
    <t>Ex-IGT</t>
  </si>
  <si>
    <t>Drew Kelley</t>
  </si>
  <si>
    <t>2000 USD</t>
  </si>
  <si>
    <t>Discussion with a Filipino based Slot Director who is aware of various expansion opportunities. The Philippines market was noted by LNW as a key 4Q growth driver to meet their FY25 targets.</t>
  </si>
  <si>
    <r>
      <t xml:space="preserve">Illinois VGT Distributor Discussion
</t>
    </r>
    <r>
      <rPr>
        <sz val="11"/>
        <color rgb="FF000000"/>
        <rFont val="Calibri"/>
        <family val="2"/>
        <scheme val="minor"/>
      </rPr>
      <t>Becky Sharkey Andersen</t>
    </r>
  </si>
  <si>
    <t>Becky has worked for multiple of the largest Video Gaming Terminal (VGT) distributors in Illinois. Illinois has been one of the fastest growing slots markets in the US and now has ~50k VGT's. Chicago appears to on the cusp of legalising VGT's which could add another ~10k-15k expansion units later in CY26.</t>
  </si>
  <si>
    <r>
      <t xml:space="preserve">New York Leased VLT Unit Conversion Discussion
</t>
    </r>
    <r>
      <rPr>
        <sz val="11"/>
        <color rgb="FF000000"/>
        <rFont val="Calibri"/>
        <family val="2"/>
        <scheme val="minor"/>
      </rPr>
      <t>Dan Finken</t>
    </r>
  </si>
  <si>
    <t>Dan was formerly the Senior Vice President of Slot Operations at Genting’s Resorts World NYC casino. This casino was previously a leased VLT facility but recently won a new Class III licence and will therefore undergo a significant conversion of units. Although Dan has now retired, he had already begun planning for the conversion of the slot floor before the new licence was announced.</t>
  </si>
  <si>
    <t xml:space="preserve">Slot Floor Optimization Software
</t>
  </si>
  <si>
    <t>Guest Speaker is currently a Director Slot Optimization &amp; Strategy at a competitor to Gaming Analytics (Aristocrat's recent acquisition). We expect this call will provide insight into an overview of this software as well as how Aristocrat will integrate Gaming Analytics with their existing Slots &amp; Systems businesses.</t>
  </si>
  <si>
    <t>Leon Brimm</t>
  </si>
  <si>
    <t>JIN read</t>
  </si>
  <si>
    <t>Winvia Entertainment is the second largest Prize Draws and Competition operator (PDC) in the UK behind Omaze. The group owns PDC brands, Best of the Best &amp; Click Competitions, which they acquired in Apr-25. They were also the primary competitor to Jumbo for their recent acquisition Dream Car Giveaways. Along with Jumbo, they have also been vocal that M&amp;A will continue to be apart of their strategy moving forward and have been in discussions with several potential acquisition targets.</t>
  </si>
  <si>
    <t xml:space="preserve">Winvia Entertainment
</t>
  </si>
  <si>
    <t>Allen Schultz</t>
  </si>
  <si>
    <r>
      <t xml:space="preserve">US Based Casino Slot Director
</t>
    </r>
    <r>
      <rPr>
        <sz val="11"/>
        <color theme="1"/>
        <rFont val="Calibri"/>
        <family val="2"/>
        <scheme val="minor"/>
      </rPr>
      <t>Allen Schultz – Yaamava' Resort &amp; Casino</t>
    </r>
  </si>
  <si>
    <t>Discussion with California's largest casino on the latest GGR levels, purchasing intentions, game performance &amp; vendor trends.</t>
  </si>
  <si>
    <t>Jake Hamilton</t>
  </si>
  <si>
    <r>
      <t xml:space="preserve">US Based Casino Slot Director
</t>
    </r>
    <r>
      <rPr>
        <sz val="11"/>
        <color theme="1"/>
        <rFont val="Calibri"/>
        <family val="2"/>
        <scheme val="minor"/>
      </rPr>
      <t>Jake Hamilton – Hollywood Casino Lawrenceburg</t>
    </r>
  </si>
  <si>
    <t>Becky Andersen</t>
  </si>
  <si>
    <t>Illinois VGT</t>
  </si>
  <si>
    <t>Colin Hadden</t>
  </si>
  <si>
    <t>750 USD</t>
  </si>
  <si>
    <t>1500 USD</t>
  </si>
  <si>
    <t>NY Conversion</t>
  </si>
  <si>
    <t>Dan Finken</t>
  </si>
  <si>
    <t>800 USD</t>
  </si>
  <si>
    <t>JIN/TLC read</t>
  </si>
  <si>
    <r>
      <t xml:space="preserve">Lotteries Discussion with ex Jumbo Director
</t>
    </r>
    <r>
      <rPr>
        <sz val="11"/>
        <color theme="1"/>
        <rFont val="Calibri"/>
        <family val="2"/>
        <scheme val="minor"/>
      </rPr>
      <t>Patrick Gordon</t>
    </r>
  </si>
  <si>
    <t>Patrick was previously Head of Growth &amp; Marketing at Jumbo. Following Jumbo's loss of market share at their 1H25 result, he led their marketing pivot towards reactivating customers. He also led Jumbo's launch of Daily Winners in Australia and is familiar with the UK prize draw landscape.</t>
  </si>
  <si>
    <t>Casino Software</t>
  </si>
  <si>
    <t>Jon Crawford</t>
  </si>
  <si>
    <t>Bi Annual</t>
  </si>
  <si>
    <t>Peter Vandenburg</t>
  </si>
  <si>
    <r>
      <t xml:space="preserve">US Based Casino Slot Director
</t>
    </r>
    <r>
      <rPr>
        <sz val="11"/>
        <color theme="1"/>
        <rFont val="Calibri"/>
        <family val="2"/>
        <scheme val="minor"/>
      </rPr>
      <t>Peter Vandenburg – del Lago Resort &amp; Casino</t>
    </r>
  </si>
  <si>
    <t>Discussion with a US casino floor manager on the latest GGR levels, purchasing intentions, game performance &amp; vendor trends. Peter's casino will soon have an expansion of ~2.5k units.</t>
  </si>
  <si>
    <t>John Straus</t>
  </si>
  <si>
    <r>
      <t xml:space="preserve">US Based Casino Slot Director
</t>
    </r>
    <r>
      <rPr>
        <sz val="11"/>
        <color theme="1"/>
        <rFont val="Calibri"/>
        <family val="2"/>
        <scheme val="minor"/>
      </rPr>
      <t>John Straus – Emerald Queen Hotel &amp; Casinos</t>
    </r>
  </si>
  <si>
    <r>
      <t xml:space="preserve">iGaming Discussion with Ex LNW Director
</t>
    </r>
    <r>
      <rPr>
        <sz val="11"/>
        <color rgb="FF000000"/>
        <rFont val="Calibri"/>
        <family val="2"/>
        <scheme val="minor"/>
      </rPr>
      <t>Jack Bailey</t>
    </r>
    <r>
      <rPr>
        <b/>
        <sz val="11"/>
        <color rgb="FF000000"/>
        <rFont val="Calibri"/>
        <family val="2"/>
        <scheme val="minor"/>
      </rPr>
      <t xml:space="preserve">
</t>
    </r>
  </si>
  <si>
    <t>Jack Bailey recently left LNW in January after playing a key role in scaling their aggregation platform (Playzido) in the US. He was responsible for integrating over 200 suppliers into the platform and has a strong understanding of the competitive dynamics between the major content providers.</t>
  </si>
  <si>
    <t>Ex-Jumbo</t>
  </si>
  <si>
    <t>Patrick Gordon</t>
  </si>
  <si>
    <t>iGaming</t>
  </si>
  <si>
    <t>Jack Bailey</t>
  </si>
  <si>
    <t>425 UK</t>
  </si>
  <si>
    <t>FY26</t>
  </si>
  <si>
    <t>Brendan Yepa</t>
  </si>
  <si>
    <t>1000 USD</t>
  </si>
  <si>
    <t>Tim Merrill</t>
  </si>
  <si>
    <t>Christian Devlin</t>
  </si>
  <si>
    <r>
      <t xml:space="preserve">US Based Casino Slot Director
</t>
    </r>
    <r>
      <rPr>
        <sz val="11"/>
        <color theme="1"/>
        <rFont val="Calibri"/>
        <family val="2"/>
        <scheme val="minor"/>
      </rPr>
      <t>Tim Merrill – Gilleys Kansas</t>
    </r>
  </si>
  <si>
    <r>
      <t xml:space="preserve">US Based Casino Slot Director
</t>
    </r>
    <r>
      <rPr>
        <sz val="11"/>
        <color theme="1"/>
        <rFont val="Calibri"/>
        <family val="2"/>
        <scheme val="minor"/>
      </rPr>
      <t>Brendan Yepa – Grand Casino Mille Lacs &amp; Hinckley</t>
    </r>
  </si>
  <si>
    <r>
      <t xml:space="preserve">US Based Casino Slot Director
</t>
    </r>
    <r>
      <rPr>
        <sz val="11"/>
        <color theme="1"/>
        <rFont val="Calibri"/>
        <family val="2"/>
        <scheme val="minor"/>
      </rPr>
      <t>Christian Devlin – Gateway Casinos and Entertainment Limited</t>
    </r>
  </si>
  <si>
    <t>Discussion with the largest Canadian casino floor manager on the latest GGR levels, purchasing intentions, game performance &amp; vendor trends. Christian recently finished is position at the casino and will soon take a position with a slot supplier.</t>
  </si>
  <si>
    <t>Discussion with a US casino floor manager on the latest GGR levels, purchasing intentions, game performance &amp; vendor trends. Tim recently finished his position as GM of Gilley's Kansas which is a new 1,000 slot facility and is now consulting for a casino in Miami.</t>
  </si>
  <si>
    <t>Ex-Entain</t>
  </si>
  <si>
    <t>Lachie Fitt</t>
  </si>
  <si>
    <t>975 AUD</t>
  </si>
  <si>
    <t>In a new Role</t>
  </si>
  <si>
    <t>Discussion with a US casino floor manage post G2E on the games displayed &amp; their purchasing intentions in conjunction with the usual topics such as GGR levels and vendor trends.</t>
  </si>
  <si>
    <t xml:space="preserve">iGaming Discussion with Ex LNW Technology Executive
</t>
  </si>
  <si>
    <t>Guest Speaker was recently a senior technology executive at LNW who was primarily focused on their iGaming division. We expect this call will provide insight into a range of topics including the potential of AI, content trends, M&amp;A opportunities &amp; LNW's iGaming expansion into the Philippines.</t>
  </si>
  <si>
    <t xml:space="preserve">iGaming Discussion with Ex Aristocrat iGaming Director
</t>
  </si>
  <si>
    <t>Guest Speaker was recently a senior iGaming Director at Aristocrat who oversaw their Ignite platform which integrated 2P &amp; 3P content into their aggregation platform. He recently took a role as Head of Gaming at a B2C customer. We expect this call will provide insight into the competitive dynamics, content trends, the launch of Lightning Link &amp; the potential of AI.</t>
  </si>
  <si>
    <t>iLottery Discussion with ex NeoGames Director</t>
  </si>
  <si>
    <t>Guest was recently the Director of Product at NeoGames. We expect this call will provide insight into some of the recently awarded and upcoming iLottery RFP's. We will also explore the potential scale of the US iLottery market and whether Aristocrat can maintain their market leading position in iLottery.</t>
  </si>
  <si>
    <t>Ori</t>
  </si>
  <si>
    <t>Gareth</t>
  </si>
  <si>
    <t>Alex</t>
  </si>
  <si>
    <t>Slots Product Strategy Discussion with ex Aristocrat VP</t>
  </si>
  <si>
    <t>Guest was recently the SVP of Product Strategy at Aristocrat where he was involved in the "One Aristocrat" framework to improve the alignment of Aristocrat's product roadmap across the various studios. We expect this call will provide insight into this transition, the potential use cases of AI &amp; the poaching of key personal within the industry.</t>
  </si>
  <si>
    <t>800 UK</t>
  </si>
  <si>
    <t>Ex-LNW iGaming Tech</t>
  </si>
  <si>
    <t>Alex Manning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</si>
</sst>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8" formatCode="&quot;$&quot;#,##0.00;[Red]\-&quot;$&quot;#,##0.00"/>
  </numFmts>
  <fonts count="18" x14ac:knownFonts="1">
    <font>
      <sz val="11"/>
      <color theme="1"/>
      <name val="Calibri"/>
      <family val="2"/>
      <scheme val="minor"/>
    </font>
    <font>
      <b/>
      <sz val="9"/>
      <color theme="1"/>
      <name val="Calibri"/>
      <family val="2"/>
      <scheme val="minor"/>
    </font>
    <font>
      <b/>
      <sz val="9"/>
      <name val="Calibri"/>
      <family val="2"/>
      <scheme val="minor"/>
    </font>
    <font>
      <sz val="9"/>
      <name val="Calibri"/>
      <family val="2"/>
      <scheme val="minor"/>
    </font>
    <font>
      <sz val="9"/>
      <color theme="1"/>
      <name val="Calibri"/>
      <family val="2"/>
      <scheme val="minor"/>
    </font>
    <font>
      <u/>
      <sz val="11"/>
      <color theme="10"/>
      <name val="Calibri"/>
      <family val="2"/>
      <scheme val="minor"/>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sz val="11"/>
      <color theme="1"/>
      <name val="Calibri"/>
      <family val="2"/>
      <scheme val="minor"/>
    </font>
    <font>
      <sz val="10"/>
      <color theme="1"/>
      <name val="Calibri"/>
      <family val="2"/>
      <scheme val="minor"/>
    </font>
    <font>
      <b/>
      <sz val="11"/>
      <color rgb="FFF2F2F2"/>
      <name val="Calibri"/>
      <family val="2"/>
      <scheme val="minor"/>
    </font>
    <font>
      <sz val="11"/>
      <color rgb="FF000000"/>
      <name val="Calibri"/>
      <family val="2"/>
      <scheme val="minor"/>
    </font>
    <font>
      <b/>
      <sz val="11"/>
      <color rgb="FF000000"/>
      <name val="Calibri"/>
      <family val="2"/>
      <scheme val="minor"/>
    </font>
    <font>
      <sz val="11"/>
      <color rgb="FF00B050"/>
      <name val="Calibri"/>
      <family val="2"/>
      <scheme val="minor"/>
    </font>
    <font>
      <b/>
      <u/>
      <sz val="11"/>
      <color theme="3"/>
      <name val="Calibri"/>
      <family val="2"/>
      <scheme val="minor"/>
    </font>
    <font>
      <sz val="11"/>
      <color theme="1"/>
      <name val="Aptos Narrow"/>
      <family val="2"/>
    </font>
  </fonts>
  <fills count="10">
    <fill>
      <patternFill patternType="none"/>
    </fill>
    <fill>
      <patternFill patternType="gray125"/>
    </fill>
    <fill>
      <patternFill patternType="solid">
        <fgColor theme="0" tint="-0.249977111117893"/>
        <bgColor indexed="64"/>
      </patternFill>
    </fill>
    <fill>
      <patternFill patternType="solid">
        <fgColor rgb="FF0070C0"/>
        <bgColor indexed="64"/>
      </patternFill>
    </fill>
    <fill>
      <patternFill patternType="solid">
        <fgColor theme="3"/>
        <bgColor indexed="64"/>
      </patternFill>
    </fill>
    <fill>
      <patternFill patternType="solid">
        <fgColor theme="7"/>
        <bgColor indexed="64"/>
      </patternFill>
    </fill>
    <fill>
      <patternFill patternType="solid">
        <fgColor rgb="FF800000"/>
        <bgColor indexed="64"/>
      </patternFill>
    </fill>
    <fill>
      <patternFill patternType="solid">
        <fgColor theme="9" tint="-0.499984740745262"/>
        <bgColor indexed="64"/>
      </patternFill>
    </fill>
    <fill>
      <patternFill patternType="solid">
        <fgColor theme="5"/>
        <bgColor indexed="64"/>
      </patternFill>
    </fill>
    <fill>
      <patternFill patternType="solid">
        <fgColor theme="4"/>
        <bgColor indexed="64"/>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3">
    <xf numFmtId="0" fontId="0" fillId="0" borderId="0" xfId="0"/>
    <xf numFmtId="0" fontId="3" fillId="0" borderId="1" xfId="1" applyFont="1" applyFill="1" applyBorder="1" applyAlignment="1">
      <alignment vertical="top" wrapText="1"/>
    </xf>
    <xf numFmtId="0" fontId="4" fillId="0" borderId="1" xfId="0" applyFont="1" applyBorder="1" applyAlignment="1">
      <alignment horizontal="left" vertical="top" wrapText="1"/>
    </xf>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0" fontId="4" fillId="0" borderId="1" xfId="0" applyFont="1" applyBorder="1" applyAlignment="1">
      <alignment vertical="top" wrapText="1"/>
    </xf>
    <xf numFmtId="0" fontId="2" fillId="0" borderId="1" xfId="0" applyFont="1" applyBorder="1" applyAlignment="1">
      <alignment vertical="top" wrapText="1"/>
    </xf>
    <xf numFmtId="16" fontId="4" fillId="0" borderId="1" xfId="0" applyNumberFormat="1" applyFont="1" applyBorder="1" applyAlignment="1">
      <alignment horizontal="left" vertical="top" wrapText="1"/>
    </xf>
    <xf numFmtId="0" fontId="1" fillId="0" borderId="1" xfId="0" applyFont="1" applyBorder="1" applyAlignment="1">
      <alignment vertical="top" wrapText="1"/>
    </xf>
    <xf numFmtId="15" fontId="4" fillId="0" borderId="1" xfId="0" quotePrefix="1" applyNumberFormat="1" applyFont="1" applyBorder="1" applyAlignment="1">
      <alignment vertical="top" wrapText="1"/>
    </xf>
    <xf numFmtId="16" fontId="4" fillId="0" borderId="1" xfId="0" applyNumberFormat="1" applyFont="1" applyBorder="1" applyAlignment="1">
      <alignment vertical="top" wrapText="1"/>
    </xf>
    <xf numFmtId="0" fontId="4" fillId="0" borderId="1" xfId="0" applyFont="1" applyBorder="1" applyAlignment="1">
      <alignment vertical="top"/>
    </xf>
    <xf numFmtId="0" fontId="0" fillId="0" borderId="0" xfId="0" applyAlignment="1">
      <alignment horizontal="right"/>
    </xf>
    <xf numFmtId="8" fontId="0" fillId="0" borderId="0" xfId="0" applyNumberFormat="1"/>
    <xf numFmtId="8" fontId="0" fillId="0" borderId="0" xfId="0" applyNumberFormat="1" applyAlignment="1">
      <alignment horizontal="right"/>
    </xf>
    <xf numFmtId="0" fontId="6" fillId="4" borderId="0" xfId="0" applyFont="1" applyFill="1" applyAlignment="1">
      <alignment horizontal="center"/>
    </xf>
    <xf numFmtId="0" fontId="7" fillId="0" borderId="0" xfId="0" applyFont="1"/>
    <xf numFmtId="0" fontId="0" fillId="0" borderId="0" xfId="0" applyAlignment="1">
      <alignment horizontal="left" indent="1"/>
    </xf>
    <xf numFmtId="0" fontId="0" fillId="0" borderId="0" xfId="0" quotePrefix="1" applyAlignment="1">
      <alignment horizontal="center" vertical="center"/>
    </xf>
    <xf numFmtId="0" fontId="7" fillId="0" borderId="0" xfId="0" quotePrefix="1" applyFont="1" applyAlignment="1">
      <alignment horizontal="left" vertical="center"/>
    </xf>
    <xf numFmtId="16" fontId="0" fillId="0" borderId="0" xfId="0" applyNumberFormat="1" applyAlignment="1">
      <alignment horizontal="center"/>
    </xf>
    <xf numFmtId="9" fontId="0" fillId="0" borderId="0" xfId="0" applyNumberFormat="1"/>
    <xf numFmtId="0" fontId="6" fillId="5" borderId="0" xfId="0" applyFont="1" applyFill="1" applyAlignment="1">
      <alignment horizontal="centerContinuous"/>
    </xf>
    <xf numFmtId="0" fontId="7" fillId="5" borderId="0" xfId="0" applyFont="1" applyFill="1" applyAlignment="1">
      <alignment horizontal="centerContinuous"/>
    </xf>
    <xf numFmtId="3" fontId="0" fillId="0" borderId="0" xfId="0" applyNumberFormat="1" applyAlignment="1">
      <alignment horizontal="center"/>
    </xf>
    <xf numFmtId="6" fontId="0" fillId="0" borderId="0" xfId="0" applyNumberFormat="1"/>
    <xf numFmtId="6" fontId="0" fillId="0" borderId="0" xfId="0" applyNumberFormat="1" applyAlignment="1">
      <alignment horizontal="right"/>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vertical="center"/>
    </xf>
    <xf numFmtId="0" fontId="0" fillId="0" borderId="0" xfId="0" applyAlignment="1">
      <alignment wrapText="1"/>
    </xf>
    <xf numFmtId="0" fontId="11" fillId="0" borderId="0" xfId="0" applyFont="1" applyAlignment="1">
      <alignment vertical="top" wrapText="1"/>
    </xf>
    <xf numFmtId="0" fontId="13" fillId="0" borderId="0" xfId="0" applyFont="1" applyAlignment="1">
      <alignment vertical="center" wrapText="1"/>
    </xf>
    <xf numFmtId="0" fontId="10"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2" fillId="6" borderId="0" xfId="0" applyFont="1" applyFill="1" applyAlignment="1">
      <alignment horizontal="left" vertical="center" wrapText="1" indent="1"/>
    </xf>
    <xf numFmtId="0" fontId="7" fillId="0" borderId="0" xfId="0" applyFont="1" applyAlignment="1">
      <alignment vertical="center"/>
    </xf>
    <xf numFmtId="0" fontId="1" fillId="0" borderId="2" xfId="0" applyFont="1" applyBorder="1" applyAlignment="1">
      <alignment vertical="top" wrapText="1"/>
    </xf>
    <xf numFmtId="16" fontId="4" fillId="0" borderId="2" xfId="0" applyNumberFormat="1" applyFont="1" applyBorder="1" applyAlignment="1">
      <alignment vertical="top" wrapText="1"/>
    </xf>
    <xf numFmtId="0" fontId="4" fillId="0" borderId="2" xfId="0" applyFont="1" applyBorder="1" applyAlignment="1">
      <alignment vertical="top" wrapText="1"/>
    </xf>
    <xf numFmtId="0" fontId="3" fillId="0" borderId="2" xfId="0" applyFont="1" applyBorder="1" applyAlignment="1">
      <alignment vertical="top" wrapText="1"/>
    </xf>
    <xf numFmtId="0" fontId="1" fillId="0" borderId="2" xfId="0" applyFont="1" applyBorder="1" applyAlignment="1">
      <alignment horizontal="left" vertical="top" wrapText="1"/>
    </xf>
    <xf numFmtId="16" fontId="4" fillId="0" borderId="2" xfId="0" applyNumberFormat="1" applyFont="1" applyBorder="1" applyAlignment="1">
      <alignment horizontal="left" vertical="top" wrapText="1"/>
    </xf>
    <xf numFmtId="0" fontId="4" fillId="0" borderId="2" xfId="0" applyFont="1" applyBorder="1" applyAlignment="1">
      <alignment horizontal="left" vertical="top" wrapText="1"/>
    </xf>
    <xf numFmtId="0" fontId="3" fillId="0" borderId="2" xfId="0" applyFont="1" applyBorder="1" applyAlignment="1">
      <alignment horizontal="left" vertical="top" wrapText="1"/>
    </xf>
    <xf numFmtId="15" fontId="4" fillId="0" borderId="2" xfId="0" applyNumberFormat="1" applyFont="1" applyBorder="1" applyAlignment="1">
      <alignment horizontal="left" vertical="top" wrapText="1"/>
    </xf>
    <xf numFmtId="0" fontId="0" fillId="0" borderId="2" xfId="0" applyBorder="1"/>
    <xf numFmtId="0" fontId="12" fillId="0" borderId="0" xfId="0" applyFont="1" applyAlignment="1">
      <alignment horizontal="left" vertical="center" wrapText="1" indent="1"/>
    </xf>
    <xf numFmtId="0" fontId="16" fillId="0" borderId="0" xfId="0" applyFont="1" applyAlignment="1">
      <alignment horizontal="left" vertical="center" wrapText="1"/>
    </xf>
    <xf numFmtId="0" fontId="12" fillId="0" borderId="0" xfId="0" applyFont="1" applyAlignment="1">
      <alignment horizontal="left" vertical="center" wrapText="1"/>
    </xf>
    <xf numFmtId="0" fontId="12" fillId="7" borderId="0" xfId="0" applyFont="1" applyFill="1" applyAlignment="1">
      <alignment horizontal="left" vertical="center" wrapText="1" indent="1"/>
    </xf>
    <xf numFmtId="4" fontId="0" fillId="0" borderId="0" xfId="0" applyNumberFormat="1"/>
    <xf numFmtId="3" fontId="0" fillId="0" borderId="0" xfId="0" applyNumberFormat="1"/>
    <xf numFmtId="0" fontId="6" fillId="8" borderId="0" xfId="0" applyFont="1" applyFill="1" applyAlignment="1">
      <alignment horizontal="center"/>
    </xf>
    <xf numFmtId="0" fontId="17" fillId="0" borderId="0" xfId="0" applyFont="1"/>
    <xf numFmtId="0" fontId="12" fillId="9" borderId="0" xfId="0" applyFont="1" applyFill="1" applyAlignment="1">
      <alignment horizontal="left" vertical="center" wrapText="1" indent="1"/>
    </xf>
    <xf numFmtId="17" fontId="0" fillId="0" borderId="0" xfId="0" applyNumberFormat="1" applyAlignment="1">
      <alignment horizontal="center"/>
    </xf>
    <xf numFmtId="16"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Default - Old">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C53A0-6FA8-4A04-95CC-2E005E95060F}">
  <dimension ref="B2:Q55"/>
  <sheetViews>
    <sheetView showGridLines="0" tabSelected="1" topLeftCell="A40" zoomScaleNormal="100" workbookViewId="0">
      <selection activeCell="M58" sqref="M58"/>
    </sheetView>
  </sheetViews>
  <sheetFormatPr defaultRowHeight="15" x14ac:dyDescent="0.25"/>
  <cols>
    <col min="2" max="2" width="7.7109375" customWidth="1"/>
    <col min="3" max="3" width="19.5703125" bestFit="1" customWidth="1"/>
    <col min="4" max="4" width="18" customWidth="1"/>
    <col min="5" max="5" width="16.28515625" customWidth="1"/>
    <col min="6" max="7" width="14.85546875" customWidth="1"/>
    <col min="8" max="8" width="9.42578125" customWidth="1"/>
    <col min="9" max="9" width="10.28515625" bestFit="1" customWidth="1"/>
    <col min="10" max="10" width="2.7109375" customWidth="1"/>
    <col min="11" max="11" width="9.42578125" bestFit="1" customWidth="1"/>
    <col min="12" max="12" width="20.7109375" bestFit="1" customWidth="1"/>
    <col min="13" max="13" width="21.7109375" bestFit="1" customWidth="1"/>
    <col min="14" max="14" width="2.7109375" customWidth="1"/>
    <col min="15" max="15" width="15.140625" bestFit="1" customWidth="1"/>
    <col min="16" max="16" width="10.140625" bestFit="1" customWidth="1"/>
  </cols>
  <sheetData>
    <row r="2" spans="2:17" x14ac:dyDescent="0.25">
      <c r="B2" s="19" t="s">
        <v>151</v>
      </c>
      <c r="C2" s="19" t="s">
        <v>299</v>
      </c>
      <c r="D2" s="19" t="s">
        <v>153</v>
      </c>
      <c r="E2" s="19" t="s">
        <v>140</v>
      </c>
      <c r="F2" s="19" t="s">
        <v>150</v>
      </c>
      <c r="G2" s="19" t="s">
        <v>139</v>
      </c>
      <c r="H2" s="19" t="s">
        <v>155</v>
      </c>
      <c r="I2" s="19" t="s">
        <v>156</v>
      </c>
      <c r="K2" s="58" t="s">
        <v>293</v>
      </c>
      <c r="L2" s="58" t="s">
        <v>294</v>
      </c>
      <c r="M2" s="58" t="s">
        <v>296</v>
      </c>
      <c r="O2" s="26" t="s">
        <v>152</v>
      </c>
      <c r="P2" s="27"/>
      <c r="Q2" s="27"/>
    </row>
    <row r="3" spans="2:17" x14ac:dyDescent="0.25">
      <c r="B3" s="24">
        <v>45674</v>
      </c>
      <c r="C3" t="s">
        <v>138</v>
      </c>
      <c r="D3" t="s">
        <v>300</v>
      </c>
      <c r="E3" t="s">
        <v>123</v>
      </c>
      <c r="F3" s="30"/>
      <c r="G3" s="29">
        <v>0</v>
      </c>
      <c r="H3" s="28">
        <v>4</v>
      </c>
      <c r="I3" s="28">
        <v>7</v>
      </c>
      <c r="K3" s="28"/>
      <c r="L3" s="28"/>
      <c r="M3" s="28"/>
      <c r="O3" s="23" t="s">
        <v>148</v>
      </c>
      <c r="P3" s="22"/>
      <c r="Q3" s="22"/>
    </row>
    <row r="4" spans="2:17" x14ac:dyDescent="0.25">
      <c r="B4" s="24">
        <v>45686</v>
      </c>
      <c r="C4" t="s">
        <v>301</v>
      </c>
      <c r="D4" t="s">
        <v>302</v>
      </c>
      <c r="E4" t="s">
        <v>137</v>
      </c>
      <c r="F4" s="30"/>
      <c r="G4" s="29">
        <v>0</v>
      </c>
      <c r="H4" s="28">
        <v>9</v>
      </c>
      <c r="I4" s="28">
        <v>16</v>
      </c>
      <c r="K4" s="28" t="s">
        <v>33</v>
      </c>
      <c r="L4" s="28" t="s">
        <v>295</v>
      </c>
      <c r="M4" s="28"/>
      <c r="O4" s="21" t="s">
        <v>149</v>
      </c>
      <c r="P4" s="17">
        <f>SUM($G:$G)</f>
        <v>49378.923076923078</v>
      </c>
    </row>
    <row r="5" spans="2:17" x14ac:dyDescent="0.25">
      <c r="B5" s="24">
        <v>45713</v>
      </c>
      <c r="C5" t="s">
        <v>136</v>
      </c>
      <c r="D5" t="s">
        <v>303</v>
      </c>
      <c r="E5" t="s">
        <v>135</v>
      </c>
      <c r="F5" s="30"/>
      <c r="G5" s="29">
        <v>0</v>
      </c>
      <c r="H5" s="28" t="s">
        <v>157</v>
      </c>
      <c r="I5" s="28">
        <v>10</v>
      </c>
      <c r="K5" s="28" t="s">
        <v>334</v>
      </c>
      <c r="L5" s="28"/>
      <c r="M5" s="28" t="s">
        <v>135</v>
      </c>
      <c r="O5" s="21" t="s">
        <v>396</v>
      </c>
      <c r="P5" s="17">
        <f>SUMIFS($G:$G,$B:$B,"&gt;="&amp;$O6,$B:$B,"&lt;="&amp;$P6)</f>
        <v>40827</v>
      </c>
    </row>
    <row r="6" spans="2:17" x14ac:dyDescent="0.25">
      <c r="B6" s="24">
        <v>45727</v>
      </c>
      <c r="C6" t="s">
        <v>134</v>
      </c>
      <c r="D6" t="s">
        <v>304</v>
      </c>
      <c r="E6" t="s">
        <v>123</v>
      </c>
      <c r="F6" s="30"/>
      <c r="G6" s="29">
        <v>0</v>
      </c>
      <c r="H6" s="28">
        <v>2</v>
      </c>
      <c r="I6" s="28">
        <v>2</v>
      </c>
      <c r="K6" s="28"/>
      <c r="L6" s="28"/>
      <c r="M6" s="28"/>
      <c r="O6" s="61">
        <v>45839</v>
      </c>
      <c r="P6" s="61">
        <v>46203</v>
      </c>
    </row>
    <row r="7" spans="2:17" x14ac:dyDescent="0.25">
      <c r="B7" s="24">
        <v>45727</v>
      </c>
      <c r="C7" t="s">
        <v>133</v>
      </c>
      <c r="D7" t="s">
        <v>305</v>
      </c>
      <c r="E7" t="s">
        <v>123</v>
      </c>
      <c r="F7" s="30"/>
      <c r="G7" s="29">
        <v>0</v>
      </c>
      <c r="H7" s="28">
        <v>3</v>
      </c>
      <c r="I7" s="28">
        <v>3</v>
      </c>
      <c r="K7" s="28"/>
      <c r="L7" s="28"/>
      <c r="M7" s="28"/>
    </row>
    <row r="8" spans="2:17" x14ac:dyDescent="0.25">
      <c r="B8" s="24">
        <v>45727</v>
      </c>
      <c r="C8" t="s">
        <v>343</v>
      </c>
      <c r="D8" t="s">
        <v>306</v>
      </c>
      <c r="E8" t="s">
        <v>128</v>
      </c>
      <c r="F8" s="18"/>
      <c r="G8" s="29">
        <v>1000</v>
      </c>
      <c r="H8" s="28">
        <v>9</v>
      </c>
      <c r="I8" s="28">
        <v>8</v>
      </c>
      <c r="K8" s="28"/>
      <c r="L8" s="28"/>
      <c r="M8" s="28"/>
    </row>
    <row r="9" spans="2:17" x14ac:dyDescent="0.25">
      <c r="B9" s="24">
        <v>45734</v>
      </c>
      <c r="C9" t="s">
        <v>342</v>
      </c>
      <c r="D9" t="s">
        <v>307</v>
      </c>
      <c r="E9" t="s">
        <v>147</v>
      </c>
      <c r="F9" s="18"/>
      <c r="G9" s="29">
        <v>1000</v>
      </c>
      <c r="H9" s="28">
        <v>7</v>
      </c>
      <c r="I9" s="28">
        <v>3</v>
      </c>
      <c r="K9" s="28"/>
      <c r="L9" s="28"/>
      <c r="M9" s="28"/>
    </row>
    <row r="10" spans="2:17" x14ac:dyDescent="0.25">
      <c r="B10" s="24">
        <v>45735</v>
      </c>
      <c r="C10" t="s">
        <v>132</v>
      </c>
      <c r="D10" t="s">
        <v>308</v>
      </c>
      <c r="E10" t="s">
        <v>123</v>
      </c>
      <c r="F10" s="30"/>
      <c r="G10" s="29">
        <v>0</v>
      </c>
      <c r="H10" s="28">
        <v>3</v>
      </c>
      <c r="I10" s="28">
        <v>3</v>
      </c>
      <c r="K10" s="28"/>
      <c r="L10" s="28"/>
      <c r="M10" s="28"/>
      <c r="O10" s="20" t="s">
        <v>141</v>
      </c>
    </row>
    <row r="11" spans="2:17" x14ac:dyDescent="0.25">
      <c r="B11" s="24">
        <v>45736</v>
      </c>
      <c r="C11" t="s">
        <v>131</v>
      </c>
      <c r="D11" t="s">
        <v>309</v>
      </c>
      <c r="E11" t="s">
        <v>130</v>
      </c>
      <c r="F11" s="30"/>
      <c r="G11" s="29">
        <v>0</v>
      </c>
      <c r="H11" s="28">
        <v>8</v>
      </c>
      <c r="I11" s="28">
        <v>9</v>
      </c>
      <c r="K11" s="28" t="s">
        <v>33</v>
      </c>
      <c r="L11" s="28" t="s">
        <v>310</v>
      </c>
      <c r="M11" s="28" t="s">
        <v>297</v>
      </c>
      <c r="O11" s="21" t="s">
        <v>142</v>
      </c>
      <c r="P11">
        <f>COUNTIF($G:$G,0)</f>
        <v>14</v>
      </c>
      <c r="Q11" s="25">
        <f>P11/$P$15</f>
        <v>0.26415094339622641</v>
      </c>
    </row>
    <row r="12" spans="2:17" x14ac:dyDescent="0.25">
      <c r="B12" s="24">
        <v>45737</v>
      </c>
      <c r="C12" t="s">
        <v>122</v>
      </c>
      <c r="D12" t="s">
        <v>311</v>
      </c>
      <c r="E12" t="s">
        <v>187</v>
      </c>
      <c r="F12" s="18"/>
      <c r="G12" s="29">
        <v>500</v>
      </c>
      <c r="H12" s="28">
        <v>6</v>
      </c>
      <c r="I12" s="28">
        <v>3</v>
      </c>
      <c r="K12" s="28"/>
      <c r="L12" s="28"/>
      <c r="M12" s="28"/>
      <c r="O12" s="21" t="s">
        <v>145</v>
      </c>
      <c r="P12">
        <f>COUNTIF($E:$E,"Linkedin/Search")</f>
        <v>30</v>
      </c>
      <c r="Q12" s="25">
        <f>P12/$P$15</f>
        <v>0.56603773584905659</v>
      </c>
    </row>
    <row r="13" spans="2:17" x14ac:dyDescent="0.25">
      <c r="B13" s="24">
        <v>45742</v>
      </c>
      <c r="C13" t="s">
        <v>301</v>
      </c>
      <c r="D13" t="s">
        <v>312</v>
      </c>
      <c r="E13" t="s">
        <v>128</v>
      </c>
      <c r="F13" s="18"/>
      <c r="G13" s="29">
        <v>1000</v>
      </c>
      <c r="H13" s="28">
        <v>8</v>
      </c>
      <c r="I13" s="28">
        <v>5</v>
      </c>
      <c r="K13" s="28" t="s">
        <v>33</v>
      </c>
      <c r="L13" s="28" t="s">
        <v>295</v>
      </c>
      <c r="M13" s="28"/>
      <c r="O13" s="21" t="s">
        <v>154</v>
      </c>
      <c r="P13">
        <f>COUNTIF($E:$E,"GLG")+COUNTIF($E:$E,"Guidepoint")+COUNTIF($E:$E,"Coleman")</f>
        <v>5</v>
      </c>
      <c r="Q13" s="25">
        <f>P13/$P$15</f>
        <v>9.4339622641509441E-2</v>
      </c>
    </row>
    <row r="14" spans="2:17" x14ac:dyDescent="0.25">
      <c r="B14" s="24">
        <v>45748</v>
      </c>
      <c r="C14" t="s">
        <v>127</v>
      </c>
      <c r="D14" t="s">
        <v>313</v>
      </c>
      <c r="E14" t="s">
        <v>187</v>
      </c>
      <c r="F14" s="18"/>
      <c r="G14" s="29">
        <f>400/0.65</f>
        <v>615.38461538461536</v>
      </c>
      <c r="H14" s="28">
        <v>7</v>
      </c>
      <c r="I14" s="28">
        <v>3</v>
      </c>
      <c r="K14" s="28"/>
      <c r="L14" s="28"/>
      <c r="M14" s="28"/>
      <c r="O14" s="21" t="s">
        <v>283</v>
      </c>
      <c r="P14">
        <f>COUNTIF($E:$E,"Other")</f>
        <v>1</v>
      </c>
      <c r="Q14" s="25">
        <f>P14/$P$15</f>
        <v>1.8867924528301886E-2</v>
      </c>
    </row>
    <row r="15" spans="2:17" x14ac:dyDescent="0.25">
      <c r="B15" s="24">
        <v>45754</v>
      </c>
      <c r="C15" t="s">
        <v>344</v>
      </c>
      <c r="D15" t="s">
        <v>314</v>
      </c>
      <c r="E15" t="s">
        <v>187</v>
      </c>
      <c r="F15" s="18"/>
      <c r="G15" s="29">
        <f>300/0.65</f>
        <v>461.53846153846155</v>
      </c>
      <c r="H15" s="28">
        <v>8</v>
      </c>
      <c r="I15" s="28">
        <v>7</v>
      </c>
      <c r="K15" s="28" t="s">
        <v>339</v>
      </c>
      <c r="L15" s="28"/>
      <c r="M15" s="28"/>
      <c r="O15" s="21" t="s">
        <v>146</v>
      </c>
      <c r="P15">
        <f>COUNT($G:$G)</f>
        <v>53</v>
      </c>
    </row>
    <row r="16" spans="2:17" x14ac:dyDescent="0.25">
      <c r="B16" s="24">
        <v>45756</v>
      </c>
      <c r="C16" t="s">
        <v>125</v>
      </c>
      <c r="D16" t="s">
        <v>315</v>
      </c>
      <c r="E16" t="s">
        <v>123</v>
      </c>
      <c r="F16" s="30"/>
      <c r="G16" s="29">
        <v>0</v>
      </c>
      <c r="H16" s="28">
        <v>5</v>
      </c>
      <c r="I16" s="28">
        <v>3</v>
      </c>
      <c r="K16" s="28"/>
      <c r="L16" s="28"/>
      <c r="M16" s="28"/>
    </row>
    <row r="17" spans="2:17" x14ac:dyDescent="0.25">
      <c r="B17" s="24">
        <v>45775</v>
      </c>
      <c r="C17" t="s">
        <v>345</v>
      </c>
      <c r="D17" t="s">
        <v>316</v>
      </c>
      <c r="E17" t="s">
        <v>187</v>
      </c>
      <c r="F17" s="18"/>
      <c r="G17" s="29">
        <f>400/0.5</f>
        <v>800</v>
      </c>
      <c r="H17" s="28">
        <v>6</v>
      </c>
      <c r="I17" s="28">
        <v>6</v>
      </c>
      <c r="K17" s="28"/>
      <c r="L17" s="28"/>
      <c r="M17" s="28"/>
      <c r="O17" s="20" t="s">
        <v>141</v>
      </c>
    </row>
    <row r="18" spans="2:17" x14ac:dyDescent="0.25">
      <c r="B18" s="24">
        <v>45782</v>
      </c>
      <c r="C18" t="s">
        <v>124</v>
      </c>
      <c r="D18" t="s">
        <v>317</v>
      </c>
      <c r="E18" t="s">
        <v>123</v>
      </c>
      <c r="F18" s="30"/>
      <c r="G18" s="29">
        <v>0</v>
      </c>
      <c r="H18" s="28">
        <v>0</v>
      </c>
      <c r="I18" s="28">
        <v>4</v>
      </c>
      <c r="K18" s="28"/>
      <c r="L18" s="28"/>
      <c r="M18" s="28"/>
      <c r="O18" s="21" t="s">
        <v>123</v>
      </c>
      <c r="P18">
        <f>COUNTIF($E:$E,"Listed")+COUNTIF($E:$E,"Coverage")</f>
        <v>10</v>
      </c>
      <c r="Q18" s="25">
        <f>P18/$P$15</f>
        <v>0.18867924528301888</v>
      </c>
    </row>
    <row r="19" spans="2:17" x14ac:dyDescent="0.25">
      <c r="B19" s="24">
        <v>45786</v>
      </c>
      <c r="C19" t="s">
        <v>122</v>
      </c>
      <c r="D19" t="s">
        <v>318</v>
      </c>
      <c r="E19" t="s">
        <v>187</v>
      </c>
      <c r="F19" s="18"/>
      <c r="G19" s="29">
        <v>400</v>
      </c>
      <c r="H19" s="28">
        <v>8</v>
      </c>
      <c r="I19" s="28">
        <v>13</v>
      </c>
      <c r="K19" s="28"/>
      <c r="L19" s="28"/>
      <c r="M19" s="28"/>
      <c r="O19" s="21" t="s">
        <v>288</v>
      </c>
      <c r="P19">
        <f>P15-P18</f>
        <v>43</v>
      </c>
      <c r="Q19" s="25">
        <f>P19/$P$15</f>
        <v>0.81132075471698117</v>
      </c>
    </row>
    <row r="20" spans="2:17" x14ac:dyDescent="0.25">
      <c r="B20" s="24">
        <v>45812</v>
      </c>
      <c r="C20" t="s">
        <v>320</v>
      </c>
      <c r="D20" t="s">
        <v>321</v>
      </c>
      <c r="E20" t="s">
        <v>137</v>
      </c>
      <c r="F20" s="18"/>
      <c r="G20" s="29">
        <v>300</v>
      </c>
      <c r="H20" s="28">
        <v>9</v>
      </c>
      <c r="I20" s="28">
        <v>2</v>
      </c>
      <c r="K20" s="28" t="s">
        <v>33</v>
      </c>
      <c r="L20" s="28" t="s">
        <v>298</v>
      </c>
      <c r="M20" s="28"/>
    </row>
    <row r="21" spans="2:17" x14ac:dyDescent="0.25">
      <c r="B21" s="24">
        <v>45812</v>
      </c>
      <c r="C21" t="s">
        <v>158</v>
      </c>
      <c r="D21" t="s">
        <v>322</v>
      </c>
      <c r="E21" t="s">
        <v>130</v>
      </c>
      <c r="F21" s="30"/>
      <c r="G21" s="29">
        <v>0</v>
      </c>
      <c r="H21" s="28">
        <v>9</v>
      </c>
      <c r="I21" s="28">
        <v>2</v>
      </c>
      <c r="K21" s="28" t="s">
        <v>33</v>
      </c>
      <c r="L21" s="28" t="s">
        <v>310</v>
      </c>
      <c r="M21" s="28"/>
      <c r="O21" s="20" t="s">
        <v>281</v>
      </c>
    </row>
    <row r="22" spans="2:17" x14ac:dyDescent="0.25">
      <c r="B22" s="24">
        <v>45812</v>
      </c>
      <c r="C22" t="s">
        <v>159</v>
      </c>
      <c r="D22" t="s">
        <v>323</v>
      </c>
      <c r="E22" t="s">
        <v>135</v>
      </c>
      <c r="F22" s="30"/>
      <c r="G22" s="29">
        <v>0</v>
      </c>
      <c r="H22" s="28" t="s">
        <v>157</v>
      </c>
      <c r="I22" s="28">
        <v>2</v>
      </c>
      <c r="K22" s="28" t="s">
        <v>334</v>
      </c>
      <c r="L22" s="28"/>
      <c r="M22" s="28" t="s">
        <v>135</v>
      </c>
      <c r="O22" s="21" t="s">
        <v>144</v>
      </c>
      <c r="P22" s="17">
        <f>AVERAGE(G:G)</f>
        <v>931.67779390420901</v>
      </c>
    </row>
    <row r="23" spans="2:17" x14ac:dyDescent="0.25">
      <c r="B23" s="24">
        <v>45839</v>
      </c>
      <c r="C23" t="s">
        <v>301</v>
      </c>
      <c r="D23" t="s">
        <v>324</v>
      </c>
      <c r="E23" t="s">
        <v>187</v>
      </c>
      <c r="F23" s="16" t="s">
        <v>188</v>
      </c>
      <c r="G23" s="29">
        <v>760</v>
      </c>
      <c r="H23" s="28">
        <v>9</v>
      </c>
      <c r="I23" s="28">
        <v>6</v>
      </c>
      <c r="K23" s="28" t="s">
        <v>33</v>
      </c>
      <c r="L23" s="28" t="s">
        <v>295</v>
      </c>
      <c r="M23" s="28"/>
      <c r="O23" s="21" t="s">
        <v>143</v>
      </c>
      <c r="P23" s="17">
        <f>AVERAGEIF($G:$G,"&gt;"&amp;0,$G:$G)</f>
        <v>1266.1262327416173</v>
      </c>
    </row>
    <row r="24" spans="2:17" x14ac:dyDescent="0.25">
      <c r="B24" s="24">
        <v>45841</v>
      </c>
      <c r="C24" t="s">
        <v>186</v>
      </c>
      <c r="D24" t="s">
        <v>319</v>
      </c>
      <c r="E24" t="s">
        <v>187</v>
      </c>
      <c r="F24" s="18" t="s">
        <v>129</v>
      </c>
      <c r="G24" s="29">
        <v>500</v>
      </c>
      <c r="H24" s="28">
        <v>6</v>
      </c>
      <c r="I24" s="28">
        <v>3</v>
      </c>
      <c r="K24" s="28"/>
      <c r="L24" s="28"/>
      <c r="M24" s="28"/>
    </row>
    <row r="25" spans="2:17" x14ac:dyDescent="0.25">
      <c r="B25" s="24">
        <v>45842</v>
      </c>
      <c r="C25" t="s">
        <v>189</v>
      </c>
      <c r="D25" t="s">
        <v>325</v>
      </c>
      <c r="E25" t="s">
        <v>187</v>
      </c>
      <c r="F25" s="18" t="s">
        <v>190</v>
      </c>
      <c r="G25" s="29">
        <v>4000</v>
      </c>
      <c r="H25" s="28">
        <v>8</v>
      </c>
      <c r="I25" s="28">
        <v>9</v>
      </c>
      <c r="K25" s="28" t="s">
        <v>330</v>
      </c>
      <c r="L25" s="28" t="s">
        <v>331</v>
      </c>
      <c r="M25" s="28"/>
      <c r="O25" s="20" t="s">
        <v>282</v>
      </c>
    </row>
    <row r="26" spans="2:17" x14ac:dyDescent="0.25">
      <c r="B26" s="24">
        <v>45847</v>
      </c>
      <c r="C26" t="s">
        <v>191</v>
      </c>
      <c r="D26" t="s">
        <v>326</v>
      </c>
      <c r="E26" t="s">
        <v>187</v>
      </c>
      <c r="F26" s="30">
        <v>0</v>
      </c>
      <c r="G26" s="29">
        <v>0</v>
      </c>
      <c r="H26" s="28">
        <v>5</v>
      </c>
      <c r="I26" s="28">
        <v>2</v>
      </c>
      <c r="K26" s="28"/>
      <c r="L26" s="28"/>
      <c r="M26" s="28"/>
      <c r="O26" s="21" t="s">
        <v>143</v>
      </c>
      <c r="P26" s="56">
        <f>AVERAGEIF($G:$G,"&gt;"&amp;0,$H:$H)</f>
        <v>7.8421052631578947</v>
      </c>
    </row>
    <row r="27" spans="2:17" x14ac:dyDescent="0.25">
      <c r="B27" s="24">
        <v>45860</v>
      </c>
      <c r="C27" t="s">
        <v>122</v>
      </c>
      <c r="D27" t="s">
        <v>327</v>
      </c>
      <c r="E27" t="s">
        <v>187</v>
      </c>
      <c r="F27" s="30" t="s">
        <v>126</v>
      </c>
      <c r="G27" s="29">
        <v>388</v>
      </c>
      <c r="H27" s="28">
        <v>8</v>
      </c>
      <c r="I27" s="28">
        <v>16</v>
      </c>
      <c r="K27" s="28"/>
      <c r="L27" s="28"/>
      <c r="M27" s="28"/>
      <c r="O27" s="21" t="s">
        <v>142</v>
      </c>
      <c r="P27" s="56">
        <f>AVERAGEIF($G:$G,0,$H:$H)</f>
        <v>4.8</v>
      </c>
    </row>
    <row r="28" spans="2:17" x14ac:dyDescent="0.25">
      <c r="B28" s="24">
        <v>45923</v>
      </c>
      <c r="C28" t="s">
        <v>280</v>
      </c>
      <c r="D28" t="s">
        <v>194</v>
      </c>
      <c r="E28" t="s">
        <v>187</v>
      </c>
      <c r="F28" s="18" t="s">
        <v>286</v>
      </c>
      <c r="G28" s="29">
        <v>1513</v>
      </c>
      <c r="H28" s="28">
        <v>9</v>
      </c>
      <c r="I28" s="28">
        <v>11</v>
      </c>
      <c r="K28" s="28" t="s">
        <v>330</v>
      </c>
      <c r="L28" s="28" t="s">
        <v>332</v>
      </c>
      <c r="M28" s="28"/>
    </row>
    <row r="29" spans="2:17" x14ac:dyDescent="0.25">
      <c r="B29" s="24">
        <v>45953</v>
      </c>
      <c r="C29" t="s">
        <v>301</v>
      </c>
      <c r="D29" t="s">
        <v>198</v>
      </c>
      <c r="E29" t="s">
        <v>137</v>
      </c>
      <c r="F29" s="30" t="s">
        <v>188</v>
      </c>
      <c r="G29" s="29">
        <v>760</v>
      </c>
      <c r="H29" s="28">
        <v>7</v>
      </c>
      <c r="I29" s="28">
        <v>10</v>
      </c>
      <c r="K29" s="28" t="s">
        <v>33</v>
      </c>
      <c r="L29" s="28" t="s">
        <v>295</v>
      </c>
      <c r="M29" s="28"/>
      <c r="O29" s="20" t="s">
        <v>287</v>
      </c>
    </row>
    <row r="30" spans="2:17" x14ac:dyDescent="0.25">
      <c r="B30" s="24">
        <v>45953</v>
      </c>
      <c r="C30" t="s">
        <v>301</v>
      </c>
      <c r="D30" t="s">
        <v>328</v>
      </c>
      <c r="E30" t="s">
        <v>128</v>
      </c>
      <c r="F30" s="18" t="s">
        <v>289</v>
      </c>
      <c r="G30" s="29">
        <v>1914</v>
      </c>
      <c r="H30" s="28">
        <v>9</v>
      </c>
      <c r="I30" s="28">
        <v>8</v>
      </c>
      <c r="K30" s="28" t="s">
        <v>33</v>
      </c>
      <c r="L30" s="28" t="s">
        <v>295</v>
      </c>
      <c r="M30" s="28"/>
      <c r="O30" s="21" t="s">
        <v>143</v>
      </c>
      <c r="P30" s="56">
        <f>AVERAGEIF($G:$G,"&gt;"&amp;0,$I:$I)</f>
        <v>7.2368421052631575</v>
      </c>
    </row>
    <row r="31" spans="2:17" x14ac:dyDescent="0.25">
      <c r="B31" s="24">
        <v>45960</v>
      </c>
      <c r="C31" t="s">
        <v>335</v>
      </c>
      <c r="D31" t="s">
        <v>336</v>
      </c>
      <c r="E31" t="s">
        <v>135</v>
      </c>
      <c r="F31" s="30">
        <v>0</v>
      </c>
      <c r="G31" s="29">
        <v>0</v>
      </c>
      <c r="H31" s="28" t="s">
        <v>157</v>
      </c>
      <c r="I31" s="28" t="s">
        <v>157</v>
      </c>
      <c r="K31" s="28" t="s">
        <v>334</v>
      </c>
      <c r="L31" s="28"/>
      <c r="M31" s="28" t="s">
        <v>135</v>
      </c>
      <c r="O31" s="21" t="s">
        <v>142</v>
      </c>
      <c r="P31" s="56">
        <f>AVERAGEIF($G:$G,0,$I:$I)</f>
        <v>5.25</v>
      </c>
    </row>
    <row r="32" spans="2:17" x14ac:dyDescent="0.25">
      <c r="B32" s="24">
        <v>45961</v>
      </c>
      <c r="C32" t="s">
        <v>279</v>
      </c>
      <c r="D32" t="s">
        <v>329</v>
      </c>
      <c r="E32" t="s">
        <v>284</v>
      </c>
      <c r="F32" s="18" t="s">
        <v>285</v>
      </c>
      <c r="G32" s="29">
        <v>4590</v>
      </c>
      <c r="H32" s="28">
        <v>10</v>
      </c>
      <c r="I32" s="28">
        <v>6</v>
      </c>
      <c r="K32" s="28" t="s">
        <v>33</v>
      </c>
      <c r="L32" s="28" t="s">
        <v>298</v>
      </c>
      <c r="M32" s="28" t="s">
        <v>333</v>
      </c>
      <c r="O32" s="57"/>
    </row>
    <row r="33" spans="2:17" x14ac:dyDescent="0.25">
      <c r="B33" s="24">
        <v>45988</v>
      </c>
      <c r="C33" t="s">
        <v>301</v>
      </c>
      <c r="D33" t="s">
        <v>324</v>
      </c>
      <c r="E33" t="s">
        <v>187</v>
      </c>
      <c r="F33" s="16" t="s">
        <v>188</v>
      </c>
      <c r="G33" s="29">
        <v>764</v>
      </c>
      <c r="H33" s="28">
        <v>9</v>
      </c>
      <c r="I33" s="28">
        <v>6</v>
      </c>
      <c r="K33" s="28" t="s">
        <v>33</v>
      </c>
      <c r="L33" s="28" t="s">
        <v>295</v>
      </c>
      <c r="M33" s="28"/>
      <c r="O33" s="57"/>
      <c r="Q33" s="57"/>
    </row>
    <row r="34" spans="2:17" x14ac:dyDescent="0.25">
      <c r="B34" s="24">
        <v>45993</v>
      </c>
      <c r="C34" t="s">
        <v>301</v>
      </c>
      <c r="D34" t="s">
        <v>290</v>
      </c>
      <c r="E34" t="s">
        <v>187</v>
      </c>
      <c r="F34" s="16" t="s">
        <v>188</v>
      </c>
      <c r="G34" s="29">
        <v>764</v>
      </c>
      <c r="H34" s="28">
        <v>6</v>
      </c>
      <c r="I34" s="28">
        <v>2</v>
      </c>
      <c r="K34" s="28" t="s">
        <v>330</v>
      </c>
      <c r="L34" s="28"/>
      <c r="M34" s="28"/>
      <c r="Q34" s="57"/>
    </row>
    <row r="35" spans="2:17" x14ac:dyDescent="0.25">
      <c r="B35" s="24">
        <v>45994</v>
      </c>
      <c r="C35" t="s">
        <v>301</v>
      </c>
      <c r="D35" t="s">
        <v>337</v>
      </c>
      <c r="E35" t="s">
        <v>338</v>
      </c>
      <c r="F35" s="18" t="s">
        <v>341</v>
      </c>
      <c r="G35" s="29">
        <v>4161</v>
      </c>
      <c r="H35" s="28">
        <v>7</v>
      </c>
      <c r="I35" s="28">
        <v>6</v>
      </c>
      <c r="K35" s="28" t="s">
        <v>33</v>
      </c>
      <c r="L35" s="28" t="s">
        <v>383</v>
      </c>
      <c r="M35" s="28" t="s">
        <v>340</v>
      </c>
    </row>
    <row r="36" spans="2:17" x14ac:dyDescent="0.25">
      <c r="B36" s="24">
        <v>46051</v>
      </c>
      <c r="C36" t="s">
        <v>351</v>
      </c>
      <c r="D36" t="s">
        <v>352</v>
      </c>
      <c r="E36" t="s">
        <v>187</v>
      </c>
      <c r="F36" s="16" t="s">
        <v>353</v>
      </c>
      <c r="G36" s="29">
        <v>2867</v>
      </c>
      <c r="H36" s="28">
        <v>7</v>
      </c>
      <c r="I36" s="28">
        <v>10</v>
      </c>
      <c r="K36" s="28"/>
      <c r="L36" s="28"/>
      <c r="M36" s="28"/>
    </row>
    <row r="37" spans="2:17" x14ac:dyDescent="0.25">
      <c r="B37" s="24">
        <v>46058</v>
      </c>
      <c r="C37" t="s">
        <v>301</v>
      </c>
      <c r="D37" t="s">
        <v>361</v>
      </c>
      <c r="E37" t="s">
        <v>187</v>
      </c>
      <c r="F37" s="18" t="s">
        <v>188</v>
      </c>
      <c r="G37" s="29">
        <v>724</v>
      </c>
      <c r="H37" s="28">
        <v>9</v>
      </c>
      <c r="I37" s="28">
        <v>5</v>
      </c>
      <c r="K37" s="28" t="s">
        <v>33</v>
      </c>
      <c r="L37" s="28" t="s">
        <v>295</v>
      </c>
      <c r="M37" s="28"/>
    </row>
    <row r="38" spans="2:17" x14ac:dyDescent="0.25">
      <c r="B38" s="24">
        <v>46083</v>
      </c>
      <c r="C38" t="s">
        <v>136</v>
      </c>
      <c r="D38" t="s">
        <v>303</v>
      </c>
      <c r="E38" t="s">
        <v>135</v>
      </c>
      <c r="F38" s="30">
        <v>0</v>
      </c>
      <c r="G38" s="29">
        <v>0</v>
      </c>
      <c r="H38" s="28" t="s">
        <v>157</v>
      </c>
      <c r="I38" s="28" t="s">
        <v>157</v>
      </c>
      <c r="K38" s="28" t="s">
        <v>334</v>
      </c>
      <c r="L38" s="28"/>
      <c r="M38" s="28"/>
      <c r="O38" s="21"/>
      <c r="P38" s="17"/>
    </row>
    <row r="39" spans="2:17" x14ac:dyDescent="0.25">
      <c r="B39" s="24">
        <v>46098</v>
      </c>
      <c r="C39" t="s">
        <v>371</v>
      </c>
      <c r="D39" t="s">
        <v>370</v>
      </c>
      <c r="E39" t="s">
        <v>187</v>
      </c>
      <c r="F39" s="18" t="s">
        <v>188</v>
      </c>
      <c r="G39" s="29">
        <v>724</v>
      </c>
      <c r="H39" s="28">
        <v>7</v>
      </c>
      <c r="I39" s="28">
        <v>10</v>
      </c>
      <c r="K39" s="28"/>
      <c r="L39" s="28"/>
      <c r="M39" s="28"/>
    </row>
    <row r="40" spans="2:17" x14ac:dyDescent="0.25">
      <c r="B40" s="24">
        <v>46101</v>
      </c>
      <c r="C40" t="s">
        <v>344</v>
      </c>
      <c r="D40" t="s">
        <v>372</v>
      </c>
      <c r="E40" t="s">
        <v>187</v>
      </c>
      <c r="F40" s="18" t="s">
        <v>373</v>
      </c>
      <c r="G40" s="29">
        <v>1075</v>
      </c>
      <c r="H40" s="28">
        <v>9</v>
      </c>
      <c r="I40" s="28">
        <v>14</v>
      </c>
      <c r="K40" s="28" t="s">
        <v>33</v>
      </c>
      <c r="L40" s="28" t="s">
        <v>383</v>
      </c>
      <c r="M40" s="28"/>
    </row>
    <row r="41" spans="2:17" x14ac:dyDescent="0.25">
      <c r="B41" s="24">
        <v>46101</v>
      </c>
      <c r="C41" t="s">
        <v>301</v>
      </c>
      <c r="D41" t="s">
        <v>365</v>
      </c>
      <c r="E41" t="s">
        <v>187</v>
      </c>
      <c r="F41" s="18" t="s">
        <v>374</v>
      </c>
      <c r="G41" s="29">
        <v>2150</v>
      </c>
      <c r="H41" s="28">
        <v>8</v>
      </c>
      <c r="I41" s="28">
        <v>6</v>
      </c>
      <c r="K41" s="28" t="s">
        <v>33</v>
      </c>
      <c r="L41" s="28" t="s">
        <v>295</v>
      </c>
    </row>
    <row r="42" spans="2:17" x14ac:dyDescent="0.25">
      <c r="B42" s="24">
        <v>46105</v>
      </c>
      <c r="C42" t="s">
        <v>375</v>
      </c>
      <c r="D42" t="s">
        <v>376</v>
      </c>
      <c r="E42" t="s">
        <v>187</v>
      </c>
      <c r="F42" s="18" t="s">
        <v>377</v>
      </c>
      <c r="G42" s="29">
        <f>1125+350</f>
        <v>1475</v>
      </c>
      <c r="H42" s="28">
        <v>8</v>
      </c>
      <c r="I42" s="28">
        <v>6</v>
      </c>
    </row>
    <row r="43" spans="2:17" x14ac:dyDescent="0.25">
      <c r="B43" s="24">
        <v>46108</v>
      </c>
      <c r="C43" t="s">
        <v>381</v>
      </c>
      <c r="D43" t="s">
        <v>382</v>
      </c>
      <c r="E43" t="s">
        <v>187</v>
      </c>
      <c r="F43" s="18" t="s">
        <v>373</v>
      </c>
      <c r="G43" s="29">
        <v>1046</v>
      </c>
      <c r="H43" s="28">
        <v>6</v>
      </c>
      <c r="I43" s="28">
        <v>7</v>
      </c>
    </row>
    <row r="44" spans="2:17" x14ac:dyDescent="0.25">
      <c r="B44" s="24">
        <v>46127</v>
      </c>
      <c r="C44" t="s">
        <v>391</v>
      </c>
      <c r="D44" t="s">
        <v>392</v>
      </c>
      <c r="E44" t="s">
        <v>187</v>
      </c>
      <c r="F44" s="18" t="s">
        <v>129</v>
      </c>
      <c r="G44" s="29">
        <v>500</v>
      </c>
      <c r="H44" s="28">
        <v>8</v>
      </c>
      <c r="I44" s="28">
        <v>7</v>
      </c>
    </row>
    <row r="45" spans="2:17" x14ac:dyDescent="0.25">
      <c r="B45" s="24">
        <v>46136</v>
      </c>
      <c r="C45" t="s">
        <v>301</v>
      </c>
      <c r="D45" t="s">
        <v>368</v>
      </c>
      <c r="E45" t="s">
        <v>187</v>
      </c>
      <c r="F45" s="18" t="s">
        <v>188</v>
      </c>
      <c r="G45" s="29">
        <v>700</v>
      </c>
      <c r="H45" s="28">
        <v>8</v>
      </c>
      <c r="I45" s="28">
        <v>6</v>
      </c>
      <c r="K45" s="28" t="s">
        <v>33</v>
      </c>
    </row>
    <row r="46" spans="2:17" x14ac:dyDescent="0.25">
      <c r="B46" s="24">
        <v>46136</v>
      </c>
      <c r="C46" t="s">
        <v>301</v>
      </c>
      <c r="D46" t="s">
        <v>384</v>
      </c>
      <c r="E46" t="s">
        <v>187</v>
      </c>
      <c r="F46" s="18" t="s">
        <v>373</v>
      </c>
      <c r="G46" s="29">
        <v>1046</v>
      </c>
      <c r="H46" s="28">
        <v>8</v>
      </c>
      <c r="I46" s="28">
        <v>7</v>
      </c>
      <c r="K46" s="28" t="s">
        <v>33</v>
      </c>
    </row>
    <row r="47" spans="2:17" x14ac:dyDescent="0.25">
      <c r="B47" s="24">
        <v>46146</v>
      </c>
      <c r="C47" t="s">
        <v>393</v>
      </c>
      <c r="D47" t="s">
        <v>394</v>
      </c>
      <c r="E47" t="s">
        <v>187</v>
      </c>
      <c r="F47" s="18" t="s">
        <v>395</v>
      </c>
      <c r="G47" s="29">
        <v>800</v>
      </c>
      <c r="H47" s="28">
        <v>9</v>
      </c>
      <c r="I47" s="28">
        <v>11</v>
      </c>
      <c r="K47" s="28" t="s">
        <v>33</v>
      </c>
      <c r="L47" s="28" t="s">
        <v>295</v>
      </c>
    </row>
    <row r="48" spans="2:17" x14ac:dyDescent="0.25">
      <c r="B48" s="62">
        <v>46150</v>
      </c>
      <c r="C48" t="s">
        <v>301</v>
      </c>
      <c r="D48" t="s">
        <v>400</v>
      </c>
      <c r="E48" t="s">
        <v>187</v>
      </c>
      <c r="F48" s="18" t="s">
        <v>373</v>
      </c>
      <c r="G48" s="29">
        <v>1046</v>
      </c>
      <c r="H48" s="28">
        <v>8</v>
      </c>
      <c r="I48" s="28">
        <v>7</v>
      </c>
      <c r="K48" s="28" t="s">
        <v>33</v>
      </c>
      <c r="L48" s="28" t="s">
        <v>295</v>
      </c>
      <c r="M48" s="28" t="s">
        <v>409</v>
      </c>
    </row>
    <row r="49" spans="2:13" x14ac:dyDescent="0.25">
      <c r="B49" s="62">
        <v>46183</v>
      </c>
      <c r="C49" t="s">
        <v>406</v>
      </c>
      <c r="D49" t="s">
        <v>407</v>
      </c>
      <c r="E49" t="s">
        <v>137</v>
      </c>
      <c r="F49" s="18" t="s">
        <v>408</v>
      </c>
      <c r="G49" s="29">
        <v>975</v>
      </c>
      <c r="H49" s="28">
        <v>9</v>
      </c>
      <c r="I49" s="28">
        <v>4</v>
      </c>
      <c r="K49" s="28" t="s">
        <v>33</v>
      </c>
      <c r="L49" s="28" t="s">
        <v>295</v>
      </c>
    </row>
    <row r="50" spans="2:13" x14ac:dyDescent="0.25">
      <c r="B50" s="24">
        <v>46195</v>
      </c>
      <c r="C50" t="s">
        <v>301</v>
      </c>
      <c r="D50" t="s">
        <v>397</v>
      </c>
      <c r="E50" t="s">
        <v>187</v>
      </c>
      <c r="F50" s="18" t="s">
        <v>398</v>
      </c>
      <c r="G50" s="29">
        <v>1513</v>
      </c>
      <c r="H50" s="28">
        <v>7</v>
      </c>
      <c r="I50" s="28">
        <v>11</v>
      </c>
      <c r="K50" s="28" t="s">
        <v>33</v>
      </c>
      <c r="L50" s="28" t="s">
        <v>295</v>
      </c>
    </row>
    <row r="51" spans="2:13" x14ac:dyDescent="0.25">
      <c r="B51" s="24">
        <v>46196</v>
      </c>
      <c r="C51" t="s">
        <v>301</v>
      </c>
      <c r="D51" t="s">
        <v>399</v>
      </c>
      <c r="E51" t="s">
        <v>187</v>
      </c>
      <c r="F51" s="18" t="s">
        <v>398</v>
      </c>
      <c r="G51" s="29">
        <v>1513</v>
      </c>
    </row>
    <row r="52" spans="2:13" x14ac:dyDescent="0.25">
      <c r="B52" s="24">
        <v>46198</v>
      </c>
      <c r="C52" t="s">
        <v>301</v>
      </c>
      <c r="D52" t="s">
        <v>387</v>
      </c>
      <c r="E52" t="s">
        <v>187</v>
      </c>
      <c r="F52" s="18" t="s">
        <v>373</v>
      </c>
      <c r="G52" s="29">
        <v>1046</v>
      </c>
      <c r="H52" s="28">
        <v>6</v>
      </c>
      <c r="I52" s="28">
        <v>6</v>
      </c>
      <c r="K52" s="28" t="s">
        <v>33</v>
      </c>
      <c r="L52" s="28" t="s">
        <v>383</v>
      </c>
      <c r="M52" s="28" t="s">
        <v>340</v>
      </c>
    </row>
    <row r="53" spans="2:13" x14ac:dyDescent="0.25">
      <c r="B53" s="24">
        <v>46198</v>
      </c>
      <c r="C53" t="s">
        <v>301</v>
      </c>
      <c r="D53" t="s">
        <v>361</v>
      </c>
      <c r="E53" t="s">
        <v>187</v>
      </c>
      <c r="F53" s="18" t="s">
        <v>398</v>
      </c>
      <c r="G53" s="29">
        <v>1513</v>
      </c>
      <c r="H53" s="28">
        <v>8</v>
      </c>
      <c r="I53" s="28">
        <v>10</v>
      </c>
      <c r="K53" s="28" t="s">
        <v>33</v>
      </c>
      <c r="L53" s="28" t="s">
        <v>295</v>
      </c>
    </row>
    <row r="54" spans="2:13" x14ac:dyDescent="0.25">
      <c r="B54" s="62">
        <v>46219</v>
      </c>
      <c r="C54" t="s">
        <v>406</v>
      </c>
      <c r="D54" t="s">
        <v>407</v>
      </c>
      <c r="E54" t="s">
        <v>137</v>
      </c>
      <c r="F54" s="18" t="s">
        <v>408</v>
      </c>
      <c r="G54" s="29">
        <v>975</v>
      </c>
      <c r="H54" s="28">
        <v>9</v>
      </c>
      <c r="I54" s="28">
        <v>4</v>
      </c>
      <c r="K54" s="28" t="s">
        <v>33</v>
      </c>
      <c r="L54" s="28" t="s">
        <v>295</v>
      </c>
    </row>
    <row r="55" spans="2:13" x14ac:dyDescent="0.25">
      <c r="B55" s="62">
        <v>46272</v>
      </c>
      <c r="C55" t="s">
        <v>423</v>
      </c>
      <c r="D55" t="s">
        <v>424</v>
      </c>
      <c r="E55" t="s">
        <v>187</v>
      </c>
      <c r="F55" s="18" t="s">
        <v>422</v>
      </c>
      <c r="G55" s="29">
        <v>1500</v>
      </c>
      <c r="H55" s="28">
        <v>8</v>
      </c>
      <c r="I55" s="28">
        <v>11</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7A4D-4E38-41EE-9377-506A6B77FDCA}">
  <dimension ref="B2:L67"/>
  <sheetViews>
    <sheetView zoomScale="85" zoomScaleNormal="85" workbookViewId="0">
      <pane ySplit="2" topLeftCell="A53" activePane="bottomLeft" state="frozen"/>
      <selection activeCell="G14" sqref="F14:G14"/>
      <selection pane="bottomLeft" activeCell="H54" sqref="B54:H55"/>
    </sheetView>
  </sheetViews>
  <sheetFormatPr defaultRowHeight="15" x14ac:dyDescent="0.25"/>
  <cols>
    <col min="1" max="1" width="2.7109375" customWidth="1"/>
    <col min="2" max="2" width="21.7109375" bestFit="1" customWidth="1"/>
    <col min="3" max="3" width="25.5703125" bestFit="1" customWidth="1"/>
    <col min="4" max="4" width="25.85546875" customWidth="1"/>
    <col min="5" max="5" width="59.140625" bestFit="1" customWidth="1"/>
    <col min="6" max="6" width="25.140625" customWidth="1"/>
    <col min="7" max="7" width="11.42578125" style="34" customWidth="1"/>
    <col min="8" max="8" width="61.7109375" style="34" customWidth="1"/>
  </cols>
  <sheetData>
    <row r="2" spans="2:8" x14ac:dyDescent="0.25">
      <c r="B2" s="40" t="s">
        <v>160</v>
      </c>
      <c r="C2" s="40" t="s">
        <v>1</v>
      </c>
      <c r="D2" s="40" t="s">
        <v>2</v>
      </c>
      <c r="E2" s="40" t="s">
        <v>3</v>
      </c>
      <c r="F2" s="40" t="s">
        <v>4</v>
      </c>
      <c r="G2" s="40" t="s">
        <v>5</v>
      </c>
      <c r="H2" s="40" t="s">
        <v>7</v>
      </c>
    </row>
    <row r="3" spans="2:8" x14ac:dyDescent="0.25">
      <c r="B3" s="52"/>
      <c r="C3" s="52"/>
      <c r="D3" s="52"/>
      <c r="E3" s="52"/>
      <c r="F3" s="52"/>
      <c r="G3" s="52"/>
      <c r="H3" s="52"/>
    </row>
    <row r="4" spans="2:8" s="34" customFormat="1" x14ac:dyDescent="0.25">
      <c r="B4" s="53" t="s">
        <v>276</v>
      </c>
      <c r="C4" s="54"/>
      <c r="D4" s="54"/>
      <c r="E4" s="54"/>
      <c r="F4" s="54"/>
      <c r="G4" s="54"/>
      <c r="H4" s="54"/>
    </row>
    <row r="5" spans="2:8" ht="105" x14ac:dyDescent="0.25">
      <c r="B5" s="35"/>
      <c r="C5" s="36" t="s">
        <v>54</v>
      </c>
      <c r="D5" s="37" t="s">
        <v>22</v>
      </c>
      <c r="E5" s="38" t="s">
        <v>163</v>
      </c>
      <c r="F5" s="36" t="s">
        <v>88</v>
      </c>
      <c r="G5" s="36" t="s">
        <v>16</v>
      </c>
      <c r="H5" s="36" t="s">
        <v>161</v>
      </c>
    </row>
    <row r="6" spans="2:8" ht="90" x14ac:dyDescent="0.25">
      <c r="B6" s="35"/>
      <c r="C6" s="36" t="s">
        <v>54</v>
      </c>
      <c r="D6" s="37" t="s">
        <v>22</v>
      </c>
      <c r="E6" s="38" t="s">
        <v>171</v>
      </c>
      <c r="F6" s="36" t="s">
        <v>170</v>
      </c>
      <c r="G6" s="36" t="s">
        <v>16</v>
      </c>
      <c r="H6" s="36" t="s">
        <v>109</v>
      </c>
    </row>
    <row r="7" spans="2:8" ht="75" x14ac:dyDescent="0.25">
      <c r="B7" s="33"/>
      <c r="C7" s="36" t="s">
        <v>54</v>
      </c>
      <c r="D7" s="37" t="s">
        <v>22</v>
      </c>
      <c r="E7" s="38" t="s">
        <v>176</v>
      </c>
      <c r="H7" s="36" t="s">
        <v>180</v>
      </c>
    </row>
    <row r="8" spans="2:8" x14ac:dyDescent="0.25">
      <c r="B8" s="35"/>
      <c r="C8" s="36"/>
      <c r="D8" s="37"/>
      <c r="E8" s="38"/>
      <c r="F8" s="36"/>
      <c r="G8" s="36"/>
      <c r="H8" s="36"/>
    </row>
    <row r="9" spans="2:8" s="34" customFormat="1" ht="30" x14ac:dyDescent="0.25">
      <c r="B9" s="53" t="s">
        <v>277</v>
      </c>
      <c r="C9" s="36"/>
      <c r="D9" s="37"/>
      <c r="E9" s="38"/>
      <c r="F9" s="36"/>
      <c r="G9" s="36"/>
      <c r="H9" s="36"/>
    </row>
    <row r="10" spans="2:8" ht="30" x14ac:dyDescent="0.25">
      <c r="B10" s="33" t="s">
        <v>174</v>
      </c>
      <c r="C10" s="36" t="s">
        <v>54</v>
      </c>
      <c r="D10" s="37"/>
      <c r="E10" s="41" t="s">
        <v>172</v>
      </c>
      <c r="H10" s="34" t="s">
        <v>185</v>
      </c>
    </row>
    <row r="11" spans="2:8" ht="30" x14ac:dyDescent="0.25">
      <c r="B11" s="33" t="s">
        <v>175</v>
      </c>
      <c r="C11" s="36" t="s">
        <v>54</v>
      </c>
      <c r="D11" s="37"/>
      <c r="E11" s="41" t="s">
        <v>172</v>
      </c>
      <c r="H11" s="34" t="s">
        <v>185</v>
      </c>
    </row>
    <row r="12" spans="2:8" ht="30" x14ac:dyDescent="0.25">
      <c r="B12" s="33" t="s">
        <v>192</v>
      </c>
      <c r="C12" s="36" t="s">
        <v>54</v>
      </c>
      <c r="D12" s="37"/>
      <c r="E12" s="32" t="s">
        <v>195</v>
      </c>
      <c r="H12" s="31" t="s">
        <v>185</v>
      </c>
    </row>
    <row r="13" spans="2:8" ht="30" x14ac:dyDescent="0.25">
      <c r="B13" s="33" t="s">
        <v>193</v>
      </c>
      <c r="C13" s="36" t="s">
        <v>54</v>
      </c>
      <c r="D13" s="37"/>
      <c r="E13" s="32" t="s">
        <v>196</v>
      </c>
      <c r="H13" s="31" t="s">
        <v>185</v>
      </c>
    </row>
    <row r="14" spans="2:8" ht="45" x14ac:dyDescent="0.25">
      <c r="B14" s="33" t="s">
        <v>194</v>
      </c>
      <c r="C14" s="36" t="s">
        <v>54</v>
      </c>
      <c r="D14" s="37"/>
      <c r="E14" s="32" t="s">
        <v>197</v>
      </c>
      <c r="H14" s="31" t="s">
        <v>354</v>
      </c>
    </row>
    <row r="15" spans="2:8" ht="30" x14ac:dyDescent="0.25">
      <c r="B15" s="33" t="s">
        <v>198</v>
      </c>
      <c r="C15" s="36" t="s">
        <v>54</v>
      </c>
      <c r="D15" s="37"/>
      <c r="E15" s="32" t="s">
        <v>199</v>
      </c>
      <c r="H15" s="31" t="s">
        <v>185</v>
      </c>
    </row>
    <row r="16" spans="2:8" ht="90" x14ac:dyDescent="0.25">
      <c r="B16" s="33" t="s">
        <v>290</v>
      </c>
      <c r="C16" s="36" t="s">
        <v>54</v>
      </c>
      <c r="D16" s="37"/>
      <c r="E16" s="32" t="s">
        <v>291</v>
      </c>
      <c r="H16" s="31" t="s">
        <v>292</v>
      </c>
    </row>
    <row r="17" spans="2:8" ht="30" x14ac:dyDescent="0.25">
      <c r="B17" s="33" t="s">
        <v>361</v>
      </c>
      <c r="C17" s="36" t="s">
        <v>54</v>
      </c>
      <c r="D17" s="37"/>
      <c r="E17" s="32" t="s">
        <v>348</v>
      </c>
      <c r="H17" s="31" t="s">
        <v>185</v>
      </c>
    </row>
    <row r="18" spans="2:8" ht="30" x14ac:dyDescent="0.25">
      <c r="B18" s="33" t="s">
        <v>365</v>
      </c>
      <c r="C18" s="36" t="s">
        <v>54</v>
      </c>
      <c r="D18" s="37"/>
      <c r="E18" s="32" t="s">
        <v>366</v>
      </c>
      <c r="H18" s="31" t="s">
        <v>367</v>
      </c>
    </row>
    <row r="19" spans="2:8" ht="30" x14ac:dyDescent="0.25">
      <c r="B19" s="33" t="s">
        <v>368</v>
      </c>
      <c r="C19" s="36" t="s">
        <v>54</v>
      </c>
      <c r="D19" s="37"/>
      <c r="E19" s="32" t="s">
        <v>369</v>
      </c>
      <c r="H19" s="31" t="s">
        <v>185</v>
      </c>
    </row>
    <row r="20" spans="2:8" ht="45" x14ac:dyDescent="0.25">
      <c r="B20" s="33" t="s">
        <v>384</v>
      </c>
      <c r="C20" s="36" t="s">
        <v>54</v>
      </c>
      <c r="D20" s="37"/>
      <c r="E20" s="32" t="s">
        <v>385</v>
      </c>
      <c r="H20" s="31" t="s">
        <v>386</v>
      </c>
    </row>
    <row r="21" spans="2:8" x14ac:dyDescent="0.25">
      <c r="B21" s="33"/>
      <c r="C21" s="36"/>
      <c r="D21" s="37"/>
      <c r="E21" s="32"/>
      <c r="H21" s="31"/>
    </row>
    <row r="22" spans="2:8" ht="60" x14ac:dyDescent="0.25">
      <c r="B22" s="33" t="s">
        <v>400</v>
      </c>
      <c r="C22" s="36" t="s">
        <v>54</v>
      </c>
      <c r="D22" s="37"/>
      <c r="E22" s="32" t="s">
        <v>403</v>
      </c>
      <c r="H22" s="34" t="s">
        <v>404</v>
      </c>
    </row>
    <row r="23" spans="2:8" ht="76.5" customHeight="1" x14ac:dyDescent="0.25">
      <c r="B23" s="33" t="s">
        <v>399</v>
      </c>
      <c r="C23" s="36" t="s">
        <v>54</v>
      </c>
      <c r="D23" s="37"/>
      <c r="E23" s="32" t="s">
        <v>401</v>
      </c>
      <c r="H23" s="34" t="s">
        <v>405</v>
      </c>
    </row>
    <row r="24" spans="2:8" x14ac:dyDescent="0.25">
      <c r="B24" s="33"/>
      <c r="C24" s="36"/>
      <c r="D24" s="37"/>
      <c r="E24" s="32"/>
    </row>
    <row r="25" spans="2:8" ht="30" x14ac:dyDescent="0.25">
      <c r="B25" s="33" t="s">
        <v>387</v>
      </c>
      <c r="C25" s="36" t="s">
        <v>54</v>
      </c>
      <c r="D25" s="37"/>
      <c r="E25" s="32" t="s">
        <v>388</v>
      </c>
      <c r="H25" s="31" t="s">
        <v>185</v>
      </c>
    </row>
    <row r="26" spans="2:8" ht="30" x14ac:dyDescent="0.25">
      <c r="B26" s="33" t="s">
        <v>397</v>
      </c>
      <c r="C26" s="36" t="s">
        <v>54</v>
      </c>
      <c r="D26" s="37"/>
      <c r="E26" s="32" t="s">
        <v>402</v>
      </c>
      <c r="H26" s="34" t="s">
        <v>185</v>
      </c>
    </row>
    <row r="27" spans="2:8" ht="30" x14ac:dyDescent="0.25">
      <c r="B27" s="33" t="s">
        <v>361</v>
      </c>
      <c r="C27" s="36" t="s">
        <v>54</v>
      </c>
      <c r="D27" s="37"/>
      <c r="E27" s="32" t="s">
        <v>348</v>
      </c>
      <c r="H27" s="34" t="s">
        <v>185</v>
      </c>
    </row>
    <row r="28" spans="2:8" x14ac:dyDescent="0.25">
      <c r="B28" s="33"/>
      <c r="C28" s="36"/>
      <c r="D28" s="37"/>
      <c r="E28" s="32"/>
      <c r="H28" s="31"/>
    </row>
    <row r="29" spans="2:8" x14ac:dyDescent="0.25">
      <c r="B29" s="33"/>
      <c r="C29" s="36"/>
      <c r="D29" s="37"/>
      <c r="E29" s="32"/>
      <c r="H29" s="31"/>
    </row>
    <row r="30" spans="2:8" ht="45" x14ac:dyDescent="0.25">
      <c r="B30" s="33" t="s">
        <v>361</v>
      </c>
      <c r="C30" s="36" t="s">
        <v>54</v>
      </c>
      <c r="D30" s="37"/>
      <c r="E30" s="32" t="s">
        <v>348</v>
      </c>
      <c r="H30" s="34" t="s">
        <v>410</v>
      </c>
    </row>
    <row r="31" spans="2:8" x14ac:dyDescent="0.25">
      <c r="B31" s="33"/>
      <c r="C31" s="36"/>
      <c r="D31" s="37"/>
      <c r="E31" s="32"/>
      <c r="H31" s="31"/>
    </row>
    <row r="32" spans="2:8" x14ac:dyDescent="0.25">
      <c r="B32" s="33"/>
      <c r="C32" s="36"/>
      <c r="D32" s="37"/>
      <c r="E32" s="32"/>
      <c r="H32" s="31"/>
    </row>
    <row r="33" spans="2:12" x14ac:dyDescent="0.25">
      <c r="B33" s="33"/>
      <c r="C33" s="36"/>
      <c r="D33" s="37"/>
      <c r="E33" s="32"/>
      <c r="H33" s="31"/>
    </row>
    <row r="34" spans="2:12" x14ac:dyDescent="0.25">
      <c r="B34" s="33"/>
      <c r="C34" s="36"/>
      <c r="D34" s="37"/>
      <c r="E34" s="32"/>
      <c r="H34" s="31"/>
    </row>
    <row r="35" spans="2:12" x14ac:dyDescent="0.25">
      <c r="B35" s="33"/>
      <c r="C35" s="36"/>
      <c r="D35" s="37"/>
      <c r="E35" s="32"/>
      <c r="H35" s="31"/>
    </row>
    <row r="36" spans="2:12" x14ac:dyDescent="0.25">
      <c r="B36" s="35"/>
      <c r="C36" s="36"/>
      <c r="D36" s="37"/>
      <c r="E36" s="38"/>
      <c r="F36" s="36"/>
      <c r="G36" s="36"/>
      <c r="H36" s="36"/>
    </row>
    <row r="37" spans="2:12" x14ac:dyDescent="0.25">
      <c r="B37" s="53" t="s">
        <v>278</v>
      </c>
      <c r="C37" s="36"/>
      <c r="D37" s="37"/>
      <c r="E37" s="38"/>
      <c r="F37" s="36"/>
      <c r="G37" s="36"/>
      <c r="H37" s="36"/>
    </row>
    <row r="38" spans="2:12" ht="75" x14ac:dyDescent="0.25">
      <c r="B38" s="35"/>
      <c r="C38" s="36" t="s">
        <v>92</v>
      </c>
      <c r="D38" s="37" t="s">
        <v>13</v>
      </c>
      <c r="E38" s="38" t="s">
        <v>164</v>
      </c>
      <c r="F38" s="36" t="s">
        <v>94</v>
      </c>
      <c r="G38" s="36" t="s">
        <v>16</v>
      </c>
      <c r="H38" s="36" t="s">
        <v>95</v>
      </c>
    </row>
    <row r="39" spans="2:12" ht="90" x14ac:dyDescent="0.25">
      <c r="B39" s="39"/>
      <c r="C39" s="36" t="s">
        <v>54</v>
      </c>
      <c r="D39" s="37" t="s">
        <v>22</v>
      </c>
      <c r="E39" s="32" t="s">
        <v>167</v>
      </c>
      <c r="F39" s="36" t="s">
        <v>166</v>
      </c>
      <c r="G39" s="36" t="s">
        <v>16</v>
      </c>
      <c r="H39" s="36" t="s">
        <v>162</v>
      </c>
    </row>
    <row r="40" spans="2:12" ht="165" x14ac:dyDescent="0.25">
      <c r="B40" s="36"/>
      <c r="C40" s="36" t="s">
        <v>54</v>
      </c>
      <c r="D40" s="37" t="s">
        <v>22</v>
      </c>
      <c r="E40" s="38" t="s">
        <v>165</v>
      </c>
      <c r="F40" s="36" t="s">
        <v>99</v>
      </c>
      <c r="G40" s="36" t="s">
        <v>16</v>
      </c>
      <c r="H40" s="36" t="s">
        <v>100</v>
      </c>
    </row>
    <row r="41" spans="2:12" ht="75" x14ac:dyDescent="0.25">
      <c r="B41" s="35"/>
      <c r="C41" s="36" t="s">
        <v>103</v>
      </c>
      <c r="D41" s="37" t="s">
        <v>13</v>
      </c>
      <c r="E41" s="38" t="s">
        <v>168</v>
      </c>
      <c r="F41" s="36" t="s">
        <v>169</v>
      </c>
      <c r="G41" s="36" t="s">
        <v>16</v>
      </c>
      <c r="H41" s="36" t="s">
        <v>106</v>
      </c>
    </row>
    <row r="42" spans="2:12" ht="60" x14ac:dyDescent="0.25">
      <c r="B42" s="33"/>
      <c r="C42" s="36" t="s">
        <v>54</v>
      </c>
      <c r="D42" s="37" t="s">
        <v>22</v>
      </c>
      <c r="E42" s="31" t="s">
        <v>179</v>
      </c>
      <c r="H42" s="31" t="s">
        <v>184</v>
      </c>
    </row>
    <row r="44" spans="2:12" ht="90" x14ac:dyDescent="0.25">
      <c r="B44" s="33"/>
      <c r="C44" s="36" t="s">
        <v>54</v>
      </c>
      <c r="D44" s="37" t="s">
        <v>22</v>
      </c>
      <c r="E44" s="38" t="s">
        <v>177</v>
      </c>
      <c r="H44" s="31" t="s">
        <v>181</v>
      </c>
    </row>
    <row r="45" spans="2:12" ht="75" x14ac:dyDescent="0.25">
      <c r="B45" s="33"/>
      <c r="C45" s="36" t="s">
        <v>54</v>
      </c>
      <c r="D45" s="37" t="s">
        <v>22</v>
      </c>
      <c r="E45" s="38" t="s">
        <v>178</v>
      </c>
      <c r="H45" s="31" t="s">
        <v>183</v>
      </c>
    </row>
    <row r="46" spans="2:12" ht="90" x14ac:dyDescent="0.25">
      <c r="B46" s="33"/>
      <c r="C46" s="36" t="s">
        <v>54</v>
      </c>
      <c r="D46" s="37"/>
      <c r="E46" s="32" t="s">
        <v>346</v>
      </c>
      <c r="H46" s="36" t="s">
        <v>347</v>
      </c>
    </row>
    <row r="47" spans="2:12" ht="90" x14ac:dyDescent="0.25">
      <c r="B47" s="35"/>
      <c r="C47" s="36" t="s">
        <v>54</v>
      </c>
      <c r="D47" s="37"/>
      <c r="E47" s="38" t="s">
        <v>350</v>
      </c>
      <c r="F47" s="36"/>
      <c r="G47" s="36"/>
      <c r="H47" s="36" t="s">
        <v>349</v>
      </c>
    </row>
    <row r="48" spans="2:12" ht="75" x14ac:dyDescent="0.25">
      <c r="B48" s="35"/>
      <c r="C48" s="36" t="s">
        <v>54</v>
      </c>
      <c r="D48" s="37"/>
      <c r="E48" s="38" t="s">
        <v>355</v>
      </c>
      <c r="F48" s="36"/>
      <c r="G48" s="36"/>
      <c r="H48" s="36" t="s">
        <v>356</v>
      </c>
      <c r="J48" s="59"/>
      <c r="L48" s="59"/>
    </row>
    <row r="49" spans="2:12" ht="90" x14ac:dyDescent="0.25">
      <c r="B49" s="35"/>
      <c r="C49" s="36" t="s">
        <v>54</v>
      </c>
      <c r="D49" s="37"/>
      <c r="E49" s="38" t="s">
        <v>357</v>
      </c>
      <c r="F49" s="36"/>
      <c r="G49" s="36"/>
      <c r="H49" s="36" t="s">
        <v>358</v>
      </c>
      <c r="J49" s="59"/>
      <c r="L49" s="59"/>
    </row>
    <row r="50" spans="2:12" ht="75" x14ac:dyDescent="0.25">
      <c r="B50" s="35"/>
      <c r="C50" s="36" t="s">
        <v>54</v>
      </c>
      <c r="D50" s="37"/>
      <c r="E50" s="38" t="s">
        <v>359</v>
      </c>
      <c r="F50" s="36"/>
      <c r="G50" s="36"/>
      <c r="H50" s="36" t="s">
        <v>360</v>
      </c>
      <c r="J50" s="59"/>
      <c r="L50" s="59"/>
    </row>
    <row r="51" spans="2:12" ht="75" x14ac:dyDescent="0.25">
      <c r="B51" s="35"/>
      <c r="C51" s="36" t="s">
        <v>54</v>
      </c>
      <c r="D51" s="37"/>
      <c r="E51" s="38" t="s">
        <v>389</v>
      </c>
      <c r="F51" s="36"/>
      <c r="G51" s="36"/>
      <c r="H51" s="36" t="s">
        <v>390</v>
      </c>
      <c r="J51" s="59"/>
      <c r="L51" s="59"/>
    </row>
    <row r="52" spans="2:12" ht="75" x14ac:dyDescent="0.25">
      <c r="B52" s="35" t="s">
        <v>419</v>
      </c>
      <c r="C52" s="36" t="s">
        <v>54</v>
      </c>
      <c r="D52" s="37"/>
      <c r="E52" s="38" t="s">
        <v>411</v>
      </c>
      <c r="F52" s="36"/>
      <c r="G52" s="36"/>
      <c r="H52" s="36" t="s">
        <v>412</v>
      </c>
      <c r="J52" s="59"/>
      <c r="L52" s="59"/>
    </row>
    <row r="53" spans="2:12" ht="90" x14ac:dyDescent="0.25">
      <c r="B53" s="35" t="s">
        <v>418</v>
      </c>
      <c r="C53" s="36" t="s">
        <v>54</v>
      </c>
      <c r="D53" s="37"/>
      <c r="E53" s="38" t="s">
        <v>413</v>
      </c>
      <c r="F53" s="36"/>
      <c r="G53" s="36"/>
      <c r="H53" s="36" t="s">
        <v>414</v>
      </c>
      <c r="J53" s="59"/>
      <c r="L53" s="59"/>
    </row>
    <row r="54" spans="2:12" ht="75" x14ac:dyDescent="0.25">
      <c r="B54" s="35" t="s">
        <v>417</v>
      </c>
      <c r="C54" s="36" t="s">
        <v>54</v>
      </c>
      <c r="D54" s="37"/>
      <c r="E54" s="38" t="s">
        <v>415</v>
      </c>
      <c r="F54" s="36"/>
      <c r="G54" s="36"/>
      <c r="H54" s="36" t="s">
        <v>416</v>
      </c>
    </row>
    <row r="55" spans="2:12" ht="90" x14ac:dyDescent="0.25">
      <c r="B55" s="35" t="s">
        <v>417</v>
      </c>
      <c r="C55" s="36" t="s">
        <v>54</v>
      </c>
      <c r="D55" s="37"/>
      <c r="E55" s="38" t="s">
        <v>420</v>
      </c>
      <c r="F55" s="36"/>
      <c r="G55" s="36"/>
      <c r="H55" s="36" t="s">
        <v>421</v>
      </c>
    </row>
    <row r="56" spans="2:12" x14ac:dyDescent="0.25">
      <c r="B56" s="35"/>
      <c r="C56" s="36"/>
      <c r="D56" s="37"/>
      <c r="E56" s="38"/>
      <c r="F56" s="36"/>
      <c r="G56" s="36"/>
      <c r="H56" s="36"/>
    </row>
    <row r="57" spans="2:12" x14ac:dyDescent="0.25">
      <c r="B57" s="35"/>
      <c r="C57" s="36"/>
      <c r="D57" s="37"/>
      <c r="E57" s="38"/>
      <c r="F57" s="36"/>
      <c r="G57" s="36"/>
      <c r="H57" s="36"/>
    </row>
    <row r="58" spans="2:12" x14ac:dyDescent="0.25">
      <c r="B58" s="35"/>
      <c r="C58" s="36"/>
      <c r="D58" s="37"/>
      <c r="E58" s="38"/>
      <c r="F58" s="36"/>
      <c r="G58" s="36"/>
      <c r="H58" s="31"/>
    </row>
    <row r="59" spans="2:12" x14ac:dyDescent="0.25">
      <c r="B59" s="33"/>
      <c r="C59" s="36"/>
      <c r="D59" s="37"/>
      <c r="E59" s="32"/>
    </row>
    <row r="60" spans="2:12" x14ac:dyDescent="0.25">
      <c r="B60" s="55" t="s">
        <v>160</v>
      </c>
      <c r="C60" s="55" t="s">
        <v>1</v>
      </c>
      <c r="D60" s="55" t="s">
        <v>2</v>
      </c>
      <c r="E60" s="55" t="s">
        <v>3</v>
      </c>
      <c r="F60" s="55" t="s">
        <v>4</v>
      </c>
      <c r="G60" s="55" t="s">
        <v>5</v>
      </c>
      <c r="H60" s="55" t="s">
        <v>7</v>
      </c>
    </row>
    <row r="62" spans="2:12" ht="75" x14ac:dyDescent="0.25">
      <c r="B62" s="33"/>
      <c r="C62" s="36" t="s">
        <v>66</v>
      </c>
      <c r="D62" s="37" t="s">
        <v>22</v>
      </c>
      <c r="E62" s="32" t="s">
        <v>173</v>
      </c>
      <c r="H62" s="31" t="s">
        <v>182</v>
      </c>
    </row>
    <row r="64" spans="2:12" x14ac:dyDescent="0.25">
      <c r="B64" s="60" t="s">
        <v>160</v>
      </c>
      <c r="C64" s="60" t="s">
        <v>1</v>
      </c>
      <c r="D64" s="60" t="s">
        <v>2</v>
      </c>
      <c r="E64" s="60" t="s">
        <v>3</v>
      </c>
      <c r="F64" s="60" t="s">
        <v>4</v>
      </c>
      <c r="G64" s="60" t="s">
        <v>5</v>
      </c>
      <c r="H64" s="60" t="s">
        <v>7</v>
      </c>
    </row>
    <row r="66" spans="2:8" ht="120" x14ac:dyDescent="0.25">
      <c r="B66" s="33"/>
      <c r="C66" s="36" t="s">
        <v>362</v>
      </c>
      <c r="D66" s="37"/>
      <c r="E66" s="32" t="s">
        <v>364</v>
      </c>
      <c r="H66" s="31" t="s">
        <v>363</v>
      </c>
    </row>
    <row r="67" spans="2:8" ht="75" x14ac:dyDescent="0.25">
      <c r="B67" s="33"/>
      <c r="C67" s="36" t="s">
        <v>378</v>
      </c>
      <c r="D67" s="37"/>
      <c r="E67" s="32" t="s">
        <v>379</v>
      </c>
      <c r="H67" s="31" t="s">
        <v>380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8965A-BCB5-4A39-A30C-6B881A3C6193}">
  <dimension ref="A1:L77"/>
  <sheetViews>
    <sheetView topLeftCell="A16" zoomScale="85" zoomScaleNormal="85" workbookViewId="0">
      <selection activeCell="K3" sqref="K3"/>
    </sheetView>
  </sheetViews>
  <sheetFormatPr defaultRowHeight="15" x14ac:dyDescent="0.25"/>
  <cols>
    <col min="2" max="2" width="14.140625" customWidth="1"/>
    <col min="4" max="4" width="41.140625" customWidth="1"/>
    <col min="5" max="5" width="29.85546875" customWidth="1"/>
    <col min="9" max="9" width="54.5703125" customWidth="1"/>
    <col min="10" max="10" width="17.140625" customWidth="1"/>
    <col min="11" max="11" width="61.5703125" customWidth="1"/>
    <col min="12" max="12" width="62.85546875" customWidth="1"/>
  </cols>
  <sheetData>
    <row r="1" spans="1:12" x14ac:dyDescent="0.25">
      <c r="A1" s="4" t="s">
        <v>0</v>
      </c>
      <c r="B1" s="4" t="s">
        <v>1</v>
      </c>
      <c r="C1" s="5" t="s">
        <v>2</v>
      </c>
      <c r="D1" s="4" t="s">
        <v>3</v>
      </c>
      <c r="E1" s="4" t="s">
        <v>4</v>
      </c>
      <c r="F1" s="4" t="s">
        <v>5</v>
      </c>
      <c r="G1" s="6" t="s">
        <v>6</v>
      </c>
      <c r="H1" s="6" t="s">
        <v>111</v>
      </c>
      <c r="I1" s="4" t="s">
        <v>7</v>
      </c>
      <c r="J1" s="4" t="s">
        <v>8</v>
      </c>
      <c r="K1" s="5" t="s">
        <v>9</v>
      </c>
      <c r="L1" s="5" t="s">
        <v>10</v>
      </c>
    </row>
    <row r="2" spans="1:12" ht="96" x14ac:dyDescent="0.25">
      <c r="A2" s="7" t="s">
        <v>11</v>
      </c>
      <c r="B2" s="8" t="s">
        <v>12</v>
      </c>
      <c r="C2" s="9" t="s">
        <v>13</v>
      </c>
      <c r="D2" s="10" t="s">
        <v>14</v>
      </c>
      <c r="E2" s="11" t="s">
        <v>15</v>
      </c>
      <c r="F2" s="7" t="s">
        <v>16</v>
      </c>
      <c r="G2" s="7" t="s">
        <v>17</v>
      </c>
      <c r="H2" s="7" t="s">
        <v>114</v>
      </c>
      <c r="I2" s="7" t="s">
        <v>18</v>
      </c>
      <c r="J2" s="7" t="s">
        <v>19</v>
      </c>
      <c r="K2" s="7" t="s">
        <v>20</v>
      </c>
      <c r="L2" s="1" t="s">
        <v>21</v>
      </c>
    </row>
    <row r="3" spans="1:12" ht="192" x14ac:dyDescent="0.25">
      <c r="A3" s="7" t="s">
        <v>11</v>
      </c>
      <c r="B3" s="8" t="s">
        <v>12</v>
      </c>
      <c r="C3" s="9" t="s">
        <v>22</v>
      </c>
      <c r="D3" s="10" t="s">
        <v>23</v>
      </c>
      <c r="E3" s="11" t="s">
        <v>24</v>
      </c>
      <c r="F3" s="7" t="s">
        <v>16</v>
      </c>
      <c r="G3" s="7" t="s">
        <v>17</v>
      </c>
      <c r="H3" s="7" t="s">
        <v>114</v>
      </c>
      <c r="I3" s="7" t="s">
        <v>25</v>
      </c>
      <c r="J3" s="7" t="s">
        <v>19</v>
      </c>
      <c r="K3" s="7" t="s">
        <v>26</v>
      </c>
      <c r="L3" s="1" t="s">
        <v>27</v>
      </c>
    </row>
    <row r="4" spans="1:12" ht="132" x14ac:dyDescent="0.25">
      <c r="A4" s="7" t="s">
        <v>11</v>
      </c>
      <c r="B4" s="8" t="s">
        <v>28</v>
      </c>
      <c r="C4" s="9" t="s">
        <v>29</v>
      </c>
      <c r="D4" s="10" t="s">
        <v>30</v>
      </c>
      <c r="E4" s="11" t="s">
        <v>31</v>
      </c>
      <c r="F4" s="7" t="s">
        <v>32</v>
      </c>
      <c r="G4" s="2" t="s">
        <v>17</v>
      </c>
      <c r="H4" s="7" t="s">
        <v>114</v>
      </c>
      <c r="I4" s="7" t="s">
        <v>34</v>
      </c>
      <c r="J4" s="7" t="s">
        <v>19</v>
      </c>
      <c r="K4" s="7" t="s">
        <v>35</v>
      </c>
      <c r="L4" s="1" t="s">
        <v>36</v>
      </c>
    </row>
    <row r="5" spans="1:12" ht="36" x14ac:dyDescent="0.25">
      <c r="A5" s="7" t="s">
        <v>11</v>
      </c>
      <c r="B5" s="8" t="s">
        <v>37</v>
      </c>
      <c r="C5" s="9" t="s">
        <v>13</v>
      </c>
      <c r="D5" s="10" t="s">
        <v>38</v>
      </c>
      <c r="E5" s="11" t="s">
        <v>39</v>
      </c>
      <c r="F5" s="7" t="s">
        <v>16</v>
      </c>
      <c r="G5" s="2" t="s">
        <v>17</v>
      </c>
      <c r="H5" s="7" t="s">
        <v>114</v>
      </c>
      <c r="I5" s="7" t="s">
        <v>40</v>
      </c>
      <c r="J5" s="7" t="s">
        <v>19</v>
      </c>
      <c r="K5" s="7" t="s">
        <v>41</v>
      </c>
      <c r="L5" s="1" t="s">
        <v>42</v>
      </c>
    </row>
    <row r="6" spans="1:12" ht="48" x14ac:dyDescent="0.25">
      <c r="A6" s="7" t="s">
        <v>11</v>
      </c>
      <c r="B6" s="8" t="s">
        <v>43</v>
      </c>
      <c r="C6" s="9" t="s">
        <v>13</v>
      </c>
      <c r="D6" s="10" t="s">
        <v>44</v>
      </c>
      <c r="E6" s="11" t="s">
        <v>45</v>
      </c>
      <c r="F6" s="7" t="s">
        <v>16</v>
      </c>
      <c r="G6" s="2" t="s">
        <v>17</v>
      </c>
      <c r="H6" s="7" t="s">
        <v>114</v>
      </c>
      <c r="I6" s="7" t="s">
        <v>46</v>
      </c>
      <c r="J6" s="7" t="s">
        <v>19</v>
      </c>
      <c r="K6" s="7" t="s">
        <v>47</v>
      </c>
      <c r="L6" s="1" t="s">
        <v>42</v>
      </c>
    </row>
    <row r="7" spans="1:12" ht="96" x14ac:dyDescent="0.25">
      <c r="A7" s="7" t="s">
        <v>11</v>
      </c>
      <c r="B7" s="8" t="s">
        <v>48</v>
      </c>
      <c r="C7" s="9" t="s">
        <v>22</v>
      </c>
      <c r="D7" s="10" t="s">
        <v>49</v>
      </c>
      <c r="E7" s="11" t="s">
        <v>50</v>
      </c>
      <c r="F7" s="7" t="s">
        <v>16</v>
      </c>
      <c r="G7" s="2" t="s">
        <v>33</v>
      </c>
      <c r="H7" s="7" t="s">
        <v>117</v>
      </c>
      <c r="I7" s="7" t="s">
        <v>51</v>
      </c>
      <c r="J7" s="7" t="s">
        <v>19</v>
      </c>
      <c r="K7" s="7" t="s">
        <v>52</v>
      </c>
      <c r="L7" s="1" t="s">
        <v>53</v>
      </c>
    </row>
    <row r="8" spans="1:12" ht="84" x14ac:dyDescent="0.25">
      <c r="A8" s="7" t="s">
        <v>11</v>
      </c>
      <c r="B8" s="9" t="s">
        <v>54</v>
      </c>
      <c r="C8" s="9" t="s">
        <v>22</v>
      </c>
      <c r="D8" s="12" t="s">
        <v>55</v>
      </c>
      <c r="E8" s="13" t="s">
        <v>56</v>
      </c>
      <c r="F8" s="7" t="s">
        <v>16</v>
      </c>
      <c r="G8" s="7" t="s">
        <v>33</v>
      </c>
      <c r="H8" s="7" t="s">
        <v>115</v>
      </c>
      <c r="I8" s="7" t="s">
        <v>57</v>
      </c>
      <c r="J8" s="7" t="s">
        <v>19</v>
      </c>
      <c r="K8" s="7" t="s">
        <v>58</v>
      </c>
      <c r="L8" s="1" t="s">
        <v>59</v>
      </c>
    </row>
    <row r="9" spans="1:12" ht="60" x14ac:dyDescent="0.25">
      <c r="A9" s="9" t="s">
        <v>11</v>
      </c>
      <c r="B9" s="9" t="s">
        <v>60</v>
      </c>
      <c r="C9" s="7" t="s">
        <v>13</v>
      </c>
      <c r="D9" s="12" t="s">
        <v>61</v>
      </c>
      <c r="E9" s="14" t="s">
        <v>62</v>
      </c>
      <c r="F9" s="9" t="s">
        <v>16</v>
      </c>
      <c r="G9" s="9" t="s">
        <v>17</v>
      </c>
      <c r="H9" s="7" t="s">
        <v>114</v>
      </c>
      <c r="I9" s="9" t="s">
        <v>63</v>
      </c>
      <c r="J9" s="9" t="s">
        <v>19</v>
      </c>
      <c r="K9" s="7" t="s">
        <v>64</v>
      </c>
      <c r="L9" s="9" t="s">
        <v>65</v>
      </c>
    </row>
    <row r="10" spans="1:12" ht="109.5" customHeight="1" x14ac:dyDescent="0.25">
      <c r="A10" s="9" t="s">
        <v>11</v>
      </c>
      <c r="B10" s="9" t="s">
        <v>66</v>
      </c>
      <c r="C10" s="7" t="s">
        <v>22</v>
      </c>
      <c r="D10" s="12" t="s">
        <v>67</v>
      </c>
      <c r="E10" s="14" t="s">
        <v>68</v>
      </c>
      <c r="F10" s="7" t="s">
        <v>16</v>
      </c>
      <c r="G10" s="9" t="s">
        <v>17</v>
      </c>
      <c r="H10" s="7" t="s">
        <v>114</v>
      </c>
      <c r="I10" s="7" t="s">
        <v>69</v>
      </c>
      <c r="J10" s="7" t="s">
        <v>19</v>
      </c>
      <c r="K10" s="7" t="s">
        <v>70</v>
      </c>
      <c r="L10" s="9" t="s">
        <v>71</v>
      </c>
    </row>
    <row r="11" spans="1:12" ht="53.25" customHeight="1" x14ac:dyDescent="0.25">
      <c r="A11" s="9" t="s">
        <v>11</v>
      </c>
      <c r="B11" s="9" t="s">
        <v>54</v>
      </c>
      <c r="C11" s="7" t="s">
        <v>22</v>
      </c>
      <c r="D11" s="12" t="s">
        <v>72</v>
      </c>
      <c r="E11" s="14" t="s">
        <v>73</v>
      </c>
      <c r="F11" s="9" t="s">
        <v>16</v>
      </c>
      <c r="G11" s="9" t="s">
        <v>33</v>
      </c>
      <c r="H11" s="9" t="s">
        <v>116</v>
      </c>
      <c r="I11" s="7" t="s">
        <v>74</v>
      </c>
      <c r="J11" s="9" t="s">
        <v>19</v>
      </c>
      <c r="K11" s="7" t="s">
        <v>75</v>
      </c>
      <c r="L11" s="9" t="s">
        <v>76</v>
      </c>
    </row>
    <row r="12" spans="1:12" ht="72" x14ac:dyDescent="0.25">
      <c r="A12" s="9" t="s">
        <v>11</v>
      </c>
      <c r="B12" s="9" t="s">
        <v>54</v>
      </c>
      <c r="C12" s="7" t="s">
        <v>22</v>
      </c>
      <c r="D12" s="12" t="s">
        <v>77</v>
      </c>
      <c r="E12" s="14" t="s">
        <v>78</v>
      </c>
      <c r="F12" s="9" t="s">
        <v>16</v>
      </c>
      <c r="G12" s="7" t="s">
        <v>33</v>
      </c>
      <c r="H12" s="9" t="s">
        <v>117</v>
      </c>
      <c r="I12" s="9" t="s">
        <v>79</v>
      </c>
      <c r="J12" s="9" t="s">
        <v>19</v>
      </c>
      <c r="K12" s="7" t="s">
        <v>80</v>
      </c>
      <c r="L12" s="9" t="s">
        <v>81</v>
      </c>
    </row>
    <row r="13" spans="1:12" ht="96" x14ac:dyDescent="0.25">
      <c r="A13" s="9" t="s">
        <v>11</v>
      </c>
      <c r="B13" s="9" t="s">
        <v>54</v>
      </c>
      <c r="C13" s="7" t="s">
        <v>22</v>
      </c>
      <c r="D13" s="12" t="s">
        <v>82</v>
      </c>
      <c r="E13" s="14" t="s">
        <v>83</v>
      </c>
      <c r="F13" s="9" t="s">
        <v>16</v>
      </c>
      <c r="G13" s="7" t="s">
        <v>33</v>
      </c>
      <c r="H13" s="9" t="s">
        <v>118</v>
      </c>
      <c r="I13" s="9" t="s">
        <v>84</v>
      </c>
      <c r="J13" s="9" t="s">
        <v>19</v>
      </c>
      <c r="K13" s="7" t="s">
        <v>85</v>
      </c>
      <c r="L13" s="9" t="s">
        <v>86</v>
      </c>
    </row>
    <row r="14" spans="1:12" ht="84" x14ac:dyDescent="0.25">
      <c r="A14" s="15" t="s">
        <v>11</v>
      </c>
      <c r="B14" s="9" t="s">
        <v>54</v>
      </c>
      <c r="C14" s="9" t="s">
        <v>22</v>
      </c>
      <c r="D14" s="12" t="s">
        <v>87</v>
      </c>
      <c r="E14" s="14" t="s">
        <v>88</v>
      </c>
      <c r="F14" s="7" t="s">
        <v>16</v>
      </c>
      <c r="G14" s="9" t="s">
        <v>33</v>
      </c>
      <c r="H14" s="9" t="s">
        <v>119</v>
      </c>
      <c r="I14" s="7" t="s">
        <v>89</v>
      </c>
      <c r="J14" s="15" t="s">
        <v>19</v>
      </c>
      <c r="K14" s="7" t="s">
        <v>90</v>
      </c>
      <c r="L14" s="9" t="s">
        <v>91</v>
      </c>
    </row>
    <row r="15" spans="1:12" ht="84" x14ac:dyDescent="0.25">
      <c r="A15" s="9" t="s">
        <v>11</v>
      </c>
      <c r="B15" s="9" t="s">
        <v>92</v>
      </c>
      <c r="C15" s="7" t="s">
        <v>13</v>
      </c>
      <c r="D15" s="12" t="s">
        <v>93</v>
      </c>
      <c r="E15" s="14" t="s">
        <v>94</v>
      </c>
      <c r="F15" s="7" t="s">
        <v>16</v>
      </c>
      <c r="G15" s="9" t="s">
        <v>17</v>
      </c>
      <c r="H15" s="7" t="s">
        <v>114</v>
      </c>
      <c r="I15" s="7" t="s">
        <v>95</v>
      </c>
      <c r="J15" s="7" t="s">
        <v>19</v>
      </c>
      <c r="K15" s="7" t="s">
        <v>96</v>
      </c>
      <c r="L15" s="9" t="s">
        <v>97</v>
      </c>
    </row>
    <row r="16" spans="1:12" ht="132" x14ac:dyDescent="0.25">
      <c r="A16" s="7" t="s">
        <v>11</v>
      </c>
      <c r="B16" s="9" t="s">
        <v>54</v>
      </c>
      <c r="C16" s="9" t="s">
        <v>22</v>
      </c>
      <c r="D16" s="10" t="s">
        <v>98</v>
      </c>
      <c r="E16" s="14" t="s">
        <v>99</v>
      </c>
      <c r="F16" s="7" t="s">
        <v>16</v>
      </c>
      <c r="G16" s="7" t="s">
        <v>33</v>
      </c>
      <c r="H16" s="7" t="s">
        <v>120</v>
      </c>
      <c r="I16" s="7" t="s">
        <v>100</v>
      </c>
      <c r="J16" s="7" t="s">
        <v>19</v>
      </c>
      <c r="K16" s="7" t="s">
        <v>101</v>
      </c>
      <c r="L16" s="1" t="s">
        <v>102</v>
      </c>
    </row>
    <row r="17" spans="1:12" ht="84" x14ac:dyDescent="0.25">
      <c r="A17" s="2" t="s">
        <v>11</v>
      </c>
      <c r="B17" s="2" t="s">
        <v>103</v>
      </c>
      <c r="C17" s="8" t="s">
        <v>13</v>
      </c>
      <c r="D17" s="3" t="s">
        <v>104</v>
      </c>
      <c r="E17" s="11" t="s">
        <v>105</v>
      </c>
      <c r="F17" s="8" t="s">
        <v>16</v>
      </c>
      <c r="G17" s="2" t="s">
        <v>17</v>
      </c>
      <c r="H17" s="7" t="s">
        <v>114</v>
      </c>
      <c r="I17" s="8" t="s">
        <v>106</v>
      </c>
      <c r="J17" s="8" t="s">
        <v>19</v>
      </c>
      <c r="K17" s="8" t="s">
        <v>112</v>
      </c>
      <c r="L17" s="2" t="s">
        <v>113</v>
      </c>
    </row>
    <row r="18" spans="1:12" ht="156" x14ac:dyDescent="0.25">
      <c r="A18" s="2" t="s">
        <v>11</v>
      </c>
      <c r="B18" s="2" t="s">
        <v>54</v>
      </c>
      <c r="C18" s="8" t="s">
        <v>22</v>
      </c>
      <c r="D18" s="3" t="s">
        <v>107</v>
      </c>
      <c r="E18" s="11" t="s">
        <v>108</v>
      </c>
      <c r="F18" s="2" t="s">
        <v>16</v>
      </c>
      <c r="G18" s="2" t="s">
        <v>33</v>
      </c>
      <c r="H18" s="9" t="s">
        <v>121</v>
      </c>
      <c r="I18" s="2" t="s">
        <v>109</v>
      </c>
      <c r="J18" s="2" t="s">
        <v>19</v>
      </c>
      <c r="K18" s="8" t="s">
        <v>110</v>
      </c>
      <c r="L18" s="2"/>
    </row>
    <row r="19" spans="1:12" ht="120" x14ac:dyDescent="0.25">
      <c r="D19" s="42" t="s">
        <v>200</v>
      </c>
      <c r="E19" s="43" t="s">
        <v>201</v>
      </c>
      <c r="F19" s="44" t="s">
        <v>16</v>
      </c>
      <c r="G19" s="44" t="s">
        <v>33</v>
      </c>
      <c r="H19" s="44"/>
      <c r="I19" s="45" t="s">
        <v>185</v>
      </c>
      <c r="J19" s="44" t="s">
        <v>19</v>
      </c>
      <c r="K19" s="45" t="s">
        <v>202</v>
      </c>
      <c r="L19" s="44" t="s">
        <v>203</v>
      </c>
    </row>
    <row r="20" spans="1:12" ht="60" x14ac:dyDescent="0.25">
      <c r="D20" s="46" t="s">
        <v>204</v>
      </c>
      <c r="E20" s="47" t="s">
        <v>205</v>
      </c>
      <c r="F20" s="48" t="s">
        <v>16</v>
      </c>
      <c r="G20" s="49" t="s">
        <v>33</v>
      </c>
      <c r="H20" s="49"/>
      <c r="I20" s="48" t="s">
        <v>206</v>
      </c>
      <c r="J20" s="48" t="s">
        <v>19</v>
      </c>
      <c r="K20" s="49" t="s">
        <v>207</v>
      </c>
      <c r="L20" s="48" t="s">
        <v>208</v>
      </c>
    </row>
    <row r="21" spans="1:12" ht="120" x14ac:dyDescent="0.25">
      <c r="D21" s="46" t="s">
        <v>209</v>
      </c>
      <c r="E21" s="47" t="s">
        <v>210</v>
      </c>
      <c r="F21" s="44" t="s">
        <v>16</v>
      </c>
      <c r="G21" s="44" t="s">
        <v>33</v>
      </c>
      <c r="H21" s="44"/>
      <c r="I21" s="48" t="s">
        <v>181</v>
      </c>
      <c r="J21" s="48" t="s">
        <v>19</v>
      </c>
      <c r="K21" s="49" t="s">
        <v>211</v>
      </c>
      <c r="L21" s="48" t="s">
        <v>212</v>
      </c>
    </row>
    <row r="22" spans="1:12" ht="48" x14ac:dyDescent="0.25">
      <c r="D22" s="46" t="s">
        <v>213</v>
      </c>
      <c r="E22" s="47" t="s">
        <v>214</v>
      </c>
      <c r="F22" s="44" t="s">
        <v>16</v>
      </c>
      <c r="G22" s="44" t="s">
        <v>17</v>
      </c>
      <c r="H22" s="44"/>
      <c r="I22" s="48" t="s">
        <v>184</v>
      </c>
      <c r="J22" s="48" t="s">
        <v>19</v>
      </c>
      <c r="K22" s="49" t="s">
        <v>215</v>
      </c>
      <c r="L22" s="48" t="s">
        <v>216</v>
      </c>
    </row>
    <row r="23" spans="1:12" ht="48" x14ac:dyDescent="0.25">
      <c r="D23" s="46" t="s">
        <v>217</v>
      </c>
      <c r="E23" s="46" t="s">
        <v>218</v>
      </c>
      <c r="F23" s="50" t="s">
        <v>219</v>
      </c>
      <c r="G23" s="48" t="s">
        <v>220</v>
      </c>
      <c r="H23" s="48"/>
      <c r="I23" s="48" t="s">
        <v>221</v>
      </c>
      <c r="J23" s="48" t="s">
        <v>19</v>
      </c>
      <c r="K23" s="49" t="s">
        <v>222</v>
      </c>
      <c r="L23" s="51"/>
    </row>
    <row r="25" spans="1:12" x14ac:dyDescent="0.25">
      <c r="E25" t="s">
        <v>223</v>
      </c>
    </row>
    <row r="26" spans="1:12" x14ac:dyDescent="0.25">
      <c r="D26" t="s">
        <v>224</v>
      </c>
      <c r="E26" s="31" cm="1">
        <f t="array" ref="E26">SUMPRODUCT(--ISNUMBER(SEARCH(D26, $K:$K)))</f>
        <v>1</v>
      </c>
      <c r="F26" s="31" cm="1">
        <f t="array" ref="F26">SUMPRODUCT(--ISNUMBER(SEARCH(D26, $L:$L)))</f>
        <v>0</v>
      </c>
    </row>
    <row r="27" spans="1:12" x14ac:dyDescent="0.25">
      <c r="D27" t="s">
        <v>225</v>
      </c>
      <c r="E27" s="31" cm="1">
        <f t="array" ref="E27">SUMPRODUCT(--ISNUMBER(SEARCH(D27, $K:$K)))</f>
        <v>3</v>
      </c>
      <c r="F27" s="31" cm="1">
        <f t="array" ref="F27">SUMPRODUCT(--ISNUMBER(SEARCH(D27, $L:$L)))</f>
        <v>0</v>
      </c>
    </row>
    <row r="28" spans="1:12" x14ac:dyDescent="0.25">
      <c r="D28" t="s">
        <v>226</v>
      </c>
      <c r="E28" s="31" cm="1">
        <f t="array" ref="E28">SUMPRODUCT(--ISNUMBER(SEARCH(D28, $K:$K)))</f>
        <v>3</v>
      </c>
      <c r="F28" s="31" cm="1">
        <f t="array" ref="F28">SUMPRODUCT(--ISNUMBER(SEARCH(D28, $L:$L)))</f>
        <v>0</v>
      </c>
    </row>
    <row r="29" spans="1:12" x14ac:dyDescent="0.25">
      <c r="D29" t="s">
        <v>227</v>
      </c>
      <c r="E29" s="31" cm="1">
        <f t="array" ref="E29">SUMPRODUCT(--ISNUMBER(SEARCH(D29, $K:$K)))</f>
        <v>0</v>
      </c>
      <c r="F29" s="31" cm="1">
        <f t="array" ref="F29">SUMPRODUCT(--ISNUMBER(SEARCH(D29, $L:$L)))</f>
        <v>0</v>
      </c>
    </row>
    <row r="30" spans="1:12" x14ac:dyDescent="0.25">
      <c r="D30" t="s">
        <v>228</v>
      </c>
      <c r="E30" s="31" cm="1">
        <f t="array" ref="E30">SUMPRODUCT(--ISNUMBER(SEARCH(D30, $K:$K)))</f>
        <v>1</v>
      </c>
      <c r="F30" s="31" cm="1">
        <f t="array" ref="F30">SUMPRODUCT(--ISNUMBER(SEARCH(D30, $L:$L)))</f>
        <v>0</v>
      </c>
    </row>
    <row r="31" spans="1:12" x14ac:dyDescent="0.25">
      <c r="D31" t="s">
        <v>229</v>
      </c>
      <c r="E31" s="31" cm="1">
        <f t="array" ref="E31">SUMPRODUCT(--ISNUMBER(SEARCH(D31, $K:$K)))</f>
        <v>0</v>
      </c>
      <c r="F31" s="31" cm="1">
        <f t="array" ref="F31">SUMPRODUCT(--ISNUMBER(SEARCH(D31, $L:$L)))</f>
        <v>1</v>
      </c>
    </row>
    <row r="32" spans="1:12" x14ac:dyDescent="0.25">
      <c r="D32" t="s">
        <v>230</v>
      </c>
      <c r="E32" s="31" cm="1">
        <f t="array" ref="E32">SUMPRODUCT(--ISNUMBER(SEARCH(D32, $K:$K)))</f>
        <v>2</v>
      </c>
      <c r="F32" s="31" cm="1">
        <f t="array" ref="F32">SUMPRODUCT(--ISNUMBER(SEARCH(D32, $L:$L)))</f>
        <v>5</v>
      </c>
    </row>
    <row r="33" spans="4:6" x14ac:dyDescent="0.25">
      <c r="D33" t="s">
        <v>231</v>
      </c>
      <c r="E33" s="31" cm="1">
        <f t="array" ref="E33">SUMPRODUCT(--ISNUMBER(SEARCH(D33, $K:$K)))</f>
        <v>5</v>
      </c>
      <c r="F33" s="31" cm="1">
        <f t="array" ref="F33">SUMPRODUCT(--ISNUMBER(SEARCH(D33, $L:$L)))</f>
        <v>0</v>
      </c>
    </row>
    <row r="34" spans="4:6" x14ac:dyDescent="0.25">
      <c r="D34" t="s">
        <v>232</v>
      </c>
      <c r="E34" s="31" cm="1">
        <f t="array" ref="E34">SUMPRODUCT(--ISNUMBER(SEARCH(D34, $K:$K)))</f>
        <v>1</v>
      </c>
      <c r="F34" s="31" cm="1">
        <f t="array" ref="F34">SUMPRODUCT(--ISNUMBER(SEARCH(D34, $L:$L)))</f>
        <v>0</v>
      </c>
    </row>
    <row r="35" spans="4:6" x14ac:dyDescent="0.25">
      <c r="D35" t="s">
        <v>233</v>
      </c>
      <c r="E35" s="31" cm="1">
        <f t="array" ref="E35">SUMPRODUCT(--ISNUMBER(SEARCH(D35, $K:$K)))</f>
        <v>8</v>
      </c>
      <c r="F35" s="31" cm="1">
        <f t="array" ref="F35">SUMPRODUCT(--ISNUMBER(SEARCH(D35, $L:$L)))</f>
        <v>3</v>
      </c>
    </row>
    <row r="36" spans="4:6" x14ac:dyDescent="0.25">
      <c r="D36" t="s">
        <v>234</v>
      </c>
      <c r="E36" s="31" cm="1">
        <f t="array" ref="E36">SUMPRODUCT(--ISNUMBER(SEARCH(D36, $K:$K)))</f>
        <v>2</v>
      </c>
      <c r="F36" s="31" cm="1">
        <f t="array" ref="F36">SUMPRODUCT(--ISNUMBER(SEARCH(D36, $L:$L)))</f>
        <v>0</v>
      </c>
    </row>
    <row r="37" spans="4:6" x14ac:dyDescent="0.25">
      <c r="D37" t="s">
        <v>235</v>
      </c>
      <c r="E37" s="31" cm="1">
        <f t="array" ref="E37">SUMPRODUCT(--ISNUMBER(SEARCH(D37, $K:$K)))</f>
        <v>1</v>
      </c>
      <c r="F37" s="31" cm="1">
        <f t="array" ref="F37">SUMPRODUCT(--ISNUMBER(SEARCH(D37, $L:$L)))</f>
        <v>0</v>
      </c>
    </row>
    <row r="38" spans="4:6" x14ac:dyDescent="0.25">
      <c r="D38" t="s">
        <v>236</v>
      </c>
      <c r="E38" s="31" cm="1">
        <f t="array" ref="E38">SUMPRODUCT(--ISNUMBER(SEARCH(D38, $K:$K)))</f>
        <v>0</v>
      </c>
      <c r="F38" s="31" cm="1">
        <f t="array" ref="F38">SUMPRODUCT(--ISNUMBER(SEARCH(D38, $L:$L)))</f>
        <v>0</v>
      </c>
    </row>
    <row r="39" spans="4:6" x14ac:dyDescent="0.25">
      <c r="D39" t="s">
        <v>237</v>
      </c>
      <c r="E39" s="31" cm="1">
        <f t="array" ref="E39">SUMPRODUCT(--ISNUMBER(SEARCH(D39, $K:$K)))</f>
        <v>0</v>
      </c>
      <c r="F39" s="31" cm="1">
        <f t="array" ref="F39">SUMPRODUCT(--ISNUMBER(SEARCH(D39, $L:$L)))</f>
        <v>0</v>
      </c>
    </row>
    <row r="40" spans="4:6" x14ac:dyDescent="0.25">
      <c r="D40" t="s">
        <v>238</v>
      </c>
      <c r="E40" s="31" cm="1">
        <f t="array" ref="E40">SUMPRODUCT(--ISNUMBER(SEARCH(D40, $K:$K)))</f>
        <v>1</v>
      </c>
      <c r="F40" s="31" cm="1">
        <f t="array" ref="F40">SUMPRODUCT(--ISNUMBER(SEARCH(D40, $L:$L)))</f>
        <v>0</v>
      </c>
    </row>
    <row r="41" spans="4:6" x14ac:dyDescent="0.25">
      <c r="D41" t="s">
        <v>239</v>
      </c>
      <c r="E41" s="31" cm="1">
        <f t="array" ref="E41">SUMPRODUCT(--ISNUMBER(SEARCH(D41, $K:$K)))</f>
        <v>2</v>
      </c>
      <c r="F41" s="31" cm="1">
        <f t="array" ref="F41">SUMPRODUCT(--ISNUMBER(SEARCH(D41, $L:$L)))</f>
        <v>1</v>
      </c>
    </row>
    <row r="42" spans="4:6" x14ac:dyDescent="0.25">
      <c r="D42" t="s">
        <v>240</v>
      </c>
      <c r="E42" s="31" cm="1">
        <f t="array" ref="E42">SUMPRODUCT(--ISNUMBER(SEARCH(D42, $K:$K)))</f>
        <v>2</v>
      </c>
      <c r="F42" s="31" cm="1">
        <f t="array" ref="F42">SUMPRODUCT(--ISNUMBER(SEARCH(D42, $L:$L)))</f>
        <v>0</v>
      </c>
    </row>
    <row r="43" spans="4:6" x14ac:dyDescent="0.25">
      <c r="D43" t="s">
        <v>241</v>
      </c>
      <c r="E43" s="31" cm="1">
        <f t="array" ref="E43">SUMPRODUCT(--ISNUMBER(SEARCH(D43, $K:$K)))</f>
        <v>7</v>
      </c>
      <c r="F43" s="31" cm="1">
        <f t="array" ref="F43">SUMPRODUCT(--ISNUMBER(SEARCH(D43, $L:$L)))</f>
        <v>0</v>
      </c>
    </row>
    <row r="44" spans="4:6" x14ac:dyDescent="0.25">
      <c r="D44" t="s">
        <v>242</v>
      </c>
      <c r="E44" s="31" cm="1">
        <f t="array" ref="E44">SUMPRODUCT(--ISNUMBER(SEARCH(D44, $K:$K)))</f>
        <v>2</v>
      </c>
      <c r="F44" s="31" cm="1">
        <f t="array" ref="F44">SUMPRODUCT(--ISNUMBER(SEARCH(D44, $L:$L)))</f>
        <v>1</v>
      </c>
    </row>
    <row r="45" spans="4:6" x14ac:dyDescent="0.25">
      <c r="D45" t="s">
        <v>243</v>
      </c>
      <c r="E45" s="31" cm="1">
        <f t="array" ref="E45">SUMPRODUCT(--ISNUMBER(SEARCH(D45, $K:$K)))</f>
        <v>1</v>
      </c>
      <c r="F45" s="31" cm="1">
        <f t="array" ref="F45">SUMPRODUCT(--ISNUMBER(SEARCH(D45, $L:$L)))</f>
        <v>0</v>
      </c>
    </row>
    <row r="46" spans="4:6" x14ac:dyDescent="0.25">
      <c r="D46" t="s">
        <v>244</v>
      </c>
      <c r="E46" s="31" cm="1">
        <f t="array" ref="E46">SUMPRODUCT(--ISNUMBER(SEARCH(D46, $K:$K)))</f>
        <v>3</v>
      </c>
      <c r="F46" s="31" cm="1">
        <f t="array" ref="F46">SUMPRODUCT(--ISNUMBER(SEARCH(D46, $L:$L)))</f>
        <v>1</v>
      </c>
    </row>
    <row r="47" spans="4:6" x14ac:dyDescent="0.25">
      <c r="D47" t="s">
        <v>245</v>
      </c>
      <c r="E47" s="31" cm="1">
        <f t="array" ref="E47">SUMPRODUCT(--ISNUMBER(SEARCH(D47, $K:$K)))</f>
        <v>2</v>
      </c>
      <c r="F47" s="31" cm="1">
        <f t="array" ref="F47">SUMPRODUCT(--ISNUMBER(SEARCH(D47, $L:$L)))</f>
        <v>1</v>
      </c>
    </row>
    <row r="48" spans="4:6" x14ac:dyDescent="0.25">
      <c r="D48" t="s">
        <v>246</v>
      </c>
      <c r="E48" s="31" cm="1">
        <f t="array" ref="E48">SUMPRODUCT(--ISNUMBER(SEARCH(D48, $K:$K)))</f>
        <v>1</v>
      </c>
      <c r="F48" s="31" cm="1">
        <f t="array" ref="F48">SUMPRODUCT(--ISNUMBER(SEARCH(D48, $L:$L)))</f>
        <v>0</v>
      </c>
    </row>
    <row r="49" spans="4:6" x14ac:dyDescent="0.25">
      <c r="D49" t="s">
        <v>247</v>
      </c>
      <c r="E49" s="31" cm="1">
        <f t="array" ref="E49">SUMPRODUCT(--ISNUMBER(SEARCH(D49, $K:$K)))</f>
        <v>1</v>
      </c>
      <c r="F49" s="31" cm="1">
        <f t="array" ref="F49">SUMPRODUCT(--ISNUMBER(SEARCH(D49, $L:$L)))</f>
        <v>0</v>
      </c>
    </row>
    <row r="50" spans="4:6" x14ac:dyDescent="0.25">
      <c r="D50" t="s">
        <v>248</v>
      </c>
      <c r="E50" s="31" cm="1">
        <f t="array" ref="E50">SUMPRODUCT(--ISNUMBER(SEARCH(D50, $K:$K)))</f>
        <v>5</v>
      </c>
      <c r="F50" s="31" cm="1">
        <f t="array" ref="F50">SUMPRODUCT(--ISNUMBER(SEARCH(D50, $L:$L)))</f>
        <v>0</v>
      </c>
    </row>
    <row r="51" spans="4:6" x14ac:dyDescent="0.25">
      <c r="D51" t="s">
        <v>249</v>
      </c>
      <c r="E51" s="31" cm="1">
        <f t="array" ref="E51">SUMPRODUCT(--ISNUMBER(SEARCH(D51, $K:$K)))</f>
        <v>2</v>
      </c>
      <c r="F51" s="31" cm="1">
        <f t="array" ref="F51">SUMPRODUCT(--ISNUMBER(SEARCH(D51, $L:$L)))</f>
        <v>0</v>
      </c>
    </row>
    <row r="52" spans="4:6" x14ac:dyDescent="0.25">
      <c r="D52" t="s">
        <v>250</v>
      </c>
      <c r="E52" s="31" cm="1">
        <f t="array" ref="E52">SUMPRODUCT(--ISNUMBER(SEARCH(D52, $K:$K)))</f>
        <v>1</v>
      </c>
      <c r="F52" s="31" cm="1">
        <f t="array" ref="F52">SUMPRODUCT(--ISNUMBER(SEARCH(D52, $L:$L)))</f>
        <v>2</v>
      </c>
    </row>
    <row r="53" spans="4:6" x14ac:dyDescent="0.25">
      <c r="D53" t="s">
        <v>251</v>
      </c>
      <c r="E53" s="31" cm="1">
        <f t="array" ref="E53">SUMPRODUCT(--ISNUMBER(SEARCH(D53, $K:$K)))</f>
        <v>3</v>
      </c>
      <c r="F53" s="31" cm="1">
        <f t="array" ref="F53">SUMPRODUCT(--ISNUMBER(SEARCH(D53, $L:$L)))</f>
        <v>1</v>
      </c>
    </row>
    <row r="54" spans="4:6" x14ac:dyDescent="0.25">
      <c r="D54" t="s">
        <v>252</v>
      </c>
      <c r="E54" s="31" cm="1">
        <f t="array" ref="E54">SUMPRODUCT(--ISNUMBER(SEARCH(D54, $K:$K)))</f>
        <v>1</v>
      </c>
      <c r="F54" s="31" cm="1">
        <f t="array" ref="F54">SUMPRODUCT(--ISNUMBER(SEARCH(D54, $L:$L)))</f>
        <v>0</v>
      </c>
    </row>
    <row r="55" spans="4:6" x14ac:dyDescent="0.25">
      <c r="D55" t="s">
        <v>253</v>
      </c>
      <c r="E55" s="31" cm="1">
        <f t="array" ref="E55">SUMPRODUCT(--ISNUMBER(SEARCH(D55, $K:$K)))</f>
        <v>0</v>
      </c>
      <c r="F55" s="31" cm="1">
        <f t="array" ref="F55">SUMPRODUCT(--ISNUMBER(SEARCH(D55, $L:$L)))</f>
        <v>0</v>
      </c>
    </row>
    <row r="56" spans="4:6" x14ac:dyDescent="0.25">
      <c r="D56" t="s">
        <v>254</v>
      </c>
      <c r="E56" s="31" cm="1">
        <f t="array" ref="E56">SUMPRODUCT(--ISNUMBER(SEARCH(D56, $K:$K)))</f>
        <v>1</v>
      </c>
      <c r="F56" s="31" cm="1">
        <f t="array" ref="F56">SUMPRODUCT(--ISNUMBER(SEARCH(D56, $L:$L)))</f>
        <v>1</v>
      </c>
    </row>
    <row r="57" spans="4:6" x14ac:dyDescent="0.25">
      <c r="D57" t="s">
        <v>255</v>
      </c>
      <c r="E57" s="31" cm="1">
        <f t="array" ref="E57">SUMPRODUCT(--ISNUMBER(SEARCH(D57, $K:$K)))</f>
        <v>7</v>
      </c>
      <c r="F57" s="31" cm="1">
        <f t="array" ref="F57">SUMPRODUCT(--ISNUMBER(SEARCH(D57, $L:$L)))</f>
        <v>6</v>
      </c>
    </row>
    <row r="58" spans="4:6" x14ac:dyDescent="0.25">
      <c r="D58" t="s">
        <v>256</v>
      </c>
      <c r="E58" s="31" cm="1">
        <f t="array" ref="E58">SUMPRODUCT(--ISNUMBER(SEARCH(D58, $K:$K)))</f>
        <v>3</v>
      </c>
      <c r="F58" s="31" cm="1">
        <f t="array" ref="F58">SUMPRODUCT(--ISNUMBER(SEARCH(D58, $L:$L)))</f>
        <v>2</v>
      </c>
    </row>
    <row r="59" spans="4:6" x14ac:dyDescent="0.25">
      <c r="D59" t="s">
        <v>257</v>
      </c>
      <c r="E59" s="31" cm="1">
        <f t="array" ref="E59">SUMPRODUCT(--ISNUMBER(SEARCH(D59, $K:$K)))</f>
        <v>5</v>
      </c>
      <c r="F59" s="31" cm="1">
        <f t="array" ref="F59">SUMPRODUCT(--ISNUMBER(SEARCH(D59, $L:$L)))</f>
        <v>9</v>
      </c>
    </row>
    <row r="60" spans="4:6" x14ac:dyDescent="0.25">
      <c r="D60" t="s">
        <v>258</v>
      </c>
      <c r="E60" s="31" cm="1">
        <f t="array" ref="E60">SUMPRODUCT(--ISNUMBER(SEARCH(D60, $K:$K)))</f>
        <v>5</v>
      </c>
      <c r="F60" s="31" cm="1">
        <f t="array" ref="F60">SUMPRODUCT(--ISNUMBER(SEARCH(D60, $L:$L)))</f>
        <v>0</v>
      </c>
    </row>
    <row r="61" spans="4:6" x14ac:dyDescent="0.25">
      <c r="D61" t="s">
        <v>259</v>
      </c>
      <c r="E61" s="31" cm="1">
        <f t="array" ref="E61">SUMPRODUCT(--ISNUMBER(SEARCH(D61, $K:$K)))</f>
        <v>3</v>
      </c>
      <c r="F61" s="31" cm="1">
        <f t="array" ref="F61">SUMPRODUCT(--ISNUMBER(SEARCH(D61, $L:$L)))</f>
        <v>1</v>
      </c>
    </row>
    <row r="62" spans="4:6" x14ac:dyDescent="0.25">
      <c r="D62" t="s">
        <v>260</v>
      </c>
      <c r="E62" s="31" cm="1">
        <f t="array" ref="E62">SUMPRODUCT(--ISNUMBER(SEARCH(D62, $K:$K)))</f>
        <v>1</v>
      </c>
      <c r="F62" s="31" cm="1">
        <f t="array" ref="F62">SUMPRODUCT(--ISNUMBER(SEARCH(D62, $L:$L)))</f>
        <v>0</v>
      </c>
    </row>
    <row r="63" spans="4:6" x14ac:dyDescent="0.25">
      <c r="D63" t="s">
        <v>261</v>
      </c>
      <c r="E63" s="31" cm="1">
        <f t="array" ref="E63">SUMPRODUCT(--ISNUMBER(SEARCH(D63, $K:$K)))</f>
        <v>1</v>
      </c>
      <c r="F63" s="31" cm="1">
        <f t="array" ref="F63">SUMPRODUCT(--ISNUMBER(SEARCH(D63, $L:$L)))</f>
        <v>1</v>
      </c>
    </row>
    <row r="64" spans="4:6" x14ac:dyDescent="0.25">
      <c r="D64" t="s">
        <v>262</v>
      </c>
      <c r="E64" s="31" cm="1">
        <f t="array" ref="E64">SUMPRODUCT(--ISNUMBER(SEARCH(D64, $K:$K)))</f>
        <v>1</v>
      </c>
      <c r="F64" s="31" cm="1">
        <f t="array" ref="F64">SUMPRODUCT(--ISNUMBER(SEARCH(D64, $L:$L)))</f>
        <v>0</v>
      </c>
    </row>
    <row r="65" spans="4:6" x14ac:dyDescent="0.25">
      <c r="D65" t="s">
        <v>263</v>
      </c>
      <c r="E65" s="31" cm="1">
        <f t="array" ref="E65">SUMPRODUCT(--ISNUMBER(SEARCH(D65, $K:$K)))</f>
        <v>3</v>
      </c>
      <c r="F65" s="31" cm="1">
        <f t="array" ref="F65">SUMPRODUCT(--ISNUMBER(SEARCH(D65, $L:$L)))</f>
        <v>0</v>
      </c>
    </row>
    <row r="66" spans="4:6" x14ac:dyDescent="0.25">
      <c r="D66" t="s">
        <v>264</v>
      </c>
      <c r="E66" s="31" cm="1">
        <f t="array" ref="E66">SUMPRODUCT(--ISNUMBER(SEARCH(D66, $K:$K)))</f>
        <v>1</v>
      </c>
      <c r="F66" s="31" cm="1">
        <f t="array" ref="F66">SUMPRODUCT(--ISNUMBER(SEARCH(D66, $L:$L)))</f>
        <v>0</v>
      </c>
    </row>
    <row r="67" spans="4:6" x14ac:dyDescent="0.25">
      <c r="D67" t="s">
        <v>265</v>
      </c>
      <c r="E67" s="31" cm="1">
        <f t="array" ref="E67">SUMPRODUCT(--ISNUMBER(SEARCH(D67, $K:$K)))</f>
        <v>2</v>
      </c>
      <c r="F67" s="31" cm="1">
        <f t="array" ref="F67">SUMPRODUCT(--ISNUMBER(SEARCH(D67, $L:$L)))</f>
        <v>2</v>
      </c>
    </row>
    <row r="68" spans="4:6" x14ac:dyDescent="0.25">
      <c r="D68" t="s">
        <v>266</v>
      </c>
      <c r="E68" s="31" cm="1">
        <f t="array" ref="E68">SUMPRODUCT(--ISNUMBER(SEARCH(D68, $K:$K)))</f>
        <v>5</v>
      </c>
      <c r="F68" s="31" cm="1">
        <f t="array" ref="F68">SUMPRODUCT(--ISNUMBER(SEARCH(D68, $L:$L)))</f>
        <v>10</v>
      </c>
    </row>
    <row r="69" spans="4:6" x14ac:dyDescent="0.25">
      <c r="D69" t="s">
        <v>267</v>
      </c>
      <c r="E69" s="31" cm="1">
        <f t="array" ref="E69">SUMPRODUCT(--ISNUMBER(SEARCH(D69, $K:$K)))</f>
        <v>0</v>
      </c>
      <c r="F69" s="31" cm="1">
        <f t="array" ref="F69">SUMPRODUCT(--ISNUMBER(SEARCH(D69, $L:$L)))</f>
        <v>0</v>
      </c>
    </row>
    <row r="70" spans="4:6" x14ac:dyDescent="0.25">
      <c r="D70" t="s">
        <v>268</v>
      </c>
      <c r="E70" s="31" cm="1">
        <f t="array" ref="E70">SUMPRODUCT(--ISNUMBER(SEARCH(D70, $K:$K)))</f>
        <v>3</v>
      </c>
      <c r="F70" s="31" cm="1">
        <f t="array" ref="F70">SUMPRODUCT(--ISNUMBER(SEARCH(D70, $L:$L)))</f>
        <v>2</v>
      </c>
    </row>
    <row r="71" spans="4:6" x14ac:dyDescent="0.25">
      <c r="D71" t="s">
        <v>269</v>
      </c>
      <c r="E71" s="31" cm="1">
        <f t="array" ref="E71">SUMPRODUCT(--ISNUMBER(SEARCH(D71, $K:$K)))</f>
        <v>2</v>
      </c>
      <c r="F71" s="31" cm="1">
        <f t="array" ref="F71">SUMPRODUCT(--ISNUMBER(SEARCH(D71, $L:$L)))</f>
        <v>0</v>
      </c>
    </row>
    <row r="72" spans="4:6" x14ac:dyDescent="0.25">
      <c r="D72" t="s">
        <v>270</v>
      </c>
      <c r="E72" s="31" cm="1">
        <f t="array" ref="E72">SUMPRODUCT(--ISNUMBER(SEARCH(D72, $K:$K)))</f>
        <v>4</v>
      </c>
      <c r="F72" s="31" cm="1">
        <f t="array" ref="F72">SUMPRODUCT(--ISNUMBER(SEARCH(D72, $L:$L)))</f>
        <v>4</v>
      </c>
    </row>
    <row r="73" spans="4:6" x14ac:dyDescent="0.25">
      <c r="D73" t="s">
        <v>271</v>
      </c>
      <c r="E73" s="31" cm="1">
        <f t="array" ref="E73">SUMPRODUCT(--ISNUMBER(SEARCH(D73, $K:$K)))</f>
        <v>4</v>
      </c>
      <c r="F73" s="31" cm="1">
        <f t="array" ref="F73">SUMPRODUCT(--ISNUMBER(SEARCH(D73, $L:$L)))</f>
        <v>0</v>
      </c>
    </row>
    <row r="74" spans="4:6" x14ac:dyDescent="0.25">
      <c r="D74" t="s">
        <v>272</v>
      </c>
      <c r="E74" s="31" cm="1">
        <f t="array" ref="E74">SUMPRODUCT(--ISNUMBER(SEARCH(D74, $K:$K)))</f>
        <v>1</v>
      </c>
      <c r="F74" s="31" cm="1">
        <f t="array" ref="F74">SUMPRODUCT(--ISNUMBER(SEARCH(D74, $L:$L)))</f>
        <v>0</v>
      </c>
    </row>
    <row r="75" spans="4:6" x14ac:dyDescent="0.25">
      <c r="D75" t="s">
        <v>273</v>
      </c>
      <c r="E75" s="31" cm="1">
        <f t="array" ref="E75">SUMPRODUCT(--ISNUMBER(SEARCH(D75, $K:$K)))</f>
        <v>1</v>
      </c>
      <c r="F75" s="31" cm="1">
        <f t="array" ref="F75">SUMPRODUCT(--ISNUMBER(SEARCH(D75, $L:$L)))</f>
        <v>0</v>
      </c>
    </row>
    <row r="76" spans="4:6" x14ac:dyDescent="0.25">
      <c r="D76" t="s">
        <v>274</v>
      </c>
      <c r="E76" s="31" cm="1">
        <f t="array" ref="E76">SUMPRODUCT(--ISNUMBER(SEARCH(D76, $K:$K)))</f>
        <v>7</v>
      </c>
      <c r="F76" s="31" cm="1">
        <f t="array" ref="F76">SUMPRODUCT(--ISNUMBER(SEARCH(D76, $L:$L)))</f>
        <v>4</v>
      </c>
    </row>
    <row r="77" spans="4:6" x14ac:dyDescent="0.25">
      <c r="D77" t="s">
        <v>275</v>
      </c>
      <c r="E77" s="31" cm="1">
        <f t="array" ref="E77">SUMPRODUCT(--ISNUMBER(SEARCH(D77, $K:$K)))</f>
        <v>5</v>
      </c>
      <c r="F77" s="31" cm="1">
        <f t="array" ref="F77">SUMPRODUCT(--ISNUMBER(SEARCH(D77, $L:$L)))</f>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Cost</vt:lpstr>
      <vt:lpstr>Blurbs</vt:lpstr>
      <vt:lpstr>Attendance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Paris Gutierrez</dc:creator>
  <cp:lastModifiedBy>Sam Bradshaw</cp:lastModifiedBy>
  <cp:lastPrinted>2025-09-24T03:18:06Z</cp:lastPrinted>
  <dcterms:created xsi:type="dcterms:W3CDTF">2025-05-07T22:24:21Z</dcterms:created>
  <dcterms:modified xsi:type="dcterms:W3CDTF">2026-09-08T06:38:08Z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ad4959-a4d7-4a60-89ba-8fd96e834276_Enabled">
    <vt:lpwstr>true</vt:lpwstr>
  </property>
  <property fmtid="{D5CDD505-2E9C-101B-9397-08002B2CF9AE}" pid="3" name="MSIP_Label_faad4959-a4d7-4a60-89ba-8fd96e834276_SetDate">
    <vt:lpwstr>2025-05-07T22:35:29Z</vt:lpwstr>
  </property>
  <property fmtid="{D5CDD505-2E9C-101B-9397-08002B2CF9AE}" pid="4" name="MSIP_Label_faad4959-a4d7-4a60-89ba-8fd96e834276_Method">
    <vt:lpwstr>Standard</vt:lpwstr>
  </property>
  <property fmtid="{D5CDD505-2E9C-101B-9397-08002B2CF9AE}" pid="5" name="MSIP_Label_faad4959-a4d7-4a60-89ba-8fd96e834276_Name">
    <vt:lpwstr>Restricted - General</vt:lpwstr>
  </property>
  <property fmtid="{D5CDD505-2E9C-101B-9397-08002B2CF9AE}" pid="6" name="MSIP_Label_faad4959-a4d7-4a60-89ba-8fd96e834276_SiteId">
    <vt:lpwstr>6d13d3d5-8b13-4ab4-a345-350f909f5f65</vt:lpwstr>
  </property>
  <property fmtid="{D5CDD505-2E9C-101B-9397-08002B2CF9AE}" pid="7" name="MSIP_Label_faad4959-a4d7-4a60-89ba-8fd96e834276_ActionId">
    <vt:lpwstr>7a9e0cf5-d5ca-4147-a803-9caf9dd4f75f</vt:lpwstr>
  </property>
  <property fmtid="{D5CDD505-2E9C-101B-9397-08002B2CF9AE}" pid="8" name="MSIP_Label_faad4959-a4d7-4a60-89ba-8fd96e834276_ContentBits">
    <vt:lpwstr>0</vt:lpwstr>
  </property>
  <property fmtid="{D5CDD505-2E9C-101B-9397-08002B2CF9AE}" pid="9" name="MSIP_Label_faad4959-a4d7-4a60-89ba-8fd96e834276_Tag">
    <vt:lpwstr>10, 3, 0, 1</vt:lpwstr>
  </property>
</Properties>
</file>