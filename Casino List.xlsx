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P:\Research\SB - Research\1. Admin\2. Corporate Access\"/>
    </mc:Choice>
  </mc:AlternateContent>
  <xr:revisionPtr revIDLastSave="0" documentId="13_ncr:1_{C2222DA1-88FB-4506-8F4D-B5F03F413496}" xr6:coauthVersionLast="47" xr6:coauthVersionMax="47" xr10:uidLastSave="{00000000-0000-0000-0000-000000000000}"/>
  <bookViews>
    <workbookView xWindow="-120" yWindow="-120" windowWidth="29040" windowHeight="15720" activeTab="1" xr2:uid="{2692BF43-5F35-40CF-A2D0-98C3A834E21F}"/>
  </bookViews>
  <sheets>
    <sheet name="Guide" sheetId="4" r:id="rId1"/>
    <sheet name="Full Casino List" sheetId="1" r:id="rId2"/>
    <sheet name="Executives" sheetId="2" r:id="rId3"/>
    <sheet name="Philippines" sheetId="5" r:id="rId4"/>
    <sheet name="Owners" sheetId="6" r:id="rId5"/>
  </sheets>
  <externalReferences>
    <externalReference r:id="rId6"/>
  </externalReferences>
  <definedNames>
    <definedName name="_xlnm._FilterDatabase" localSheetId="2" hidden="1">Executives!$B$1:$BE$1</definedName>
    <definedName name="_xlnm._FilterDatabase" localSheetId="1" hidden="1">'Full Casino List'!$A$1:$X$365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5" i="1" l="1"/>
  <c r="A218" i="1"/>
  <c r="A208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7" i="1"/>
  <c r="A216" i="1"/>
  <c r="A215" i="1"/>
  <c r="A214" i="1"/>
  <c r="A213" i="1"/>
  <c r="A212" i="1"/>
  <c r="A211" i="1"/>
  <c r="A210" i="1"/>
  <c r="A209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1" i="1"/>
  <c r="A10" i="1"/>
  <c r="A9" i="1"/>
  <c r="A8" i="1"/>
  <c r="A7" i="1"/>
  <c r="A6" i="1"/>
  <c r="A5" i="1"/>
  <c r="A4" i="1"/>
  <c r="A3" i="1"/>
  <c r="A2" i="1"/>
  <c r="A12" i="1"/>
  <c r="Y90" i="2"/>
  <c r="Y66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C7" authorId="0" shapeId="0" xr:uid="{317CA07E-BD78-4A8E-955B-01254818F1FD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Have Group</t>
        </r>
      </text>
    </comment>
    <comment ref="C23" authorId="0" shapeId="0" xr:uid="{F2393787-FA04-4DA9-B90C-8C6BF6FF04A3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On Government List</t>
        </r>
      </text>
    </comment>
    <comment ref="C29" authorId="0" shapeId="0" xr:uid="{7EFAEDFF-240F-45E8-9352-1283CDB84621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Chickasaw Nation</t>
        </r>
      </text>
    </comment>
    <comment ref="C34" authorId="0" shapeId="0" xr:uid="{8A444994-CA09-48AF-8FE2-98E0C418283F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Chickasaw Nation</t>
        </r>
      </text>
    </comment>
    <comment ref="C48" authorId="0" shapeId="0" xr:uid="{88333905-DDCC-499D-A1C6-8B33470971CA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Chickasaw Nation</t>
        </r>
      </text>
    </comment>
    <comment ref="C68" authorId="0" shapeId="0" xr:uid="{5D43952F-3BD8-422A-8A77-B90AF43944EF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Not active Linkedin</t>
        </r>
      </text>
    </comment>
    <comment ref="C71" authorId="0" shapeId="0" xr:uid="{A32C187F-4818-4652-A3B6-6FB3E8882837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Not active Linkedin</t>
        </r>
      </text>
    </comment>
    <comment ref="C76" authorId="0" shapeId="0" xr:uid="{F5B4E9B2-94C0-4873-BB0A-FA5037155580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Not specific role on Linkedin</t>
        </r>
      </text>
    </comment>
    <comment ref="C79" authorId="0" shapeId="0" xr:uid="{5227CBDA-1DBC-4E1C-8D07-6BD4E3175716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Not specific role on Linkedin</t>
        </r>
      </text>
    </comment>
    <comment ref="C94" authorId="0" shapeId="0" xr:uid="{A7EC04C0-9B1C-4EDF-ADD2-363780395B3B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Group - Boyd</t>
        </r>
      </text>
    </comment>
    <comment ref="C105" authorId="0" shapeId="0" xr:uid="{33464AF2-93D1-4484-8468-0201504C81C0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Gateway</t>
        </r>
      </text>
    </comment>
    <comment ref="A123" authorId="0" shapeId="0" xr:uid="{09F2F7F5-3BDE-44FD-A7CA-668AE1B4B8C9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Group</t>
        </r>
      </text>
    </comment>
    <comment ref="C129" authorId="0" shapeId="0" xr:uid="{05AC877A-EDCF-4BEB-995E-52E7D608A451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Lotto Quebec</t>
        </r>
      </text>
    </comment>
    <comment ref="A137" authorId="0" shapeId="0" xr:uid="{11DBB7B9-185A-4C37-960A-75D9C18A65BC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Lack of Linkedin Presence</t>
        </r>
      </text>
    </comment>
    <comment ref="A154" authorId="0" shapeId="0" xr:uid="{C225F56D-B0C1-40FA-BC39-C72C7EA7D757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Group</t>
        </r>
      </text>
    </comment>
    <comment ref="A156" authorId="0" shapeId="0" xr:uid="{3599E715-2D01-4875-8D71-02C83FD9EE4E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 Linkedin contacts
https://www.linkedin.com/in/michael-memmo-b688a3b/</t>
        </r>
      </text>
    </comment>
    <comment ref="A170" authorId="0" shapeId="0" xr:uid="{FE4B0791-7E12-473A-8750-15137F87D7AD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 Linkedin
Jeffrey Brandt</t>
        </r>
      </text>
    </comment>
    <comment ref="A173" authorId="0" shapeId="0" xr:uid="{1BC8283E-4F89-400D-841A-D0E3E05194B0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Parent</t>
        </r>
      </text>
    </comment>
    <comment ref="A183" authorId="0" shapeId="0" xr:uid="{D6F5604C-AC74-4B13-9620-66DA608B7D63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Mark Pacheco</t>
        </r>
      </text>
    </comment>
    <comment ref="A186" authorId="0" shapeId="0" xr:uid="{7DBAED5C-2CA7-4233-8D91-3AA20DFA8ACF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Recent guy got the flick</t>
        </r>
      </text>
    </comment>
    <comment ref="A192" authorId="0" shapeId="0" xr:uid="{5C9FF1EA-5E23-48FF-996C-DC5F9FBF58BC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https://www.linkedin.com/in/mark-mccrindle-02758721/
No Linkedin Presence</t>
        </r>
      </text>
    </comment>
    <comment ref="A194" authorId="0" shapeId="0" xr:uid="{EFDD6CFD-B8AD-4678-97BE-3975DF809D78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 Linkedin
</t>
        </r>
      </text>
    </comment>
    <comment ref="A196" authorId="0" shapeId="0" xr:uid="{49C08431-42C5-4685-AEAB-28CA62BBD10A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 one clear</t>
        </r>
      </text>
    </comment>
    <comment ref="A199" authorId="0" shapeId="0" xr:uid="{014C419D-456A-473E-A3B6-7F20F31ACA49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 Linkedin</t>
        </r>
      </text>
    </comment>
    <comment ref="A208" authorId="0" shapeId="0" xr:uid="{9F47AB14-A260-4EF3-9FB8-92635FD2F585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 Linkedin</t>
        </r>
      </text>
    </comment>
    <comment ref="A210" authorId="0" shapeId="0" xr:uid="{A808798F-591D-4617-B66C-872A7D3012E1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Group</t>
        </r>
      </text>
    </comment>
    <comment ref="A216" authorId="0" shapeId="0" xr:uid="{639484CC-D9BF-4457-BD8A-0969843124FC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Group</t>
        </r>
      </text>
    </comment>
    <comment ref="A217" authorId="0" shapeId="0" xr:uid="{CB58ECAA-522B-4237-9567-53263422F252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Combined
</t>
        </r>
      </text>
    </comment>
    <comment ref="A221" authorId="0" shapeId="0" xr:uid="{E754BAA8-2F3A-40DF-9C80-481BAB8264B2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Group</t>
        </r>
      </text>
    </comment>
    <comment ref="A243" authorId="0" shapeId="0" xr:uid="{340779EE-6DF3-4C02-8ADF-2D17071873BD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https://www.mbll.ca/content/anastasio</t>
        </r>
      </text>
    </comment>
    <comment ref="A245" authorId="0" shapeId="0" xr:uid="{F3A24859-169D-45B6-953E-3ECBEABEBDC5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https://www.mbll.ca/content/anastasio</t>
        </r>
      </text>
    </comment>
    <comment ref="A251" authorId="0" shapeId="0" xr:uid="{736EB271-B64B-4438-BC79-3AC982C21DC4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https://www.linkedin.com/in/mitch-bailey-8aa2a415/</t>
        </r>
      </text>
    </comment>
    <comment ref="A289" authorId="0" shapeId="0" xr:uid="{5D43F57F-02EA-48ED-A52E-C377EF5FDA06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https://www.linkedin.com/in/chuck-oswald-19830419a/</t>
        </r>
      </text>
    </comment>
    <comment ref="A291" authorId="0" shapeId="0" xr:uid="{7E6AE979-6098-402E-835C-6B4DE68CEC0D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https://www.linkedin.com/in/dennis-shananaquet-009611149/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Y2" authorId="0" shapeId="0" xr:uid="{9DCE4382-B417-405F-9866-19998C05CF57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Other Options</t>
        </r>
      </text>
    </comment>
    <comment ref="Y10" authorId="0" shapeId="0" xr:uid="{E1CF6D30-8A7F-4C1D-A5FF-7520A4A69754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Wrong Role</t>
        </r>
      </text>
    </comment>
    <comment ref="Y23" authorId="0" shapeId="0" xr:uid="{07A6254C-77F0-4A7E-A7CF-E3AE02005B3B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Retired</t>
        </r>
      </text>
    </comment>
    <comment ref="Y26" authorId="0" shapeId="0" xr:uid="{2013004F-EBCB-4A6F-A751-21716DD7ECAA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Moved On</t>
        </r>
      </text>
    </comment>
    <comment ref="Y42" authorId="0" shapeId="0" xr:uid="{7AEE6DAB-93C5-4FBF-BE39-1746FB8D15A1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New Job</t>
        </r>
      </text>
    </comment>
    <comment ref="Y48" authorId="0" shapeId="0" xr:uid="{ED41A079-4ECD-4341-B1BA-3787D88E9FEE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Prefer other guy</t>
        </r>
      </text>
    </comment>
    <comment ref="Y66" authorId="0" shapeId="0" xr:uid="{379C74E6-CBBB-4CDB-9223-8C8F89B8FB03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Not sure on job</t>
        </r>
      </text>
    </comment>
    <comment ref="Y68" authorId="0" shapeId="0" xr:uid="{D1531F34-C368-4576-B6D8-74B8FBE8829C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More Front of House</t>
        </r>
      </text>
    </comment>
    <comment ref="Y70" authorId="0" shapeId="0" xr:uid="{E513B7A7-B0DD-4908-BFA0-033132270E28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Not right role</t>
        </r>
      </text>
    </comment>
    <comment ref="Y89" authorId="0" shapeId="0" xr:uid="{43591207-B250-4814-841F-F2BF702456CB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Have Warren
</t>
        </r>
      </text>
    </comment>
    <comment ref="Y90" authorId="0" shapeId="0" xr:uid="{E29CA772-D7E4-4B82-9F66-E5E095D8B1ED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Have Warren
</t>
        </r>
      </text>
    </comment>
    <comment ref="Y94" authorId="0" shapeId="0" xr:uid="{A3F0C383-5036-4834-B8C7-D1E8A8A3A98C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Outdated</t>
        </r>
      </text>
    </comment>
    <comment ref="Y96" authorId="0" shapeId="0" xr:uid="{8DF5F7DF-8A5E-4386-9DDD-87A48D5CB530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Preferance for other guy</t>
        </r>
      </text>
    </comment>
    <comment ref="Y99" authorId="0" shapeId="0" xr:uid="{3912330E-A75B-4DD8-9544-ECD10E758739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Preferance for other 2</t>
        </r>
      </text>
    </comment>
    <comment ref="Y124" authorId="0" shapeId="0" xr:uid="{C25DB9C8-5FF2-453B-81B3-90C001529605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New Role</t>
        </r>
      </text>
    </comment>
    <comment ref="Y131" authorId="0" shapeId="0" xr:uid="{41766F03-2A78-4826-9D8D-A7218353D038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Not sure if accurate</t>
        </r>
      </text>
    </comment>
    <comment ref="Y132" authorId="0" shapeId="0" xr:uid="{1C9260AE-74CB-4336-A5FB-EC2B9CFBD5FA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Unsure of Role</t>
        </r>
      </text>
    </comment>
    <comment ref="Y133" authorId="0" shapeId="0" xr:uid="{3DCF7F49-09D4-4D18-AA63-0AA6EED95C94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More Table Games</t>
        </r>
      </text>
    </comment>
    <comment ref="Y143" authorId="0" shapeId="0" xr:uid="{D54C3566-69D4-4F12-946B-8E77327830FD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Short history in Slots</t>
        </r>
      </text>
    </comment>
    <comment ref="Y144" authorId="0" shapeId="0" xr:uid="{11F4FEDF-9EA3-435D-86E9-B678B70824F1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Linkedin Outdated</t>
        </r>
      </text>
    </comment>
    <comment ref="Y148" authorId="0" shapeId="0" xr:uid="{6F362060-A17F-44D6-82C0-CBC1702E096F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Linkedin Outdated</t>
        </r>
      </text>
    </comment>
    <comment ref="Y151" authorId="0" shapeId="0" xr:uid="{FC2085FF-A769-4133-9AAB-27050C6F06E0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Prefer other guy</t>
        </r>
      </text>
    </comment>
  </commentList>
</comments>
</file>

<file path=xl/sharedStrings.xml><?xml version="1.0" encoding="utf-8"?>
<sst xmlns="http://schemas.openxmlformats.org/spreadsheetml/2006/main" count="9930" uniqueCount="1875">
  <si>
    <t/>
  </si>
  <si>
    <t>Company</t>
  </si>
  <si>
    <t>City</t>
  </si>
  <si>
    <t>State</t>
  </si>
  <si>
    <t>PhysicalCountry</t>
  </si>
  <si>
    <t>PropertyStatus</t>
  </si>
  <si>
    <t>Slots</t>
  </si>
  <si>
    <t>TableGames</t>
  </si>
  <si>
    <t>PokerTables</t>
  </si>
  <si>
    <t>BingoSeats</t>
  </si>
  <si>
    <t>Sportsbook</t>
  </si>
  <si>
    <t>Racebook</t>
  </si>
  <si>
    <t>CasinoSquareFootage</t>
  </si>
  <si>
    <t>ConventionSquareFootage</t>
  </si>
  <si>
    <t>Rooms</t>
  </si>
  <si>
    <t>Restaurants</t>
  </si>
  <si>
    <t>EntertainmentVenues</t>
  </si>
  <si>
    <t>ParkingSpaces</t>
  </si>
  <si>
    <t>Employees</t>
  </si>
  <si>
    <t>NativeAmerican</t>
  </si>
  <si>
    <t>TribalCompact</t>
  </si>
  <si>
    <t>PropertyType</t>
  </si>
  <si>
    <t>FirstName</t>
  </si>
  <si>
    <t>LastName</t>
  </si>
  <si>
    <t>Title</t>
  </si>
  <si>
    <t>TitleLong</t>
  </si>
  <si>
    <t>Responsibilities</t>
  </si>
  <si>
    <t>PropertyOwnerName</t>
  </si>
  <si>
    <t>7 Clans First Council Casino &amp; Resort</t>
  </si>
  <si>
    <t>Newkirk</t>
  </si>
  <si>
    <t>OK</t>
  </si>
  <si>
    <t>United States</t>
  </si>
  <si>
    <t>Open</t>
  </si>
  <si>
    <t>No</t>
  </si>
  <si>
    <t>Yes</t>
  </si>
  <si>
    <t>Casino</t>
  </si>
  <si>
    <t>Otoe-Missouria Tribe of Oklahoma</t>
  </si>
  <si>
    <t>Acorn Ridge Casino</t>
  </si>
  <si>
    <t>Plymouth</t>
  </si>
  <si>
    <t>CA</t>
  </si>
  <si>
    <t>Under Construction</t>
  </si>
  <si>
    <t>Gaming and Leisure Properties, Inc., Ione Band of Miwok Indians, Warner Gaming, LLC</t>
  </si>
  <si>
    <t>Agua Caliente Rancho Mirage</t>
  </si>
  <si>
    <t>Rancho Mirage</t>
  </si>
  <si>
    <t>Agua Caliente Band of Cahuilla Indians</t>
  </si>
  <si>
    <t>Akwesasne Mohawk Casino Resort</t>
  </si>
  <si>
    <t>Hogansburg</t>
  </si>
  <si>
    <t>NY</t>
  </si>
  <si>
    <t>Saint Regis Mohawk Tribe</t>
  </si>
  <si>
    <t>Aliante Casino &amp; Hotel &amp; Spa</t>
  </si>
  <si>
    <t>North Las Vegas</t>
  </si>
  <si>
    <t>NV</t>
  </si>
  <si>
    <t>Jesse</t>
  </si>
  <si>
    <t>Boyd Gaming Corporation</t>
  </si>
  <si>
    <t>Ameristar Casino Hotel - Council Bluffs</t>
  </si>
  <si>
    <t>Council Bluffs</t>
  </si>
  <si>
    <t>IA</t>
  </si>
  <si>
    <t>Casino Boat</t>
  </si>
  <si>
    <t>Brian</t>
  </si>
  <si>
    <t>Gaming and Leisure Properties, Inc., Penn Entertainment Inc.</t>
  </si>
  <si>
    <t>Ameristar Casino Hotel Kansas City</t>
  </si>
  <si>
    <t>Kansas City</t>
  </si>
  <si>
    <t>MO</t>
  </si>
  <si>
    <t>Brown</t>
  </si>
  <si>
    <t>Boyd Gaming Corporation, Gaming and Leisure Properties, Inc.</t>
  </si>
  <si>
    <t>Ameristar Casino Resort Spa Saint Charles</t>
  </si>
  <si>
    <t>Saint Charles</t>
  </si>
  <si>
    <t>Josh</t>
  </si>
  <si>
    <t>Angel of the Winds Casino Resort</t>
  </si>
  <si>
    <t>Arlington</t>
  </si>
  <si>
    <t>WA</t>
  </si>
  <si>
    <t>Washington</t>
  </si>
  <si>
    <t>Bruce</t>
  </si>
  <si>
    <t>Stillaguamish Tribe</t>
  </si>
  <si>
    <t>Aquarius Casino Resort</t>
  </si>
  <si>
    <t>Laughlin</t>
  </si>
  <si>
    <t>Mike</t>
  </si>
  <si>
    <t>Golden Entertainment, Inc.</t>
  </si>
  <si>
    <t>Argosy Casino Hotel &amp; Spa</t>
  </si>
  <si>
    <t>Riverside</t>
  </si>
  <si>
    <t>Aria Resort &amp; Casino</t>
  </si>
  <si>
    <t>Las Vegas</t>
  </si>
  <si>
    <t>MGM Resorts International</t>
  </si>
  <si>
    <t>Atlantis Casino Resort &amp; Spa</t>
  </si>
  <si>
    <t>Reno</t>
  </si>
  <si>
    <t>Monarch Casino &amp; Resort, Inc.</t>
  </si>
  <si>
    <t>Bally's Atlantic City</t>
  </si>
  <si>
    <t>Atlantic City</t>
  </si>
  <si>
    <t>NJ</t>
  </si>
  <si>
    <t>Frank</t>
  </si>
  <si>
    <t>Policastro</t>
  </si>
  <si>
    <t>VP of Casino Operations</t>
  </si>
  <si>
    <t>Vice President of Casino Operations</t>
  </si>
  <si>
    <t>Casino Ops</t>
  </si>
  <si>
    <t>Bally's Corporation</t>
  </si>
  <si>
    <t>Bally's Chicago Casino Resort</t>
  </si>
  <si>
    <t>Chicago</t>
  </si>
  <si>
    <t>IL</t>
  </si>
  <si>
    <t>Gordon</t>
  </si>
  <si>
    <t>Bally's Corporation, Gaming and Leisure Properties, Inc.</t>
  </si>
  <si>
    <t>Bally's Dover</t>
  </si>
  <si>
    <t>Dover</t>
  </si>
  <si>
    <t>DE</t>
  </si>
  <si>
    <t>Horse Track Racino</t>
  </si>
  <si>
    <t>Bally's Shreveport</t>
  </si>
  <si>
    <t>Shreveport</t>
  </si>
  <si>
    <t>LA</t>
  </si>
  <si>
    <t>Ian</t>
  </si>
  <si>
    <t>Cairns</t>
  </si>
  <si>
    <t>Director of Casino Operations</t>
  </si>
  <si>
    <t>Games, Player Dev, Poker, Slots</t>
  </si>
  <si>
    <t>Bally's Tiverton</t>
  </si>
  <si>
    <t>Tiverton</t>
  </si>
  <si>
    <t>RI</t>
  </si>
  <si>
    <t>Rich</t>
  </si>
  <si>
    <t>Bally's Twin River Lincoln</t>
  </si>
  <si>
    <t>Lincoln</t>
  </si>
  <si>
    <t>Ronald</t>
  </si>
  <si>
    <t>Barona Resort &amp; Casino</t>
  </si>
  <si>
    <t>Lakeside</t>
  </si>
  <si>
    <t>Murphy</t>
  </si>
  <si>
    <t>Barona Band of Mission Indians</t>
  </si>
  <si>
    <t>Barstow Casino and Resort</t>
  </si>
  <si>
    <t>Barstow</t>
  </si>
  <si>
    <t>Planned</t>
  </si>
  <si>
    <t>Jason</t>
  </si>
  <si>
    <t>Big Lagoon Rancheria Tribe, Los Coyotes Band of Cahuilla and Cupeno Indians</t>
  </si>
  <si>
    <t>Beau Rivage Resort &amp; Casino</t>
  </si>
  <si>
    <t>Biloxi</t>
  </si>
  <si>
    <t>MS</t>
  </si>
  <si>
    <t>MGM Resorts International, VICI Properties, Inc.</t>
  </si>
  <si>
    <t>Bellagio</t>
  </si>
  <si>
    <t>MGM Resorts International, Realty Income Corporation, The Blackstone Group L.P.</t>
  </si>
  <si>
    <t>Belterra Park Gaming</t>
  </si>
  <si>
    <t>Cincinnati</t>
  </si>
  <si>
    <t>OH</t>
  </si>
  <si>
    <t>Justin</t>
  </si>
  <si>
    <t>Black Bear Casino Resort</t>
  </si>
  <si>
    <t>Carlton</t>
  </si>
  <si>
    <t>MN</t>
  </si>
  <si>
    <t>Fond du Lac Band of Lake Superior Chippewa</t>
  </si>
  <si>
    <t>Black Oak Casino Resort</t>
  </si>
  <si>
    <t>Tuolumne</t>
  </si>
  <si>
    <t>Tuolumne Band of Me-Wuk Indians, Tuolumne Economic Development Authority, Inc.</t>
  </si>
  <si>
    <t>Blue Chip Casino, Hotel &amp; Spa</t>
  </si>
  <si>
    <t>Michigan City</t>
  </si>
  <si>
    <t>IN</t>
  </si>
  <si>
    <t>Boomtown Casino - New Orleans</t>
  </si>
  <si>
    <t>Harvey</t>
  </si>
  <si>
    <t>Williams</t>
  </si>
  <si>
    <t>Border Casino</t>
  </si>
  <si>
    <t>Thackerville</t>
  </si>
  <si>
    <t>Chickasaw Nation, Chickasaw Nation Industries, Inc.</t>
  </si>
  <si>
    <t>Borgata Hotel Casino and Spa</t>
  </si>
  <si>
    <t>Boulder Station Hotel &amp; Casino</t>
  </si>
  <si>
    <t>Station Casinos, LLC</t>
  </si>
  <si>
    <t>Buffalo Thunder Resort &amp; Casino</t>
  </si>
  <si>
    <t>Santa Fe</t>
  </si>
  <si>
    <t>NM</t>
  </si>
  <si>
    <t>Michael</t>
  </si>
  <si>
    <t>Pueblo of Pojoaque</t>
  </si>
  <si>
    <t>Cache Creek Casino Resort</t>
  </si>
  <si>
    <t>Brooks</t>
  </si>
  <si>
    <t>Yocha Dehe Wintun Nation</t>
  </si>
  <si>
    <t>Cadence Crossing Casino</t>
  </si>
  <si>
    <t>Henderson</t>
  </si>
  <si>
    <t>Caesars Atlantic City</t>
  </si>
  <si>
    <t>Caesars Entertainment, Inc., VICI Properties, Inc.</t>
  </si>
  <si>
    <t>Caesars New Orleans Hotel &amp; Casino</t>
  </si>
  <si>
    <t>New Orleans</t>
  </si>
  <si>
    <t>Caesars Palace</t>
  </si>
  <si>
    <t>Sean</t>
  </si>
  <si>
    <t>Caesars Virginia</t>
  </si>
  <si>
    <t>Danville</t>
  </si>
  <si>
    <t>VA</t>
  </si>
  <si>
    <t>Wendy</t>
  </si>
  <si>
    <t>Caesars Entertainment, Inc., Eastern Band of Cherokee Indians, EBCI Holdings LLC</t>
  </si>
  <si>
    <t>Caesars Windsor</t>
  </si>
  <si>
    <t>Windsor</t>
  </si>
  <si>
    <t>ON</t>
  </si>
  <si>
    <t>Canada</t>
  </si>
  <si>
    <t>Games</t>
  </si>
  <si>
    <t>Caesars Entertainment, Inc., Ontario Lottery and Gaming Corporation</t>
  </si>
  <si>
    <t>Calder Casino</t>
  </si>
  <si>
    <t>Miami Gardens</t>
  </si>
  <si>
    <t>FL</t>
  </si>
  <si>
    <t>Churchill Downs Incorporated</t>
  </si>
  <si>
    <t>Cannery Casino &amp; Hotel</t>
  </si>
  <si>
    <t>Carnival City Casino and Entertainment World</t>
  </si>
  <si>
    <t>Brakpan</t>
  </si>
  <si>
    <t>South Africa</t>
  </si>
  <si>
    <t>Shaun</t>
  </si>
  <si>
    <t>Sun International, Ltd.</t>
  </si>
  <si>
    <t>CasaBlanca Resort, Casino, Golf &amp; Spa</t>
  </si>
  <si>
    <t>Mesquite</t>
  </si>
  <si>
    <t>Mesquite Entertainment, LLC</t>
  </si>
  <si>
    <t>Casino Buenos Aires</t>
  </si>
  <si>
    <t>Puerto Madero</t>
  </si>
  <si>
    <t>Argentina</t>
  </si>
  <si>
    <t>Rodolfo</t>
  </si>
  <si>
    <t>Firestier</t>
  </si>
  <si>
    <t>Casino Director</t>
  </si>
  <si>
    <t>Lotería Nacional Sociedad del Estado</t>
  </si>
  <si>
    <t>Casino de Montréal</t>
  </si>
  <si>
    <t>Montreal</t>
  </si>
  <si>
    <t>QC</t>
  </si>
  <si>
    <t>Loto-Québec</t>
  </si>
  <si>
    <t>Casino du Lac-Leamy</t>
  </si>
  <si>
    <t>Gatineau</t>
  </si>
  <si>
    <t>Casino Golden Palace</t>
  </si>
  <si>
    <t>San Isidro</t>
  </si>
  <si>
    <t>Peru</t>
  </si>
  <si>
    <t>Golden Investment, SA</t>
  </si>
  <si>
    <t>Casino Lisboa</t>
  </si>
  <si>
    <t>Lisbon</t>
  </si>
  <si>
    <t>Portugal</t>
  </si>
  <si>
    <t>Estoril-Sol, SA</t>
  </si>
  <si>
    <t>Casino Niagara</t>
  </si>
  <si>
    <t>Niagara Falls</t>
  </si>
  <si>
    <t>Mohegan Gaming, Mohegan Tribe, Ontario Lottery and Gaming Corporation</t>
  </si>
  <si>
    <t>Casino Pauma</t>
  </si>
  <si>
    <t>Pauma Valley</t>
  </si>
  <si>
    <t>James</t>
  </si>
  <si>
    <t>Pauma Band of Luiseño Indians</t>
  </si>
  <si>
    <t>Casino Rama Resort</t>
  </si>
  <si>
    <t>Rama</t>
  </si>
  <si>
    <t>Chippewas of Rama First Nation, Gateway Casinos &amp; Entertainment Limited</t>
  </si>
  <si>
    <t>Casino Trilenium</t>
  </si>
  <si>
    <t>Tigre</t>
  </si>
  <si>
    <t>Grupo Boldt, SA</t>
  </si>
  <si>
    <t>Casino Viña del Mar</t>
  </si>
  <si>
    <t>Viña del Mar</t>
  </si>
  <si>
    <t>Chile</t>
  </si>
  <si>
    <t>Enjoy Group Hotels and Resorts</t>
  </si>
  <si>
    <t>Catawba Two Kings Casino Resort</t>
  </si>
  <si>
    <t>Kings Mountain</t>
  </si>
  <si>
    <t>NC</t>
  </si>
  <si>
    <t>Catawba Indian Nation, Delaware North Companies, Inc.</t>
  </si>
  <si>
    <t>Centro de Entretenimiento y Convenciones Atlantic City</t>
  </si>
  <si>
    <t>Lima</t>
  </si>
  <si>
    <t>Cherokee Casino &amp; Hotel West Siloam Springs</t>
  </si>
  <si>
    <t>Colcord</t>
  </si>
  <si>
    <t>Games, Poker</t>
  </si>
  <si>
    <t>Cherokee Nation, Cherokee Nation Entertainment</t>
  </si>
  <si>
    <t>Chinook Winds Casino Resort</t>
  </si>
  <si>
    <t>Lincoln City</t>
  </si>
  <si>
    <t>OR</t>
  </si>
  <si>
    <t>Confederated Tribes of Siletz Indians</t>
  </si>
  <si>
    <t>Choctaw Casino Resort - Durant</t>
  </si>
  <si>
    <t>Durant</t>
  </si>
  <si>
    <t>O'Sullivan</t>
  </si>
  <si>
    <t>Choctaw Nation of Oklahoma</t>
  </si>
  <si>
    <t>Choctaw Casino Resort - Grant</t>
  </si>
  <si>
    <t>Grant</t>
  </si>
  <si>
    <t>Hunter</t>
  </si>
  <si>
    <t>Choctaw Casino Resort - Pocola</t>
  </si>
  <si>
    <t>Pocola</t>
  </si>
  <si>
    <t>Chukchansi Gold Resort &amp; Casino</t>
  </si>
  <si>
    <t>Coarsegold</t>
  </si>
  <si>
    <t>Picayune Rancheria of the Chukchansi Indians</t>
  </si>
  <si>
    <t>Chumash Casino Resort</t>
  </si>
  <si>
    <t>Santa Ynez</t>
  </si>
  <si>
    <t>Santa Ynez Band of Chumash Indians</t>
  </si>
  <si>
    <t>Circa Resort &amp; Casino</t>
  </si>
  <si>
    <t>Circa Hospitality Group</t>
  </si>
  <si>
    <t>Circus Circus at THE ROW</t>
  </si>
  <si>
    <t>Don</t>
  </si>
  <si>
    <t>Caesars Entertainment, Inc.</t>
  </si>
  <si>
    <t>Circus Circus Las Vegas Hotel and Casino</t>
  </si>
  <si>
    <t>Ruffin Companies</t>
  </si>
  <si>
    <t>City Center Rosario</t>
  </si>
  <si>
    <t>Rosario</t>
  </si>
  <si>
    <t>Casino Club, SA</t>
  </si>
  <si>
    <t>City of Dreams Macau</t>
  </si>
  <si>
    <t>Cotai</t>
  </si>
  <si>
    <t>Macau</t>
  </si>
  <si>
    <t>Lei</t>
  </si>
  <si>
    <t>Melco Resorts &amp; Entertainment Limited</t>
  </si>
  <si>
    <t>City of Dreams Manila</t>
  </si>
  <si>
    <t>Manila</t>
  </si>
  <si>
    <t>Philippines</t>
  </si>
  <si>
    <t>Cloverdale Rancheria Casino Resort</t>
  </si>
  <si>
    <t>Cloverdale</t>
  </si>
  <si>
    <t>Cloverdale Band of Pomo Indians of California</t>
  </si>
  <si>
    <t>Club Regent Casino</t>
  </si>
  <si>
    <t>Winnipeg</t>
  </si>
  <si>
    <t>MB</t>
  </si>
  <si>
    <t>Alain</t>
  </si>
  <si>
    <t>Manitoba Liquor &amp; Lotteries Corporation</t>
  </si>
  <si>
    <t>Coeur d'Alene Casino Resort Hotel</t>
  </si>
  <si>
    <t>Worley</t>
  </si>
  <si>
    <t>ID</t>
  </si>
  <si>
    <t>Rick</t>
  </si>
  <si>
    <t>Director of Video Gaming</t>
  </si>
  <si>
    <t>Coeur d'Alene Tribe</t>
  </si>
  <si>
    <t>Colusa Casino Resort</t>
  </si>
  <si>
    <t>Colusa</t>
  </si>
  <si>
    <t>Victor</t>
  </si>
  <si>
    <t>Cachil Dehe Band of Wintun Indians of the Colusa Indian Community</t>
  </si>
  <si>
    <t>Comanche Red River Hotel Casino</t>
  </si>
  <si>
    <t>Devol</t>
  </si>
  <si>
    <t>Comanche Nation, Comanche Nation Entertainment</t>
  </si>
  <si>
    <t>Corona Resort and Casino</t>
  </si>
  <si>
    <t>Phu Quoc</t>
  </si>
  <si>
    <t>Vietnam</t>
  </si>
  <si>
    <t>Coushatta Casino Resort</t>
  </si>
  <si>
    <t>Kinder</t>
  </si>
  <si>
    <t>Coushatta Tribe of Louisiana</t>
  </si>
  <si>
    <t>Crown Melbourne</t>
  </si>
  <si>
    <t>Melbourne</t>
  </si>
  <si>
    <t>VIC</t>
  </si>
  <si>
    <t>Australia</t>
  </si>
  <si>
    <t>Barry</t>
  </si>
  <si>
    <t>Crown Resorts Limited</t>
  </si>
  <si>
    <t>Crown Perth</t>
  </si>
  <si>
    <t>Victoria Park</t>
  </si>
  <si>
    <t>del Lago Resort &amp; Casino</t>
  </si>
  <si>
    <t>Waterloo</t>
  </si>
  <si>
    <t>Delaware Park Casino &amp; Racing</t>
  </si>
  <si>
    <t>Wilmington</t>
  </si>
  <si>
    <t>Clairvest Group, Inc., Rubico Acquisition Corp.</t>
  </si>
  <si>
    <t>Delta Downs Racetrack Casino Hotel</t>
  </si>
  <si>
    <t>Vinton</t>
  </si>
  <si>
    <t>Desert Diamond Casinos &amp; Entertainment - Tucson</t>
  </si>
  <si>
    <t>Tucson</t>
  </si>
  <si>
    <t>AZ</t>
  </si>
  <si>
    <t>Mark</t>
  </si>
  <si>
    <t>Tohono O'odham Nation</t>
  </si>
  <si>
    <t>Desert Diamond Casinos &amp; Entertainment - West Valley</t>
  </si>
  <si>
    <t>Glendale</t>
  </si>
  <si>
    <t>David</t>
  </si>
  <si>
    <t>Don Laughlin's Riverside Resort Hotel and Casino</t>
  </si>
  <si>
    <t>Downstream Casino Resort</t>
  </si>
  <si>
    <t>Quapaw</t>
  </si>
  <si>
    <t>Todd</t>
  </si>
  <si>
    <t>Quapaw Tribe of Oklahoma</t>
  </si>
  <si>
    <t>Durango Casino Resort</t>
  </si>
  <si>
    <t>Eagle Mountain Casino</t>
  </si>
  <si>
    <t>Porterville</t>
  </si>
  <si>
    <t>Dennis</t>
  </si>
  <si>
    <t>Casino Ops, Slots</t>
  </si>
  <si>
    <t>Tule River Indian Tribe</t>
  </si>
  <si>
    <t>Eastside Cannery Casino &amp; Hotel</t>
  </si>
  <si>
    <t>Temporarily Closed</t>
  </si>
  <si>
    <t>El Cortez Hotel &amp; Casino</t>
  </si>
  <si>
    <t>Eldorado at THE ROW</t>
  </si>
  <si>
    <t>Eldorado Gaming Scioto Downs</t>
  </si>
  <si>
    <t>Columbus</t>
  </si>
  <si>
    <t>Elements Casino Flamboro</t>
  </si>
  <si>
    <t>Dundas</t>
  </si>
  <si>
    <t>Great Canadian Entertainment</t>
  </si>
  <si>
    <t>Elements Casino Mohawk</t>
  </si>
  <si>
    <t>Milton</t>
  </si>
  <si>
    <t>Great Canadian Entertainment, Woodbine Entertainment Group</t>
  </si>
  <si>
    <t>Emerald Queen Hotel &amp; Casino Fife</t>
  </si>
  <si>
    <t>Fife</t>
  </si>
  <si>
    <t>Casino Ops, Games</t>
  </si>
  <si>
    <t>Puyallup Tribe of Indians</t>
  </si>
  <si>
    <t>Emerald Queen Hotel &amp; Casino Tacoma</t>
  </si>
  <si>
    <t>Tacoma</t>
  </si>
  <si>
    <t>Dan</t>
  </si>
  <si>
    <t>Emperors Palace Hotel Casino Convention and Entertainment Resort</t>
  </si>
  <si>
    <t>Johannesburg</t>
  </si>
  <si>
    <t>Peermont Global</t>
  </si>
  <si>
    <t>Empire City Casino</t>
  </si>
  <si>
    <t>Yonkers</t>
  </si>
  <si>
    <t>Encore Boston Harbor</t>
  </si>
  <si>
    <t>Everett</t>
  </si>
  <si>
    <t>MA</t>
  </si>
  <si>
    <t>Realty Income Corporation, Wynn Resorts, Limited</t>
  </si>
  <si>
    <t>Encore Resort</t>
  </si>
  <si>
    <t>Wynn Resorts, Limited</t>
  </si>
  <si>
    <t>Enjoy Santiago</t>
  </si>
  <si>
    <t>Rinconada de los Andes</t>
  </si>
  <si>
    <t>Evangeline Downs Racetrack Casino Hotel</t>
  </si>
  <si>
    <t>Opelousas</t>
  </si>
  <si>
    <t>Walker</t>
  </si>
  <si>
    <t>Fallsview Casino Resort</t>
  </si>
  <si>
    <t>Fantasy Springs Resort Casino</t>
  </si>
  <si>
    <t>Indio</t>
  </si>
  <si>
    <t>Cabazon Band of Cahuilla Indians</t>
  </si>
  <si>
    <t>Finger Lakes Casino &amp; Racetrack</t>
  </si>
  <si>
    <t>Farmington</t>
  </si>
  <si>
    <t>Patrick</t>
  </si>
  <si>
    <t>Delaware North Companies, Inc., Finger Lakes Racing Association, Inc.</t>
  </si>
  <si>
    <t>FireKeepers Casino Hotel</t>
  </si>
  <si>
    <t>Battle Creek</t>
  </si>
  <si>
    <t>MI</t>
  </si>
  <si>
    <t>Rebecca</t>
  </si>
  <si>
    <t>Nottawaseppi Huron Band of Potawatomi Indians</t>
  </si>
  <si>
    <t>First Light Resort &amp; Casino</t>
  </si>
  <si>
    <t>Taunton</t>
  </si>
  <si>
    <t>Genting Malaysia Berhad, Mashpee Wampanoag Tribe</t>
  </si>
  <si>
    <t>Fontainebleau Las Vegas</t>
  </si>
  <si>
    <t>Fontainbleau Development</t>
  </si>
  <si>
    <t>Four Winds New Buffalo</t>
  </si>
  <si>
    <t>New Buffalo</t>
  </si>
  <si>
    <t>Pokagon Band of Potawatomi Indians</t>
  </si>
  <si>
    <t>Four Winds South Bend</t>
  </si>
  <si>
    <t>South Bend</t>
  </si>
  <si>
    <t>Adams</t>
  </si>
  <si>
    <t>Foxwoods Resort Casino</t>
  </si>
  <si>
    <t>Mashantucket</t>
  </si>
  <si>
    <t>CT</t>
  </si>
  <si>
    <t>Mashantucket Pequot Tribal Nation</t>
  </si>
  <si>
    <t>Foxwoods Resort Casino at Biloxi Pointe</t>
  </si>
  <si>
    <t>Chris</t>
  </si>
  <si>
    <t>Galaxy Macau</t>
  </si>
  <si>
    <t>Peter</t>
  </si>
  <si>
    <t>Johns</t>
  </si>
  <si>
    <t>VP of Electronic Gaming</t>
  </si>
  <si>
    <t>Vice President of Electronic Gaming</t>
  </si>
  <si>
    <t>Galaxy Entertainment Group Limited</t>
  </si>
  <si>
    <t>Gateway Casinos Innisfil and Georgian Downs</t>
  </si>
  <si>
    <t>Innisfil</t>
  </si>
  <si>
    <t>Tim</t>
  </si>
  <si>
    <t>Gateway Casinos &amp; Entertainment Limited, Great Canadian Entertainment, Ontario Lottery and Gaming Corporation</t>
  </si>
  <si>
    <t>Gila River Resorts &amp; Casinos - Lone Butte</t>
  </si>
  <si>
    <t>Chandler</t>
  </si>
  <si>
    <t>Gila River Gaming Enterprises, Inc., Gila River Indian Community</t>
  </si>
  <si>
    <t>Gila River Resorts &amp; Casinos - Vee Quiva</t>
  </si>
  <si>
    <t>Gila River Resorts &amp; Casinos - Wild Horse Pass</t>
  </si>
  <si>
    <t>Gold Coast Hotel and Casino</t>
  </si>
  <si>
    <t>Gold Reef City Casino</t>
  </si>
  <si>
    <t>Tsogo Sun</t>
  </si>
  <si>
    <t>Golden Circle Casino</t>
  </si>
  <si>
    <t>Park City</t>
  </si>
  <si>
    <t>KS</t>
  </si>
  <si>
    <t>Dog Track Racino</t>
  </si>
  <si>
    <t>Sr Vice President Operations</t>
  </si>
  <si>
    <t>Senior Vice President Operations</t>
  </si>
  <si>
    <t>Golden Moon Hotel &amp; Casino</t>
  </si>
  <si>
    <t>Philadelphia</t>
  </si>
  <si>
    <t>Collins</t>
  </si>
  <si>
    <t>Choctaw Resort Development Enterprise, Mississippi Band of Choctaw Indians</t>
  </si>
  <si>
    <t>Golden Nugget - Atlantic City</t>
  </si>
  <si>
    <t>Fertitta Entertainment, Inc.</t>
  </si>
  <si>
    <t>Golden Nugget - Lake Charles</t>
  </si>
  <si>
    <t>Lake Charles</t>
  </si>
  <si>
    <t>Grand Casino Hinckley</t>
  </si>
  <si>
    <t>Hinckley</t>
  </si>
  <si>
    <t>Anderson</t>
  </si>
  <si>
    <t>Mille Lacs Band of Ojibwe, Mille Lacs Corporate Ventures</t>
  </si>
  <si>
    <t>Grand Casino Hotel &amp; Resort</t>
  </si>
  <si>
    <t>Shawnee</t>
  </si>
  <si>
    <t>Citizen Potawatomi Nation</t>
  </si>
  <si>
    <t>Grand Casino Mille Lacs</t>
  </si>
  <si>
    <t>Onamia</t>
  </si>
  <si>
    <t>Grand Lisboa Palace</t>
  </si>
  <si>
    <t>SJM Holdings Limited</t>
  </si>
  <si>
    <t>Grand Sierra Resort and Casino</t>
  </si>
  <si>
    <t>Scott</t>
  </si>
  <si>
    <t>The Meruelo Group</t>
  </si>
  <si>
    <t>Grand Villa Casino - Burnaby</t>
  </si>
  <si>
    <t>Burnaby</t>
  </si>
  <si>
    <t>BC</t>
  </si>
  <si>
    <t>John</t>
  </si>
  <si>
    <t>Gateway Casinos &amp; Entertainment Limited</t>
  </si>
  <si>
    <t>GrandWest Casino and Entertainment World</t>
  </si>
  <si>
    <t>Cape Town</t>
  </si>
  <si>
    <t>Graton Resort &amp; Casino</t>
  </si>
  <si>
    <t>Rohnert Park</t>
  </si>
  <si>
    <t>Tony</t>
  </si>
  <si>
    <t>Federated Indians of Graton Rancheria, Station Casinos, LLC</t>
  </si>
  <si>
    <t>Great Canadian Casino Resort Toronto</t>
  </si>
  <si>
    <t>Toronto</t>
  </si>
  <si>
    <t>Jeff</t>
  </si>
  <si>
    <t>Brookfield Business Partners LP, Great Canadian Entertainment, One Toronto Gaming, Ontario Lottery and Gaming Corporation, Woodbine Entertainment Group</t>
  </si>
  <si>
    <t>Green Valley Ranch Resort, Spa and Casino</t>
  </si>
  <si>
    <t>American Nevada Company, Station Casinos, LLC</t>
  </si>
  <si>
    <t>Gun Lake Casino Resort</t>
  </si>
  <si>
    <t>Wayland</t>
  </si>
  <si>
    <t>Gregory</t>
  </si>
  <si>
    <t>Match-e-be-nash-she-wish Band of Pottawatomi Indians</t>
  </si>
  <si>
    <t>Hard Rock Casino - Cincinnati</t>
  </si>
  <si>
    <t>Hard Rock International, Seminole Hard Rock Support Services LLC, Seminole Tribe of Florida, VICI Properties, Inc.</t>
  </si>
  <si>
    <t>Hard Rock Casino Kenosha</t>
  </si>
  <si>
    <t>Kenosha</t>
  </si>
  <si>
    <t>WI</t>
  </si>
  <si>
    <t>Hard Rock International, Menominee Indian Tribe of Wisconsin</t>
  </si>
  <si>
    <t>Hard Rock Casino Northern Indiana</t>
  </si>
  <si>
    <t>Gary</t>
  </si>
  <si>
    <t>Hard Rock International, Seminole Hard Rock Support Services LLC, Seminole Tribe of Florida</t>
  </si>
  <si>
    <t>Hard Rock Casino Rockford</t>
  </si>
  <si>
    <t>Rockford</t>
  </si>
  <si>
    <t>Gaming and Leisure Properties, Inc., Hard Rock International, Seminole Hard Rock Support Services LLC, Seminole Tribe of Florida</t>
  </si>
  <si>
    <t>Hard Rock Hotel &amp; Casino - Atlantic City</t>
  </si>
  <si>
    <t>Hard Rock Hotel &amp; Casino - Sacramento at Fire Mountain</t>
  </si>
  <si>
    <t>Wheatland</t>
  </si>
  <si>
    <t>Enterprise Rancheria Estom Yumeka Maidu Tribe, Hard Rock International, Seminole Hard Rock Support Services LLC</t>
  </si>
  <si>
    <t>Hard Rock Hotel &amp; Casino - Tulsa</t>
  </si>
  <si>
    <t>Catoosa</t>
  </si>
  <si>
    <t>Hard Rock Hotel &amp; Casino Athens</t>
  </si>
  <si>
    <t>Athens</t>
  </si>
  <si>
    <t>Greece</t>
  </si>
  <si>
    <t>Gek Terna, Hard Rock International, Seminole Hard Rock Support Services LLC, Seminole Tribe of Florida</t>
  </si>
  <si>
    <t>Hard Rock Hotel &amp; Casino Bristol</t>
  </si>
  <si>
    <t>Bristol</t>
  </si>
  <si>
    <t>Choi</t>
  </si>
  <si>
    <t>Hard Rock Hotel &amp; Casino Ottawa</t>
  </si>
  <si>
    <t>Ottawa</t>
  </si>
  <si>
    <t>Hard Rock International, Ontario Lottery and Gaming Corporation, Seminole Hard Rock Support Services LLC, Seminole Tribe of Florida</t>
  </si>
  <si>
    <t>Hard Rock Tejon</t>
  </si>
  <si>
    <t>Mettler</t>
  </si>
  <si>
    <t>Hard Rock International, Seminole Hard Rock Support Services LLC, Seminole Tribe of Florida, Tejon Indian Tribe</t>
  </si>
  <si>
    <t>Harrah's Ak-Chin Hotel and Casino</t>
  </si>
  <si>
    <t>Maricopa</t>
  </si>
  <si>
    <t>Kirk</t>
  </si>
  <si>
    <t>Ak-Chin Indian Community, Caesars Entertainment, Inc.</t>
  </si>
  <si>
    <t>Harrah's Atlantic City</t>
  </si>
  <si>
    <t>Harrah's Cherokee Casino Resort</t>
  </si>
  <si>
    <t>Cherokee</t>
  </si>
  <si>
    <t>Carl</t>
  </si>
  <si>
    <t>Caesars Entertainment, Inc., Eastern Band of Cherokee Indians</t>
  </si>
  <si>
    <t>Harrah's Cherokee Valley River Casino &amp; Hotel</t>
  </si>
  <si>
    <t>Harrah's Hoosier Park Racing &amp; Casino</t>
  </si>
  <si>
    <t>Harrah's Iowa Tribe Resort &amp; Casino</t>
  </si>
  <si>
    <t>Caesars Entertainment, Inc., Iowa Tribe of Oklahoma</t>
  </si>
  <si>
    <t>Harrah's Las Vegas Casino &amp; Hotel</t>
  </si>
  <si>
    <t>Harrah's Philadelphia</t>
  </si>
  <si>
    <t>Chester</t>
  </si>
  <si>
    <t>PA</t>
  </si>
  <si>
    <t>Robert</t>
  </si>
  <si>
    <t>Harrah's Pompano Beach</t>
  </si>
  <si>
    <t>Pompano Beach</t>
  </si>
  <si>
    <t>Whoy</t>
  </si>
  <si>
    <t>Harrah's Resort Southern California</t>
  </si>
  <si>
    <t>Valley Center</t>
  </si>
  <si>
    <t>Caesars Entertainment, Inc., Rincon Band of Luiseño Mission Indians</t>
  </si>
  <si>
    <t>Harrington Raceway and Casino</t>
  </si>
  <si>
    <t>Harrington</t>
  </si>
  <si>
    <t>Hipódromo Argentino de Palermo</t>
  </si>
  <si>
    <t>Buenos Aires</t>
  </si>
  <si>
    <t>Casino Club, SA, Lotería Nacional Sociedad del Estado</t>
  </si>
  <si>
    <t>Hipódromo Nacional de Maroñas</t>
  </si>
  <si>
    <t>Montevideo</t>
  </si>
  <si>
    <t>Uruguay</t>
  </si>
  <si>
    <t>Hípica Rioplatense Uruguay, SA</t>
  </si>
  <si>
    <t>Ho-Chunk Gaming Beloit</t>
  </si>
  <si>
    <t>Beloit</t>
  </si>
  <si>
    <t>Ho-Chunk Nation</t>
  </si>
  <si>
    <t>Ho-Chunk Gaming Madison</t>
  </si>
  <si>
    <t>Madison</t>
  </si>
  <si>
    <t>Ho-Chunk Gaming Wisconsin Dells</t>
  </si>
  <si>
    <t>Baraboo</t>
  </si>
  <si>
    <t>Hollywood Casino - Columbus</t>
  </si>
  <si>
    <t>Hollywood Casino - St. Louis</t>
  </si>
  <si>
    <t>Maryland Heights</t>
  </si>
  <si>
    <t>Hollywood Casino - Toledo</t>
  </si>
  <si>
    <t>Toledo</t>
  </si>
  <si>
    <t>Ben</t>
  </si>
  <si>
    <t>Hollywood Casino and Hotel - Lawrenceburg</t>
  </si>
  <si>
    <t>Lawrenceburg</t>
  </si>
  <si>
    <t>Hollywood Casino at Charles Town Races</t>
  </si>
  <si>
    <t>Charles Town</t>
  </si>
  <si>
    <t>WV</t>
  </si>
  <si>
    <t>Hollywood Casino at Greektown</t>
  </si>
  <si>
    <t>Detroit</t>
  </si>
  <si>
    <t>Penn Entertainment Inc., VICI Properties, Inc.</t>
  </si>
  <si>
    <t>Hollywood Casino at Kansas Speedway</t>
  </si>
  <si>
    <t>Jack</t>
  </si>
  <si>
    <t>Penn Entertainment Inc.</t>
  </si>
  <si>
    <t>Hollywood Casino at Penn National Race Course</t>
  </si>
  <si>
    <t>Grantville</t>
  </si>
  <si>
    <t>Hollywood Casino at the Meadows</t>
  </si>
  <si>
    <t>Stacey</t>
  </si>
  <si>
    <t>Hollywood Gaming at Dayton Raceway</t>
  </si>
  <si>
    <t>Dayton</t>
  </si>
  <si>
    <t>Hollywood Gaming at Mahoning Valley Race Course</t>
  </si>
  <si>
    <t>Austintown</t>
  </si>
  <si>
    <t>Kevin</t>
  </si>
  <si>
    <t>Horseshoe Baltimore</t>
  </si>
  <si>
    <t>Baltimore</t>
  </si>
  <si>
    <t>MD</t>
  </si>
  <si>
    <t>Horseshoe Bossier City Hotel &amp; Casino</t>
  </si>
  <si>
    <t>Bossier City</t>
  </si>
  <si>
    <t>Horseshoe Council Bluffs Casino</t>
  </si>
  <si>
    <t>Horseshoe Hammond</t>
  </si>
  <si>
    <t>Hammond</t>
  </si>
  <si>
    <t>Horseshoe Indianapolis Racing and Casino</t>
  </si>
  <si>
    <t>Shelbyville</t>
  </si>
  <si>
    <t>ilani Casino Resort</t>
  </si>
  <si>
    <t>Ridgefield</t>
  </si>
  <si>
    <t>Cowlitz Indian Tribe, Mohegan Gaming, Mohegan Tribe</t>
  </si>
  <si>
    <t>Indigo Sky Casino &amp; Resort</t>
  </si>
  <si>
    <t>Wyandotte</t>
  </si>
  <si>
    <t>Wilson</t>
  </si>
  <si>
    <t>Eastern Shawnee Tribe of Oklahoma</t>
  </si>
  <si>
    <t>IP Casino Resort Spa</t>
  </si>
  <si>
    <t>Island Resort &amp; Casino</t>
  </si>
  <si>
    <t>Harris</t>
  </si>
  <si>
    <t>Hannahville Indian Community</t>
  </si>
  <si>
    <t>Island View Casino Resort</t>
  </si>
  <si>
    <t>Gulfport</t>
  </si>
  <si>
    <t>Gulfside Casino Partnership</t>
  </si>
  <si>
    <t>Isleta Resort &amp; Casino</t>
  </si>
  <si>
    <t>Albuquerque</t>
  </si>
  <si>
    <t>Pueblo of Isleta</t>
  </si>
  <si>
    <t>JACK Cleveland Casino</t>
  </si>
  <si>
    <t>Cleveland</t>
  </si>
  <si>
    <t>Jack Entertainment, LLC, VICI Properties, Inc.</t>
  </si>
  <si>
    <t>JACK Thistledown Racino</t>
  </si>
  <si>
    <t>North Randall</t>
  </si>
  <si>
    <t>Jackpot Junction Casino Hotel</t>
  </si>
  <si>
    <t>Morton</t>
  </si>
  <si>
    <t>Lower Sioux Indian Community</t>
  </si>
  <si>
    <t>Jackson Rancheria Casino Resort</t>
  </si>
  <si>
    <t>Jackson</t>
  </si>
  <si>
    <t>Jackson Rancheria Band of Miwuk Indians</t>
  </si>
  <si>
    <t>Jake's 58 Hotel &amp; Casino</t>
  </si>
  <si>
    <t>Islandia</t>
  </si>
  <si>
    <t>Suffolk Regional Off-Track Betting Corporation</t>
  </si>
  <si>
    <t>Jamul Casino Resort</t>
  </si>
  <si>
    <t>Jamul</t>
  </si>
  <si>
    <t>Jamul Indian Village</t>
  </si>
  <si>
    <t>Kangwon Land Resort &amp; Casino</t>
  </si>
  <si>
    <t>Jeongsun-gun</t>
  </si>
  <si>
    <t>Korea, Republic of</t>
  </si>
  <si>
    <t>Young</t>
  </si>
  <si>
    <t>Kangwon Land, Inc.</t>
  </si>
  <si>
    <t>Kansas Star Casino</t>
  </si>
  <si>
    <t>Mulvane</t>
  </si>
  <si>
    <t>Keith</t>
  </si>
  <si>
    <t>Henson</t>
  </si>
  <si>
    <t>Sr VP of Casino Operations</t>
  </si>
  <si>
    <t>Senior Vice President of Casino Operations</t>
  </si>
  <si>
    <t>Kickapoo Lucky Eagle Casino Hotel</t>
  </si>
  <si>
    <t>Eagle Pass</t>
  </si>
  <si>
    <t>TX</t>
  </si>
  <si>
    <t>Rodriguez</t>
  </si>
  <si>
    <t>Kickapoo Traditional Tribe of Texas</t>
  </si>
  <si>
    <t>Lakecrest Hotel and Casino</t>
  </si>
  <si>
    <t>Ardmore</t>
  </si>
  <si>
    <t>Chickasaw Nation</t>
  </si>
  <si>
    <t>L'Auberge Casino Hotel Baton Rouge</t>
  </si>
  <si>
    <t>Baton Rouge</t>
  </si>
  <si>
    <t>L'Auberge Casino Resort Lake Charles</t>
  </si>
  <si>
    <t>Legends Casino Hotel</t>
  </si>
  <si>
    <t>Toppenish</t>
  </si>
  <si>
    <t>Joseph</t>
  </si>
  <si>
    <t>Confederated Tribes and Bands of the Yakama Nation</t>
  </si>
  <si>
    <t>Little Creek Casino Resort</t>
  </si>
  <si>
    <t>Shelton</t>
  </si>
  <si>
    <t>Squaxin Island Tribe</t>
  </si>
  <si>
    <t>Little River Casino Resort</t>
  </si>
  <si>
    <t>Manistee</t>
  </si>
  <si>
    <t>Little River Band of Ottawa Indians</t>
  </si>
  <si>
    <t>Live! Casino &amp; Hotel Louisiana</t>
  </si>
  <si>
    <t>The Cordish Companies</t>
  </si>
  <si>
    <t>Live! Casino &amp; Hotel Maryland</t>
  </si>
  <si>
    <t>Hanover</t>
  </si>
  <si>
    <t>Ryan</t>
  </si>
  <si>
    <t>Gaming and Leisure Properties, Inc., The Cordish Companies</t>
  </si>
  <si>
    <t>Live! Casino &amp; Hotel Philadelphia</t>
  </si>
  <si>
    <t>Bill</t>
  </si>
  <si>
    <t>Live! Casino &amp; Hotel Virginia</t>
  </si>
  <si>
    <t>Petersburg</t>
  </si>
  <si>
    <t>Louisiana Downs Casino &amp; Racetrack</t>
  </si>
  <si>
    <t>Hall</t>
  </si>
  <si>
    <t>Premier Gaming Group, Rubico Acquisition Corp.</t>
  </si>
  <si>
    <t>Lucky Eagle Casino &amp; Hotel</t>
  </si>
  <si>
    <t>Rochester</t>
  </si>
  <si>
    <t>Confederated Tribes of the Chehalis Reservation</t>
  </si>
  <si>
    <t>Lucky Star Casino - Clinton</t>
  </si>
  <si>
    <t>Clinton</t>
  </si>
  <si>
    <t>Cheyenne and Arapaho Tribes of Oklahoma</t>
  </si>
  <si>
    <t>Lucky Star Casino - Concho</t>
  </si>
  <si>
    <t>Concho</t>
  </si>
  <si>
    <t>Macau Studio City</t>
  </si>
  <si>
    <t>Magic City Casino</t>
  </si>
  <si>
    <t>Miami</t>
  </si>
  <si>
    <t>Barbara</t>
  </si>
  <si>
    <t>Poarch Band of Creek Indians, Wind Creek Hospitality</t>
  </si>
  <si>
    <t>Margaritaville Resort Casino Bossier City</t>
  </si>
  <si>
    <t>Marina Bay Sands</t>
  </si>
  <si>
    <t>Singapore</t>
  </si>
  <si>
    <t>Las Vegas Sands Corp.</t>
  </si>
  <si>
    <t>McPhillips Station Casino</t>
  </si>
  <si>
    <t>Meskwaki Bingo Casino Hotel</t>
  </si>
  <si>
    <t>Tama</t>
  </si>
  <si>
    <t>Craig</t>
  </si>
  <si>
    <t>Sac and Fox Tribe of the Mississippi in Iowa</t>
  </si>
  <si>
    <t>MGM Grand Detroit Casino</t>
  </si>
  <si>
    <t>Davis</t>
  </si>
  <si>
    <t>MGM Grand Hotel &amp; Casino Las Vegas</t>
  </si>
  <si>
    <t>William</t>
  </si>
  <si>
    <t>King</t>
  </si>
  <si>
    <t>MGM Macau</t>
  </si>
  <si>
    <t>MGM China Holdings Limited, MGM Resorts International</t>
  </si>
  <si>
    <t>MGM National Harbor</t>
  </si>
  <si>
    <t>Oxon Hill</t>
  </si>
  <si>
    <t>MGM Northfield Park</t>
  </si>
  <si>
    <t>Northfield</t>
  </si>
  <si>
    <t>MGM Springfield</t>
  </si>
  <si>
    <t>Springfield</t>
  </si>
  <si>
    <t>Miami Valley Gaming</t>
  </si>
  <si>
    <t>Lebanon</t>
  </si>
  <si>
    <t>Churchill Downs Incorporated, Delaware North Companies, Inc.</t>
  </si>
  <si>
    <t>Miccosukee Casino &amp; Resort</t>
  </si>
  <si>
    <t>Miccosukee Tribe of Indians of Florida</t>
  </si>
  <si>
    <t>Michael Gaughan Airport Slots</t>
  </si>
  <si>
    <t>Mohegan Pennsylvania</t>
  </si>
  <si>
    <t>Wilkes Barre</t>
  </si>
  <si>
    <t>Mohegan Gaming, Mohegan Tribe</t>
  </si>
  <si>
    <t>Mohegan Sun</t>
  </si>
  <si>
    <t>Uncasville</t>
  </si>
  <si>
    <t>Monarch Casino Resort Spa</t>
  </si>
  <si>
    <t>Black Hawk</t>
  </si>
  <si>
    <t>CO</t>
  </si>
  <si>
    <t>Montecasino</t>
  </si>
  <si>
    <t>Bryanston</t>
  </si>
  <si>
    <t>Monticello Grand Casino and Entertainment World</t>
  </si>
  <si>
    <t>San Francisco de Mostazal</t>
  </si>
  <si>
    <t>Jacob</t>
  </si>
  <si>
    <t>International Group of Gaming Resorts, Novomatic AG, Sun International, Ltd.</t>
  </si>
  <si>
    <t>Morongo Casino Resort &amp; Spa</t>
  </si>
  <si>
    <t>Cabazon</t>
  </si>
  <si>
    <t>Morongo Band of Mission Indians</t>
  </si>
  <si>
    <t>MotorCity Casino</t>
  </si>
  <si>
    <t>Kristine</t>
  </si>
  <si>
    <t>Detroit Entertainment, L.L.C., Ilitch Holdings Inc.</t>
  </si>
  <si>
    <t>Mount Airy Casino Resort</t>
  </si>
  <si>
    <t>Mount Pocono</t>
  </si>
  <si>
    <t>Mountain Home Casino</t>
  </si>
  <si>
    <t>Mountain Home</t>
  </si>
  <si>
    <t>Shoshone-Bannock Tribes</t>
  </si>
  <si>
    <t>Muckleshoot Casino</t>
  </si>
  <si>
    <t>Auburn</t>
  </si>
  <si>
    <t>Muckleshoot Indian Tribe</t>
  </si>
  <si>
    <t>Mystic Lake Casino Hotel</t>
  </si>
  <si>
    <t>Prior Lake</t>
  </si>
  <si>
    <t>Shakopee Mdewakanton Sioux Community, SMSC Gaming Enterprise</t>
  </si>
  <si>
    <t>Naga World</t>
  </si>
  <si>
    <t>Phnom Penh</t>
  </si>
  <si>
    <t>Cambodia</t>
  </si>
  <si>
    <t>NagaCorp Ltd</t>
  </si>
  <si>
    <t>Naga2</t>
  </si>
  <si>
    <t>Newcastle Casino</t>
  </si>
  <si>
    <t>Newcastle</t>
  </si>
  <si>
    <t>Newport World Resorts</t>
  </si>
  <si>
    <t>Pasay City</t>
  </si>
  <si>
    <t>Stephen</t>
  </si>
  <si>
    <t>Travellers International Hotel Group, Inc.</t>
  </si>
  <si>
    <t>Nisqually Red Wind Casino</t>
  </si>
  <si>
    <t>Olympia</t>
  </si>
  <si>
    <t>Nisqually Indian Tribe</t>
  </si>
  <si>
    <t>North Fork Mono Casino &amp; Resort</t>
  </si>
  <si>
    <t>Madera</t>
  </si>
  <si>
    <t>Chad</t>
  </si>
  <si>
    <t>North Fork Rancheria of Mono Indians, Station Casinos, LLC</t>
  </si>
  <si>
    <t>North Star Mohican Casino Resort</t>
  </si>
  <si>
    <t>Bowler</t>
  </si>
  <si>
    <t>Paul</t>
  </si>
  <si>
    <t>Stockbridge-Munsee Community</t>
  </si>
  <si>
    <t>Northern Quest Resort &amp; Casino</t>
  </si>
  <si>
    <t>Airway Heights</t>
  </si>
  <si>
    <t>Sam</t>
  </si>
  <si>
    <t>Kalispel Tribe of Indians</t>
  </si>
  <si>
    <t>Oaklawn Racing Casino Resort</t>
  </si>
  <si>
    <t>Hot Springs</t>
  </si>
  <si>
    <t>AR</t>
  </si>
  <si>
    <t>Ocean Casino Resort</t>
  </si>
  <si>
    <t>Ilitch Holdings Inc., Luxor Capital Group, LP</t>
  </si>
  <si>
    <t>Odawa Casino Resort</t>
  </si>
  <si>
    <t>Petoskey</t>
  </si>
  <si>
    <t>Little Traverse Bay Bands of Odawa Indians</t>
  </si>
  <si>
    <t>Okada Manila</t>
  </si>
  <si>
    <t>Universal Entertainment Corporation</t>
  </si>
  <si>
    <t>Osage Casino Hotel - Tulsa</t>
  </si>
  <si>
    <t>Tulsa</t>
  </si>
  <si>
    <t>Allen</t>
  </si>
  <si>
    <t>Osage Nation</t>
  </si>
  <si>
    <t>Pala Casino Spa and Resort</t>
  </si>
  <si>
    <t>Pala</t>
  </si>
  <si>
    <t>Pala Band of Mission Indians</t>
  </si>
  <si>
    <t>Palace Station Hotel and Casino</t>
  </si>
  <si>
    <t>Palms Casino Resort</t>
  </si>
  <si>
    <t>San Manuel Band of Mission Indians</t>
  </si>
  <si>
    <t>Panthers World of Entertainment</t>
  </si>
  <si>
    <t>Penrith</t>
  </si>
  <si>
    <t>NSW</t>
  </si>
  <si>
    <t>Stone</t>
  </si>
  <si>
    <t>Panthers Group</t>
  </si>
  <si>
    <t>Paragon Casino Resort</t>
  </si>
  <si>
    <t>Marksville</t>
  </si>
  <si>
    <t>Tunica-Biloxi Tribe of Louisiana</t>
  </si>
  <si>
    <t>Parx Casino &amp; Racing</t>
  </si>
  <si>
    <t>Bensalem</t>
  </si>
  <si>
    <t>Doyle</t>
  </si>
  <si>
    <t>Greenwood Gaming and Entertainment, Inc.</t>
  </si>
  <si>
    <t>Pechanga Resort &amp; Casino</t>
  </si>
  <si>
    <t>Temecula</t>
  </si>
  <si>
    <t>Pechanga Band of Luiseño Indians, Pechanga Development Corporation</t>
  </si>
  <si>
    <t>Peppermill Reno</t>
  </si>
  <si>
    <t>Michelle</t>
  </si>
  <si>
    <t>Peppermill Casinos, Inc.</t>
  </si>
  <si>
    <t>Pickering Casino Resort</t>
  </si>
  <si>
    <t>Pickering</t>
  </si>
  <si>
    <t>Brookfield Business Partners LP, Great Canadian Entertainment, One Toronto Gaming</t>
  </si>
  <si>
    <t>Plainridge Park Casino</t>
  </si>
  <si>
    <t>Plainville</t>
  </si>
  <si>
    <t>Vice President of Operations</t>
  </si>
  <si>
    <t>Potawatomi Hotel &amp; Casino</t>
  </si>
  <si>
    <t>Milwaukee</t>
  </si>
  <si>
    <t>Forest County Potawatomi Community, Potawatomi Ventures</t>
  </si>
  <si>
    <t>Prairie Band Casino &amp; Resort</t>
  </si>
  <si>
    <t>Mayetta</t>
  </si>
  <si>
    <t>Prairie Band Potawatomi Nation</t>
  </si>
  <si>
    <t>Prairie Meadows Racetrack and Casino</t>
  </si>
  <si>
    <t>Altoona</t>
  </si>
  <si>
    <t>Prairie Meadows Racetrack and Casino, Inc.</t>
  </si>
  <si>
    <t>Prairie's Edge Casino Resort</t>
  </si>
  <si>
    <t>Granite Falls</t>
  </si>
  <si>
    <t>Upper Sioux Community</t>
  </si>
  <si>
    <t>Presque Isle Downs &amp; Casino</t>
  </si>
  <si>
    <t>Erie</t>
  </si>
  <si>
    <t>Quil Ceda Creek Casino</t>
  </si>
  <si>
    <t>Tulalip</t>
  </si>
  <si>
    <t>Hegnes</t>
  </si>
  <si>
    <t>Tulalip Tribes of Washington</t>
  </si>
  <si>
    <t>Rampart Casino Resort at Summerlin</t>
  </si>
  <si>
    <t>Hotspur Resorts Nevada, Inc.</t>
  </si>
  <si>
    <t>Red Hawk Casino</t>
  </si>
  <si>
    <t>Placerville</t>
  </si>
  <si>
    <t>Joe</t>
  </si>
  <si>
    <t>Shingle Springs Band of Miwok Indians</t>
  </si>
  <si>
    <t>Red Rock Casino, Resort &amp; Spa</t>
  </si>
  <si>
    <t>Resorts Casino Hotel</t>
  </si>
  <si>
    <t>Mary</t>
  </si>
  <si>
    <t>DGMB Casino Holding, LLC, Mohegan Gaming, Mohegan Tribe</t>
  </si>
  <si>
    <t>Resorts World Casino New York City</t>
  </si>
  <si>
    <t>Jamaica</t>
  </si>
  <si>
    <t>Genting Malaysia Berhad</t>
  </si>
  <si>
    <t>Resorts World Catskills</t>
  </si>
  <si>
    <t>Monticello</t>
  </si>
  <si>
    <t>Resorts World Genting</t>
  </si>
  <si>
    <t>Genting Highlands</t>
  </si>
  <si>
    <t>Malaysia</t>
  </si>
  <si>
    <t>Resorts World Hudson Valley</t>
  </si>
  <si>
    <t>Newburgh</t>
  </si>
  <si>
    <t>Joshua</t>
  </si>
  <si>
    <t>Resorts World Las Vegas</t>
  </si>
  <si>
    <t>Genting Group</t>
  </si>
  <si>
    <t>Resorts World Sentosa</t>
  </si>
  <si>
    <t>Sentosa</t>
  </si>
  <si>
    <t>Genting Singapore Limited</t>
  </si>
  <si>
    <t>Rideau Carleton Casino</t>
  </si>
  <si>
    <t>River City Casino &amp; Hotel</t>
  </si>
  <si>
    <t>Saint Louis</t>
  </si>
  <si>
    <t>River Cree Resort and Casino</t>
  </si>
  <si>
    <t>Enoch</t>
  </si>
  <si>
    <t>AB</t>
  </si>
  <si>
    <t>Enoch Cree Nation</t>
  </si>
  <si>
    <t>River Rock Casino</t>
  </si>
  <si>
    <t>Geyserville</t>
  </si>
  <si>
    <t>Dry Creek Rancheria Band of Pomo Indians</t>
  </si>
  <si>
    <t>River Rock Casino Resort</t>
  </si>
  <si>
    <t>Richmond</t>
  </si>
  <si>
    <t>River Spirit Casino Resort</t>
  </si>
  <si>
    <t>Muscogee (Creek) Nation</t>
  </si>
  <si>
    <t>Rivers Casino &amp; Resort Schenectady</t>
  </si>
  <si>
    <t>Schenectady</t>
  </si>
  <si>
    <t>Rush Street Gaming, LLC</t>
  </si>
  <si>
    <t>Rivers Casino Des Plaines</t>
  </si>
  <si>
    <t>Des Plaines</t>
  </si>
  <si>
    <t>Churchill Downs Incorporated, Rush Street Gaming, LLC</t>
  </si>
  <si>
    <t>Rivers Casino Philadelphia</t>
  </si>
  <si>
    <t>Rivers Casino Pittsburgh</t>
  </si>
  <si>
    <t>Pittsburgh</t>
  </si>
  <si>
    <t>Rivers Casino Portsmouth</t>
  </si>
  <si>
    <t>Portsmouth</t>
  </si>
  <si>
    <t>Riverwind Casino</t>
  </si>
  <si>
    <t>Norman</t>
  </si>
  <si>
    <t>Route 66 Casino Hotel</t>
  </si>
  <si>
    <t>Laguna Development Corporation, Pueblo of Laguna</t>
  </si>
  <si>
    <t>Sam's Town Hotel &amp; Casino</t>
  </si>
  <si>
    <t>San Pablo Lytton Casino</t>
  </si>
  <si>
    <t>San Pablo</t>
  </si>
  <si>
    <t>Christopher</t>
  </si>
  <si>
    <t>Lytton Rancheria of California</t>
  </si>
  <si>
    <t>Sandia Resort &amp; Casino</t>
  </si>
  <si>
    <t>Pueblo of Sandia</t>
  </si>
  <si>
    <t>Sands Macao</t>
  </si>
  <si>
    <t>Las Vegas Sands Corp., Sands China Limited</t>
  </si>
  <si>
    <t>Santa Ana Star Casino Hotel</t>
  </si>
  <si>
    <t>Santa Ana Pueblo</t>
  </si>
  <si>
    <t>Pueblo of Santa Ana</t>
  </si>
  <si>
    <t>Santa Fe Station Hotel &amp; Casino</t>
  </si>
  <si>
    <t>Garni</t>
  </si>
  <si>
    <t>Director of Slot Operations</t>
  </si>
  <si>
    <t>Saracen Casino Resort</t>
  </si>
  <si>
    <t>Pine Bluff</t>
  </si>
  <si>
    <t>Saratoga Casino Hotel</t>
  </si>
  <si>
    <t>Saratoga Springs</t>
  </si>
  <si>
    <t>Amy</t>
  </si>
  <si>
    <t>Saratoga Casino Holdings LLC</t>
  </si>
  <si>
    <t>Seminole Casino Coconut Creek</t>
  </si>
  <si>
    <t>Coconut Creek</t>
  </si>
  <si>
    <t>Seminole Casino Hotel Immokalee</t>
  </si>
  <si>
    <t>Immokalee</t>
  </si>
  <si>
    <t>Seminole Classic Casino</t>
  </si>
  <si>
    <t>Hollywood</t>
  </si>
  <si>
    <t>Anthony</t>
  </si>
  <si>
    <t>Seminole Hard Rock Hotel &amp; Casino Hollywood</t>
  </si>
  <si>
    <t>Fort Lauderdale</t>
  </si>
  <si>
    <t>Seminole Hard Rock Hotel &amp; Casino Tampa</t>
  </si>
  <si>
    <t>Tampa</t>
  </si>
  <si>
    <t>Seneca Allegany Resort &amp; Casino</t>
  </si>
  <si>
    <t>Salamanca</t>
  </si>
  <si>
    <t>Seneca Gaming Corporation, Seneca Nation of Indians</t>
  </si>
  <si>
    <t>Seneca Buffalo Creek Casino</t>
  </si>
  <si>
    <t>Buffalo</t>
  </si>
  <si>
    <t>Seneca Niagara Resort &amp; Casino</t>
  </si>
  <si>
    <t>Shiloh Resort &amp; Casino</t>
  </si>
  <si>
    <t>Santa Rosa</t>
  </si>
  <si>
    <t>Global Gaming Solutions, LLC, Koi Nation</t>
  </si>
  <si>
    <t>Sibaya Casino &amp; Entertainment Kingdom</t>
  </si>
  <si>
    <t>Umhlanga Rocks</t>
  </si>
  <si>
    <t>Siletz Tribe North Salem Casino</t>
  </si>
  <si>
    <t>Salem</t>
  </si>
  <si>
    <t>Silver Legacy at THE ROW</t>
  </si>
  <si>
    <t>Silver Reef Casino Resort</t>
  </si>
  <si>
    <t>Ferndale</t>
  </si>
  <si>
    <t>Lummi Nation</t>
  </si>
  <si>
    <t>Silverton Hotel &amp; Casino</t>
  </si>
  <si>
    <t>Bryan</t>
  </si>
  <si>
    <t>Binek</t>
  </si>
  <si>
    <t>Exec Dir of Gaming and Ops</t>
  </si>
  <si>
    <t>Executive Director of Gaming and Operations</t>
  </si>
  <si>
    <t>Casino Ops, Games, Slots</t>
  </si>
  <si>
    <t>Majestic Realty</t>
  </si>
  <si>
    <t>Silverton Ranch Casino</t>
  </si>
  <si>
    <t>Pahrump</t>
  </si>
  <si>
    <t>Sky River Casino</t>
  </si>
  <si>
    <t>Elk Grove</t>
  </si>
  <si>
    <t>Boyd Gaming Corporation, Wilton Rancheria</t>
  </si>
  <si>
    <t>SKYCITY Adelaide</t>
  </si>
  <si>
    <t>Adelaide</t>
  </si>
  <si>
    <t>SA</t>
  </si>
  <si>
    <t>Steven</t>
  </si>
  <si>
    <t>SkyCity Entertainment Group Limited</t>
  </si>
  <si>
    <t>Snoqualmie Casino &amp; Hotel</t>
  </si>
  <si>
    <t>Snoqualmie</t>
  </si>
  <si>
    <t>Snoqualmie Tribe</t>
  </si>
  <si>
    <t>Soaring Eagle Casino &amp; Resort</t>
  </si>
  <si>
    <t>Mount Pleasant</t>
  </si>
  <si>
    <t>Saginaw Chippewa Indian Tribe</t>
  </si>
  <si>
    <t>Soboba Casino Resort</t>
  </si>
  <si>
    <t>San Jacinto</t>
  </si>
  <si>
    <t>Soboba Band of Luiseño Indians</t>
  </si>
  <si>
    <t>Solaire Resort &amp; Casino</t>
  </si>
  <si>
    <t>Bloomberry Resorts</t>
  </si>
  <si>
    <t>Solaire Resort North</t>
  </si>
  <si>
    <t>Quezon City</t>
  </si>
  <si>
    <t>South Point Hotel Casino and Spa</t>
  </si>
  <si>
    <t>Gaughan South, LLC</t>
  </si>
  <si>
    <t>Southland Casino Racing</t>
  </si>
  <si>
    <t>West Memphis</t>
  </si>
  <si>
    <t>Delaware North Companies, Inc.</t>
  </si>
  <si>
    <t>Spirit Mountain Casino</t>
  </si>
  <si>
    <t>Grand Ronde</t>
  </si>
  <si>
    <t>Confederated Tribes of Grand Ronde</t>
  </si>
  <si>
    <t>Spotlight 29 Casino</t>
  </si>
  <si>
    <t>Coachella</t>
  </si>
  <si>
    <t>Twenty-Nine Palms Band of Mission Indians</t>
  </si>
  <si>
    <t>St. Croix Casino Turtle Lake</t>
  </si>
  <si>
    <t>Turtle Lake</t>
  </si>
  <si>
    <t>Ray</t>
  </si>
  <si>
    <t>St. Croix Chippewa Indians of Wisconsin</t>
  </si>
  <si>
    <t>Star Vegas International Resort and Casino</t>
  </si>
  <si>
    <t>Poipet</t>
  </si>
  <si>
    <t>Donaco International Limited</t>
  </si>
  <si>
    <t>Sun Casino &amp; Resort</t>
  </si>
  <si>
    <t>Vladivostok</t>
  </si>
  <si>
    <t>Russian Federation</t>
  </si>
  <si>
    <t>Diamond Fortune Holdings</t>
  </si>
  <si>
    <t>Suncoast Casino and Entertainment World</t>
  </si>
  <si>
    <t>Marine Parade</t>
  </si>
  <si>
    <t>Suncoast Hotel &amp; Casino</t>
  </si>
  <si>
    <t>Sunset Station Hotel and Casino</t>
  </si>
  <si>
    <t>Suquamish Clearwater Casino Resort</t>
  </si>
  <si>
    <t>Suquamish</t>
  </si>
  <si>
    <t>Suquamish Tribe</t>
  </si>
  <si>
    <t>Sycuan Casino Resort</t>
  </si>
  <si>
    <t>El Cajon</t>
  </si>
  <si>
    <t>Sycuan Band of Kumeyaay Nation</t>
  </si>
  <si>
    <t>Table Mountain Casino Resort</t>
  </si>
  <si>
    <t>Friant</t>
  </si>
  <si>
    <t>Table Mountain Rancheria</t>
  </si>
  <si>
    <t>Tachi Palace Casino &amp; Resort</t>
  </si>
  <si>
    <t>Lemoore</t>
  </si>
  <si>
    <t>Palace Hospitality, Santa Rosa Rancheria Tachi Yokut Tribe</t>
  </si>
  <si>
    <t>Terre Haute Casino Resort</t>
  </si>
  <si>
    <t>Terre Haute</t>
  </si>
  <si>
    <t>The Baha Mar Casino &amp; Hotel</t>
  </si>
  <si>
    <t>Nassau</t>
  </si>
  <si>
    <t>Paradise Island</t>
  </si>
  <si>
    <t>Bahamas</t>
  </si>
  <si>
    <t>Baha Mar Resorts, Ltd.</t>
  </si>
  <si>
    <t>The Cosmopolitan of Las Vegas</t>
  </si>
  <si>
    <t>MGM Resorts International, The Blackstone Group L.P.</t>
  </si>
  <si>
    <t>The Deltin</t>
  </si>
  <si>
    <t>Daman</t>
  </si>
  <si>
    <t>India</t>
  </si>
  <si>
    <t>Delta Corp Limited</t>
  </si>
  <si>
    <t>The Londoner</t>
  </si>
  <si>
    <t>The Orleans Hotel and Casino</t>
  </si>
  <si>
    <t>The Palazzo Resort Hotel Casino</t>
  </si>
  <si>
    <t>Apollo Global Management, Inc.</t>
  </si>
  <si>
    <t>The Parisian Macao</t>
  </si>
  <si>
    <t>The Star Brisbane</t>
  </si>
  <si>
    <t>Brisbane</t>
  </si>
  <si>
    <t>QLD</t>
  </si>
  <si>
    <t>The Star Entertainment Group Limited</t>
  </si>
  <si>
    <t>The Star Gold Coast</t>
  </si>
  <si>
    <t>Broadbeach</t>
  </si>
  <si>
    <t>The Star Sydney</t>
  </si>
  <si>
    <t>Sydney</t>
  </si>
  <si>
    <t>The Venetian Las Vegas</t>
  </si>
  <si>
    <t>Apollo Global Management, Inc., VICI Properties, Inc.</t>
  </si>
  <si>
    <t>The Venetian Macao Resort-Hotel</t>
  </si>
  <si>
    <t>Thunder Valley Casino Resort</t>
  </si>
  <si>
    <t>United Auburn Indian Community</t>
  </si>
  <si>
    <t>Time Square Pretoria</t>
  </si>
  <si>
    <t>Pretoria</t>
  </si>
  <si>
    <t>Marini</t>
  </si>
  <si>
    <t>Treasure Island</t>
  </si>
  <si>
    <t>Taylor</t>
  </si>
  <si>
    <t>Treasure Island Resort &amp; Casino</t>
  </si>
  <si>
    <t>Red Wing</t>
  </si>
  <si>
    <t>Prairie Island Indian Community</t>
  </si>
  <si>
    <t>Tropicana Atlantic City</t>
  </si>
  <si>
    <t>Caesars Entertainment, Inc., Gaming and Leisure Properties, Inc.</t>
  </si>
  <si>
    <t>Tulalip Resort Casino</t>
  </si>
  <si>
    <t>Turning Stone Resort Casino</t>
  </si>
  <si>
    <t>Verona</t>
  </si>
  <si>
    <t>Oneida Indian Nation of New York, Turning Stone Enterprises</t>
  </si>
  <si>
    <t>Turtle Creek Casino &amp; Hotel</t>
  </si>
  <si>
    <t>Williamsburg</t>
  </si>
  <si>
    <t>Grand Traverse Band of Ottawa and Chippewa Indians</t>
  </si>
  <si>
    <t>Twin Arrows Navajo Casino Resort</t>
  </si>
  <si>
    <t>Flagstaff</t>
  </si>
  <si>
    <t>Navajo Nation, Navajo Nation Gaming Enterprise</t>
  </si>
  <si>
    <t>Two Kings Casino</t>
  </si>
  <si>
    <t>Valley View Casino &amp; Hotel</t>
  </si>
  <si>
    <t>San Pasqual Band of Mission Indians</t>
  </si>
  <si>
    <t>Viejas Casino &amp; Resort</t>
  </si>
  <si>
    <t>Alpine</t>
  </si>
  <si>
    <t>Viejas Band of Kumeyaay Indians</t>
  </si>
  <si>
    <t>Virgin River Hotel &amp; Casino</t>
  </si>
  <si>
    <t>West Side City Resorts World Casino</t>
  </si>
  <si>
    <t>Alliance Global Group, Genting Group</t>
  </si>
  <si>
    <t>Wildhorse Resort and Casino</t>
  </si>
  <si>
    <t>Pendleton</t>
  </si>
  <si>
    <t>Confederated Tribes of the Umatilla Indian Reservation</t>
  </si>
  <si>
    <t>Wind Creek Atmore</t>
  </si>
  <si>
    <t>Atmore</t>
  </si>
  <si>
    <t>AL</t>
  </si>
  <si>
    <t>Wind Creek Bethlehem</t>
  </si>
  <si>
    <t>Bethlehem</t>
  </si>
  <si>
    <t>Wind Creek Chicago Southland</t>
  </si>
  <si>
    <t>East Hazel Crest</t>
  </si>
  <si>
    <t>Danny</t>
  </si>
  <si>
    <t>Wind Creek Montgomery</t>
  </si>
  <si>
    <t>Montgomery</t>
  </si>
  <si>
    <t>Wind Creek Wetumpka</t>
  </si>
  <si>
    <t>Wetumpka</t>
  </si>
  <si>
    <t>Win-River Resort &amp; Casino I-5</t>
  </si>
  <si>
    <t>Redding</t>
  </si>
  <si>
    <t>Redding Rancheria</t>
  </si>
  <si>
    <t>WinStar World Casino and Resort</t>
  </si>
  <si>
    <t>Chickasaw Nation, Chickasaw Nation Industries, Inc., Global Gaming Solutions, LLC</t>
  </si>
  <si>
    <t>Wynn Las Vegas</t>
  </si>
  <si>
    <t>Wynn Palace Cotai</t>
  </si>
  <si>
    <t>Yaamava’ Resort &amp; Casino at San Manuel</t>
  </si>
  <si>
    <t>Highland</t>
  </si>
  <si>
    <t>Drew</t>
  </si>
  <si>
    <t>Table Games</t>
  </si>
  <si>
    <t>Poker Tables</t>
  </si>
  <si>
    <t>Bingo Seats</t>
  </si>
  <si>
    <t>Sports-Book</t>
  </si>
  <si>
    <t>Race-Book</t>
  </si>
  <si>
    <t>Casino Sq Footage</t>
  </si>
  <si>
    <t>Convention Sq Footage</t>
  </si>
  <si>
    <t>Entertainment Venues</t>
  </si>
  <si>
    <t>Parking Space</t>
  </si>
  <si>
    <t>Native American</t>
  </si>
  <si>
    <t>Property Type</t>
  </si>
  <si>
    <t>Vice President of Slot Operations</t>
  </si>
  <si>
    <t>VP of Slot Operations</t>
  </si>
  <si>
    <t>Tolliver</t>
  </si>
  <si>
    <t>DiMillo</t>
  </si>
  <si>
    <t>Director of Slot Performance</t>
  </si>
  <si>
    <t>Schultz</t>
  </si>
  <si>
    <t>Director of Slots</t>
  </si>
  <si>
    <t>Helfgott</t>
  </si>
  <si>
    <t>Barkley</t>
  </si>
  <si>
    <t>Jeremy</t>
  </si>
  <si>
    <t>Slot Director</t>
  </si>
  <si>
    <t>Cluff</t>
  </si>
  <si>
    <t>Tarek</t>
  </si>
  <si>
    <t>Whitman</t>
  </si>
  <si>
    <t>Vice President of Slots</t>
  </si>
  <si>
    <t>Woods</t>
  </si>
  <si>
    <t>Menthen</t>
  </si>
  <si>
    <t>Casey</t>
  </si>
  <si>
    <t>Halvorsen</t>
  </si>
  <si>
    <t>Larry</t>
  </si>
  <si>
    <t>Luthy</t>
  </si>
  <si>
    <t>Richard</t>
  </si>
  <si>
    <t>Senior Director of Slots</t>
  </si>
  <si>
    <t>Kee</t>
  </si>
  <si>
    <t>Executive Director of Slots</t>
  </si>
  <si>
    <t>Meier</t>
  </si>
  <si>
    <t>Bodendorfer</t>
  </si>
  <si>
    <t>Director Slot Operations</t>
  </si>
  <si>
    <t>Seiple</t>
  </si>
  <si>
    <t>Mulholland</t>
  </si>
  <si>
    <t>Sue</t>
  </si>
  <si>
    <t>Slots Director</t>
  </si>
  <si>
    <t>Paige</t>
  </si>
  <si>
    <t>Cliff</t>
  </si>
  <si>
    <t>Tan</t>
  </si>
  <si>
    <t>Steve</t>
  </si>
  <si>
    <t>Walraven</t>
  </si>
  <si>
    <t>de Lugo</t>
  </si>
  <si>
    <t>Moenoa</t>
  </si>
  <si>
    <t>Wayne</t>
  </si>
  <si>
    <t>Kuczka</t>
  </si>
  <si>
    <t>Semenuk</t>
  </si>
  <si>
    <t>Shannon</t>
  </si>
  <si>
    <t>Burza</t>
  </si>
  <si>
    <t>Baxley</t>
  </si>
  <si>
    <t>Neil</t>
  </si>
  <si>
    <t>Paula</t>
  </si>
  <si>
    <t>Rosa</t>
  </si>
  <si>
    <t>Louis</t>
  </si>
  <si>
    <t>Moritz</t>
  </si>
  <si>
    <t>Director of Gaming Machines</t>
  </si>
  <si>
    <t>Tavassoli</t>
  </si>
  <si>
    <t>Saeed</t>
  </si>
  <si>
    <t>Director of Slots Operations</t>
  </si>
  <si>
    <t>Berndt</t>
  </si>
  <si>
    <t>Jeffrey</t>
  </si>
  <si>
    <t>Xiong</t>
  </si>
  <si>
    <t>Chue</t>
  </si>
  <si>
    <t>Lindwall</t>
  </si>
  <si>
    <t>Kristin</t>
  </si>
  <si>
    <t>Hammons</t>
  </si>
  <si>
    <t>Cornish</t>
  </si>
  <si>
    <t>Zamora</t>
  </si>
  <si>
    <t>Alex</t>
  </si>
  <si>
    <t>Shestack</t>
  </si>
  <si>
    <t>Duncan</t>
  </si>
  <si>
    <t>McDermott</t>
  </si>
  <si>
    <t>Daniel</t>
  </si>
  <si>
    <t>Shananaquet</t>
  </si>
  <si>
    <t>Masarone</t>
  </si>
  <si>
    <t>Pete</t>
  </si>
  <si>
    <t>Whitby</t>
  </si>
  <si>
    <t>Lucero</t>
  </si>
  <si>
    <t>Marcus</t>
  </si>
  <si>
    <t>Ferguson</t>
  </si>
  <si>
    <t>Trevor</t>
  </si>
  <si>
    <t>Miner</t>
  </si>
  <si>
    <t>Video Gaming Director</t>
  </si>
  <si>
    <t>Assistant Vice President of Slot Operations</t>
  </si>
  <si>
    <t>Asst VP of Slot Operations</t>
  </si>
  <si>
    <t>Walsh</t>
  </si>
  <si>
    <t>Guzman</t>
  </si>
  <si>
    <t>Jager</t>
  </si>
  <si>
    <t>Doug</t>
  </si>
  <si>
    <t>Hantel</t>
  </si>
  <si>
    <t>Cheryl</t>
  </si>
  <si>
    <t>McConville</t>
  </si>
  <si>
    <t>Loretta</t>
  </si>
  <si>
    <t>Andrisse</t>
  </si>
  <si>
    <t>Mauck</t>
  </si>
  <si>
    <t>Dugger</t>
  </si>
  <si>
    <t>Carlson</t>
  </si>
  <si>
    <t>Terry</t>
  </si>
  <si>
    <t>Cooper</t>
  </si>
  <si>
    <t>Payne</t>
  </si>
  <si>
    <t>Corey</t>
  </si>
  <si>
    <t>Director of VLT</t>
  </si>
  <si>
    <t>Avery</t>
  </si>
  <si>
    <t>Wade</t>
  </si>
  <si>
    <t>Bendetto</t>
  </si>
  <si>
    <t>Katherine</t>
  </si>
  <si>
    <t>Brandt</t>
  </si>
  <si>
    <t>Winneshiek</t>
  </si>
  <si>
    <t>Damon</t>
  </si>
  <si>
    <t>Babcock</t>
  </si>
  <si>
    <t>Ralph</t>
  </si>
  <si>
    <t>Senior Director of Slot Operations</t>
  </si>
  <si>
    <t>Sr Director of Slot Operations</t>
  </si>
  <si>
    <t>Nashold</t>
  </si>
  <si>
    <t>Daryl</t>
  </si>
  <si>
    <t>Tremain</t>
  </si>
  <si>
    <t>Mostella</t>
  </si>
  <si>
    <t>Schneck</t>
  </si>
  <si>
    <t>Polizzi</t>
  </si>
  <si>
    <t>Dave</t>
  </si>
  <si>
    <t>Johnson</t>
  </si>
  <si>
    <t>Van Belkum</t>
  </si>
  <si>
    <t>Leiserowitz</t>
  </si>
  <si>
    <t>Executive Director Slot Operations</t>
  </si>
  <si>
    <t>Exec Director Slot Operations</t>
  </si>
  <si>
    <t>Algozzini</t>
  </si>
  <si>
    <t>Bart</t>
  </si>
  <si>
    <t>Executive Director of Slot Operations</t>
  </si>
  <si>
    <t>Exec Dir of Slot Operations</t>
  </si>
  <si>
    <t>Avallone</t>
  </si>
  <si>
    <t>Angelo</t>
  </si>
  <si>
    <t>Director of Slot Service</t>
  </si>
  <si>
    <t>Bickel</t>
  </si>
  <si>
    <t>Director of Slot Services</t>
  </si>
  <si>
    <t>Edwards</t>
  </si>
  <si>
    <t>Senk</t>
  </si>
  <si>
    <t>Fagone</t>
  </si>
  <si>
    <t>Teno</t>
  </si>
  <si>
    <t>Sedlock</t>
  </si>
  <si>
    <t>Tom</t>
  </si>
  <si>
    <t>French</t>
  </si>
  <si>
    <t>Landau</t>
  </si>
  <si>
    <t>Munroe</t>
  </si>
  <si>
    <t>Director of Tribal Lottery</t>
  </si>
  <si>
    <t>Peterson</t>
  </si>
  <si>
    <t>Director of Tribal Lottery Systems</t>
  </si>
  <si>
    <t>Director of Tribal Lottery Sys</t>
  </si>
  <si>
    <t>Nelson</t>
  </si>
  <si>
    <t>Kurt</t>
  </si>
  <si>
    <t>Ronca</t>
  </si>
  <si>
    <t>Donald</t>
  </si>
  <si>
    <t>Fitzsimmons</t>
  </si>
  <si>
    <t>Gomeringer</t>
  </si>
  <si>
    <t>Andrew</t>
  </si>
  <si>
    <t>Savant</t>
  </si>
  <si>
    <t>Director of Slot Maintenance</t>
  </si>
  <si>
    <t>Celestine</t>
  </si>
  <si>
    <t>Goodnature</t>
  </si>
  <si>
    <t>Leah</t>
  </si>
  <si>
    <t>Westerman</t>
  </si>
  <si>
    <t>Director of Slot Technical</t>
  </si>
  <si>
    <t>Palato</t>
  </si>
  <si>
    <t>Emel</t>
  </si>
  <si>
    <t>Van Den Kieboom</t>
  </si>
  <si>
    <t>Kern</t>
  </si>
  <si>
    <t>Matthew</t>
  </si>
  <si>
    <t>Smotherman</t>
  </si>
  <si>
    <t>Shoemaker</t>
  </si>
  <si>
    <t>Oliver</t>
  </si>
  <si>
    <t>Bradley</t>
  </si>
  <si>
    <t>Christian</t>
  </si>
  <si>
    <t>Bender</t>
  </si>
  <si>
    <t>Boehm</t>
  </si>
  <si>
    <t>McQueary</t>
  </si>
  <si>
    <t>Rob</t>
  </si>
  <si>
    <t>Director of Gaming</t>
  </si>
  <si>
    <t>Ward</t>
  </si>
  <si>
    <t>Regional Director of Slots</t>
  </si>
  <si>
    <t>Liberatore</t>
  </si>
  <si>
    <t>Keener</t>
  </si>
  <si>
    <t>Nixon</t>
  </si>
  <si>
    <t>Vice President Slot Operations</t>
  </si>
  <si>
    <t>Farley</t>
  </si>
  <si>
    <t>Philip</t>
  </si>
  <si>
    <t>Odjick</t>
  </si>
  <si>
    <t>Janique</t>
  </si>
  <si>
    <t>Ruth</t>
  </si>
  <si>
    <t>Keno, Slots</t>
  </si>
  <si>
    <t>Director of Keno and Machines</t>
  </si>
  <si>
    <t>Woo</t>
  </si>
  <si>
    <t>Bong</t>
  </si>
  <si>
    <t>Baca</t>
  </si>
  <si>
    <t>Games, Slots</t>
  </si>
  <si>
    <t>Gaming Operations Director</t>
  </si>
  <si>
    <t>Jankoviak</t>
  </si>
  <si>
    <t>Director of Gaming Operations</t>
  </si>
  <si>
    <t>Presutti</t>
  </si>
  <si>
    <t>Ken</t>
  </si>
  <si>
    <t>Crane</t>
  </si>
  <si>
    <t>Vice President of Gaming</t>
  </si>
  <si>
    <t>Hager</t>
  </si>
  <si>
    <t>Woffindale</t>
  </si>
  <si>
    <t>Bryant</t>
  </si>
  <si>
    <t>Roger</t>
  </si>
  <si>
    <t>Kessler</t>
  </si>
  <si>
    <t>Cynthia</t>
  </si>
  <si>
    <t>Gaming Director</t>
  </si>
  <si>
    <t>Beaudoin</t>
  </si>
  <si>
    <t>Games, Poker, Slots</t>
  </si>
  <si>
    <t>Gomatos</t>
  </si>
  <si>
    <t>Nick</t>
  </si>
  <si>
    <t>Director of Casino Gaming Operations</t>
  </si>
  <si>
    <t>Dir of Casino Gaming Operations</t>
  </si>
  <si>
    <t>Tollestrup</t>
  </si>
  <si>
    <t>Jimmy</t>
  </si>
  <si>
    <t>Vice President of Gaming Operations</t>
  </si>
  <si>
    <t>VP of Gaming Operations</t>
  </si>
  <si>
    <t>Clark</t>
  </si>
  <si>
    <t>Games, Player Dev, Slots</t>
  </si>
  <si>
    <t>Tai</t>
  </si>
  <si>
    <t>Alicia</t>
  </si>
  <si>
    <t>Games, Management, Poker</t>
  </si>
  <si>
    <t>Weel</t>
  </si>
  <si>
    <t>Director of Game Operations</t>
  </si>
  <si>
    <t>Howard</t>
  </si>
  <si>
    <t>Director of VGM Operations</t>
  </si>
  <si>
    <t>DeRue</t>
  </si>
  <si>
    <t>Cindy</t>
  </si>
  <si>
    <t>Heinis</t>
  </si>
  <si>
    <t>Hornung</t>
  </si>
  <si>
    <t>Whitekiller</t>
  </si>
  <si>
    <t>Willie</t>
  </si>
  <si>
    <t>Jodoin</t>
  </si>
  <si>
    <t>Julie</t>
  </si>
  <si>
    <t>Executive Director of Tribal Gaming</t>
  </si>
  <si>
    <t>Exec Director of Tribal Gaming</t>
  </si>
  <si>
    <t>Christen</t>
  </si>
  <si>
    <t>Casino Ops, Sports Book</t>
  </si>
  <si>
    <t>Christianson</t>
  </si>
  <si>
    <t>Russ</t>
  </si>
  <si>
    <t>Geldres</t>
  </si>
  <si>
    <t>Albert</t>
  </si>
  <si>
    <t>Gladfelder</t>
  </si>
  <si>
    <t>McCrindle</t>
  </si>
  <si>
    <t>Flack</t>
  </si>
  <si>
    <t>Hugh</t>
  </si>
  <si>
    <t>Crowe</t>
  </si>
  <si>
    <t>Missy</t>
  </si>
  <si>
    <t>Quigno</t>
  </si>
  <si>
    <t>Kissinger</t>
  </si>
  <si>
    <t>Dana</t>
  </si>
  <si>
    <t>Casino Ops, Purchasing</t>
  </si>
  <si>
    <t>Director of Operations</t>
  </si>
  <si>
    <t>Swan</t>
  </si>
  <si>
    <t>Heather</t>
  </si>
  <si>
    <t>Thornell</t>
  </si>
  <si>
    <t>Shane</t>
  </si>
  <si>
    <t>Vice President Gaming Operations</t>
  </si>
  <si>
    <t>VP Gaming Operations</t>
  </si>
  <si>
    <t>Inman</t>
  </si>
  <si>
    <t>Jeffery</t>
  </si>
  <si>
    <t>Jones</t>
  </si>
  <si>
    <t>Vogelei</t>
  </si>
  <si>
    <t>Westerfield</t>
  </si>
  <si>
    <t>Sloane</t>
  </si>
  <si>
    <t>Neal</t>
  </si>
  <si>
    <t>Chan</t>
  </si>
  <si>
    <t>Vaught</t>
  </si>
  <si>
    <t>Senior Vice President of Gaming Operations</t>
  </si>
  <si>
    <t>Sr VP of Gaming Operations</t>
  </si>
  <si>
    <t>Hayes</t>
  </si>
  <si>
    <t>Swinney</t>
  </si>
  <si>
    <t>London</t>
  </si>
  <si>
    <t>Casino Ops, Games, Poker, Sports Book</t>
  </si>
  <si>
    <t>Fontenot</t>
  </si>
  <si>
    <t>Kerry</t>
  </si>
  <si>
    <t>Casino Ops, Games, Poker, Slots</t>
  </si>
  <si>
    <t>Suhr</t>
  </si>
  <si>
    <t>Rod</t>
  </si>
  <si>
    <t>Light</t>
  </si>
  <si>
    <t>Casino Ops, Games, Poker</t>
  </si>
  <si>
    <t>Braun</t>
  </si>
  <si>
    <t>Garritano</t>
  </si>
  <si>
    <t>Executive Director Of Casino Operations</t>
  </si>
  <si>
    <t>Exec Dir Of Casino Operations</t>
  </si>
  <si>
    <t>Zenishek</t>
  </si>
  <si>
    <t>Ventura</t>
  </si>
  <si>
    <t>Gee</t>
  </si>
  <si>
    <t>Herb</t>
  </si>
  <si>
    <t>Gorgas</t>
  </si>
  <si>
    <t>Villhard</t>
  </si>
  <si>
    <t>Rodney</t>
  </si>
  <si>
    <t>Executive Vice President of Casino Operations</t>
  </si>
  <si>
    <t>Exec VP of Casino Operations</t>
  </si>
  <si>
    <t>Charlie</t>
  </si>
  <si>
    <t>Executive Director of Gaming</t>
  </si>
  <si>
    <t>Applegate</t>
  </si>
  <si>
    <t>Alaawah</t>
  </si>
  <si>
    <t>Nadar</t>
  </si>
  <si>
    <t>Senior Vice President of Operations</t>
  </si>
  <si>
    <t>Sr Vice President of Operations</t>
  </si>
  <si>
    <t>Barile</t>
  </si>
  <si>
    <t>Vinny</t>
  </si>
  <si>
    <t>Downey</t>
  </si>
  <si>
    <t>MacDonald</t>
  </si>
  <si>
    <t>Zaremba</t>
  </si>
  <si>
    <t>Jensen</t>
  </si>
  <si>
    <t>Vice President Casino Operations</t>
  </si>
  <si>
    <t>VP Casino Operations</t>
  </si>
  <si>
    <t>Toti</t>
  </si>
  <si>
    <t>Anzevino</t>
  </si>
  <si>
    <t>Opdyke</t>
  </si>
  <si>
    <t>Segura</t>
  </si>
  <si>
    <t>Francisco</t>
  </si>
  <si>
    <t>Davena</t>
  </si>
  <si>
    <t>Jennifer</t>
  </si>
  <si>
    <t>Meranto</t>
  </si>
  <si>
    <t>Casino Operations Director</t>
  </si>
  <si>
    <t>Cullen</t>
  </si>
  <si>
    <t>Senior Vice President Gaming Operations</t>
  </si>
  <si>
    <t>Sr VP Gaming Operations</t>
  </si>
  <si>
    <t>Kennedy</t>
  </si>
  <si>
    <t>Finken</t>
  </si>
  <si>
    <t>Reynolds</t>
  </si>
  <si>
    <t>Director of Property Operations</t>
  </si>
  <si>
    <t>Executive Vice President of Operations</t>
  </si>
  <si>
    <t>Exec VP of Operations</t>
  </si>
  <si>
    <t>Ruocco</t>
  </si>
  <si>
    <t>Herzchel</t>
  </si>
  <si>
    <t>Ted</t>
  </si>
  <si>
    <t>Rison</t>
  </si>
  <si>
    <t>Executive Director of Gaming Operations</t>
  </si>
  <si>
    <t>Exec Dir of Gaming Operations</t>
  </si>
  <si>
    <t>Berns</t>
  </si>
  <si>
    <t>Senior Director of Operations</t>
  </si>
  <si>
    <t>DeWitt</t>
  </si>
  <si>
    <t>Hairston</t>
  </si>
  <si>
    <t>Alvarado</t>
  </si>
  <si>
    <t>Yiu Ling</t>
  </si>
  <si>
    <t>Kwong</t>
  </si>
  <si>
    <t>Stenger</t>
  </si>
  <si>
    <t>Badders</t>
  </si>
  <si>
    <t>Tinck</t>
  </si>
  <si>
    <t>Shelley</t>
  </si>
  <si>
    <t>Regional Vice President of Casino Operations</t>
  </si>
  <si>
    <t>Regional VP of Casino Ops</t>
  </si>
  <si>
    <t>Weber</t>
  </si>
  <si>
    <t>Yuliya</t>
  </si>
  <si>
    <t>Heck</t>
  </si>
  <si>
    <t>Ragland</t>
  </si>
  <si>
    <t>Naomi</t>
  </si>
  <si>
    <t>Prettyman</t>
  </si>
  <si>
    <t>Villarreal</t>
  </si>
  <si>
    <t>Carlos</t>
  </si>
  <si>
    <t>Cica</t>
  </si>
  <si>
    <t>Pauly</t>
  </si>
  <si>
    <t>Hendricks</t>
  </si>
  <si>
    <t>Rose</t>
  </si>
  <si>
    <t>Butto</t>
  </si>
  <si>
    <t>Li</t>
  </si>
  <si>
    <t>Durbin</t>
  </si>
  <si>
    <t>Provance</t>
  </si>
  <si>
    <t>Will</t>
  </si>
  <si>
    <t>Gaudreau</t>
  </si>
  <si>
    <t>Britson</t>
  </si>
  <si>
    <t>Yepa</t>
  </si>
  <si>
    <t>Brendan</t>
  </si>
  <si>
    <t>Brand</t>
  </si>
  <si>
    <t>Hartley</t>
  </si>
  <si>
    <t>Jamie</t>
  </si>
  <si>
    <t>Lazarus</t>
  </si>
  <si>
    <t>Davidson</t>
  </si>
  <si>
    <t>Warren</t>
  </si>
  <si>
    <t>Raeburn</t>
  </si>
  <si>
    <t>Chaghouri</t>
  </si>
  <si>
    <t>Rahmi</t>
  </si>
  <si>
    <t>Printy</t>
  </si>
  <si>
    <t>Mccormick</t>
  </si>
  <si>
    <t>Barr</t>
  </si>
  <si>
    <t>Rodarte</t>
  </si>
  <si>
    <t>Gabriel</t>
  </si>
  <si>
    <t>Connors</t>
  </si>
  <si>
    <t>Clifford</t>
  </si>
  <si>
    <t>Lee</t>
  </si>
  <si>
    <t>Adebowale</t>
  </si>
  <si>
    <t>Demi</t>
  </si>
  <si>
    <t>Bruno</t>
  </si>
  <si>
    <t>Pittman</t>
  </si>
  <si>
    <t>Jordan</t>
  </si>
  <si>
    <t>Linda</t>
  </si>
  <si>
    <t>Martinez</t>
  </si>
  <si>
    <t>Nelia</t>
  </si>
  <si>
    <t>Ghost Bear</t>
  </si>
  <si>
    <t>Raymond</t>
  </si>
  <si>
    <t>Quarantillo</t>
  </si>
  <si>
    <t>Senior Director of Casino Operations</t>
  </si>
  <si>
    <t>Sr Dir of Casino Operations</t>
  </si>
  <si>
    <t>Fuller</t>
  </si>
  <si>
    <t>Bingo, Games, Slots</t>
  </si>
  <si>
    <t>Garrow</t>
  </si>
  <si>
    <t>On List</t>
  </si>
  <si>
    <t>Added</t>
  </si>
  <si>
    <t>To Add</t>
  </si>
  <si>
    <t>Hold Off</t>
  </si>
  <si>
    <t>Add same casino rank</t>
  </si>
  <si>
    <t>No Linkedin or Linkedin with basically zero connections</t>
  </si>
  <si>
    <t>International</t>
  </si>
  <si>
    <t>Have Indirectly</t>
  </si>
  <si>
    <t>Cant Find anyone</t>
  </si>
  <si>
    <t>Add list of Listed owned but fair game</t>
  </si>
  <si>
    <t>Owners and Operators</t>
  </si>
  <si>
    <t>Marketplace</t>
  </si>
  <si>
    <t>Gaming</t>
  </si>
  <si>
    <t>Positions</t>
  </si>
  <si>
    <t>Property</t>
  </si>
  <si>
    <t>Count</t>
  </si>
  <si>
    <t>Total</t>
  </si>
  <si>
    <t>Business Type</t>
  </si>
  <si>
    <t>Country</t>
  </si>
  <si>
    <t>VICI Properties</t>
  </si>
  <si>
    <t>Commercial</t>
  </si>
  <si>
    <t>New York</t>
  </si>
  <si>
    <t>Gaming and Leisure Properties</t>
  </si>
  <si>
    <t>Pennsylvania</t>
  </si>
  <si>
    <t>Entain</t>
  </si>
  <si>
    <t>Isle of Man</t>
  </si>
  <si>
    <t>Caesars Entertainment</t>
  </si>
  <si>
    <t>Nevada</t>
  </si>
  <si>
    <t>Rank Group</t>
  </si>
  <si>
    <t>United Kingdom</t>
  </si>
  <si>
    <t>England</t>
  </si>
  <si>
    <t>Mecca Bingo</t>
  </si>
  <si>
    <t>Penn Entertainment</t>
  </si>
  <si>
    <t>Boyd Gaming</t>
  </si>
  <si>
    <t>Seminole Tribe of Florida</t>
  </si>
  <si>
    <t>Indian</t>
  </si>
  <si>
    <t>Florida</t>
  </si>
  <si>
    <t>Hard Rock International</t>
  </si>
  <si>
    <t>Seminole Hard Rock Support Services</t>
  </si>
  <si>
    <t>Oklahoma</t>
  </si>
  <si>
    <t>Apollo Global Management</t>
  </si>
  <si>
    <t>Churchill Downs</t>
  </si>
  <si>
    <t>Kentucky</t>
  </si>
  <si>
    <t>Chickasaw Nation Industries</t>
  </si>
  <si>
    <t>Station Casinos</t>
  </si>
  <si>
    <t>Bally's</t>
  </si>
  <si>
    <t>Rhode Island</t>
  </si>
  <si>
    <t>Ontario</t>
  </si>
  <si>
    <t>Genting Singapore</t>
  </si>
  <si>
    <t>Sun International</t>
  </si>
  <si>
    <t>Las Vegas Sands</t>
  </si>
  <si>
    <t>Mohegan Tribe</t>
  </si>
  <si>
    <t>Connecticut</t>
  </si>
  <si>
    <t>Mohegan Gaming</t>
  </si>
  <si>
    <t>Ontario Lottery and Gaming Corporation</t>
  </si>
  <si>
    <t>SJM Holdings</t>
  </si>
  <si>
    <t>Hong Kong</t>
  </si>
  <si>
    <t>Sociedade de Turismo e Diversões de Macau</t>
  </si>
  <si>
    <t>Gateway Casinos &amp; Entertainment</t>
  </si>
  <si>
    <t>British Columbia</t>
  </si>
  <si>
    <t>Genting Malaysia</t>
  </si>
  <si>
    <t>Delaware North</t>
  </si>
  <si>
    <t>The Blackstone Group</t>
  </si>
  <si>
    <t>Poarch Band of Creek Indians</t>
  </si>
  <si>
    <t>Alabama</t>
  </si>
  <si>
    <t>Wind Creek Hospitality</t>
  </si>
  <si>
    <t>Global Gaming Solutions</t>
  </si>
  <si>
    <t>Melco Resorts &amp; Entertainment</t>
  </si>
  <si>
    <t>Wynn Resorts</t>
  </si>
  <si>
    <t>Carnival Corporation</t>
  </si>
  <si>
    <t>Novomatic</t>
  </si>
  <si>
    <t>Austria</t>
  </si>
  <si>
    <t>Maryland</t>
  </si>
  <si>
    <t>Holland Casino</t>
  </si>
  <si>
    <t>Netherlands</t>
  </si>
  <si>
    <t>Crown Resorts</t>
  </si>
  <si>
    <t>Victoria</t>
  </si>
  <si>
    <t>Brookfield Business Partners</t>
  </si>
  <si>
    <t>Casino Club</t>
  </si>
  <si>
    <t>Casinos Austria International</t>
  </si>
  <si>
    <t>Rush Street Gaming</t>
  </si>
  <si>
    <t>Illinois</t>
  </si>
  <si>
    <t>Sands China</t>
  </si>
  <si>
    <t>Cirsa</t>
  </si>
  <si>
    <t>Spain</t>
  </si>
  <si>
    <t>One Toronto Gaming</t>
  </si>
  <si>
    <t>Eastern Band of Cherokee Indians</t>
  </si>
  <si>
    <t>North Carolina</t>
  </si>
  <si>
    <t>Yuhaaviatam of San Manuel Nation</t>
  </si>
  <si>
    <t>California</t>
  </si>
  <si>
    <t>Cherokee Nation</t>
  </si>
  <si>
    <t>Cherokee Nation Entertainment</t>
  </si>
  <si>
    <t>Century Casinos</t>
  </si>
  <si>
    <t>Colorado</t>
  </si>
  <si>
    <t>Lucien Barriere</t>
  </si>
  <si>
    <t>France</t>
  </si>
  <si>
    <t>Fertitta Entertainment</t>
  </si>
  <si>
    <t>Groupe Partouche</t>
  </si>
  <si>
    <t>Wisconsin</t>
  </si>
  <si>
    <t>Royal Caribbean Cruises</t>
  </si>
  <si>
    <t>Philippine Amusement and Gaming Corporation</t>
  </si>
  <si>
    <t>Seneca Nation of Indians</t>
  </si>
  <si>
    <t>Seneca Gaming</t>
  </si>
  <si>
    <t>Galaxy Entertainment Group</t>
  </si>
  <si>
    <t>Princess Group</t>
  </si>
  <si>
    <t>Turkey</t>
  </si>
  <si>
    <t>Woodbine Entertainment Group</t>
  </si>
  <si>
    <t>Quebec</t>
  </si>
  <si>
    <t>Peppermill Casinos</t>
  </si>
  <si>
    <t>The Star Entertainment Group</t>
  </si>
  <si>
    <t>Queensland</t>
  </si>
  <si>
    <t>Pechanga Band of Luiseño Indians</t>
  </si>
  <si>
    <t>Pechanga Development</t>
  </si>
  <si>
    <t>Golden Entertainment</t>
  </si>
  <si>
    <t>Grosvenor Casinos</t>
  </si>
  <si>
    <t>Clairvest Group</t>
  </si>
  <si>
    <t>Gila River Indian Community</t>
  </si>
  <si>
    <t>Arizona</t>
  </si>
  <si>
    <t>Gila River Gaming Enterprises</t>
  </si>
  <si>
    <t>Elite Casino Resorts</t>
  </si>
  <si>
    <t>Iowa</t>
  </si>
  <si>
    <t>Realty Income</t>
  </si>
  <si>
    <t>NagaCorp</t>
  </si>
  <si>
    <t>Tulalip Tribes</t>
  </si>
  <si>
    <t>Nevada Restaurant Services</t>
  </si>
  <si>
    <t>Catawba Indian Nation</t>
  </si>
  <si>
    <t>South Carolina</t>
  </si>
  <si>
    <t>MGM China</t>
  </si>
  <si>
    <t>Russia</t>
  </si>
  <si>
    <t>Shakopee Mdewakanton Sioux Community</t>
  </si>
  <si>
    <t>Minnesota</t>
  </si>
  <si>
    <t>SMSC Gaming Enterprise</t>
  </si>
  <si>
    <t>Oneida Indian Nation of New York</t>
  </si>
  <si>
    <t>Turning Stone Enterprises</t>
  </si>
  <si>
    <t>Ilitch Holdings</t>
  </si>
  <si>
    <t>Michigan</t>
  </si>
  <si>
    <t>HIT</t>
  </si>
  <si>
    <t>Slovenia</t>
  </si>
  <si>
    <t>Golden Bingo Family</t>
  </si>
  <si>
    <t>Texas</t>
  </si>
  <si>
    <t>Forest County Potawatomi Community</t>
  </si>
  <si>
    <t>Potawatomi Ventures</t>
  </si>
  <si>
    <t>Shipley Estates</t>
  </si>
  <si>
    <t>Universal Entertainment</t>
  </si>
  <si>
    <t>Japan</t>
  </si>
  <si>
    <t>Paradise Casino Admiral</t>
  </si>
  <si>
    <t>Czech Republic</t>
  </si>
  <si>
    <t>Marriott International</t>
  </si>
  <si>
    <t>Maverick Gaming</t>
  </si>
  <si>
    <t>Greenwood Gaming and Entertainment</t>
  </si>
  <si>
    <t>Santa Rosa Rancheria Tachi Yokut Tribe</t>
  </si>
  <si>
    <t>Palace Hospitality</t>
  </si>
  <si>
    <t>Kansas</t>
  </si>
  <si>
    <t>Delta Corp</t>
  </si>
  <si>
    <t>Jacobs Entertainment</t>
  </si>
  <si>
    <t>Grupo Boldt</t>
  </si>
  <si>
    <t>ECL Entertainment</t>
  </si>
  <si>
    <t>Mille Lacs Band of Ojibwe</t>
  </si>
  <si>
    <t>Mille Lacs Corporate Ventures</t>
  </si>
  <si>
    <t>EBCI Holdings</t>
  </si>
  <si>
    <t>Genting Casinos</t>
  </si>
  <si>
    <t>Fischer</t>
  </si>
  <si>
    <t>Codere</t>
  </si>
  <si>
    <t>Mr. Bingo USA</t>
  </si>
  <si>
    <t>Oneida Nation of Wisconsin</t>
  </si>
  <si>
    <t>Oregon</t>
  </si>
  <si>
    <t>White Earth Band of Chippewa Indians</t>
  </si>
  <si>
    <t>Manitoba Liquor &amp; Lotteries</t>
  </si>
  <si>
    <t>Manitoba</t>
  </si>
  <si>
    <t>Navajo Nation</t>
  </si>
  <si>
    <t>Navajo Nation Gaming Enterprise</t>
  </si>
  <si>
    <t>New Mexico</t>
  </si>
  <si>
    <t>Agility Real Estate</t>
  </si>
  <si>
    <t>Federated Indians of Graton Rancheria</t>
  </si>
  <si>
    <t>Sonco Gaming</t>
  </si>
  <si>
    <t>Nova Scotia</t>
  </si>
  <si>
    <t>Indigenous Gaming Partners</t>
  </si>
  <si>
    <t>Alberta</t>
  </si>
  <si>
    <t>Winnebago Tribe of Nebraska</t>
  </si>
  <si>
    <t>Nebraska</t>
  </si>
  <si>
    <t>Salt River Pima-Maricopa Indian Community</t>
  </si>
  <si>
    <t>Full House Resorts</t>
  </si>
  <si>
    <t>Alliance Global Group</t>
  </si>
  <si>
    <t>International Group of Gaming Resorts</t>
  </si>
  <si>
    <t>Olympic Entertainment Group</t>
  </si>
  <si>
    <t>Estonia</t>
  </si>
  <si>
    <t>Joa Groupe</t>
  </si>
  <si>
    <t>Mississippi Band of Choctaw Indians</t>
  </si>
  <si>
    <t>Mississippi</t>
  </si>
  <si>
    <t>Choctaw Resort Development Enterprise</t>
  </si>
  <si>
    <t>Cowlitz Indian Tribe</t>
  </si>
  <si>
    <t>Warner Gaming</t>
  </si>
  <si>
    <t>Jack Entertainment</t>
  </si>
  <si>
    <t>Ohio</t>
  </si>
  <si>
    <t>Gaughan South</t>
  </si>
  <si>
    <t>Rubico Acquisition</t>
  </si>
  <si>
    <t>Louisiana</t>
  </si>
  <si>
    <t>Travellers International Hotel Group</t>
  </si>
  <si>
    <t>Affinity Interactive</t>
  </si>
  <si>
    <t>Idaho</t>
  </si>
  <si>
    <t>Merkur.com</t>
  </si>
  <si>
    <t>Germany</t>
  </si>
  <si>
    <t>Tejon Indian Tribe</t>
  </si>
  <si>
    <t>British Columbia Lottery Corporation</t>
  </si>
  <si>
    <t>Norwegian Cruise Line Holdings</t>
  </si>
  <si>
    <t>Match-E-Be-Nash-She-Wish Band of Pottawatomi Indians</t>
  </si>
  <si>
    <t>Monarch Casino &amp; Resort</t>
  </si>
  <si>
    <t>Menominee Indian Tribe of Wisconsin</t>
  </si>
  <si>
    <t>Truckee Gaming</t>
  </si>
  <si>
    <t>Estoril-Sol</t>
  </si>
  <si>
    <t>Groupe Tranchant</t>
  </si>
  <si>
    <t>Detroit Entertainment</t>
  </si>
  <si>
    <t>Saskatchewan Indian Gaming Authority</t>
  </si>
  <si>
    <t>First Nation</t>
  </si>
  <si>
    <t>Saskatchewan</t>
  </si>
  <si>
    <t>Comanche Nation</t>
  </si>
  <si>
    <t>Comanche Nation Entertainment</t>
  </si>
  <si>
    <t>Solverde Sociedade de Investimentos</t>
  </si>
  <si>
    <t>Luxor Capital Group</t>
  </si>
  <si>
    <t>American Nevada Company</t>
  </si>
  <si>
    <t>Wilton Rancheria</t>
  </si>
  <si>
    <t>Gek Terna</t>
  </si>
  <si>
    <t>Kangwon Land</t>
  </si>
  <si>
    <t>South Korea</t>
  </si>
  <si>
    <t>Koi Nation</t>
  </si>
  <si>
    <t>Biloxi Capital, LLC</t>
  </si>
  <si>
    <t>SkyCity Entertainment Group</t>
  </si>
  <si>
    <t>New Zealand</t>
  </si>
  <si>
    <t>Chippewas of Rama First Nation</t>
  </si>
  <si>
    <t>Mesquite Gaming</t>
  </si>
  <si>
    <t>Sault Ste. Marie Tribe of Chippewa Indians</t>
  </si>
  <si>
    <t>Treasure Bay Gaming and Resorts</t>
  </si>
  <si>
    <t>Janshen-Hahnraths Group</t>
  </si>
  <si>
    <t>Mashpee Wampanoag Tribe</t>
  </si>
  <si>
    <t>Massachusetts</t>
  </si>
  <si>
    <t>Casinos Del Estado</t>
  </si>
  <si>
    <t>Wyandotte Tribe of Oklahoma</t>
  </si>
  <si>
    <t>North Fork Rancheria of Mono Indians</t>
  </si>
  <si>
    <t>Saratoga Casino Holdings</t>
  </si>
  <si>
    <t>Merkur Spielbanken</t>
  </si>
  <si>
    <t>Donaco International</t>
  </si>
  <si>
    <t>New South Wales</t>
  </si>
  <si>
    <t>Aspers Group</t>
  </si>
  <si>
    <t>Spielbanken Niedersachsen</t>
  </si>
  <si>
    <t>Peninsula Pacific Entertainment</t>
  </si>
  <si>
    <t>SM2 Capital Partners</t>
  </si>
  <si>
    <t>Pueblo of Laguna</t>
  </si>
  <si>
    <t>Laguna Development</t>
  </si>
  <si>
    <t>Hotspur Resorts Nevada</t>
  </si>
  <si>
    <t>Gamehost</t>
  </si>
  <si>
    <t>Sociedad Nacional de Juegos de Azar</t>
  </si>
  <si>
    <t>Grup Perelada</t>
  </si>
  <si>
    <t>G PEG I</t>
  </si>
  <si>
    <t>Wynn Macau</t>
  </si>
  <si>
    <t>Iowa Tribe of Oklahoma</t>
  </si>
  <si>
    <t>Colusa Indian Community</t>
  </si>
  <si>
    <t>Leech Lake Band of Ojibwe</t>
  </si>
  <si>
    <t>Leech Lake Gaming Division</t>
  </si>
  <si>
    <t>Macau Legend Development</t>
  </si>
  <si>
    <t>Metropolitan Gaming</t>
  </si>
  <si>
    <t>Eureka Casinos</t>
  </si>
  <si>
    <t>Ak-Chin Indian Community</t>
  </si>
  <si>
    <t>Stillwater Gaming</t>
  </si>
  <si>
    <t>Sisseton-Wahpeton Oyate</t>
  </si>
  <si>
    <t>South Dakota</t>
  </si>
  <si>
    <t>Enterprise Rancheria</t>
  </si>
  <si>
    <t>California Commerce Club</t>
  </si>
  <si>
    <t>Baha Mar Resorts</t>
  </si>
  <si>
    <t>New Providence Island</t>
  </si>
  <si>
    <t>TLC Casino Enterprises</t>
  </si>
  <si>
    <t>Pascua Yaqui Tribe</t>
  </si>
  <si>
    <t>Rincon Band of Luiseño Mission Indians</t>
  </si>
  <si>
    <t>Park West Casinos</t>
  </si>
  <si>
    <t>Fort McDowell Yavapai Nation</t>
  </si>
  <si>
    <t>Hann Holdings Inc.</t>
  </si>
  <si>
    <t>Chicken Ranch Rancheria of Me-Wuk Indians</t>
  </si>
  <si>
    <t>Tsuu T'ina First Nation</t>
  </si>
  <si>
    <t>Red Lake Band of Chippewa Indians</t>
  </si>
  <si>
    <t>DGMB Casino Holding</t>
  </si>
  <si>
    <t>Delaware</t>
  </si>
  <si>
    <t>Latin Gaming</t>
  </si>
  <si>
    <t>Bingo Management</t>
  </si>
  <si>
    <t>Quechan Tribe</t>
  </si>
  <si>
    <t>Six Nations of the Grand River</t>
  </si>
  <si>
    <t>Turtle Mountain Band of Chippewa Indians</t>
  </si>
  <si>
    <t>North Dakota</t>
  </si>
  <si>
    <t>Winner Group</t>
  </si>
  <si>
    <t>Colombia</t>
  </si>
  <si>
    <t>Mohawk Council of Kahnawake</t>
  </si>
  <si>
    <t>Big Lagoon Rancheria Tribe</t>
  </si>
  <si>
    <t>Los Coyotes Band of Cahuilla and Cupeno Indians</t>
  </si>
  <si>
    <t>Yakama Indian Nation</t>
  </si>
  <si>
    <t>Wild Rose Entertainment</t>
  </si>
  <si>
    <t>Swiss Casinos Holding</t>
  </si>
  <si>
    <t>Switzerland</t>
  </si>
  <si>
    <t>Club Hotel Casino Loutraki</t>
  </si>
  <si>
    <t>American Racing and Entertainment</t>
  </si>
  <si>
    <t>Grupo Comar</t>
  </si>
  <si>
    <t>Luckia Gaming Group</t>
  </si>
  <si>
    <t>Casinos del Litoral</t>
  </si>
  <si>
    <t>PH Resorts Group Holdings</t>
  </si>
  <si>
    <t>Bayern Staatliche Lotterieverwaltung</t>
  </si>
  <si>
    <t>Foundation Gaming Group</t>
  </si>
  <si>
    <t>Hípica Rioplatense Uruguay</t>
  </si>
  <si>
    <t>Landing International Development</t>
  </si>
  <si>
    <t>Olympia Gaming</t>
  </si>
  <si>
    <t>Golden Investment</t>
  </si>
  <si>
    <t>Confederated Tribes of Coos, Lower Umpqua and Siuslaw Indians of Oregon</t>
  </si>
  <si>
    <t>Coquille Indian Tribe</t>
  </si>
  <si>
    <t>Paradise Group</t>
  </si>
  <si>
    <t>Grupo Caliente</t>
  </si>
  <si>
    <t>Mexico</t>
  </si>
  <si>
    <t>Flamingo Bingo</t>
  </si>
  <si>
    <t>BC Partners</t>
  </si>
  <si>
    <t>Cow Creek Band of Umpqua Tribe of Indians</t>
  </si>
  <si>
    <t>Town Pump</t>
  </si>
  <si>
    <t>Montana</t>
  </si>
  <si>
    <t>Snuneymuxw First Nation</t>
  </si>
  <si>
    <t>Petroglyph Development Group</t>
  </si>
  <si>
    <t>Société des Bains de Mer</t>
  </si>
  <si>
    <t>Monaco</t>
  </si>
  <si>
    <t>Tamares Group</t>
  </si>
  <si>
    <t>Israel</t>
  </si>
  <si>
    <t>Veikkaus Oy</t>
  </si>
  <si>
    <t>Finland</t>
  </si>
  <si>
    <t>Grand Leisure Korea</t>
  </si>
  <si>
    <t>Confederated Tribes of the Colville Reservation</t>
  </si>
  <si>
    <t>Colville Tribal Federal Corporation</t>
  </si>
  <si>
    <t>Mescalero Apache Tribe</t>
  </si>
  <si>
    <t>Barceló Group</t>
  </si>
  <si>
    <t>Robinson Rancheria of Pomo Indians</t>
  </si>
  <si>
    <t>SaskGaming</t>
  </si>
  <si>
    <t>Tuolumne Band of Me-Wuk Indians</t>
  </si>
  <si>
    <t>Tuolumne Economic Development Authority</t>
  </si>
  <si>
    <t>Three Affiliated Tribes</t>
  </si>
  <si>
    <t>Crown Casino</t>
  </si>
  <si>
    <t>Loutraki</t>
  </si>
  <si>
    <t>Atlantis World Group</t>
  </si>
  <si>
    <t>Sint Maarten</t>
  </si>
  <si>
    <t>Ute Mountain Ute Tribe</t>
  </si>
  <si>
    <t>Paradise Entertainment</t>
  </si>
  <si>
    <t>Ione Band of Miwok Indians</t>
  </si>
  <si>
    <t>Tonkawa Tribe of Oklahoma</t>
  </si>
  <si>
    <t>Casino Marina International</t>
  </si>
  <si>
    <t>Sri Lanka</t>
  </si>
  <si>
    <t>UAB Tete-a-tete kazino</t>
  </si>
  <si>
    <t>Lithuania</t>
  </si>
  <si>
    <t>Finger Lakes Racing Association</t>
  </si>
  <si>
    <t>Spirit Lake Tribe</t>
  </si>
  <si>
    <t>ACE Casino Holding</t>
  </si>
  <si>
    <t>Hastings Exposition and Racing</t>
  </si>
  <si>
    <t>Chitimacha Tribe of Louisiana</t>
  </si>
  <si>
    <t>Yavapai-Prescott Indian Tribe</t>
  </si>
  <si>
    <t>Asian Coast Development</t>
  </si>
  <si>
    <t>Casino di Venezia</t>
  </si>
  <si>
    <t>Italy</t>
  </si>
  <si>
    <t>Kiowa Tribe of Oklahoma</t>
  </si>
  <si>
    <t>Cashell Enterprises</t>
  </si>
  <si>
    <t>Fort Mojave Indian Tribe</t>
  </si>
  <si>
    <t>GIOIO</t>
  </si>
  <si>
    <t>Serbia</t>
  </si>
  <si>
    <t>PBC Group</t>
  </si>
  <si>
    <t>Delaware Nation</t>
  </si>
  <si>
    <t>Lenape Entertainment</t>
  </si>
  <si>
    <t>Pueblo of Acoma</t>
  </si>
  <si>
    <t>San Carlos Apache Tribe</t>
  </si>
  <si>
    <t>Dreamscape Companies</t>
  </si>
  <si>
    <t>Standing Rock Sioux Tribe</t>
  </si>
  <si>
    <t>Groupe Cogit</t>
  </si>
  <si>
    <t>Martinique</t>
  </si>
  <si>
    <t>Strategic Gaming Management</t>
  </si>
  <si>
    <t>Berry Creek Rancheria of Maidu Indians of California</t>
  </si>
  <si>
    <t>Apache Tribe of Oklahoma</t>
  </si>
  <si>
    <t>Fairmont Hotels &amp; Resorts</t>
  </si>
  <si>
    <t>Premier Gaming Group</t>
  </si>
  <si>
    <t>Mechoopda Maidu Indians</t>
  </si>
  <si>
    <t>Senator Group</t>
  </si>
  <si>
    <t>Macedonia</t>
  </si>
  <si>
    <t>Fort Sill Apache Tribe of Oklahoma</t>
  </si>
  <si>
    <t>Northern Arapaho Tribe</t>
  </si>
  <si>
    <t>Wyoming</t>
  </si>
  <si>
    <t>Kickapoo Tribe in Kansas</t>
  </si>
  <si>
    <t>Colorado River Indian Tribes</t>
  </si>
  <si>
    <t>Sanum Investments</t>
  </si>
  <si>
    <t>Nez Perce Tribe</t>
  </si>
  <si>
    <t>Suffolk Regional Off-Track Betting</t>
  </si>
  <si>
    <t>Victory Casino Cruises</t>
  </si>
  <si>
    <t>Admiral International Casinos</t>
  </si>
  <si>
    <t>Croatia</t>
  </si>
  <si>
    <t>Kentucky Racing Acquisition</t>
  </si>
  <si>
    <t>Circa Resort &amp; Casino Las Vegas</t>
  </si>
  <si>
    <t>Delaware State 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</si>
</sst>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1"/>
    <xf numFmtId="3" fontId="1" fillId="0" borderId="0" xfId="1" applyNumberFormat="1"/>
    <xf numFmtId="0" fontId="1" fillId="0" borderId="0" xfId="1" applyAlignment="1">
      <alignment horizontal="center" vertical="center" wrapText="1"/>
    </xf>
    <xf numFmtId="0" fontId="1" fillId="0" borderId="0" xfId="0" applyFont="1"/>
    <xf numFmtId="0" fontId="1" fillId="2" borderId="0" xfId="1" applyFill="1"/>
    <xf numFmtId="3" fontId="1" fillId="2" borderId="0" xfId="1" applyNumberFormat="1" applyFill="1"/>
    <xf numFmtId="0" fontId="1" fillId="3" borderId="0" xfId="1" applyFill="1"/>
    <xf numFmtId="3" fontId="1" fillId="3" borderId="0" xfId="1" applyNumberFormat="1" applyFill="1"/>
    <xf numFmtId="0" fontId="1" fillId="4" borderId="0" xfId="1" applyFill="1"/>
    <xf numFmtId="3" fontId="1" fillId="4" borderId="0" xfId="1" applyNumberFormat="1" applyFill="1"/>
    <xf numFmtId="0" fontId="1" fillId="5" borderId="0" xfId="1" applyFill="1"/>
    <xf numFmtId="3" fontId="1" fillId="5" borderId="0" xfId="1" applyNumberFormat="1" applyFill="1"/>
    <xf numFmtId="0" fontId="0" fillId="6" borderId="0" xfId="0" applyFill="1"/>
    <xf numFmtId="0" fontId="1" fillId="7" borderId="0" xfId="1" applyFill="1"/>
    <xf numFmtId="3" fontId="1" fillId="7" borderId="0" xfId="1" applyNumberFormat="1" applyFill="1"/>
    <xf numFmtId="0" fontId="1" fillId="8" borderId="0" xfId="1" applyFill="1"/>
    <xf numFmtId="3" fontId="1" fillId="8" borderId="0" xfId="1" applyNumberFormat="1" applyFill="1"/>
    <xf numFmtId="0" fontId="0" fillId="3" borderId="0" xfId="0" applyFill="1"/>
    <xf numFmtId="3" fontId="0" fillId="3" borderId="0" xfId="0" applyNumberFormat="1" applyFill="1"/>
    <xf numFmtId="0" fontId="0" fillId="9" borderId="0" xfId="0" applyFill="1"/>
    <xf numFmtId="0" fontId="0" fillId="2" borderId="0" xfId="0" applyFill="1"/>
    <xf numFmtId="3" fontId="0" fillId="2" borderId="0" xfId="0" applyNumberFormat="1" applyFill="1"/>
    <xf numFmtId="0" fontId="0" fillId="10" borderId="0" xfId="0" applyFill="1"/>
    <xf numFmtId="3" fontId="0" fillId="10" borderId="0" xfId="0" applyNumberFormat="1" applyFill="1"/>
    <xf numFmtId="3" fontId="0" fillId="9" borderId="0" xfId="0" applyNumberFormat="1" applyFill="1"/>
    <xf numFmtId="0" fontId="1" fillId="9" borderId="0" xfId="0" applyFont="1" applyFill="1"/>
    <xf numFmtId="0" fontId="0" fillId="11" borderId="0" xfId="0" applyFill="1"/>
    <xf numFmtId="0" fontId="0" fillId="12" borderId="0" xfId="0" applyFill="1"/>
    <xf numFmtId="0" fontId="0" fillId="4" borderId="0" xfId="0" applyFill="1"/>
    <xf numFmtId="3" fontId="0" fillId="4" borderId="0" xfId="0" applyNumberFormat="1" applyFill="1"/>
    <xf numFmtId="0" fontId="0" fillId="13" borderId="0" xfId="0" applyFill="1"/>
    <xf numFmtId="3" fontId="0" fillId="1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1" fillId="13" borderId="0" xfId="0" applyFont="1" applyFill="1"/>
    <xf numFmtId="0" fontId="1" fillId="2" borderId="0" xfId="0" applyFont="1" applyFill="1"/>
    <xf numFmtId="3" fontId="1" fillId="2" borderId="0" xfId="0" applyNumberFormat="1" applyFont="1" applyFill="1"/>
    <xf numFmtId="0" fontId="0" fillId="14" borderId="0" xfId="0" applyFill="1"/>
  </cellXfs>
  <cellStyles count="2">
    <cellStyle name="Normal" xfId="0" builtinId="0"/>
    <cellStyle name="Normal 2" xfId="1" xr:uid="{C2CDED56-174E-44E9-8048-EEADF57B9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Research\SB%20-%20Research\1.%20Admin\2.%20Corporate%20Access\Target%20Lists%20for%20CA\Copy%20of%20Gaming%20Corporate%20Access%20Targets%20-%20September%202025.xlsx" TargetMode="External"/><Relationship Id="rId1" Type="http://schemas.openxmlformats.org/officeDocument/2006/relationships/externalLinkPath" Target="Target%20Lists%20for%20CA/Copy%20of%20Gaming%20Corporate%20Access%20Targets%20-%20Sept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 Check"/>
      <sheetName val="US Slots General"/>
      <sheetName val="Slot Managers Split"/>
      <sheetName val="INT Slots"/>
      <sheetName val="Intermediaries"/>
      <sheetName val="Aus Slots"/>
      <sheetName val="SLOTS"/>
      <sheetName val="NA Slot Managers Full List"/>
      <sheetName val="Government"/>
      <sheetName val="Regulators"/>
      <sheetName val="Grover"/>
      <sheetName val="VGW"/>
      <sheetName val="Interblock"/>
      <sheetName val="Litigation"/>
      <sheetName val="LOTTERIES"/>
      <sheetName val="TLC"/>
      <sheetName val="WAGERING"/>
      <sheetName val="TAH"/>
    </sheetNames>
    <sheetDataSet>
      <sheetData sheetId="0"/>
      <sheetData sheetId="1"/>
      <sheetData sheetId="2">
        <row r="2">
          <cell r="G2" t="str">
            <v>Casino</v>
          </cell>
        </row>
        <row r="8">
          <cell r="G8" t="str">
            <v>Seminole Hard Rock Hotel &amp; Casino</v>
          </cell>
        </row>
        <row r="9">
          <cell r="G9" t="str">
            <v>Seminole Hard Rock Hotel &amp; Casino</v>
          </cell>
        </row>
        <row r="10">
          <cell r="G10" t="str">
            <v>Wynn Las Vegas</v>
          </cell>
        </row>
        <row r="11">
          <cell r="G11" t="str">
            <v>Norweigan Cruises</v>
          </cell>
        </row>
        <row r="12">
          <cell r="G12" t="str">
            <v>Oneida Casino</v>
          </cell>
        </row>
        <row r="13">
          <cell r="G13" t="str">
            <v>Thunder Valley Casino</v>
          </cell>
        </row>
        <row r="14">
          <cell r="G14" t="str">
            <v>Mohegan Sun</v>
          </cell>
        </row>
        <row r="15">
          <cell r="G15" t="str">
            <v>River Spirit Casino Resort</v>
          </cell>
        </row>
        <row r="16">
          <cell r="G16" t="str">
            <v>Rivers Casino Pittsburgh</v>
          </cell>
        </row>
        <row r="17">
          <cell r="G17" t="str">
            <v>Rivers Casino &amp; Resort Schenectady</v>
          </cell>
        </row>
        <row r="18">
          <cell r="G18" t="str">
            <v>Encore Boston Harbor</v>
          </cell>
        </row>
        <row r="19">
          <cell r="G19" t="str">
            <v>Bellagio</v>
          </cell>
        </row>
        <row r="20">
          <cell r="G20" t="str">
            <v>Soaring Eagle Casino &amp; Resort</v>
          </cell>
        </row>
        <row r="21">
          <cell r="G21" t="str">
            <v>Borgata Hotel Casino and Spa</v>
          </cell>
        </row>
        <row r="22">
          <cell r="G22" t="str">
            <v>Caesars Entertainment, Inc.</v>
          </cell>
        </row>
        <row r="23">
          <cell r="G23" t="str">
            <v>Caesars Atlantic City</v>
          </cell>
        </row>
        <row r="24">
          <cell r="G24" t="str">
            <v>ARIA Resort &amp; Casino</v>
          </cell>
        </row>
        <row r="25">
          <cell r="G25" t="str">
            <v>MGM Resorts International</v>
          </cell>
        </row>
        <row r="26">
          <cell r="G26" t="str">
            <v>MGM Resorts International</v>
          </cell>
        </row>
        <row r="27">
          <cell r="G27" t="str">
            <v>Bally's Dover Casino Resort</v>
          </cell>
        </row>
        <row r="30">
          <cell r="G30" t="str">
            <v>Resorts World Casino New York City</v>
          </cell>
        </row>
        <row r="31">
          <cell r="G31" t="str">
            <v>Pechanga Resort &amp; Casino</v>
          </cell>
        </row>
        <row r="32">
          <cell r="G32" t="str">
            <v>Empire City Casino</v>
          </cell>
        </row>
        <row r="33">
          <cell r="G33" t="str">
            <v>Bally's Twin River Lincoln</v>
          </cell>
        </row>
        <row r="34">
          <cell r="G34" t="str">
            <v>Foxwoods Resort Casino</v>
          </cell>
        </row>
        <row r="35">
          <cell r="G35" t="str">
            <v>Parx Casino &amp; Racing</v>
          </cell>
        </row>
        <row r="36">
          <cell r="G36" t="str">
            <v>Graton Resort &amp; Casino</v>
          </cell>
        </row>
        <row r="37">
          <cell r="G37" t="str">
            <v>Tropicana</v>
          </cell>
        </row>
        <row r="38">
          <cell r="G38" t="str">
            <v>Harrah's Las Vegas Hotel &amp; Casino</v>
          </cell>
        </row>
        <row r="39">
          <cell r="G39" t="str">
            <v>Horseshoe Hammond</v>
          </cell>
        </row>
        <row r="40">
          <cell r="G40" t="str">
            <v>Gun Lake Casino Resort</v>
          </cell>
        </row>
        <row r="41">
          <cell r="G41" t="str">
            <v>Viejas Casino &amp; Resort</v>
          </cell>
        </row>
        <row r="42">
          <cell r="G42" t="str">
            <v>ilani Casino Resort</v>
          </cell>
        </row>
        <row r="43">
          <cell r="G43" t="str">
            <v>Mohegan Pennsylvania</v>
          </cell>
        </row>
        <row r="44">
          <cell r="G44" t="str">
            <v>Cache Creek Casino Resort</v>
          </cell>
        </row>
        <row r="45">
          <cell r="G45" t="str">
            <v>Hollywood Casino - Columbus</v>
          </cell>
        </row>
        <row r="46">
          <cell r="G46" t="str">
            <v>Boulder Station Hotel &amp; Casino</v>
          </cell>
        </row>
        <row r="47">
          <cell r="G47" t="str">
            <v>Sky River Casino</v>
          </cell>
        </row>
        <row r="48">
          <cell r="G48" t="str">
            <v>Delaware Park Casino &amp; Racing</v>
          </cell>
        </row>
        <row r="49">
          <cell r="G49" t="str">
            <v>Blue Chip Casino, Hotel &amp; Spa</v>
          </cell>
        </row>
        <row r="50">
          <cell r="G50" t="str">
            <v>Hard Rock Hotel &amp; Casino - Sacramento at Fire Mountain</v>
          </cell>
        </row>
        <row r="51">
          <cell r="G51" t="str">
            <v>Miccosukee Casino &amp; Resort</v>
          </cell>
        </row>
        <row r="52">
          <cell r="G52" t="str">
            <v>Hard Rock Casino Northern Indiana</v>
          </cell>
        </row>
        <row r="53">
          <cell r="G53" t="str">
            <v>Jamul Casino Resort</v>
          </cell>
        </row>
        <row r="54">
          <cell r="G54" t="str">
            <v>American Place Casino</v>
          </cell>
        </row>
        <row r="55">
          <cell r="G55" t="str">
            <v>Golden Nugget - Lake Charles</v>
          </cell>
        </row>
        <row r="56">
          <cell r="G56" t="str">
            <v>Delta Downs Racetrack Casino Hotel</v>
          </cell>
        </row>
        <row r="57">
          <cell r="G57" t="str">
            <v>Agua Caliente Rancho Mirage</v>
          </cell>
        </row>
        <row r="58">
          <cell r="G58" t="str">
            <v>Santa Ana Star Casino Hotel</v>
          </cell>
        </row>
        <row r="59">
          <cell r="G59" t="str">
            <v>Rivers Casino Portsmouth</v>
          </cell>
        </row>
        <row r="60">
          <cell r="G60" t="str">
            <v>Seminole Casino Hotel Immokalee</v>
          </cell>
        </row>
        <row r="61">
          <cell r="G61" t="str">
            <v>Wheeling Island Hotel &amp; Casino</v>
          </cell>
        </row>
        <row r="62">
          <cell r="G62" t="str">
            <v>Fontainebleau</v>
          </cell>
        </row>
        <row r="63">
          <cell r="G63" t="str">
            <v>Saratoga Casino Hotel</v>
          </cell>
        </row>
        <row r="64">
          <cell r="G64" t="str">
            <v>Riverside Resort &amp; Casino</v>
          </cell>
        </row>
        <row r="65">
          <cell r="G65" t="str">
            <v>Palace Casino Resort</v>
          </cell>
        </row>
        <row r="66">
          <cell r="G66" t="str">
            <v>Maverick Gaming</v>
          </cell>
        </row>
        <row r="67">
          <cell r="G67" t="str">
            <v>Grand Z Casino</v>
          </cell>
        </row>
        <row r="68">
          <cell r="G68" t="str">
            <v>Terre Haute Casino Resort</v>
          </cell>
        </row>
        <row r="69">
          <cell r="G69" t="str">
            <v>Hialeah Park Casino</v>
          </cell>
        </row>
        <row r="70">
          <cell r="G70" t="str">
            <v>The Strat</v>
          </cell>
        </row>
        <row r="71">
          <cell r="G71" t="str">
            <v>Avi Resort &amp; Casino</v>
          </cell>
        </row>
        <row r="72">
          <cell r="G72" t="str">
            <v>Golden Nugget Cripple Creek</v>
          </cell>
        </row>
        <row r="75">
          <cell r="G75" t="str">
            <v>Golden Nugget Atlantic City</v>
          </cell>
        </row>
        <row r="76">
          <cell r="G76" t="str">
            <v>Chumash Casino Resort and Hotel Corque</v>
          </cell>
        </row>
        <row r="77">
          <cell r="G77" t="str">
            <v>Encore Boston Harbor</v>
          </cell>
        </row>
        <row r="78">
          <cell r="G78" t="str">
            <v>Barona Resort &amp; Casino</v>
          </cell>
        </row>
        <row r="79">
          <cell r="G79" t="str">
            <v>Sycuan Casino Resort</v>
          </cell>
        </row>
        <row r="80">
          <cell r="G80" t="str">
            <v>Resorts World Catskills</v>
          </cell>
        </row>
        <row r="81">
          <cell r="G81" t="str">
            <v>Northern Quest Resort &amp; Casino</v>
          </cell>
        </row>
        <row r="82">
          <cell r="G82" t="str">
            <v>Seminole Hard Rock Hotel &amp; Casino Tampa</v>
          </cell>
        </row>
        <row r="83">
          <cell r="G83" t="str">
            <v>FireKeepers Casino</v>
          </cell>
        </row>
        <row r="84">
          <cell r="G84" t="str">
            <v>Horseshoe Baltimore</v>
          </cell>
        </row>
        <row r="85">
          <cell r="G85" t="str">
            <v>Seneca Niagara Resort &amp; Casino</v>
          </cell>
        </row>
        <row r="88">
          <cell r="G88" t="str">
            <v>Boyd Gaming</v>
          </cell>
        </row>
        <row r="89">
          <cell r="G89" t="str">
            <v>Gateway Casinos and Entertainment Limited</v>
          </cell>
        </row>
        <row r="90">
          <cell r="G90" t="str">
            <v>Yaamava’ Resort &amp; Casino at San Manuel</v>
          </cell>
        </row>
        <row r="91">
          <cell r="G91" t="str">
            <v>Yaamava’ Resort &amp; Casino at San Manuel</v>
          </cell>
        </row>
        <row r="92">
          <cell r="G92" t="str">
            <v>Pechanga Resort Casino</v>
          </cell>
        </row>
        <row r="93">
          <cell r="G93" t="str">
            <v>Group</v>
          </cell>
        </row>
        <row r="94">
          <cell r="G94" t="str">
            <v>Group</v>
          </cell>
        </row>
        <row r="95">
          <cell r="G95" t="str">
            <v>Group</v>
          </cell>
        </row>
        <row r="96">
          <cell r="G96" t="str">
            <v>Gila River Hotels &amp; Casinos</v>
          </cell>
        </row>
        <row r="97">
          <cell r="G97" t="str">
            <v>Gila River Hotels &amp; Casinos</v>
          </cell>
        </row>
        <row r="98">
          <cell r="G98" t="str">
            <v>Delaware North</v>
          </cell>
        </row>
        <row r="99">
          <cell r="G99" t="str">
            <v>Morongo Casino Resort &amp; Spa</v>
          </cell>
        </row>
        <row r="100">
          <cell r="G100" t="str">
            <v>Morongo Casino Resort &amp; Spa</v>
          </cell>
        </row>
        <row r="101">
          <cell r="G101" t="str">
            <v>Live! Casino &amp; Hotel Maryland</v>
          </cell>
        </row>
        <row r="102">
          <cell r="G102" t="str">
            <v>MGM National Harbor</v>
          </cell>
        </row>
        <row r="103">
          <cell r="G103" t="str">
            <v>Muckleshoot Casino</v>
          </cell>
        </row>
        <row r="104">
          <cell r="G104" t="str">
            <v>Thunder Valley Casino Resort</v>
          </cell>
        </row>
        <row r="105">
          <cell r="G105" t="str">
            <v>Desert Diamond Casinos &amp; Entertainment</v>
          </cell>
        </row>
        <row r="106">
          <cell r="G106" t="str">
            <v>Foxwoods Resort Casino</v>
          </cell>
        </row>
        <row r="107">
          <cell r="G107" t="str">
            <v>Kickapoo Lucky Eagle Casino Hotel</v>
          </cell>
        </row>
        <row r="108">
          <cell r="G108" t="str">
            <v>Churchill Downs Racetrack</v>
          </cell>
        </row>
        <row r="109">
          <cell r="G109" t="str">
            <v>Station Casinos</v>
          </cell>
        </row>
        <row r="110">
          <cell r="G110" t="str">
            <v>ilani</v>
          </cell>
        </row>
        <row r="111">
          <cell r="G111" t="str">
            <v>Talking Stick Resort</v>
          </cell>
        </row>
        <row r="112">
          <cell r="G112" t="str">
            <v>Station Casinos</v>
          </cell>
        </row>
        <row r="113">
          <cell r="G113" t="str">
            <v>Sante Fe Hotel &amp; Casino</v>
          </cell>
        </row>
        <row r="114">
          <cell r="G114" t="str">
            <v>Wind Creek Hospitality</v>
          </cell>
        </row>
        <row r="115">
          <cell r="G115" t="str">
            <v>FireKeepers Casino Hotel</v>
          </cell>
        </row>
        <row r="116">
          <cell r="G116" t="str">
            <v>Navajo Nation Gaming Enterprise</v>
          </cell>
        </row>
        <row r="117">
          <cell r="G117" t="str">
            <v>Red Rock Casino, Resort &amp; Spa</v>
          </cell>
        </row>
        <row r="118">
          <cell r="G118" t="str">
            <v>Wind Creek Wetumpka</v>
          </cell>
        </row>
        <row r="119">
          <cell r="G119" t="str">
            <v>Viejas Casino &amp; Resort</v>
          </cell>
        </row>
        <row r="120">
          <cell r="G120" t="str">
            <v>Seneca Buffalo Creek Casino</v>
          </cell>
        </row>
        <row r="121">
          <cell r="G121" t="str">
            <v>Table Mountain Casino</v>
          </cell>
        </row>
        <row r="122">
          <cell r="G122" t="str">
            <v>Palace Station Hotel and Casino</v>
          </cell>
        </row>
        <row r="123">
          <cell r="G123" t="str">
            <v>Tulalip Resort Casino</v>
          </cell>
        </row>
        <row r="124">
          <cell r="G124" t="str">
            <v>Wind Creek Bethlehem</v>
          </cell>
        </row>
        <row r="125">
          <cell r="G125" t="str">
            <v>Chumash Casino Resort</v>
          </cell>
        </row>
        <row r="126">
          <cell r="G126" t="str">
            <v>Cache Creek Casino Resort</v>
          </cell>
        </row>
        <row r="127">
          <cell r="G127" t="str">
            <v>Kewadin Casinos</v>
          </cell>
        </row>
        <row r="128">
          <cell r="G128" t="str">
            <v>Pala Casino Spa Golf Resort</v>
          </cell>
        </row>
        <row r="129">
          <cell r="G129" t="str">
            <v>Ho-Chunk Gaming Wisconsin Dells</v>
          </cell>
        </row>
        <row r="130">
          <cell r="G130" t="str">
            <v>South Point Hotel Casino Spa</v>
          </cell>
        </row>
        <row r="131">
          <cell r="G131" t="str">
            <v>Eldorado Gaming Scioto Downs</v>
          </cell>
        </row>
        <row r="132">
          <cell r="G132" t="str">
            <v>Eldorado Gaming Scioto Downs</v>
          </cell>
        </row>
        <row r="133">
          <cell r="G133" t="str">
            <v>Grand Casinos Mille Lacs and Hinckley</v>
          </cell>
        </row>
        <row r="134">
          <cell r="G134" t="str">
            <v>Grand Casino Mille Lacs &amp; Hinckley</v>
          </cell>
        </row>
        <row r="135">
          <cell r="G135" t="str">
            <v>Grand Casino Hinckley</v>
          </cell>
        </row>
        <row r="136">
          <cell r="G136" t="str">
            <v>Downstream Casino Resort</v>
          </cell>
        </row>
        <row r="137">
          <cell r="G137" t="str">
            <v>Downstream Casino Resort</v>
          </cell>
        </row>
        <row r="138">
          <cell r="G138" t="str">
            <v>Valley View Casino &amp; Hotel</v>
          </cell>
        </row>
        <row r="139">
          <cell r="G139" t="str">
            <v>Peninsula Pacific Entertainment</v>
          </cell>
        </row>
        <row r="140">
          <cell r="G140" t="str">
            <v>Hollywood Casino Toledo</v>
          </cell>
        </row>
        <row r="141">
          <cell r="G141" t="str">
            <v>Sandia Resort &amp; Casino</v>
          </cell>
        </row>
        <row r="142">
          <cell r="G142" t="str">
            <v>Four Winds New Buffalo</v>
          </cell>
        </row>
        <row r="143">
          <cell r="G143" t="str">
            <v>Grand Casino Mille Lacs</v>
          </cell>
        </row>
        <row r="144">
          <cell r="G144" t="str">
            <v>Treasure Island Resort &amp; Casino</v>
          </cell>
        </row>
        <row r="145">
          <cell r="G145" t="str">
            <v>The Venetian Las Vegas</v>
          </cell>
        </row>
        <row r="146">
          <cell r="G146" t="str">
            <v>The Venetian Las Vegas</v>
          </cell>
        </row>
        <row r="147">
          <cell r="G147" t="str">
            <v>Golden Entertainment Laughlin</v>
          </cell>
        </row>
        <row r="148">
          <cell r="G148" t="str">
            <v>Peppermill Reno</v>
          </cell>
        </row>
        <row r="149">
          <cell r="G149" t="str">
            <v>Snoqualmie Casino &amp; Hotel</v>
          </cell>
        </row>
        <row r="150">
          <cell r="G150" t="str">
            <v>The Rose Gaming Resort</v>
          </cell>
        </row>
        <row r="151">
          <cell r="G151" t="str">
            <v>Turtle Creek Casino &amp; Hotel</v>
          </cell>
        </row>
        <row r="152">
          <cell r="G152" t="str">
            <v>MGM Northfield Park</v>
          </cell>
        </row>
        <row r="153">
          <cell r="G153" t="str">
            <v>Little River Casino Resort</v>
          </cell>
        </row>
        <row r="154">
          <cell r="G154" t="str">
            <v>Rivers Casino Des Plaines</v>
          </cell>
        </row>
        <row r="155">
          <cell r="G155" t="str">
            <v>Jackson Rancheria Casino Resort</v>
          </cell>
        </row>
        <row r="156">
          <cell r="G156" t="str">
            <v>Quil Ceda Creek Casino</v>
          </cell>
        </row>
        <row r="157">
          <cell r="G157" t="str">
            <v>Quil Ceda Creek Casino</v>
          </cell>
        </row>
        <row r="158">
          <cell r="G158" t="str">
            <v>Palms Casino Resort</v>
          </cell>
        </row>
        <row r="159">
          <cell r="G159" t="str">
            <v>River Cree Resort and Casino</v>
          </cell>
        </row>
        <row r="160">
          <cell r="G160" t="str">
            <v>Rampart Casino Resort at Summerlin</v>
          </cell>
        </row>
        <row r="161">
          <cell r="G161" t="str">
            <v>Grand Sierra Resort and Casino</v>
          </cell>
        </row>
        <row r="162">
          <cell r="G162" t="str">
            <v>Desert Diamond Casinos &amp; Entertainment</v>
          </cell>
        </row>
        <row r="163">
          <cell r="G163" t="str">
            <v>Legends Casino Hotel</v>
          </cell>
        </row>
        <row r="164">
          <cell r="G164" t="str">
            <v>Angel Of The Winds Casino Resort</v>
          </cell>
        </row>
        <row r="165">
          <cell r="G165" t="str">
            <v>Circa Resort &amp; Casino Las Vegas</v>
          </cell>
        </row>
        <row r="166">
          <cell r="G166" t="str">
            <v>Cypress Bayou Casino</v>
          </cell>
        </row>
        <row r="167">
          <cell r="G167" t="str">
            <v>Meskwaki Bingo Casino Hotel</v>
          </cell>
        </row>
        <row r="168">
          <cell r="G168" t="str">
            <v>Fontainebleau Las Vegas</v>
          </cell>
        </row>
        <row r="169">
          <cell r="G169" t="str">
            <v>Casino Del Sol Resort</v>
          </cell>
        </row>
        <row r="170">
          <cell r="G170" t="str">
            <v>Ho-Chunk Gaming Madison</v>
          </cell>
        </row>
        <row r="171">
          <cell r="G171" t="str">
            <v>Hard Rock Casino Rockford</v>
          </cell>
        </row>
        <row r="172">
          <cell r="G172" t="str">
            <v>Monarch Casino Resorts</v>
          </cell>
        </row>
        <row r="173">
          <cell r="G173" t="str">
            <v>Gold Strike Casino Resort</v>
          </cell>
        </row>
        <row r="174">
          <cell r="G174" t="str">
            <v>Hard Rock Casino Ottawa</v>
          </cell>
        </row>
        <row r="175">
          <cell r="G175" t="str">
            <v>Cherokee Casino Roland</v>
          </cell>
        </row>
        <row r="176">
          <cell r="G176" t="str">
            <v>Seminole Classic Casino</v>
          </cell>
        </row>
        <row r="177">
          <cell r="G177" t="str">
            <v>Ameristar Casino Hotel - Council Bluffs</v>
          </cell>
        </row>
        <row r="178">
          <cell r="G178" t="str">
            <v>Harrah's Ak-Chin Hotel and Casino</v>
          </cell>
        </row>
        <row r="179">
          <cell r="G179" t="str">
            <v>Palace Casino Resort</v>
          </cell>
        </row>
        <row r="180">
          <cell r="G180" t="str">
            <v>River Rock Casino Resort</v>
          </cell>
        </row>
        <row r="181">
          <cell r="G181" t="str">
            <v>Shooting Star Casino</v>
          </cell>
        </row>
        <row r="182">
          <cell r="G182" t="str">
            <v>Mesquite Gaming</v>
          </cell>
        </row>
        <row r="183">
          <cell r="G183" t="str">
            <v>Hollywood Gaming at Mahoning Valley Race Course</v>
          </cell>
        </row>
        <row r="184">
          <cell r="G184" t="str">
            <v>Hollywood Gaming at Dayton Raceway</v>
          </cell>
        </row>
        <row r="185">
          <cell r="G185" t="str">
            <v>Akwesasne Mohawk Casino Resort</v>
          </cell>
        </row>
        <row r="186">
          <cell r="G186" t="str">
            <v>Northern Star Casinos</v>
          </cell>
        </row>
        <row r="187">
          <cell r="G187" t="str">
            <v>Magic City Casino</v>
          </cell>
        </row>
        <row r="188">
          <cell r="G188" t="str">
            <v>Jacobs Entertainment, Inc</v>
          </cell>
        </row>
        <row r="189">
          <cell r="G189" t="str">
            <v>El Cortez Hotel &amp; Casino</v>
          </cell>
        </row>
        <row r="190">
          <cell r="G190" t="str">
            <v>Eureka Casino Resort</v>
          </cell>
        </row>
        <row r="191">
          <cell r="G191" t="str">
            <v>Golden Nugget Las Vegas</v>
          </cell>
        </row>
        <row r="192">
          <cell r="G192" t="str">
            <v>Four Queens Casino</v>
          </cell>
        </row>
        <row r="193">
          <cell r="G193" t="str">
            <v>Kansas Racing and Gaming Commission</v>
          </cell>
        </row>
        <row r="194">
          <cell r="G194" t="str">
            <v>Seven Feathers Casino Resort &amp; Exit 99</v>
          </cell>
        </row>
        <row r="195">
          <cell r="G195" t="str">
            <v>Rail City Casino</v>
          </cell>
        </row>
        <row r="196">
          <cell r="G196" t="str">
            <v>Red Mile Gaming &amp; Racing</v>
          </cell>
        </row>
        <row r="197">
          <cell r="G197" t="str">
            <v>The Big Easy Casino</v>
          </cell>
        </row>
        <row r="198">
          <cell r="G198" t="str">
            <v>Gulfstream Park</v>
          </cell>
        </row>
        <row r="199">
          <cell r="G199" t="str">
            <v>Club Cal Neva</v>
          </cell>
        </row>
        <row r="200">
          <cell r="G200" t="str">
            <v>Hialeah Park Casino</v>
          </cell>
        </row>
        <row r="201">
          <cell r="G201" t="str">
            <v>Rolling Hills Casino and Resort</v>
          </cell>
        </row>
        <row r="202">
          <cell r="G202" t="str">
            <v>Harlow's Casino Resort</v>
          </cell>
        </row>
        <row r="203">
          <cell r="G203" t="str">
            <v>Naskila Casino</v>
          </cell>
        </row>
        <row r="204">
          <cell r="G204" t="str">
            <v>Bronco Billy's Casino and Hotel</v>
          </cell>
        </row>
        <row r="205">
          <cell r="G205" t="str">
            <v>Shoshone-Bannock Casino Hotel</v>
          </cell>
        </row>
        <row r="206">
          <cell r="G206" t="str">
            <v>Boomtown Casino</v>
          </cell>
        </row>
        <row r="207">
          <cell r="G207" t="str">
            <v>Remington Park Racetrack Casino</v>
          </cell>
        </row>
        <row r="208">
          <cell r="G208" t="str">
            <v>Augustine Casino</v>
          </cell>
        </row>
        <row r="209">
          <cell r="G209" t="str">
            <v>Zia Park Casino, Hotel &amp; Racetrack</v>
          </cell>
        </row>
        <row r="210">
          <cell r="G210" t="str">
            <v>Mardi Gras Casino</v>
          </cell>
        </row>
        <row r="211">
          <cell r="G211" t="str">
            <v>Three Rivers Casino Resort</v>
          </cell>
        </row>
        <row r="212">
          <cell r="G212" t="str">
            <v>Grand Victoria Casino</v>
          </cell>
        </row>
        <row r="213">
          <cell r="G213" t="str">
            <v>Lakeside Hotel &amp; Casino</v>
          </cell>
        </row>
        <row r="214">
          <cell r="G214" t="str">
            <v>Owensboro Racing &amp; Gaming</v>
          </cell>
        </row>
        <row r="215">
          <cell r="G215" t="str">
            <v>Sahara Las Vegas</v>
          </cell>
        </row>
        <row r="216">
          <cell r="G216" t="str">
            <v>The Brook Casino</v>
          </cell>
        </row>
        <row r="217">
          <cell r="G217" t="str">
            <v>Argosy Casino Alton</v>
          </cell>
        </row>
        <row r="218">
          <cell r="G218" t="str">
            <v>Golden Nugget Lake Tahoe</v>
          </cell>
        </row>
        <row r="219">
          <cell r="G219" t="str">
            <v>Gold Dust West Casino</v>
          </cell>
        </row>
        <row r="220">
          <cell r="G220" t="str">
            <v>Lucky 7 Casino &amp; Howonquet Lodge</v>
          </cell>
        </row>
        <row r="221">
          <cell r="G221" t="str">
            <v>Cahuilla Casino Hotel</v>
          </cell>
        </row>
        <row r="222">
          <cell r="G222" t="str">
            <v>Granite State Gaming &amp; Hospitality</v>
          </cell>
        </row>
        <row r="223">
          <cell r="G223" t="str">
            <v>The Heights Casino</v>
          </cell>
        </row>
        <row r="224">
          <cell r="G224" t="str">
            <v>Grey Rock Casino</v>
          </cell>
        </row>
        <row r="227">
          <cell r="G227" t="str">
            <v>Mary Live! Casino &amp; Hotel</v>
          </cell>
        </row>
        <row r="228">
          <cell r="G228" t="str">
            <v>Seminole Hard Rock Hotel &amp; Casino</v>
          </cell>
        </row>
        <row r="229">
          <cell r="G229" t="str">
            <v>Mohegan Sun</v>
          </cell>
        </row>
        <row r="230">
          <cell r="G230" t="str">
            <v>Fallsview Casino Resort</v>
          </cell>
        </row>
        <row r="231">
          <cell r="G231" t="str">
            <v>Bally's Chicago Casino Resort</v>
          </cell>
        </row>
        <row r="232">
          <cell r="G232" t="str">
            <v>Harrah's Cherokee Valley River Casino &amp; Hotel</v>
          </cell>
        </row>
        <row r="233">
          <cell r="G233" t="str">
            <v>MGM Grand Detroit Casino</v>
          </cell>
        </row>
        <row r="234">
          <cell r="G234" t="str">
            <v>MGM Grand Detroit Casino</v>
          </cell>
        </row>
        <row r="235">
          <cell r="G235" t="str">
            <v>Seminole Hard Rock Hotel &amp; Casino Hollywood</v>
          </cell>
        </row>
        <row r="236">
          <cell r="G236" t="str">
            <v>MotorCity Casino</v>
          </cell>
        </row>
        <row r="237">
          <cell r="G237" t="str">
            <v>Island View Casino Resort</v>
          </cell>
        </row>
        <row r="238">
          <cell r="G238" t="str">
            <v>Hard Rock Hotel &amp; Casino - Atlantic City</v>
          </cell>
        </row>
        <row r="239">
          <cell r="G239" t="str">
            <v>MGM National Harbor</v>
          </cell>
        </row>
        <row r="240">
          <cell r="G240" t="str">
            <v>Chumash Casino Resort</v>
          </cell>
        </row>
        <row r="241">
          <cell r="G241" t="str">
            <v>Southland Casino Hotel</v>
          </cell>
        </row>
        <row r="242">
          <cell r="G242" t="str">
            <v>Hollywood Casino at Greektown</v>
          </cell>
        </row>
        <row r="243">
          <cell r="G243" t="str">
            <v>Wind Creek Montgomery</v>
          </cell>
        </row>
        <row r="244">
          <cell r="G244" t="str">
            <v>Dover Downs Hotel &amp; Casino</v>
          </cell>
        </row>
        <row r="245">
          <cell r="G245" t="str">
            <v>Tachi Palace Hotel and Casino</v>
          </cell>
        </row>
        <row r="246">
          <cell r="G246" t="str">
            <v>Red Hawk Casino</v>
          </cell>
        </row>
        <row r="247">
          <cell r="G247" t="str">
            <v>Turning Stone Resort Casino</v>
          </cell>
        </row>
        <row r="248">
          <cell r="G248" t="str">
            <v>Hollywood Casino at the Meadows</v>
          </cell>
        </row>
        <row r="249">
          <cell r="G249" t="str">
            <v>Live! Casino &amp; Hotel Philadelphia</v>
          </cell>
        </row>
        <row r="250">
          <cell r="G250" t="str">
            <v>Miami Valley Gaming</v>
          </cell>
        </row>
        <row r="251">
          <cell r="G251" t="str">
            <v>Miami Valley Gaming</v>
          </cell>
        </row>
        <row r="252">
          <cell r="G252" t="str">
            <v>Ocean Casino Resort</v>
          </cell>
        </row>
        <row r="253">
          <cell r="G253" t="str">
            <v>Kansas Star Casino</v>
          </cell>
        </row>
        <row r="254">
          <cell r="G254" t="str">
            <v>Chukchansi Gold Resort &amp; Casino</v>
          </cell>
        </row>
        <row r="255">
          <cell r="G255" t="str">
            <v>Four Winds South Bend</v>
          </cell>
        </row>
        <row r="256">
          <cell r="G256" t="str">
            <v>Fantasy Springs Resort Casino</v>
          </cell>
        </row>
        <row r="257">
          <cell r="G257" t="str">
            <v>Hard Rock Casino Northern Indiana</v>
          </cell>
        </row>
        <row r="258">
          <cell r="G258" t="str">
            <v>Grand Casino Hotel &amp; Resort</v>
          </cell>
        </row>
        <row r="259">
          <cell r="G259" t="str">
            <v>Eagle Mountain Casino</v>
          </cell>
        </row>
        <row r="260">
          <cell r="G260" t="str">
            <v>Wind Creek Atmore</v>
          </cell>
        </row>
        <row r="261">
          <cell r="G261" t="str">
            <v>Hollywood Casino - Toledo</v>
          </cell>
        </row>
        <row r="262">
          <cell r="G262" t="str">
            <v>del Lago Resort &amp; Casino</v>
          </cell>
        </row>
        <row r="263">
          <cell r="G263" t="str">
            <v>Hard Rock Casino - Cincinnati</v>
          </cell>
        </row>
        <row r="264">
          <cell r="G264" t="str">
            <v>Resorts World Catskills</v>
          </cell>
        </row>
        <row r="265">
          <cell r="G265" t="str">
            <v>Saracen Casino Resort</v>
          </cell>
        </row>
        <row r="266">
          <cell r="G266" t="str">
            <v>Saracen Casino Resort</v>
          </cell>
        </row>
        <row r="267">
          <cell r="G267" t="str">
            <v>Mount Airy Casino Resort</v>
          </cell>
        </row>
        <row r="268">
          <cell r="G268" t="str">
            <v>Tropicana Atlantic City</v>
          </cell>
        </row>
        <row r="269">
          <cell r="G269" t="str">
            <v>Harrah's Philadelphia</v>
          </cell>
        </row>
        <row r="270">
          <cell r="G270" t="str">
            <v>Caesars Entertainment Corporation</v>
          </cell>
        </row>
        <row r="271">
          <cell r="G271" t="str">
            <v>MGM Springfield</v>
          </cell>
        </row>
        <row r="272">
          <cell r="G272" t="str">
            <v>Hollywood Casino at Kansas Speedway</v>
          </cell>
        </row>
        <row r="273">
          <cell r="G273" t="str">
            <v>Group</v>
          </cell>
        </row>
        <row r="274">
          <cell r="G274" t="str">
            <v>Group</v>
          </cell>
        </row>
        <row r="275">
          <cell r="G275" t="str">
            <v>Group</v>
          </cell>
        </row>
        <row r="276">
          <cell r="G276" t="str">
            <v>Group - Station Casinos</v>
          </cell>
        </row>
        <row r="277">
          <cell r="G277" t="str">
            <v>Group</v>
          </cell>
        </row>
        <row r="278">
          <cell r="G278" t="str">
            <v>Group - Greater Canadian Entertainment</v>
          </cell>
        </row>
        <row r="279">
          <cell r="G279" t="str">
            <v>Group - Gateway Casinos and Entertainment Limited</v>
          </cell>
        </row>
        <row r="280">
          <cell r="G280" t="str">
            <v>Group</v>
          </cell>
        </row>
        <row r="281">
          <cell r="G281" t="str">
            <v>Group</v>
          </cell>
        </row>
        <row r="282">
          <cell r="G282" t="str">
            <v>Group</v>
          </cell>
        </row>
        <row r="283">
          <cell r="G283" t="str">
            <v>Hard Rock Hotel &amp; Casino - Tulsa</v>
          </cell>
        </row>
        <row r="284">
          <cell r="G284" t="str">
            <v>Group</v>
          </cell>
        </row>
        <row r="285">
          <cell r="G285" t="str">
            <v>Group</v>
          </cell>
        </row>
        <row r="286">
          <cell r="G286" t="str">
            <v>Group</v>
          </cell>
        </row>
        <row r="287">
          <cell r="G287" t="str">
            <v>Group</v>
          </cell>
        </row>
        <row r="288">
          <cell r="G288" t="str">
            <v>Group</v>
          </cell>
        </row>
        <row r="289">
          <cell r="G289" t="str">
            <v>Group</v>
          </cell>
        </row>
        <row r="290">
          <cell r="G290" t="str">
            <v>Group</v>
          </cell>
        </row>
        <row r="291">
          <cell r="G291" t="str">
            <v>Group</v>
          </cell>
        </row>
        <row r="292">
          <cell r="G292" t="str">
            <v>Group</v>
          </cell>
        </row>
        <row r="293">
          <cell r="G293" t="str">
            <v>Group</v>
          </cell>
        </row>
        <row r="294">
          <cell r="G294" t="str">
            <v>Group</v>
          </cell>
        </row>
        <row r="295">
          <cell r="G295" t="str">
            <v>North Fork Mono Casino and Resort</v>
          </cell>
        </row>
        <row r="296">
          <cell r="G296" t="str">
            <v>César Paris</v>
          </cell>
        </row>
        <row r="297">
          <cell r="G297" t="str">
            <v>Comanche Red River Hotel Casino</v>
          </cell>
        </row>
        <row r="298">
          <cell r="G298" t="str">
            <v>Group</v>
          </cell>
        </row>
        <row r="299">
          <cell r="G299" t="str">
            <v>Turning Stone Resort Casino</v>
          </cell>
        </row>
        <row r="303">
          <cell r="G303" t="str">
            <v>Oaklawn Racing Casino Resort</v>
          </cell>
        </row>
        <row r="304">
          <cell r="G304" t="str">
            <v>Gold Strike Casino</v>
          </cell>
        </row>
        <row r="305">
          <cell r="G305" t="str">
            <v>Spotlight 29 Casino</v>
          </cell>
        </row>
        <row r="306">
          <cell r="G306" t="str">
            <v>Bellagio</v>
          </cell>
        </row>
        <row r="307">
          <cell r="G307" t="str">
            <v>Prairie Meadows Racetrack and Casino</v>
          </cell>
        </row>
        <row r="308">
          <cell r="G308" t="str">
            <v>Downstream Casino Resort</v>
          </cell>
        </row>
        <row r="311">
          <cell r="G311" t="str">
            <v>Lucky Eagle Casino &amp; Hotel</v>
          </cell>
        </row>
        <row r="312">
          <cell r="G312" t="str">
            <v>Paragon Casino Resort</v>
          </cell>
        </row>
        <row r="313">
          <cell r="G313" t="str">
            <v>Hollywood Casino at Penn National Race Course</v>
          </cell>
        </row>
        <row r="314">
          <cell r="G314" t="str">
            <v>Grand Sierra Resort and Casino</v>
          </cell>
        </row>
        <row r="315">
          <cell r="G315" t="str">
            <v>Hard Rock Hotel &amp; Casino Bristol</v>
          </cell>
        </row>
        <row r="316">
          <cell r="G316" t="str">
            <v>Hard Rock Casino &amp; Hotel Bristol</v>
          </cell>
        </row>
        <row r="317">
          <cell r="G317" t="str">
            <v>Yaamava’ Resort &amp; Casino at San Manuel</v>
          </cell>
        </row>
        <row r="320">
          <cell r="G320" t="str">
            <v>Prairie Band Casino &amp; Resort</v>
          </cell>
        </row>
        <row r="321">
          <cell r="G321" t="str">
            <v>Multi-Location</v>
          </cell>
        </row>
        <row r="322">
          <cell r="G322" t="str">
            <v>Caesars Virginia</v>
          </cell>
        </row>
        <row r="323">
          <cell r="G323" t="str">
            <v>Potawatomi Hotel &amp; Casino</v>
          </cell>
        </row>
        <row r="324">
          <cell r="G324" t="str">
            <v>Boyd Gaming</v>
          </cell>
        </row>
        <row r="325">
          <cell r="G325" t="str">
            <v>Colonial Downs</v>
          </cell>
        </row>
        <row r="326">
          <cell r="G326" t="str">
            <v>Ameristar Casino Hotel Kansas City</v>
          </cell>
        </row>
        <row r="327">
          <cell r="G327" t="str">
            <v>Presque Isle Downs &amp; Casino</v>
          </cell>
        </row>
        <row r="328">
          <cell r="G328" t="str">
            <v>Horseshoe Indianapolis Racing and Casino</v>
          </cell>
        </row>
        <row r="329">
          <cell r="G329" t="str">
            <v>Indigo Sky Casino &amp; Resort</v>
          </cell>
        </row>
        <row r="330">
          <cell r="G330" t="str">
            <v>Group</v>
          </cell>
        </row>
        <row r="331">
          <cell r="G331" t="str">
            <v>Casino Pauma</v>
          </cell>
        </row>
        <row r="332">
          <cell r="G332" t="str">
            <v>Wind Creek Chicago Southland</v>
          </cell>
        </row>
        <row r="333">
          <cell r="G333" t="str">
            <v>Casino Niagara</v>
          </cell>
        </row>
        <row r="334">
          <cell r="G334" t="str">
            <v>Harrington Raceway and Casino</v>
          </cell>
        </row>
        <row r="335">
          <cell r="G335" t="str">
            <v>Resorts World Las Vegas</v>
          </cell>
        </row>
        <row r="336">
          <cell r="G336" t="str">
            <v>Hollywood Casino and Hotel - Lawrenceburg</v>
          </cell>
        </row>
        <row r="337">
          <cell r="G337" t="str">
            <v>Rising Star Casino</v>
          </cell>
        </row>
        <row r="338">
          <cell r="G338" t="str">
            <v>Suquamish Clearwater Casino Resort</v>
          </cell>
        </row>
        <row r="339">
          <cell r="G339" t="str">
            <v>Beau Rivage Resort &amp; Casino</v>
          </cell>
        </row>
        <row r="340">
          <cell r="G340" t="str">
            <v>Resorts World Hudson Valley</v>
          </cell>
        </row>
        <row r="341">
          <cell r="G341" t="str">
            <v>Atlantis Casino Resort &amp; Spa</v>
          </cell>
        </row>
        <row r="342">
          <cell r="G342" t="str">
            <v>Bally's Shreveport</v>
          </cell>
        </row>
        <row r="343">
          <cell r="G343" t="str">
            <v>Hard Rock Casino - Cincinnati</v>
          </cell>
        </row>
        <row r="344">
          <cell r="G344" t="str">
            <v>Coeur d'Alene Casino Resort Hotel</v>
          </cell>
        </row>
        <row r="345">
          <cell r="G345" t="str">
            <v>Colusa Casino Resort</v>
          </cell>
        </row>
        <row r="346">
          <cell r="G346" t="str">
            <v>Quechan Casino Resort</v>
          </cell>
        </row>
        <row r="347">
          <cell r="G347" t="str">
            <v>JACK Cleveland Casino</v>
          </cell>
        </row>
        <row r="348">
          <cell r="G348" t="str">
            <v>Jackpot Junction Casino Hotel</v>
          </cell>
        </row>
        <row r="349">
          <cell r="G349" t="str">
            <v>Margaritaville Resort Casino Bossier City</v>
          </cell>
        </row>
        <row r="350">
          <cell r="G350" t="str">
            <v>Silverton Hotel &amp; Casino</v>
          </cell>
        </row>
        <row r="351">
          <cell r="G351" t="str">
            <v>Soboba Casino Resort</v>
          </cell>
        </row>
        <row r="352">
          <cell r="G352" t="str">
            <v>Boomtown Casino - New Orleans</v>
          </cell>
        </row>
        <row r="353">
          <cell r="G353" t="str">
            <v>Group</v>
          </cell>
        </row>
        <row r="354">
          <cell r="G354" t="str">
            <v>Island Resort &amp; Casino</v>
          </cell>
        </row>
        <row r="355">
          <cell r="G355" t="str">
            <v>Group</v>
          </cell>
        </row>
        <row r="356">
          <cell r="G356" t="str">
            <v>Black Oak Casino Resort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B0D7-1213-4F29-871C-99B9A622FF39}">
  <dimension ref="B3:I24"/>
  <sheetViews>
    <sheetView topLeftCell="A2" workbookViewId="0">
      <selection activeCell="I6" sqref="I6"/>
    </sheetView>
  </sheetViews>
  <sheetFormatPr defaultRowHeight="12.75" x14ac:dyDescent="0.2"/>
  <sheetData>
    <row r="3" spans="2:9" x14ac:dyDescent="0.2">
      <c r="B3" s="7"/>
      <c r="C3" s="6" t="s">
        <v>1485</v>
      </c>
    </row>
    <row r="4" spans="2:9" x14ac:dyDescent="0.2">
      <c r="B4" s="13"/>
      <c r="C4" s="6" t="s">
        <v>1484</v>
      </c>
      <c r="I4" s="6" t="s">
        <v>1487</v>
      </c>
    </row>
    <row r="5" spans="2:9" x14ac:dyDescent="0.2">
      <c r="I5" s="6" t="s">
        <v>1492</v>
      </c>
    </row>
    <row r="6" spans="2:9" x14ac:dyDescent="0.2">
      <c r="B6" s="9"/>
      <c r="C6" s="6" t="s">
        <v>1483</v>
      </c>
    </row>
    <row r="8" spans="2:9" x14ac:dyDescent="0.2">
      <c r="B8" s="11"/>
      <c r="C8" s="6" t="s">
        <v>1488</v>
      </c>
    </row>
    <row r="9" spans="2:9" x14ac:dyDescent="0.2">
      <c r="B9" s="15"/>
      <c r="C9" s="6" t="s">
        <v>1486</v>
      </c>
    </row>
    <row r="12" spans="2:9" x14ac:dyDescent="0.2">
      <c r="B12" s="6" t="s">
        <v>1487</v>
      </c>
    </row>
    <row r="17" spans="2:3" x14ac:dyDescent="0.2">
      <c r="B17" s="7"/>
      <c r="C17" s="6" t="s">
        <v>1485</v>
      </c>
    </row>
    <row r="18" spans="2:3" x14ac:dyDescent="0.2">
      <c r="B18" s="13"/>
      <c r="C18" s="6" t="s">
        <v>1484</v>
      </c>
    </row>
    <row r="19" spans="2:3" x14ac:dyDescent="0.2">
      <c r="B19" s="29"/>
      <c r="C19" s="6" t="s">
        <v>1489</v>
      </c>
    </row>
    <row r="20" spans="2:3" x14ac:dyDescent="0.2">
      <c r="B20" s="9"/>
      <c r="C20" s="6" t="s">
        <v>1483</v>
      </c>
    </row>
    <row r="21" spans="2:3" x14ac:dyDescent="0.2">
      <c r="B21" s="30"/>
      <c r="C21" s="6" t="s">
        <v>1490</v>
      </c>
    </row>
    <row r="22" spans="2:3" x14ac:dyDescent="0.2">
      <c r="C22" s="6"/>
    </row>
    <row r="23" spans="2:3" x14ac:dyDescent="0.2">
      <c r="B23" s="11"/>
      <c r="C23" s="6" t="s">
        <v>1491</v>
      </c>
    </row>
    <row r="24" spans="2:3" x14ac:dyDescent="0.2">
      <c r="B24" s="15"/>
      <c r="C24" s="6" t="s">
        <v>1486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8CD2-9A05-4555-953C-0CA41177C070}">
  <sheetPr filterMode="1"/>
  <dimension ref="A1:X365"/>
  <sheetViews>
    <sheetView tabSelected="1" workbookViewId="0">
      <selection activeCell="C95" sqref="C95"/>
    </sheetView>
  </sheetViews>
  <sheetFormatPr defaultColWidth="0" defaultRowHeight="12.75" outlineLevelCol="1" x14ac:dyDescent="0.2"/>
  <cols>
    <col min="1" max="2" width="9.140625" customWidth="1"/>
    <col min="3" max="3" width="59.42578125" bestFit="1" customWidth="1"/>
    <col min="4" max="4" width="24.140625" bestFit="1" customWidth="1"/>
    <col min="5" max="5" width="5.7109375" customWidth="1"/>
    <col min="6" max="6" width="19.28515625" bestFit="1" customWidth="1"/>
    <col min="7" max="7" width="18.140625" bestFit="1" customWidth="1"/>
    <col min="8" max="13" width="8.7109375" customWidth="1"/>
    <col min="14" max="22" width="10.7109375" customWidth="1"/>
    <col min="23" max="23" width="17.5703125" bestFit="1" customWidth="1"/>
    <col min="24" max="24" width="137.85546875" bestFit="1" customWidth="1"/>
    <col min="25" max="16384" width="0" hidden="1" outlineLevel="1"/>
  </cols>
  <sheetData>
    <row r="1" spans="1:24" s="2" customFormat="1" ht="34.5" customHeight="1" x14ac:dyDescent="0.2"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1077</v>
      </c>
      <c r="J1" s="2" t="s">
        <v>1078</v>
      </c>
      <c r="K1" s="2" t="s">
        <v>1079</v>
      </c>
      <c r="L1" s="2" t="s">
        <v>1080</v>
      </c>
      <c r="M1" s="2" t="s">
        <v>1081</v>
      </c>
      <c r="N1" s="2" t="s">
        <v>1082</v>
      </c>
      <c r="O1" s="2" t="s">
        <v>1083</v>
      </c>
      <c r="P1" s="2" t="s">
        <v>14</v>
      </c>
      <c r="Q1" s="2" t="s">
        <v>15</v>
      </c>
      <c r="R1" s="2" t="s">
        <v>1084</v>
      </c>
      <c r="S1" s="2" t="s">
        <v>1085</v>
      </c>
      <c r="T1" s="2" t="s">
        <v>18</v>
      </c>
      <c r="U1" s="2" t="s">
        <v>1086</v>
      </c>
      <c r="V1" s="2" t="s">
        <v>20</v>
      </c>
      <c r="W1" s="2" t="s">
        <v>1087</v>
      </c>
      <c r="X1" s="2" t="s">
        <v>27</v>
      </c>
    </row>
    <row r="2" spans="1:24" hidden="1" x14ac:dyDescent="0.2">
      <c r="A2" s="33" t="e">
        <f>MATCH(C2,'[1]Slot Managers Split'!G:G,0)</f>
        <v>#N/A</v>
      </c>
      <c r="B2" s="33"/>
      <c r="C2" s="33" t="s">
        <v>1070</v>
      </c>
      <c r="D2" s="33" t="s">
        <v>151</v>
      </c>
      <c r="E2" s="33" t="s">
        <v>30</v>
      </c>
      <c r="F2" s="33" t="s">
        <v>31</v>
      </c>
      <c r="G2" s="33" t="s">
        <v>32</v>
      </c>
      <c r="H2" s="34">
        <v>10000</v>
      </c>
      <c r="I2" s="34">
        <v>100</v>
      </c>
      <c r="J2" s="34">
        <v>55</v>
      </c>
      <c r="K2" s="34">
        <v>360</v>
      </c>
      <c r="L2" s="33" t="s">
        <v>33</v>
      </c>
      <c r="M2" s="33" t="s">
        <v>34</v>
      </c>
      <c r="N2" s="34">
        <v>390000</v>
      </c>
      <c r="O2" s="34">
        <v>65000</v>
      </c>
      <c r="P2" s="34">
        <v>1500</v>
      </c>
      <c r="Q2" s="34">
        <v>21</v>
      </c>
      <c r="R2" s="34">
        <v>3</v>
      </c>
      <c r="S2" s="34">
        <v>7433</v>
      </c>
      <c r="T2" s="34">
        <v>3500</v>
      </c>
      <c r="U2" s="33" t="s">
        <v>34</v>
      </c>
      <c r="V2" s="33" t="s">
        <v>34</v>
      </c>
      <c r="W2" s="33" t="s">
        <v>35</v>
      </c>
      <c r="X2" s="33" t="s">
        <v>1071</v>
      </c>
    </row>
    <row r="3" spans="1:24" hidden="1" x14ac:dyDescent="0.2">
      <c r="A3" s="20">
        <f>MATCH(C3,'[1]Slot Managers Split'!G:G,0)</f>
        <v>90</v>
      </c>
      <c r="B3" s="20"/>
      <c r="C3" s="20" t="s">
        <v>1074</v>
      </c>
      <c r="D3" s="20" t="s">
        <v>1075</v>
      </c>
      <c r="E3" s="20" t="s">
        <v>39</v>
      </c>
      <c r="F3" s="20" t="s">
        <v>31</v>
      </c>
      <c r="G3" s="20" t="s">
        <v>32</v>
      </c>
      <c r="H3" s="21">
        <v>7200</v>
      </c>
      <c r="I3" s="21">
        <v>130</v>
      </c>
      <c r="J3" s="21">
        <v>38</v>
      </c>
      <c r="K3" s="21">
        <v>0</v>
      </c>
      <c r="L3" s="20" t="s">
        <v>33</v>
      </c>
      <c r="M3" s="20" t="s">
        <v>33</v>
      </c>
      <c r="N3" s="21">
        <v>120000</v>
      </c>
      <c r="O3" s="21">
        <v>150000</v>
      </c>
      <c r="P3" s="21">
        <v>0</v>
      </c>
      <c r="Q3" s="21">
        <v>10</v>
      </c>
      <c r="R3" s="21">
        <v>2</v>
      </c>
      <c r="S3" s="21">
        <v>2200</v>
      </c>
      <c r="T3" s="21">
        <v>3000</v>
      </c>
      <c r="U3" s="20" t="s">
        <v>34</v>
      </c>
      <c r="V3" s="20" t="s">
        <v>34</v>
      </c>
      <c r="W3" s="20" t="s">
        <v>35</v>
      </c>
      <c r="X3" s="20" t="s">
        <v>777</v>
      </c>
    </row>
    <row r="4" spans="1:24" hidden="1" x14ac:dyDescent="0.2">
      <c r="A4" s="20">
        <f>MATCH(C4,'[1]Slot Managers Split'!G:G,0)</f>
        <v>31</v>
      </c>
      <c r="B4" s="20"/>
      <c r="C4" s="20" t="s">
        <v>790</v>
      </c>
      <c r="D4" s="20" t="s">
        <v>791</v>
      </c>
      <c r="E4" s="20" t="s">
        <v>39</v>
      </c>
      <c r="F4" s="20" t="s">
        <v>31</v>
      </c>
      <c r="G4" s="20" t="s">
        <v>32</v>
      </c>
      <c r="H4" s="21">
        <v>5500</v>
      </c>
      <c r="I4" s="21">
        <v>161</v>
      </c>
      <c r="J4" s="21">
        <v>37</v>
      </c>
      <c r="K4" s="21">
        <v>700</v>
      </c>
      <c r="L4" s="20" t="s">
        <v>33</v>
      </c>
      <c r="M4" s="20" t="s">
        <v>34</v>
      </c>
      <c r="N4" s="21">
        <v>300000</v>
      </c>
      <c r="O4" s="21">
        <v>274500</v>
      </c>
      <c r="P4" s="21">
        <v>1090</v>
      </c>
      <c r="Q4" s="21">
        <v>17</v>
      </c>
      <c r="R4" s="21">
        <v>4</v>
      </c>
      <c r="S4" s="21">
        <v>7000</v>
      </c>
      <c r="T4" s="21">
        <v>4750</v>
      </c>
      <c r="U4" s="20" t="s">
        <v>34</v>
      </c>
      <c r="V4" s="20" t="s">
        <v>34</v>
      </c>
      <c r="W4" s="20" t="s">
        <v>35</v>
      </c>
      <c r="X4" s="20" t="s">
        <v>792</v>
      </c>
    </row>
    <row r="5" spans="1:24" hidden="1" x14ac:dyDescent="0.2">
      <c r="A5" s="20">
        <f>MATCH(C5,'[1]Slot Managers Split'!G:G,0)</f>
        <v>82</v>
      </c>
      <c r="B5" s="20"/>
      <c r="C5" s="20" t="s">
        <v>905</v>
      </c>
      <c r="D5" s="20" t="s">
        <v>906</v>
      </c>
      <c r="E5" s="20" t="s">
        <v>185</v>
      </c>
      <c r="F5" s="20" t="s">
        <v>31</v>
      </c>
      <c r="G5" s="20" t="s">
        <v>32</v>
      </c>
      <c r="H5" s="21">
        <v>4868</v>
      </c>
      <c r="I5" s="21">
        <v>179</v>
      </c>
      <c r="J5" s="21">
        <v>46</v>
      </c>
      <c r="K5" s="21">
        <v>0</v>
      </c>
      <c r="L5" s="20" t="s">
        <v>33</v>
      </c>
      <c r="M5" s="20" t="s">
        <v>33</v>
      </c>
      <c r="N5" s="21">
        <v>245000</v>
      </c>
      <c r="O5" s="21">
        <v>10000</v>
      </c>
      <c r="P5" s="21">
        <v>1124</v>
      </c>
      <c r="Q5" s="21">
        <v>17</v>
      </c>
      <c r="R5" s="21">
        <v>6</v>
      </c>
      <c r="S5" s="21">
        <v>5000</v>
      </c>
      <c r="T5" s="21">
        <v>3300</v>
      </c>
      <c r="U5" s="20" t="s">
        <v>34</v>
      </c>
      <c r="V5" s="20" t="s">
        <v>34</v>
      </c>
      <c r="W5" s="20" t="s">
        <v>35</v>
      </c>
      <c r="X5" s="20" t="s">
        <v>482</v>
      </c>
    </row>
    <row r="6" spans="1:24" hidden="1" x14ac:dyDescent="0.2">
      <c r="A6" s="20">
        <f>MATCH(C6,'[1]Slot Managers Split'!G:G,0)</f>
        <v>30</v>
      </c>
      <c r="B6" s="20"/>
      <c r="C6" s="35" t="s">
        <v>830</v>
      </c>
      <c r="D6" s="20" t="s">
        <v>831</v>
      </c>
      <c r="E6" s="20" t="s">
        <v>47</v>
      </c>
      <c r="F6" s="20" t="s">
        <v>31</v>
      </c>
      <c r="G6" s="20" t="s">
        <v>32</v>
      </c>
      <c r="H6" s="21">
        <v>4807</v>
      </c>
      <c r="I6" s="21">
        <v>0</v>
      </c>
      <c r="J6" s="21">
        <v>0</v>
      </c>
      <c r="K6" s="21">
        <v>0</v>
      </c>
      <c r="L6" s="20" t="s">
        <v>33</v>
      </c>
      <c r="M6" s="20" t="s">
        <v>33</v>
      </c>
      <c r="N6" s="21">
        <v>225000</v>
      </c>
      <c r="O6" s="21">
        <v>70000</v>
      </c>
      <c r="P6" s="21">
        <v>400</v>
      </c>
      <c r="Q6" s="21">
        <v>3</v>
      </c>
      <c r="R6" s="21">
        <v>2</v>
      </c>
      <c r="S6" s="21">
        <v>6400</v>
      </c>
      <c r="T6" s="21">
        <v>1700</v>
      </c>
      <c r="U6" s="20" t="s">
        <v>33</v>
      </c>
      <c r="V6" s="20" t="s">
        <v>33</v>
      </c>
      <c r="W6" s="20" t="s">
        <v>35</v>
      </c>
      <c r="X6" s="20" t="s">
        <v>832</v>
      </c>
    </row>
    <row r="7" spans="1:24" hidden="1" x14ac:dyDescent="0.2">
      <c r="A7" s="33" t="e">
        <f>MATCH(C7,'[1]Slot Managers Split'!G:G,0)</f>
        <v>#N/A</v>
      </c>
      <c r="B7" s="33"/>
      <c r="C7" s="33" t="s">
        <v>464</v>
      </c>
      <c r="D7" s="33" t="s">
        <v>465</v>
      </c>
      <c r="E7" s="33" t="s">
        <v>179</v>
      </c>
      <c r="F7" s="33" t="s">
        <v>180</v>
      </c>
      <c r="G7" s="33" t="s">
        <v>32</v>
      </c>
      <c r="H7" s="34">
        <v>4800</v>
      </c>
      <c r="I7" s="34">
        <v>175</v>
      </c>
      <c r="J7" s="34">
        <v>30</v>
      </c>
      <c r="K7" s="34">
        <v>0</v>
      </c>
      <c r="L7" s="33" t="s">
        <v>33</v>
      </c>
      <c r="M7" s="33" t="s">
        <v>34</v>
      </c>
      <c r="N7" s="34">
        <v>328000</v>
      </c>
      <c r="O7" s="34">
        <v>5000</v>
      </c>
      <c r="P7" s="34">
        <v>0</v>
      </c>
      <c r="Q7" s="34">
        <v>11</v>
      </c>
      <c r="R7" s="34">
        <v>0</v>
      </c>
      <c r="S7" s="34">
        <v>3800</v>
      </c>
      <c r="T7" s="34">
        <v>3500</v>
      </c>
      <c r="U7" s="33" t="s">
        <v>33</v>
      </c>
      <c r="V7" s="33" t="s">
        <v>33</v>
      </c>
      <c r="W7" s="33" t="s">
        <v>103</v>
      </c>
      <c r="X7" s="33" t="s">
        <v>467</v>
      </c>
    </row>
    <row r="8" spans="1:24" hidden="1" x14ac:dyDescent="0.2">
      <c r="A8" s="20">
        <f>MATCH(C8,'[1]Slot Managers Split'!G:G,0)</f>
        <v>32</v>
      </c>
      <c r="B8" s="20"/>
      <c r="C8" s="20" t="s">
        <v>364</v>
      </c>
      <c r="D8" s="20" t="s">
        <v>365</v>
      </c>
      <c r="E8" s="20" t="s">
        <v>47</v>
      </c>
      <c r="F8" s="20" t="s">
        <v>31</v>
      </c>
      <c r="G8" s="20" t="s">
        <v>32</v>
      </c>
      <c r="H8" s="21">
        <v>4448</v>
      </c>
      <c r="I8" s="21">
        <v>0</v>
      </c>
      <c r="J8" s="21">
        <v>0</v>
      </c>
      <c r="K8" s="21">
        <v>0</v>
      </c>
      <c r="L8" s="20" t="s">
        <v>33</v>
      </c>
      <c r="M8" s="20" t="s">
        <v>34</v>
      </c>
      <c r="N8" s="21">
        <v>290000</v>
      </c>
      <c r="O8" s="21">
        <v>0</v>
      </c>
      <c r="P8" s="21">
        <v>0</v>
      </c>
      <c r="Q8" s="21">
        <v>5</v>
      </c>
      <c r="R8" s="21">
        <v>1</v>
      </c>
      <c r="S8" s="21">
        <v>0</v>
      </c>
      <c r="T8" s="21">
        <v>1300</v>
      </c>
      <c r="U8" s="20" t="s">
        <v>33</v>
      </c>
      <c r="V8" s="20" t="s">
        <v>33</v>
      </c>
      <c r="W8" s="20" t="s">
        <v>103</v>
      </c>
      <c r="X8" s="20" t="s">
        <v>130</v>
      </c>
    </row>
    <row r="9" spans="1:24" x14ac:dyDescent="0.2">
      <c r="A9" s="22" t="e">
        <f>MATCH(C9,'[1]Slot Managers Split'!G:G,0)</f>
        <v>#N/A</v>
      </c>
      <c r="B9" s="22"/>
      <c r="C9" s="40" t="s">
        <v>531</v>
      </c>
      <c r="D9" s="22" t="s">
        <v>532</v>
      </c>
      <c r="E9" s="22" t="s">
        <v>0</v>
      </c>
      <c r="F9" s="22" t="s">
        <v>198</v>
      </c>
      <c r="G9" s="22" t="s">
        <v>32</v>
      </c>
      <c r="H9" s="27">
        <v>4000</v>
      </c>
      <c r="I9" s="27">
        <v>0</v>
      </c>
      <c r="J9" s="27">
        <v>0</v>
      </c>
      <c r="K9" s="27">
        <v>0</v>
      </c>
      <c r="L9" s="22" t="s">
        <v>33</v>
      </c>
      <c r="M9" s="22" t="s">
        <v>34</v>
      </c>
      <c r="N9" s="27">
        <v>0</v>
      </c>
      <c r="O9" s="27">
        <v>0</v>
      </c>
      <c r="P9" s="27">
        <v>0</v>
      </c>
      <c r="Q9" s="27">
        <v>1</v>
      </c>
      <c r="R9" s="27">
        <v>0</v>
      </c>
      <c r="S9" s="27">
        <v>0</v>
      </c>
      <c r="T9" s="27">
        <v>0</v>
      </c>
      <c r="U9" s="22" t="s">
        <v>33</v>
      </c>
      <c r="V9" s="22" t="s">
        <v>33</v>
      </c>
      <c r="W9" s="22" t="s">
        <v>103</v>
      </c>
      <c r="X9" s="22" t="s">
        <v>533</v>
      </c>
    </row>
    <row r="10" spans="1:24" hidden="1" x14ac:dyDescent="0.2">
      <c r="A10" s="20">
        <f>MATCH(C10,'[1]Slot Managers Split'!G:G,0)</f>
        <v>99</v>
      </c>
      <c r="B10" s="20"/>
      <c r="C10" s="20" t="s">
        <v>715</v>
      </c>
      <c r="D10" s="20" t="s">
        <v>716</v>
      </c>
      <c r="E10" s="20" t="s">
        <v>39</v>
      </c>
      <c r="F10" s="20" t="s">
        <v>31</v>
      </c>
      <c r="G10" s="20" t="s">
        <v>32</v>
      </c>
      <c r="H10" s="21">
        <v>4000</v>
      </c>
      <c r="I10" s="21">
        <v>80</v>
      </c>
      <c r="J10" s="21">
        <v>31</v>
      </c>
      <c r="K10" s="21">
        <v>0</v>
      </c>
      <c r="L10" s="20" t="s">
        <v>33</v>
      </c>
      <c r="M10" s="20" t="s">
        <v>33</v>
      </c>
      <c r="N10" s="21">
        <v>150000</v>
      </c>
      <c r="O10" s="21">
        <v>39000</v>
      </c>
      <c r="P10" s="21">
        <v>310</v>
      </c>
      <c r="Q10" s="21">
        <v>7</v>
      </c>
      <c r="R10" s="21">
        <v>1</v>
      </c>
      <c r="S10" s="21">
        <v>4500</v>
      </c>
      <c r="T10" s="21">
        <v>1850</v>
      </c>
      <c r="U10" s="20" t="s">
        <v>34</v>
      </c>
      <c r="V10" s="20" t="s">
        <v>34</v>
      </c>
      <c r="W10" s="20" t="s">
        <v>35</v>
      </c>
      <c r="X10" s="20" t="s">
        <v>717</v>
      </c>
    </row>
    <row r="11" spans="1:24" hidden="1" x14ac:dyDescent="0.2">
      <c r="A11" s="33" t="e">
        <f>MATCH(C11,'[1]Slot Managers Split'!G:G,0)</f>
        <v>#N/A</v>
      </c>
      <c r="B11" s="33"/>
      <c r="C11" s="33" t="s">
        <v>729</v>
      </c>
      <c r="D11" s="33" t="s">
        <v>730</v>
      </c>
      <c r="E11" s="33" t="s">
        <v>139</v>
      </c>
      <c r="F11" s="33" t="s">
        <v>31</v>
      </c>
      <c r="G11" s="33" t="s">
        <v>32</v>
      </c>
      <c r="H11" s="34">
        <v>3924</v>
      </c>
      <c r="I11" s="34">
        <v>60</v>
      </c>
      <c r="J11" s="34">
        <v>0</v>
      </c>
      <c r="K11" s="34">
        <v>520</v>
      </c>
      <c r="L11" s="33" t="s">
        <v>33</v>
      </c>
      <c r="M11" s="33" t="s">
        <v>33</v>
      </c>
      <c r="N11" s="34">
        <v>150000</v>
      </c>
      <c r="O11" s="34">
        <v>21000</v>
      </c>
      <c r="P11" s="34">
        <v>766</v>
      </c>
      <c r="Q11" s="34">
        <v>13</v>
      </c>
      <c r="R11" s="34">
        <v>1</v>
      </c>
      <c r="S11" s="34">
        <v>3084</v>
      </c>
      <c r="T11" s="34">
        <v>3070</v>
      </c>
      <c r="U11" s="33" t="s">
        <v>34</v>
      </c>
      <c r="V11" s="33" t="s">
        <v>34</v>
      </c>
      <c r="W11" s="33" t="s">
        <v>35</v>
      </c>
      <c r="X11" s="33" t="s">
        <v>731</v>
      </c>
    </row>
    <row r="12" spans="1:24" hidden="1" x14ac:dyDescent="0.2">
      <c r="A12" s="20">
        <f>MATCH(C12,'[1]Slot Managers Split'!G:G,0)</f>
        <v>33</v>
      </c>
      <c r="B12" s="20"/>
      <c r="C12" s="20" t="s">
        <v>115</v>
      </c>
      <c r="D12" s="20" t="s">
        <v>116</v>
      </c>
      <c r="E12" s="20" t="s">
        <v>113</v>
      </c>
      <c r="F12" s="20" t="s">
        <v>31</v>
      </c>
      <c r="G12" s="20" t="s">
        <v>32</v>
      </c>
      <c r="H12" s="21">
        <v>3898</v>
      </c>
      <c r="I12" s="21">
        <v>110</v>
      </c>
      <c r="J12" s="21">
        <v>8</v>
      </c>
      <c r="K12" s="21">
        <v>0</v>
      </c>
      <c r="L12" s="20" t="s">
        <v>34</v>
      </c>
      <c r="M12" s="20" t="s">
        <v>34</v>
      </c>
      <c r="N12" s="21">
        <v>162000</v>
      </c>
      <c r="O12" s="21">
        <v>29000</v>
      </c>
      <c r="P12" s="21">
        <v>136</v>
      </c>
      <c r="Q12" s="21">
        <v>9</v>
      </c>
      <c r="R12" s="21">
        <v>7</v>
      </c>
      <c r="S12" s="21">
        <v>6000</v>
      </c>
      <c r="T12" s="21">
        <v>1900</v>
      </c>
      <c r="U12" s="20" t="s">
        <v>33</v>
      </c>
      <c r="V12" s="20" t="s">
        <v>33</v>
      </c>
      <c r="W12" s="20" t="s">
        <v>35</v>
      </c>
      <c r="X12" s="20" t="s">
        <v>94</v>
      </c>
    </row>
    <row r="13" spans="1:24" hidden="1" x14ac:dyDescent="0.2">
      <c r="A13" s="20">
        <f>MATCH(C13,'[1]Slot Managers Split'!G:G,0)</f>
        <v>101</v>
      </c>
      <c r="B13" s="20"/>
      <c r="C13" s="35" t="s">
        <v>649</v>
      </c>
      <c r="D13" s="20" t="s">
        <v>650</v>
      </c>
      <c r="E13" s="20" t="s">
        <v>573</v>
      </c>
      <c r="F13" s="20" t="s">
        <v>31</v>
      </c>
      <c r="G13" s="20" t="s">
        <v>32</v>
      </c>
      <c r="H13" s="21">
        <v>3800</v>
      </c>
      <c r="I13" s="21">
        <v>179</v>
      </c>
      <c r="J13" s="21">
        <v>50</v>
      </c>
      <c r="K13" s="21">
        <v>0</v>
      </c>
      <c r="L13" s="20" t="s">
        <v>34</v>
      </c>
      <c r="M13" s="20" t="s">
        <v>33</v>
      </c>
      <c r="N13" s="21">
        <v>160000</v>
      </c>
      <c r="O13" s="21">
        <v>0</v>
      </c>
      <c r="P13" s="21">
        <v>310</v>
      </c>
      <c r="Q13" s="21">
        <v>9</v>
      </c>
      <c r="R13" s="21">
        <v>1</v>
      </c>
      <c r="S13" s="21">
        <v>5000</v>
      </c>
      <c r="T13" s="21">
        <v>3000</v>
      </c>
      <c r="U13" s="20" t="s">
        <v>33</v>
      </c>
      <c r="V13" s="20" t="s">
        <v>33</v>
      </c>
      <c r="W13" s="20" t="s">
        <v>35</v>
      </c>
      <c r="X13" s="20" t="s">
        <v>652</v>
      </c>
    </row>
    <row r="14" spans="1:24" hidden="1" x14ac:dyDescent="0.2">
      <c r="A14" s="20">
        <f>MATCH(C14,'[1]Slot Managers Split'!G:G,0)</f>
        <v>104</v>
      </c>
      <c r="B14" s="20"/>
      <c r="C14" s="20" t="s">
        <v>1021</v>
      </c>
      <c r="D14" s="20" t="s">
        <v>116</v>
      </c>
      <c r="E14" s="20" t="s">
        <v>39</v>
      </c>
      <c r="F14" s="20" t="s">
        <v>31</v>
      </c>
      <c r="G14" s="20" t="s">
        <v>32</v>
      </c>
      <c r="H14" s="21">
        <v>3700</v>
      </c>
      <c r="I14" s="21">
        <v>106</v>
      </c>
      <c r="J14" s="21">
        <v>28</v>
      </c>
      <c r="K14" s="21">
        <v>800</v>
      </c>
      <c r="L14" s="20" t="s">
        <v>33</v>
      </c>
      <c r="M14" s="20" t="s">
        <v>33</v>
      </c>
      <c r="N14" s="21">
        <v>156000</v>
      </c>
      <c r="O14" s="21">
        <v>10000</v>
      </c>
      <c r="P14" s="21">
        <v>401</v>
      </c>
      <c r="Q14" s="21">
        <v>10</v>
      </c>
      <c r="R14" s="21">
        <v>3</v>
      </c>
      <c r="S14" s="21">
        <v>3700</v>
      </c>
      <c r="T14" s="21">
        <v>2500</v>
      </c>
      <c r="U14" s="20" t="s">
        <v>34</v>
      </c>
      <c r="V14" s="20" t="s">
        <v>34</v>
      </c>
      <c r="W14" s="20" t="s">
        <v>35</v>
      </c>
      <c r="X14" s="20" t="s">
        <v>1022</v>
      </c>
    </row>
    <row r="15" spans="1:24" hidden="1" x14ac:dyDescent="0.2">
      <c r="A15" s="20">
        <f>MATCH(C15,'[1]Slot Managers Split'!G:G,0)</f>
        <v>103</v>
      </c>
      <c r="B15" s="20"/>
      <c r="C15" s="20" t="s">
        <v>726</v>
      </c>
      <c r="D15" s="20" t="s">
        <v>727</v>
      </c>
      <c r="E15" s="20" t="s">
        <v>70</v>
      </c>
      <c r="F15" s="20" t="s">
        <v>31</v>
      </c>
      <c r="G15" s="20" t="s">
        <v>32</v>
      </c>
      <c r="H15" s="21">
        <v>3500</v>
      </c>
      <c r="I15" s="21">
        <v>54</v>
      </c>
      <c r="J15" s="21">
        <v>0</v>
      </c>
      <c r="K15" s="21">
        <v>0</v>
      </c>
      <c r="L15" s="20" t="s">
        <v>34</v>
      </c>
      <c r="M15" s="20" t="s">
        <v>33</v>
      </c>
      <c r="N15" s="21">
        <v>137000</v>
      </c>
      <c r="O15" s="21">
        <v>8000</v>
      </c>
      <c r="P15" s="21">
        <v>421</v>
      </c>
      <c r="Q15" s="21">
        <v>15</v>
      </c>
      <c r="R15" s="21">
        <v>3</v>
      </c>
      <c r="S15" s="21">
        <v>4000</v>
      </c>
      <c r="T15" s="21">
        <v>1500</v>
      </c>
      <c r="U15" s="20" t="s">
        <v>34</v>
      </c>
      <c r="V15" s="20" t="s">
        <v>34</v>
      </c>
      <c r="W15" s="20" t="s">
        <v>35</v>
      </c>
      <c r="X15" s="20" t="s">
        <v>728</v>
      </c>
    </row>
    <row r="16" spans="1:24" hidden="1" x14ac:dyDescent="0.2">
      <c r="A16" s="20">
        <f>MATCH(C16,'[1]Slot Managers Split'!G:G,0)</f>
        <v>34</v>
      </c>
      <c r="B16" s="20"/>
      <c r="C16" s="20" t="s">
        <v>401</v>
      </c>
      <c r="D16" s="20" t="s">
        <v>402</v>
      </c>
      <c r="E16" s="20" t="s">
        <v>403</v>
      </c>
      <c r="F16" s="20" t="s">
        <v>31</v>
      </c>
      <c r="G16" s="20" t="s">
        <v>32</v>
      </c>
      <c r="H16" s="21">
        <v>3400</v>
      </c>
      <c r="I16" s="21">
        <v>249</v>
      </c>
      <c r="J16" s="21">
        <v>54</v>
      </c>
      <c r="K16" s="21">
        <v>2200</v>
      </c>
      <c r="L16" s="20" t="s">
        <v>33</v>
      </c>
      <c r="M16" s="20" t="s">
        <v>34</v>
      </c>
      <c r="N16" s="21">
        <v>340000</v>
      </c>
      <c r="O16" s="21">
        <v>150000</v>
      </c>
      <c r="P16" s="21">
        <v>1950</v>
      </c>
      <c r="Q16" s="21">
        <v>42</v>
      </c>
      <c r="R16" s="21">
        <v>5</v>
      </c>
      <c r="S16" s="21">
        <v>10750</v>
      </c>
      <c r="T16" s="21">
        <v>6000</v>
      </c>
      <c r="U16" s="20" t="s">
        <v>34</v>
      </c>
      <c r="V16" s="20" t="s">
        <v>34</v>
      </c>
      <c r="W16" s="20" t="s">
        <v>35</v>
      </c>
      <c r="X16" s="20" t="s">
        <v>404</v>
      </c>
    </row>
    <row r="17" spans="1:24" hidden="1" x14ac:dyDescent="0.2">
      <c r="A17" s="20">
        <f>MATCH(C17,'[1]Slot Managers Split'!G:G,0)</f>
        <v>14</v>
      </c>
      <c r="B17" s="20"/>
      <c r="C17" s="20" t="s">
        <v>704</v>
      </c>
      <c r="D17" s="20" t="s">
        <v>705</v>
      </c>
      <c r="E17" s="20" t="s">
        <v>403</v>
      </c>
      <c r="F17" s="20" t="s">
        <v>31</v>
      </c>
      <c r="G17" s="20" t="s">
        <v>32</v>
      </c>
      <c r="H17" s="21">
        <v>3383</v>
      </c>
      <c r="I17" s="21">
        <v>300</v>
      </c>
      <c r="J17" s="21">
        <v>33</v>
      </c>
      <c r="K17" s="21">
        <v>0</v>
      </c>
      <c r="L17" s="20" t="s">
        <v>33</v>
      </c>
      <c r="M17" s="20" t="s">
        <v>34</v>
      </c>
      <c r="N17" s="21">
        <v>310000</v>
      </c>
      <c r="O17" s="21">
        <v>225000</v>
      </c>
      <c r="P17" s="21">
        <v>1600</v>
      </c>
      <c r="Q17" s="21">
        <v>45</v>
      </c>
      <c r="R17" s="21">
        <v>9</v>
      </c>
      <c r="S17" s="21">
        <v>13000</v>
      </c>
      <c r="T17" s="21">
        <v>8400</v>
      </c>
      <c r="U17" s="20" t="s">
        <v>34</v>
      </c>
      <c r="V17" s="20" t="s">
        <v>34</v>
      </c>
      <c r="W17" s="20" t="s">
        <v>35</v>
      </c>
      <c r="X17" s="20" t="s">
        <v>703</v>
      </c>
    </row>
    <row r="18" spans="1:24" hidden="1" x14ac:dyDescent="0.2">
      <c r="A18" s="20">
        <f>MATCH(C18,'[1]Slot Managers Split'!G:G,0)</f>
        <v>230</v>
      </c>
      <c r="B18" s="20"/>
      <c r="C18" s="20" t="s">
        <v>377</v>
      </c>
      <c r="D18" s="20" t="s">
        <v>218</v>
      </c>
      <c r="E18" s="20" t="s">
        <v>179</v>
      </c>
      <c r="F18" s="20" t="s">
        <v>180</v>
      </c>
      <c r="G18" s="20" t="s">
        <v>32</v>
      </c>
      <c r="H18" s="21">
        <v>3300</v>
      </c>
      <c r="I18" s="21">
        <v>130</v>
      </c>
      <c r="J18" s="21">
        <v>0</v>
      </c>
      <c r="K18" s="21">
        <v>0</v>
      </c>
      <c r="L18" s="20" t="s">
        <v>34</v>
      </c>
      <c r="M18" s="20" t="s">
        <v>33</v>
      </c>
      <c r="N18" s="21">
        <v>200000</v>
      </c>
      <c r="O18" s="21">
        <v>36000</v>
      </c>
      <c r="P18" s="21">
        <v>374</v>
      </c>
      <c r="Q18" s="21">
        <v>24</v>
      </c>
      <c r="R18" s="21">
        <v>2</v>
      </c>
      <c r="S18" s="21">
        <v>3000</v>
      </c>
      <c r="T18" s="21">
        <v>3500</v>
      </c>
      <c r="U18" s="20" t="s">
        <v>34</v>
      </c>
      <c r="V18" s="20" t="s">
        <v>33</v>
      </c>
      <c r="W18" s="20" t="s">
        <v>35</v>
      </c>
      <c r="X18" s="20" t="s">
        <v>219</v>
      </c>
    </row>
    <row r="19" spans="1:24" hidden="1" x14ac:dyDescent="0.2">
      <c r="A19" s="20">
        <f>MATCH(C19,'[1]Slot Managers Split'!G:G,0)</f>
        <v>107</v>
      </c>
      <c r="B19" s="20"/>
      <c r="C19" s="20" t="s">
        <v>626</v>
      </c>
      <c r="D19" s="20" t="s">
        <v>627</v>
      </c>
      <c r="E19" s="20" t="s">
        <v>628</v>
      </c>
      <c r="F19" s="20" t="s">
        <v>31</v>
      </c>
      <c r="G19" s="20" t="s">
        <v>32</v>
      </c>
      <c r="H19" s="21">
        <v>3300</v>
      </c>
      <c r="I19" s="21">
        <v>0</v>
      </c>
      <c r="J19" s="21">
        <v>12</v>
      </c>
      <c r="K19" s="21">
        <v>230</v>
      </c>
      <c r="L19" s="20" t="s">
        <v>33</v>
      </c>
      <c r="M19" s="20" t="s">
        <v>33</v>
      </c>
      <c r="N19" s="21">
        <v>136000</v>
      </c>
      <c r="O19" s="21">
        <v>0</v>
      </c>
      <c r="P19" s="21">
        <v>249</v>
      </c>
      <c r="Q19" s="21">
        <v>10</v>
      </c>
      <c r="R19" s="21">
        <v>1</v>
      </c>
      <c r="S19" s="21">
        <v>1400</v>
      </c>
      <c r="T19" s="21">
        <v>656</v>
      </c>
      <c r="U19" s="20" t="s">
        <v>34</v>
      </c>
      <c r="V19" s="20" t="s">
        <v>34</v>
      </c>
      <c r="W19" s="20" t="s">
        <v>35</v>
      </c>
      <c r="X19" s="20" t="s">
        <v>630</v>
      </c>
    </row>
    <row r="20" spans="1:24" hidden="1" x14ac:dyDescent="0.2">
      <c r="A20" s="33" t="e">
        <f>MATCH(C20,'[1]Slot Managers Split'!G:G,0)</f>
        <v>#N/A</v>
      </c>
      <c r="B20" s="33"/>
      <c r="C20" s="33" t="s">
        <v>248</v>
      </c>
      <c r="D20" s="33" t="s">
        <v>249</v>
      </c>
      <c r="E20" s="33" t="s">
        <v>30</v>
      </c>
      <c r="F20" s="33" t="s">
        <v>31</v>
      </c>
      <c r="G20" s="33" t="s">
        <v>32</v>
      </c>
      <c r="H20" s="34">
        <v>3200</v>
      </c>
      <c r="I20" s="34">
        <v>100</v>
      </c>
      <c r="J20" s="34">
        <v>30</v>
      </c>
      <c r="K20" s="34">
        <v>0</v>
      </c>
      <c r="L20" s="33" t="s">
        <v>33</v>
      </c>
      <c r="M20" s="33" t="s">
        <v>34</v>
      </c>
      <c r="N20" s="34">
        <v>120000</v>
      </c>
      <c r="O20" s="34">
        <v>10000</v>
      </c>
      <c r="P20" s="34">
        <v>750</v>
      </c>
      <c r="Q20" s="34">
        <v>16</v>
      </c>
      <c r="R20" s="34">
        <v>2</v>
      </c>
      <c r="S20" s="34">
        <v>2168</v>
      </c>
      <c r="T20" s="34">
        <v>1900</v>
      </c>
      <c r="U20" s="33" t="s">
        <v>34</v>
      </c>
      <c r="V20" s="33" t="s">
        <v>34</v>
      </c>
      <c r="W20" s="33" t="s">
        <v>35</v>
      </c>
      <c r="X20" s="33" t="s">
        <v>251</v>
      </c>
    </row>
    <row r="21" spans="1:24" hidden="1" x14ac:dyDescent="0.2">
      <c r="A21" s="20">
        <f>MATCH(C21,'[1]Slot Managers Split'!G:G,0)</f>
        <v>15</v>
      </c>
      <c r="B21" s="20"/>
      <c r="C21" s="20" t="s">
        <v>858</v>
      </c>
      <c r="D21" s="20" t="s">
        <v>769</v>
      </c>
      <c r="E21" s="20" t="s">
        <v>30</v>
      </c>
      <c r="F21" s="20" t="s">
        <v>31</v>
      </c>
      <c r="G21" s="20" t="s">
        <v>32</v>
      </c>
      <c r="H21" s="21">
        <v>3100</v>
      </c>
      <c r="I21" s="21">
        <v>33</v>
      </c>
      <c r="J21" s="21">
        <v>12</v>
      </c>
      <c r="K21" s="21">
        <v>0</v>
      </c>
      <c r="L21" s="20" t="s">
        <v>33</v>
      </c>
      <c r="M21" s="20" t="s">
        <v>33</v>
      </c>
      <c r="N21" s="21">
        <v>200000</v>
      </c>
      <c r="O21" s="21">
        <v>0</v>
      </c>
      <c r="P21" s="21">
        <v>483</v>
      </c>
      <c r="Q21" s="21">
        <v>7</v>
      </c>
      <c r="R21" s="21">
        <v>2</v>
      </c>
      <c r="S21" s="21">
        <v>1300</v>
      </c>
      <c r="T21" s="21">
        <v>930</v>
      </c>
      <c r="U21" s="20" t="s">
        <v>34</v>
      </c>
      <c r="V21" s="20" t="s">
        <v>34</v>
      </c>
      <c r="W21" s="20" t="s">
        <v>35</v>
      </c>
      <c r="X21" s="20" t="s">
        <v>859</v>
      </c>
    </row>
    <row r="22" spans="1:24" x14ac:dyDescent="0.2">
      <c r="A22" s="22" t="e">
        <f>MATCH(C22,'[1]Slot Managers Split'!G:G,0)</f>
        <v>#N/A</v>
      </c>
      <c r="B22" s="22"/>
      <c r="C22" s="40" t="s">
        <v>270</v>
      </c>
      <c r="D22" s="22" t="s">
        <v>271</v>
      </c>
      <c r="E22" s="22" t="s">
        <v>0</v>
      </c>
      <c r="F22" s="22" t="s">
        <v>198</v>
      </c>
      <c r="G22" s="22" t="s">
        <v>32</v>
      </c>
      <c r="H22" s="27">
        <v>3000</v>
      </c>
      <c r="I22" s="27">
        <v>50</v>
      </c>
      <c r="J22" s="27">
        <v>1</v>
      </c>
      <c r="K22" s="27">
        <v>50</v>
      </c>
      <c r="L22" s="22" t="s">
        <v>33</v>
      </c>
      <c r="M22" s="22" t="s">
        <v>33</v>
      </c>
      <c r="N22" s="27">
        <v>0</v>
      </c>
      <c r="O22" s="27">
        <v>0</v>
      </c>
      <c r="P22" s="27">
        <v>0</v>
      </c>
      <c r="Q22" s="27">
        <v>3</v>
      </c>
      <c r="R22" s="27">
        <v>1</v>
      </c>
      <c r="S22" s="27">
        <v>2100</v>
      </c>
      <c r="T22" s="27">
        <v>0</v>
      </c>
      <c r="U22" s="22" t="s">
        <v>33</v>
      </c>
      <c r="V22" s="22" t="s">
        <v>33</v>
      </c>
      <c r="W22" s="22" t="s">
        <v>35</v>
      </c>
      <c r="X22" s="22" t="s">
        <v>272</v>
      </c>
    </row>
    <row r="23" spans="1:24" hidden="1" x14ac:dyDescent="0.2">
      <c r="A23" s="33" t="e">
        <f>MATCH(C23,'[1]Slot Managers Split'!G:G,0)</f>
        <v>#N/A</v>
      </c>
      <c r="B23" s="33"/>
      <c r="C23" s="33" t="s">
        <v>203</v>
      </c>
      <c r="D23" s="33" t="s">
        <v>204</v>
      </c>
      <c r="E23" s="33" t="s">
        <v>205</v>
      </c>
      <c r="F23" s="33" t="s">
        <v>180</v>
      </c>
      <c r="G23" s="33" t="s">
        <v>32</v>
      </c>
      <c r="H23" s="34">
        <v>3000</v>
      </c>
      <c r="I23" s="34">
        <v>94</v>
      </c>
      <c r="J23" s="34">
        <v>12</v>
      </c>
      <c r="K23" s="34">
        <v>0</v>
      </c>
      <c r="L23" s="33" t="s">
        <v>33</v>
      </c>
      <c r="M23" s="33" t="s">
        <v>33</v>
      </c>
      <c r="N23" s="34">
        <v>526488</v>
      </c>
      <c r="O23" s="34">
        <v>2076</v>
      </c>
      <c r="P23" s="34">
        <v>0</v>
      </c>
      <c r="Q23" s="34">
        <v>8</v>
      </c>
      <c r="R23" s="34">
        <v>0</v>
      </c>
      <c r="S23" s="34">
        <v>3381</v>
      </c>
      <c r="T23" s="34">
        <v>2700</v>
      </c>
      <c r="U23" s="33" t="s">
        <v>33</v>
      </c>
      <c r="V23" s="33" t="s">
        <v>33</v>
      </c>
      <c r="W23" s="33" t="s">
        <v>35</v>
      </c>
      <c r="X23" s="33" t="s">
        <v>206</v>
      </c>
    </row>
    <row r="24" spans="1:24" x14ac:dyDescent="0.2">
      <c r="A24" s="22" t="e">
        <f>MATCH(C24,'[1]Slot Managers Split'!G:G,0)</f>
        <v>#N/A</v>
      </c>
      <c r="B24" s="22"/>
      <c r="C24" s="22" t="s">
        <v>835</v>
      </c>
      <c r="D24" s="22" t="s">
        <v>836</v>
      </c>
      <c r="E24" s="22" t="s">
        <v>0</v>
      </c>
      <c r="F24" s="22" t="s">
        <v>837</v>
      </c>
      <c r="G24" s="22" t="s">
        <v>32</v>
      </c>
      <c r="H24" s="27">
        <v>3000</v>
      </c>
      <c r="I24" s="27">
        <v>500</v>
      </c>
      <c r="J24" s="27">
        <v>0</v>
      </c>
      <c r="K24" s="27">
        <v>0</v>
      </c>
      <c r="L24" s="22" t="s">
        <v>33</v>
      </c>
      <c r="M24" s="22" t="s">
        <v>33</v>
      </c>
      <c r="N24" s="27">
        <v>200000</v>
      </c>
      <c r="O24" s="27">
        <v>150000</v>
      </c>
      <c r="P24" s="27">
        <v>10000</v>
      </c>
      <c r="Q24" s="27">
        <v>29</v>
      </c>
      <c r="R24" s="27">
        <v>8</v>
      </c>
      <c r="S24" s="27">
        <v>7289</v>
      </c>
      <c r="T24" s="27">
        <v>13000</v>
      </c>
      <c r="U24" s="22" t="s">
        <v>33</v>
      </c>
      <c r="V24" s="22" t="s">
        <v>33</v>
      </c>
      <c r="W24" s="22" t="s">
        <v>35</v>
      </c>
      <c r="X24" s="22" t="s">
        <v>832</v>
      </c>
    </row>
    <row r="25" spans="1:24" x14ac:dyDescent="0.2">
      <c r="A25" s="22" t="e">
        <f>MATCH(C25,'[1]Slot Managers Split'!G:G,0)</f>
        <v>#N/A</v>
      </c>
      <c r="B25" s="22"/>
      <c r="C25" s="22" t="s">
        <v>766</v>
      </c>
      <c r="D25" s="22" t="s">
        <v>279</v>
      </c>
      <c r="E25" s="22" t="s">
        <v>0</v>
      </c>
      <c r="F25" s="22" t="s">
        <v>280</v>
      </c>
      <c r="G25" s="22" t="s">
        <v>32</v>
      </c>
      <c r="H25" s="27">
        <v>3000</v>
      </c>
      <c r="I25" s="27">
        <v>330</v>
      </c>
      <c r="J25" s="27">
        <v>0</v>
      </c>
      <c r="K25" s="27">
        <v>0</v>
      </c>
      <c r="L25" s="22" t="s">
        <v>33</v>
      </c>
      <c r="M25" s="22" t="s">
        <v>33</v>
      </c>
      <c r="N25" s="27">
        <v>0</v>
      </c>
      <c r="O25" s="27">
        <v>0</v>
      </c>
      <c r="P25" s="27">
        <v>993</v>
      </c>
      <c r="Q25" s="27">
        <v>4</v>
      </c>
      <c r="R25" s="27">
        <v>0</v>
      </c>
      <c r="S25" s="27">
        <v>0</v>
      </c>
      <c r="T25" s="27">
        <v>8000</v>
      </c>
      <c r="U25" s="22" t="s">
        <v>33</v>
      </c>
      <c r="V25" s="22" t="s">
        <v>33</v>
      </c>
      <c r="W25" s="22" t="s">
        <v>35</v>
      </c>
      <c r="X25" s="22" t="s">
        <v>767</v>
      </c>
    </row>
    <row r="26" spans="1:24" hidden="1" x14ac:dyDescent="0.2">
      <c r="A26" s="20">
        <f>MATCH(C26,'[1]Slot Managers Split'!G:G,0)</f>
        <v>36</v>
      </c>
      <c r="B26" s="20"/>
      <c r="C26" s="20" t="s">
        <v>460</v>
      </c>
      <c r="D26" s="20" t="s">
        <v>461</v>
      </c>
      <c r="E26" s="20" t="s">
        <v>39</v>
      </c>
      <c r="F26" s="20" t="s">
        <v>31</v>
      </c>
      <c r="G26" s="20" t="s">
        <v>32</v>
      </c>
      <c r="H26" s="21">
        <v>3000</v>
      </c>
      <c r="I26" s="21">
        <v>100</v>
      </c>
      <c r="J26" s="21">
        <v>20</v>
      </c>
      <c r="K26" s="21">
        <v>0</v>
      </c>
      <c r="L26" s="20" t="s">
        <v>33</v>
      </c>
      <c r="M26" s="20" t="s">
        <v>33</v>
      </c>
      <c r="N26" s="21">
        <v>135000</v>
      </c>
      <c r="O26" s="21">
        <v>8700</v>
      </c>
      <c r="P26" s="21">
        <v>200</v>
      </c>
      <c r="Q26" s="21">
        <v>15</v>
      </c>
      <c r="R26" s="21">
        <v>1</v>
      </c>
      <c r="S26" s="21">
        <v>5500</v>
      </c>
      <c r="T26" s="21">
        <v>2250</v>
      </c>
      <c r="U26" s="20" t="s">
        <v>34</v>
      </c>
      <c r="V26" s="20" t="s">
        <v>34</v>
      </c>
      <c r="W26" s="20" t="s">
        <v>35</v>
      </c>
      <c r="X26" s="20" t="s">
        <v>463</v>
      </c>
    </row>
    <row r="27" spans="1:24" hidden="1" x14ac:dyDescent="0.2">
      <c r="A27" s="20" t="e">
        <f>MATCH(C27,'[1]Slot Managers Split'!G:G,0)</f>
        <v>#N/A</v>
      </c>
      <c r="B27" s="20"/>
      <c r="C27" s="20" t="s">
        <v>510</v>
      </c>
      <c r="D27" s="20" t="s">
        <v>511</v>
      </c>
      <c r="E27" s="20" t="s">
        <v>236</v>
      </c>
      <c r="F27" s="20" t="s">
        <v>31</v>
      </c>
      <c r="G27" s="20" t="s">
        <v>32</v>
      </c>
      <c r="H27" s="21">
        <v>3000</v>
      </c>
      <c r="I27" s="21">
        <v>160</v>
      </c>
      <c r="J27" s="21">
        <v>32</v>
      </c>
      <c r="K27" s="21">
        <v>0</v>
      </c>
      <c r="L27" s="20" t="s">
        <v>34</v>
      </c>
      <c r="M27" s="20" t="s">
        <v>33</v>
      </c>
      <c r="N27" s="21">
        <v>211800</v>
      </c>
      <c r="O27" s="21">
        <v>37815</v>
      </c>
      <c r="P27" s="21">
        <v>1830</v>
      </c>
      <c r="Q27" s="21">
        <v>10</v>
      </c>
      <c r="R27" s="21">
        <v>2</v>
      </c>
      <c r="S27" s="21">
        <v>6086</v>
      </c>
      <c r="T27" s="21">
        <v>2627</v>
      </c>
      <c r="U27" s="20" t="s">
        <v>34</v>
      </c>
      <c r="V27" s="20" t="s">
        <v>34</v>
      </c>
      <c r="W27" s="20" t="s">
        <v>35</v>
      </c>
      <c r="X27" s="20" t="s">
        <v>513</v>
      </c>
    </row>
    <row r="28" spans="1:24" hidden="1" x14ac:dyDescent="0.2">
      <c r="A28" s="20">
        <f>MATCH(C28,'[1]Slot Managers Split'!G:G,0)</f>
        <v>42</v>
      </c>
      <c r="B28" s="20"/>
      <c r="C28" s="20" t="s">
        <v>581</v>
      </c>
      <c r="D28" s="20" t="s">
        <v>582</v>
      </c>
      <c r="E28" s="20" t="s">
        <v>70</v>
      </c>
      <c r="F28" s="20" t="s">
        <v>31</v>
      </c>
      <c r="G28" s="20" t="s">
        <v>32</v>
      </c>
      <c r="H28" s="21">
        <v>3000</v>
      </c>
      <c r="I28" s="21">
        <v>75</v>
      </c>
      <c r="J28" s="21">
        <v>0</v>
      </c>
      <c r="K28" s="21">
        <v>0</v>
      </c>
      <c r="L28" s="20" t="s">
        <v>34</v>
      </c>
      <c r="M28" s="20" t="s">
        <v>33</v>
      </c>
      <c r="N28" s="21">
        <v>100000</v>
      </c>
      <c r="O28" s="21">
        <v>268000</v>
      </c>
      <c r="P28" s="21">
        <v>0</v>
      </c>
      <c r="Q28" s="21">
        <v>12</v>
      </c>
      <c r="R28" s="21">
        <v>1</v>
      </c>
      <c r="S28" s="21">
        <v>7250</v>
      </c>
      <c r="T28" s="21">
        <v>1000</v>
      </c>
      <c r="U28" s="20" t="s">
        <v>34</v>
      </c>
      <c r="V28" s="20" t="s">
        <v>34</v>
      </c>
      <c r="W28" s="20" t="s">
        <v>35</v>
      </c>
      <c r="X28" s="20" t="s">
        <v>583</v>
      </c>
    </row>
    <row r="29" spans="1:24" hidden="1" x14ac:dyDescent="0.2">
      <c r="A29" s="33" t="e">
        <f>MATCH(C29,'[1]Slot Managers Split'!G:G,0)</f>
        <v>#N/A</v>
      </c>
      <c r="B29" s="33"/>
      <c r="C29" s="33" t="s">
        <v>737</v>
      </c>
      <c r="D29" s="33" t="s">
        <v>738</v>
      </c>
      <c r="E29" s="33" t="s">
        <v>30</v>
      </c>
      <c r="F29" s="33" t="s">
        <v>31</v>
      </c>
      <c r="G29" s="33" t="s">
        <v>32</v>
      </c>
      <c r="H29" s="34">
        <v>3000</v>
      </c>
      <c r="I29" s="34">
        <v>12</v>
      </c>
      <c r="J29" s="34">
        <v>0</v>
      </c>
      <c r="K29" s="34">
        <v>0</v>
      </c>
      <c r="L29" s="33" t="s">
        <v>33</v>
      </c>
      <c r="M29" s="33" t="s">
        <v>34</v>
      </c>
      <c r="N29" s="34">
        <v>64708</v>
      </c>
      <c r="O29" s="34">
        <v>0</v>
      </c>
      <c r="P29" s="34">
        <v>0</v>
      </c>
      <c r="Q29" s="34">
        <v>2</v>
      </c>
      <c r="R29" s="34">
        <v>0</v>
      </c>
      <c r="S29" s="34">
        <v>0</v>
      </c>
      <c r="T29" s="34">
        <v>700</v>
      </c>
      <c r="U29" s="33" t="s">
        <v>34</v>
      </c>
      <c r="V29" s="33" t="s">
        <v>34</v>
      </c>
      <c r="W29" s="33" t="s">
        <v>35</v>
      </c>
      <c r="X29" s="33" t="s">
        <v>152</v>
      </c>
    </row>
    <row r="30" spans="1:24" hidden="1" x14ac:dyDescent="0.2">
      <c r="A30" s="20">
        <f>MATCH(C30,'[1]Slot Managers Split'!G:G,0)</f>
        <v>323</v>
      </c>
      <c r="B30" s="20"/>
      <c r="C30" s="35" t="s">
        <v>802</v>
      </c>
      <c r="D30" s="20" t="s">
        <v>803</v>
      </c>
      <c r="E30" s="20" t="s">
        <v>478</v>
      </c>
      <c r="F30" s="20" t="s">
        <v>31</v>
      </c>
      <c r="G30" s="20" t="s">
        <v>32</v>
      </c>
      <c r="H30" s="21">
        <v>3000</v>
      </c>
      <c r="I30" s="21">
        <v>98</v>
      </c>
      <c r="J30" s="21">
        <v>15</v>
      </c>
      <c r="K30" s="21">
        <v>640</v>
      </c>
      <c r="L30" s="20" t="s">
        <v>34</v>
      </c>
      <c r="M30" s="20" t="s">
        <v>33</v>
      </c>
      <c r="N30" s="21">
        <v>150000</v>
      </c>
      <c r="O30" s="21">
        <v>10000</v>
      </c>
      <c r="P30" s="21">
        <v>500</v>
      </c>
      <c r="Q30" s="21">
        <v>10</v>
      </c>
      <c r="R30" s="21">
        <v>1</v>
      </c>
      <c r="S30" s="21">
        <v>3000</v>
      </c>
      <c r="T30" s="21">
        <v>2700</v>
      </c>
      <c r="U30" s="20" t="s">
        <v>34</v>
      </c>
      <c r="V30" s="20" t="s">
        <v>34</v>
      </c>
      <c r="W30" s="20" t="s">
        <v>35</v>
      </c>
      <c r="X30" s="20" t="s">
        <v>804</v>
      </c>
    </row>
    <row r="31" spans="1:24" hidden="1" x14ac:dyDescent="0.2">
      <c r="A31" s="20">
        <f>MATCH(C31,'[1]Slot Managers Split'!G:G,0)</f>
        <v>20</v>
      </c>
      <c r="B31" s="20"/>
      <c r="C31" s="20" t="s">
        <v>944</v>
      </c>
      <c r="D31" s="20" t="s">
        <v>945</v>
      </c>
      <c r="E31" s="20" t="s">
        <v>387</v>
      </c>
      <c r="F31" s="20" t="s">
        <v>31</v>
      </c>
      <c r="G31" s="20" t="s">
        <v>32</v>
      </c>
      <c r="H31" s="21">
        <v>3000</v>
      </c>
      <c r="I31" s="21">
        <v>50</v>
      </c>
      <c r="J31" s="21">
        <v>14</v>
      </c>
      <c r="K31" s="21">
        <v>500</v>
      </c>
      <c r="L31" s="20" t="s">
        <v>34</v>
      </c>
      <c r="M31" s="20" t="s">
        <v>33</v>
      </c>
      <c r="N31" s="21">
        <v>210000</v>
      </c>
      <c r="O31" s="21">
        <v>60000</v>
      </c>
      <c r="P31" s="21">
        <v>759</v>
      </c>
      <c r="Q31" s="21">
        <v>9</v>
      </c>
      <c r="R31" s="21">
        <v>1</v>
      </c>
      <c r="S31" s="21">
        <v>5500</v>
      </c>
      <c r="T31" s="21">
        <v>1990</v>
      </c>
      <c r="U31" s="20" t="s">
        <v>34</v>
      </c>
      <c r="V31" s="20" t="s">
        <v>34</v>
      </c>
      <c r="W31" s="20" t="s">
        <v>35</v>
      </c>
      <c r="X31" s="20" t="s">
        <v>946</v>
      </c>
    </row>
    <row r="32" spans="1:24" hidden="1" x14ac:dyDescent="0.2">
      <c r="A32" s="20">
        <f>MATCH(C32,'[1]Slot Managers Split'!G:G,0)</f>
        <v>35</v>
      </c>
      <c r="B32" s="20"/>
      <c r="C32" s="35" t="s">
        <v>786</v>
      </c>
      <c r="D32" s="20" t="s">
        <v>787</v>
      </c>
      <c r="E32" s="20" t="s">
        <v>521</v>
      </c>
      <c r="F32" s="20" t="s">
        <v>31</v>
      </c>
      <c r="G32" s="20" t="s">
        <v>32</v>
      </c>
      <c r="H32" s="21">
        <v>2987</v>
      </c>
      <c r="I32" s="21">
        <v>135</v>
      </c>
      <c r="J32" s="21">
        <v>48</v>
      </c>
      <c r="K32" s="21">
        <v>0</v>
      </c>
      <c r="L32" s="20" t="s">
        <v>34</v>
      </c>
      <c r="M32" s="20" t="s">
        <v>34</v>
      </c>
      <c r="N32" s="21">
        <v>176592</v>
      </c>
      <c r="O32" s="21">
        <v>0</v>
      </c>
      <c r="P32" s="21">
        <v>0</v>
      </c>
      <c r="Q32" s="21">
        <v>8</v>
      </c>
      <c r="R32" s="21">
        <v>0</v>
      </c>
      <c r="S32" s="21">
        <v>0</v>
      </c>
      <c r="T32" s="21">
        <v>2200</v>
      </c>
      <c r="U32" s="20" t="s">
        <v>33</v>
      </c>
      <c r="V32" s="20" t="s">
        <v>33</v>
      </c>
      <c r="W32" s="20" t="s">
        <v>103</v>
      </c>
      <c r="X32" s="20" t="s">
        <v>789</v>
      </c>
    </row>
    <row r="33" spans="1:24" hidden="1" x14ac:dyDescent="0.2">
      <c r="A33" s="20">
        <f>MATCH(C33,'[1]Slot Managers Split'!G:G,0)</f>
        <v>115</v>
      </c>
      <c r="B33" s="20"/>
      <c r="C33" s="20" t="s">
        <v>385</v>
      </c>
      <c r="D33" s="20" t="s">
        <v>386</v>
      </c>
      <c r="E33" s="20" t="s">
        <v>387</v>
      </c>
      <c r="F33" s="20" t="s">
        <v>31</v>
      </c>
      <c r="G33" s="20" t="s">
        <v>32</v>
      </c>
      <c r="H33" s="21">
        <v>2900</v>
      </c>
      <c r="I33" s="21">
        <v>70</v>
      </c>
      <c r="J33" s="21">
        <v>26</v>
      </c>
      <c r="K33" s="21">
        <v>250</v>
      </c>
      <c r="L33" s="20" t="s">
        <v>34</v>
      </c>
      <c r="M33" s="20" t="s">
        <v>33</v>
      </c>
      <c r="N33" s="21">
        <v>107000</v>
      </c>
      <c r="O33" s="21">
        <v>0</v>
      </c>
      <c r="P33" s="21">
        <v>243</v>
      </c>
      <c r="Q33" s="21">
        <v>10</v>
      </c>
      <c r="R33" s="21">
        <v>1</v>
      </c>
      <c r="S33" s="21">
        <v>2078</v>
      </c>
      <c r="T33" s="21">
        <v>1500</v>
      </c>
      <c r="U33" s="20" t="s">
        <v>34</v>
      </c>
      <c r="V33" s="20" t="s">
        <v>34</v>
      </c>
      <c r="W33" s="20" t="s">
        <v>35</v>
      </c>
      <c r="X33" s="20" t="s">
        <v>389</v>
      </c>
    </row>
    <row r="34" spans="1:24" hidden="1" x14ac:dyDescent="0.2">
      <c r="A34" s="33" t="e">
        <f>MATCH(C34,'[1]Slot Managers Split'!G:G,0)</f>
        <v>#N/A</v>
      </c>
      <c r="B34" s="33"/>
      <c r="C34" s="33" t="s">
        <v>871</v>
      </c>
      <c r="D34" s="33" t="s">
        <v>872</v>
      </c>
      <c r="E34" s="33" t="s">
        <v>30</v>
      </c>
      <c r="F34" s="33" t="s">
        <v>31</v>
      </c>
      <c r="G34" s="33" t="s">
        <v>32</v>
      </c>
      <c r="H34" s="34">
        <v>2800</v>
      </c>
      <c r="I34" s="34">
        <v>19</v>
      </c>
      <c r="J34" s="34">
        <v>11</v>
      </c>
      <c r="K34" s="34">
        <v>0</v>
      </c>
      <c r="L34" s="33" t="s">
        <v>33</v>
      </c>
      <c r="M34" s="33" t="s">
        <v>34</v>
      </c>
      <c r="N34" s="34">
        <v>200000</v>
      </c>
      <c r="O34" s="34">
        <v>14000</v>
      </c>
      <c r="P34" s="34">
        <v>100</v>
      </c>
      <c r="Q34" s="34">
        <v>4</v>
      </c>
      <c r="R34" s="34">
        <v>1</v>
      </c>
      <c r="S34" s="34">
        <v>0</v>
      </c>
      <c r="T34" s="34">
        <v>1271</v>
      </c>
      <c r="U34" s="33" t="s">
        <v>34</v>
      </c>
      <c r="V34" s="33" t="s">
        <v>34</v>
      </c>
      <c r="W34" s="33" t="s">
        <v>35</v>
      </c>
      <c r="X34" s="33" t="s">
        <v>152</v>
      </c>
    </row>
    <row r="35" spans="1:24" hidden="1" x14ac:dyDescent="0.2">
      <c r="A35" s="20">
        <f>MATCH(C35,'[1]Slot Managers Split'!G:G,0)</f>
        <v>18</v>
      </c>
      <c r="B35" s="20"/>
      <c r="C35" s="20" t="s">
        <v>366</v>
      </c>
      <c r="D35" s="20" t="s">
        <v>367</v>
      </c>
      <c r="E35" s="20" t="s">
        <v>368</v>
      </c>
      <c r="F35" s="20" t="s">
        <v>31</v>
      </c>
      <c r="G35" s="20" t="s">
        <v>32</v>
      </c>
      <c r="H35" s="21">
        <v>2700</v>
      </c>
      <c r="I35" s="21">
        <v>185</v>
      </c>
      <c r="J35" s="21">
        <v>24</v>
      </c>
      <c r="K35" s="21">
        <v>0</v>
      </c>
      <c r="L35" s="20" t="s">
        <v>34</v>
      </c>
      <c r="M35" s="20" t="s">
        <v>33</v>
      </c>
      <c r="N35" s="21">
        <v>210000</v>
      </c>
      <c r="O35" s="21">
        <v>0</v>
      </c>
      <c r="P35" s="21">
        <v>600</v>
      </c>
      <c r="Q35" s="21">
        <v>14</v>
      </c>
      <c r="R35" s="21">
        <v>1</v>
      </c>
      <c r="S35" s="21">
        <v>3000</v>
      </c>
      <c r="T35" s="21">
        <v>5000</v>
      </c>
      <c r="U35" s="20" t="s">
        <v>33</v>
      </c>
      <c r="V35" s="20" t="s">
        <v>33</v>
      </c>
      <c r="W35" s="20" t="s">
        <v>35</v>
      </c>
      <c r="X35" s="20" t="s">
        <v>369</v>
      </c>
    </row>
    <row r="36" spans="1:24" x14ac:dyDescent="0.2">
      <c r="A36" s="22" t="e">
        <f>MATCH(C36,'[1]Slot Managers Split'!G:G,0)</f>
        <v>#N/A</v>
      </c>
      <c r="B36" s="22"/>
      <c r="C36" s="22" t="s">
        <v>952</v>
      </c>
      <c r="D36" s="22" t="s">
        <v>953</v>
      </c>
      <c r="E36" s="22" t="s">
        <v>0</v>
      </c>
      <c r="F36" s="22" t="s">
        <v>280</v>
      </c>
      <c r="G36" s="22" t="s">
        <v>32</v>
      </c>
      <c r="H36" s="27">
        <v>2669</v>
      </c>
      <c r="I36" s="27">
        <v>163</v>
      </c>
      <c r="J36" s="27">
        <v>0</v>
      </c>
      <c r="K36" s="27">
        <v>0</v>
      </c>
      <c r="L36" s="22" t="s">
        <v>33</v>
      </c>
      <c r="M36" s="22" t="s">
        <v>33</v>
      </c>
      <c r="N36" s="27">
        <v>140000</v>
      </c>
      <c r="O36" s="27">
        <v>0</v>
      </c>
      <c r="P36" s="27">
        <v>526</v>
      </c>
      <c r="Q36" s="27">
        <v>0</v>
      </c>
      <c r="R36" s="27">
        <v>0</v>
      </c>
      <c r="S36" s="27">
        <v>0</v>
      </c>
      <c r="T36" s="27">
        <v>0</v>
      </c>
      <c r="U36" s="22" t="s">
        <v>33</v>
      </c>
      <c r="V36" s="22" t="s">
        <v>33</v>
      </c>
      <c r="W36" s="22" t="s">
        <v>35</v>
      </c>
      <c r="X36" s="22" t="s">
        <v>951</v>
      </c>
    </row>
    <row r="37" spans="1:24" x14ac:dyDescent="0.2">
      <c r="A37" s="22" t="e">
        <f>MATCH(C37,'[1]Slot Managers Split'!G:G,0)</f>
        <v>#N/A</v>
      </c>
      <c r="B37" s="22"/>
      <c r="C37" s="22" t="s">
        <v>308</v>
      </c>
      <c r="D37" s="22" t="s">
        <v>309</v>
      </c>
      <c r="E37" s="22" t="s">
        <v>310</v>
      </c>
      <c r="F37" s="22" t="s">
        <v>311</v>
      </c>
      <c r="G37" s="22" t="s">
        <v>32</v>
      </c>
      <c r="H37" s="27">
        <v>2628</v>
      </c>
      <c r="I37" s="27">
        <v>540</v>
      </c>
      <c r="J37" s="27">
        <v>50</v>
      </c>
      <c r="K37" s="27">
        <v>0</v>
      </c>
      <c r="L37" s="22" t="s">
        <v>33</v>
      </c>
      <c r="M37" s="22" t="s">
        <v>33</v>
      </c>
      <c r="N37" s="27">
        <v>221656</v>
      </c>
      <c r="O37" s="27">
        <v>0</v>
      </c>
      <c r="P37" s="27">
        <v>1610</v>
      </c>
      <c r="Q37" s="27">
        <v>29</v>
      </c>
      <c r="R37" s="27">
        <v>10</v>
      </c>
      <c r="S37" s="27">
        <v>5400</v>
      </c>
      <c r="T37" s="27">
        <v>5500</v>
      </c>
      <c r="U37" s="22" t="s">
        <v>33</v>
      </c>
      <c r="V37" s="22" t="s">
        <v>33</v>
      </c>
      <c r="W37" s="22" t="s">
        <v>35</v>
      </c>
      <c r="X37" s="22" t="s">
        <v>313</v>
      </c>
    </row>
    <row r="38" spans="1:24" hidden="1" x14ac:dyDescent="0.2">
      <c r="A38" s="20">
        <f>MATCH(C38,'[1]Slot Managers Split'!G:G,0)</f>
        <v>117</v>
      </c>
      <c r="B38" s="20"/>
      <c r="C38" s="35" t="s">
        <v>826</v>
      </c>
      <c r="D38" s="20" t="s">
        <v>81</v>
      </c>
      <c r="E38" s="20" t="s">
        <v>51</v>
      </c>
      <c r="F38" s="20" t="s">
        <v>31</v>
      </c>
      <c r="G38" s="20" t="s">
        <v>32</v>
      </c>
      <c r="H38" s="21">
        <v>2625</v>
      </c>
      <c r="I38" s="21">
        <v>68</v>
      </c>
      <c r="J38" s="21">
        <v>20</v>
      </c>
      <c r="K38" s="21">
        <v>0</v>
      </c>
      <c r="L38" s="20" t="s">
        <v>34</v>
      </c>
      <c r="M38" s="20" t="s">
        <v>34</v>
      </c>
      <c r="N38" s="21">
        <v>118309</v>
      </c>
      <c r="O38" s="21">
        <v>94000</v>
      </c>
      <c r="P38" s="21">
        <v>796</v>
      </c>
      <c r="Q38" s="21">
        <v>24</v>
      </c>
      <c r="R38" s="21">
        <v>4</v>
      </c>
      <c r="S38" s="21">
        <v>5500</v>
      </c>
      <c r="T38" s="21">
        <v>2600</v>
      </c>
      <c r="U38" s="20" t="s">
        <v>33</v>
      </c>
      <c r="V38" s="20" t="s">
        <v>33</v>
      </c>
      <c r="W38" s="20" t="s">
        <v>35</v>
      </c>
      <c r="X38" s="20" t="s">
        <v>155</v>
      </c>
    </row>
    <row r="39" spans="1:24" x14ac:dyDescent="0.2">
      <c r="A39" s="22" t="e">
        <f>MATCH(C39,'[1]Slot Managers Split'!G:G,0)</f>
        <v>#N/A</v>
      </c>
      <c r="B39" s="22"/>
      <c r="C39" s="40" t="s">
        <v>736</v>
      </c>
      <c r="D39" s="22" t="s">
        <v>733</v>
      </c>
      <c r="E39" s="22" t="s">
        <v>0</v>
      </c>
      <c r="F39" s="22" t="s">
        <v>734</v>
      </c>
      <c r="G39" s="22" t="s">
        <v>32</v>
      </c>
      <c r="H39" s="27">
        <v>2500</v>
      </c>
      <c r="I39" s="27">
        <v>300</v>
      </c>
      <c r="J39" s="27">
        <v>0</v>
      </c>
      <c r="K39" s="27">
        <v>0</v>
      </c>
      <c r="L39" s="22" t="s">
        <v>33</v>
      </c>
      <c r="M39" s="22" t="s">
        <v>33</v>
      </c>
      <c r="N39" s="27">
        <v>0</v>
      </c>
      <c r="O39" s="27">
        <v>0</v>
      </c>
      <c r="P39" s="27">
        <v>1033</v>
      </c>
      <c r="Q39" s="27">
        <v>0</v>
      </c>
      <c r="R39" s="27">
        <v>0</v>
      </c>
      <c r="S39" s="27">
        <v>0</v>
      </c>
      <c r="T39" s="27">
        <v>0</v>
      </c>
      <c r="U39" s="22" t="s">
        <v>33</v>
      </c>
      <c r="V39" s="22" t="s">
        <v>33</v>
      </c>
      <c r="W39" s="22" t="s">
        <v>35</v>
      </c>
      <c r="X39" s="22" t="s">
        <v>735</v>
      </c>
    </row>
    <row r="40" spans="1:24" x14ac:dyDescent="0.2">
      <c r="A40" s="22" t="e">
        <f>MATCH(C40,'[1]Slot Managers Split'!G:G,0)</f>
        <v>#N/A</v>
      </c>
      <c r="B40" s="22"/>
      <c r="C40" s="22" t="s">
        <v>1009</v>
      </c>
      <c r="D40" s="22" t="s">
        <v>274</v>
      </c>
      <c r="E40" s="22" t="s">
        <v>0</v>
      </c>
      <c r="F40" s="22" t="s">
        <v>275</v>
      </c>
      <c r="G40" s="22" t="s">
        <v>32</v>
      </c>
      <c r="H40" s="27">
        <v>2500</v>
      </c>
      <c r="I40" s="27">
        <v>450</v>
      </c>
      <c r="J40" s="27">
        <v>0</v>
      </c>
      <c r="K40" s="27">
        <v>0</v>
      </c>
      <c r="L40" s="22" t="s">
        <v>33</v>
      </c>
      <c r="M40" s="22" t="s">
        <v>33</v>
      </c>
      <c r="N40" s="27">
        <v>135000</v>
      </c>
      <c r="O40" s="27">
        <v>55000</v>
      </c>
      <c r="P40" s="27">
        <v>3000</v>
      </c>
      <c r="Q40" s="27">
        <v>3</v>
      </c>
      <c r="R40" s="27">
        <v>1</v>
      </c>
      <c r="S40" s="27">
        <v>0</v>
      </c>
      <c r="T40" s="27">
        <v>6000</v>
      </c>
      <c r="U40" s="22" t="s">
        <v>33</v>
      </c>
      <c r="V40" s="22" t="s">
        <v>33</v>
      </c>
      <c r="W40" s="22" t="s">
        <v>35</v>
      </c>
      <c r="X40" s="22" t="s">
        <v>676</v>
      </c>
    </row>
    <row r="41" spans="1:24" hidden="1" x14ac:dyDescent="0.2">
      <c r="A41" s="20">
        <f>MATCH(C41,'[1]Slot Managers Split'!G:G,0)</f>
        <v>40</v>
      </c>
      <c r="B41" s="20"/>
      <c r="C41" s="35" t="s">
        <v>470</v>
      </c>
      <c r="D41" s="20" t="s">
        <v>471</v>
      </c>
      <c r="E41" s="20" t="s">
        <v>387</v>
      </c>
      <c r="F41" s="20" t="s">
        <v>31</v>
      </c>
      <c r="G41" s="20" t="s">
        <v>32</v>
      </c>
      <c r="H41" s="21">
        <v>2500</v>
      </c>
      <c r="I41" s="21">
        <v>50</v>
      </c>
      <c r="J41" s="21">
        <v>8</v>
      </c>
      <c r="K41" s="21">
        <v>0</v>
      </c>
      <c r="L41" s="20" t="s">
        <v>34</v>
      </c>
      <c r="M41" s="20" t="s">
        <v>33</v>
      </c>
      <c r="N41" s="21">
        <v>106000</v>
      </c>
      <c r="O41" s="21">
        <v>0</v>
      </c>
      <c r="P41" s="21">
        <v>252</v>
      </c>
      <c r="Q41" s="21">
        <v>4</v>
      </c>
      <c r="R41" s="21">
        <v>1</v>
      </c>
      <c r="S41" s="21">
        <v>0</v>
      </c>
      <c r="T41" s="21">
        <v>1000</v>
      </c>
      <c r="U41" s="20" t="s">
        <v>34</v>
      </c>
      <c r="V41" s="20" t="s">
        <v>34</v>
      </c>
      <c r="W41" s="20" t="s">
        <v>35</v>
      </c>
      <c r="X41" s="20" t="s">
        <v>473</v>
      </c>
    </row>
    <row r="42" spans="1:24" hidden="1" x14ac:dyDescent="0.2">
      <c r="A42" s="20">
        <f>MATCH(C42,'[1]Slot Managers Split'!G:G,0)</f>
        <v>233</v>
      </c>
      <c r="B42" s="20"/>
      <c r="C42" s="20" t="s">
        <v>682</v>
      </c>
      <c r="D42" s="20" t="s">
        <v>557</v>
      </c>
      <c r="E42" s="20" t="s">
        <v>387</v>
      </c>
      <c r="F42" s="20" t="s">
        <v>31</v>
      </c>
      <c r="G42" s="20" t="s">
        <v>32</v>
      </c>
      <c r="H42" s="21">
        <v>2500</v>
      </c>
      <c r="I42" s="21">
        <v>160</v>
      </c>
      <c r="J42" s="21">
        <v>14</v>
      </c>
      <c r="K42" s="21">
        <v>0</v>
      </c>
      <c r="L42" s="20" t="s">
        <v>34</v>
      </c>
      <c r="M42" s="20" t="s">
        <v>33</v>
      </c>
      <c r="N42" s="21">
        <v>100000</v>
      </c>
      <c r="O42" s="21">
        <v>30000</v>
      </c>
      <c r="P42" s="21">
        <v>400</v>
      </c>
      <c r="Q42" s="21">
        <v>6</v>
      </c>
      <c r="R42" s="21">
        <v>4</v>
      </c>
      <c r="S42" s="21">
        <v>5000</v>
      </c>
      <c r="T42" s="21">
        <v>4780</v>
      </c>
      <c r="U42" s="20" t="s">
        <v>33</v>
      </c>
      <c r="V42" s="20" t="s">
        <v>33</v>
      </c>
      <c r="W42" s="20" t="s">
        <v>35</v>
      </c>
      <c r="X42" s="20" t="s">
        <v>130</v>
      </c>
    </row>
    <row r="43" spans="1:24" hidden="1" x14ac:dyDescent="0.2">
      <c r="A43" s="20">
        <f>MATCH(C43,'[1]Slot Managers Split'!G:G,0)</f>
        <v>235</v>
      </c>
      <c r="B43" s="20"/>
      <c r="C43" s="20" t="s">
        <v>903</v>
      </c>
      <c r="D43" s="20" t="s">
        <v>904</v>
      </c>
      <c r="E43" s="20" t="s">
        <v>185</v>
      </c>
      <c r="F43" s="20" t="s">
        <v>31</v>
      </c>
      <c r="G43" s="20" t="s">
        <v>32</v>
      </c>
      <c r="H43" s="21">
        <v>2500</v>
      </c>
      <c r="I43" s="21">
        <v>193</v>
      </c>
      <c r="J43" s="21">
        <v>45</v>
      </c>
      <c r="K43" s="21">
        <v>0</v>
      </c>
      <c r="L43" s="20" t="s">
        <v>34</v>
      </c>
      <c r="M43" s="20" t="s">
        <v>33</v>
      </c>
      <c r="N43" s="21">
        <v>140000</v>
      </c>
      <c r="O43" s="21">
        <v>40000</v>
      </c>
      <c r="P43" s="21">
        <v>1275</v>
      </c>
      <c r="Q43" s="21">
        <v>16</v>
      </c>
      <c r="R43" s="21">
        <v>1</v>
      </c>
      <c r="S43" s="21">
        <v>10000</v>
      </c>
      <c r="T43" s="21">
        <v>2900</v>
      </c>
      <c r="U43" s="20" t="s">
        <v>34</v>
      </c>
      <c r="V43" s="20" t="s">
        <v>34</v>
      </c>
      <c r="W43" s="20" t="s">
        <v>35</v>
      </c>
      <c r="X43" s="20" t="s">
        <v>482</v>
      </c>
    </row>
    <row r="44" spans="1:24" hidden="1" x14ac:dyDescent="0.2">
      <c r="A44" s="20">
        <f>MATCH(C44,'[1]Slot Managers Split'!G:G,0)</f>
        <v>85</v>
      </c>
      <c r="B44" s="20"/>
      <c r="C44" s="35" t="s">
        <v>912</v>
      </c>
      <c r="D44" s="20" t="s">
        <v>218</v>
      </c>
      <c r="E44" s="20" t="s">
        <v>47</v>
      </c>
      <c r="F44" s="20" t="s">
        <v>31</v>
      </c>
      <c r="G44" s="20" t="s">
        <v>32</v>
      </c>
      <c r="H44" s="21">
        <v>2500</v>
      </c>
      <c r="I44" s="21">
        <v>60</v>
      </c>
      <c r="J44" s="21">
        <v>0</v>
      </c>
      <c r="K44" s="21">
        <v>0</v>
      </c>
      <c r="L44" s="20" t="s">
        <v>34</v>
      </c>
      <c r="M44" s="20" t="s">
        <v>33</v>
      </c>
      <c r="N44" s="21">
        <v>147000</v>
      </c>
      <c r="O44" s="21">
        <v>30000</v>
      </c>
      <c r="P44" s="21">
        <v>604</v>
      </c>
      <c r="Q44" s="21">
        <v>9</v>
      </c>
      <c r="R44" s="21">
        <v>2</v>
      </c>
      <c r="S44" s="21">
        <v>3150</v>
      </c>
      <c r="T44" s="21">
        <v>3000</v>
      </c>
      <c r="U44" s="20" t="s">
        <v>34</v>
      </c>
      <c r="V44" s="20" t="s">
        <v>34</v>
      </c>
      <c r="W44" s="20" t="s">
        <v>35</v>
      </c>
      <c r="X44" s="20" t="s">
        <v>909</v>
      </c>
    </row>
    <row r="45" spans="1:24" hidden="1" x14ac:dyDescent="0.2">
      <c r="A45" s="20">
        <f>MATCH(C45,'[1]Slot Managers Split'!G:G,0)</f>
        <v>145</v>
      </c>
      <c r="B45" s="20"/>
      <c r="C45" s="35" t="s">
        <v>1018</v>
      </c>
      <c r="D45" s="20" t="s">
        <v>81</v>
      </c>
      <c r="E45" s="20" t="s">
        <v>51</v>
      </c>
      <c r="F45" s="20" t="s">
        <v>31</v>
      </c>
      <c r="G45" s="20" t="s">
        <v>32</v>
      </c>
      <c r="H45" s="21">
        <v>2500</v>
      </c>
      <c r="I45" s="21">
        <v>255</v>
      </c>
      <c r="J45" s="21">
        <v>50</v>
      </c>
      <c r="K45" s="21">
        <v>0</v>
      </c>
      <c r="L45" s="20" t="s">
        <v>34</v>
      </c>
      <c r="M45" s="20" t="s">
        <v>34</v>
      </c>
      <c r="N45" s="21">
        <v>132254</v>
      </c>
      <c r="O45" s="21">
        <v>2250000</v>
      </c>
      <c r="P45" s="21">
        <v>4027</v>
      </c>
      <c r="Q45" s="21">
        <v>25</v>
      </c>
      <c r="R45" s="21">
        <v>12</v>
      </c>
      <c r="S45" s="21">
        <v>4446</v>
      </c>
      <c r="T45" s="21">
        <v>6000</v>
      </c>
      <c r="U45" s="20" t="s">
        <v>33</v>
      </c>
      <c r="V45" s="20" t="s">
        <v>33</v>
      </c>
      <c r="W45" s="20" t="s">
        <v>35</v>
      </c>
      <c r="X45" s="20" t="s">
        <v>1019</v>
      </c>
    </row>
    <row r="46" spans="1:24" hidden="1" x14ac:dyDescent="0.2">
      <c r="A46" s="20">
        <f>MATCH(C46,'[1]Slot Managers Split'!G:G,0)</f>
        <v>118</v>
      </c>
      <c r="B46" s="20"/>
      <c r="C46" s="35" t="s">
        <v>1065</v>
      </c>
      <c r="D46" s="20" t="s">
        <v>1066</v>
      </c>
      <c r="E46" s="20" t="s">
        <v>1057</v>
      </c>
      <c r="F46" s="20" t="s">
        <v>31</v>
      </c>
      <c r="G46" s="20" t="s">
        <v>32</v>
      </c>
      <c r="H46" s="21">
        <v>2500</v>
      </c>
      <c r="I46" s="21">
        <v>0</v>
      </c>
      <c r="J46" s="21">
        <v>0</v>
      </c>
      <c r="K46" s="21">
        <v>0</v>
      </c>
      <c r="L46" s="20" t="s">
        <v>33</v>
      </c>
      <c r="M46" s="20" t="s">
        <v>33</v>
      </c>
      <c r="N46" s="21">
        <v>85000</v>
      </c>
      <c r="O46" s="21">
        <v>0</v>
      </c>
      <c r="P46" s="21">
        <v>283</v>
      </c>
      <c r="Q46" s="21">
        <v>5</v>
      </c>
      <c r="R46" s="21">
        <v>1</v>
      </c>
      <c r="S46" s="21">
        <v>500</v>
      </c>
      <c r="T46" s="21">
        <v>150</v>
      </c>
      <c r="U46" s="20" t="s">
        <v>34</v>
      </c>
      <c r="V46" s="20" t="s">
        <v>34</v>
      </c>
      <c r="W46" s="20" t="s">
        <v>35</v>
      </c>
      <c r="X46" s="20" t="s">
        <v>672</v>
      </c>
    </row>
    <row r="47" spans="1:24" x14ac:dyDescent="0.2">
      <c r="A47" s="22" t="e">
        <f>MATCH(C47,'[1]Slot Managers Split'!G:G,0)</f>
        <v>#N/A</v>
      </c>
      <c r="B47" s="22"/>
      <c r="C47" s="22" t="s">
        <v>843</v>
      </c>
      <c r="D47" s="22" t="s">
        <v>844</v>
      </c>
      <c r="E47" s="22" t="s">
        <v>0</v>
      </c>
      <c r="F47" s="22" t="s">
        <v>675</v>
      </c>
      <c r="G47" s="22" t="s">
        <v>32</v>
      </c>
      <c r="H47" s="27">
        <v>2400</v>
      </c>
      <c r="I47" s="27">
        <v>500</v>
      </c>
      <c r="J47" s="27">
        <v>6</v>
      </c>
      <c r="K47" s="27">
        <v>0</v>
      </c>
      <c r="L47" s="22" t="s">
        <v>34</v>
      </c>
      <c r="M47" s="22" t="s">
        <v>34</v>
      </c>
      <c r="N47" s="27">
        <v>161458</v>
      </c>
      <c r="O47" s="27">
        <v>656598</v>
      </c>
      <c r="P47" s="27">
        <v>1504</v>
      </c>
      <c r="Q47" s="27">
        <v>0</v>
      </c>
      <c r="R47" s="27">
        <v>0</v>
      </c>
      <c r="S47" s="27">
        <v>0</v>
      </c>
      <c r="T47" s="27">
        <v>12000</v>
      </c>
      <c r="U47" s="22" t="s">
        <v>33</v>
      </c>
      <c r="V47" s="22" t="s">
        <v>33</v>
      </c>
      <c r="W47" s="22" t="s">
        <v>35</v>
      </c>
      <c r="X47" s="22" t="s">
        <v>845</v>
      </c>
    </row>
    <row r="48" spans="1:24" hidden="1" x14ac:dyDescent="0.2">
      <c r="A48" s="33" t="e">
        <f>MATCH(C48,'[1]Slot Managers Split'!G:G,0)</f>
        <v>#N/A</v>
      </c>
      <c r="B48" s="33"/>
      <c r="C48" s="33" t="s">
        <v>150</v>
      </c>
      <c r="D48" s="33" t="s">
        <v>151</v>
      </c>
      <c r="E48" s="33" t="s">
        <v>30</v>
      </c>
      <c r="F48" s="33" t="s">
        <v>31</v>
      </c>
      <c r="G48" s="33" t="s">
        <v>32</v>
      </c>
      <c r="H48" s="34">
        <v>2400</v>
      </c>
      <c r="I48" s="34">
        <v>0</v>
      </c>
      <c r="J48" s="34">
        <v>0</v>
      </c>
      <c r="K48" s="34">
        <v>0</v>
      </c>
      <c r="L48" s="33" t="s">
        <v>33</v>
      </c>
      <c r="M48" s="33" t="s">
        <v>33</v>
      </c>
      <c r="N48" s="34">
        <v>88000</v>
      </c>
      <c r="O48" s="34">
        <v>0</v>
      </c>
      <c r="P48" s="34">
        <v>0</v>
      </c>
      <c r="Q48" s="34">
        <v>2</v>
      </c>
      <c r="R48" s="34">
        <v>0</v>
      </c>
      <c r="S48" s="34">
        <v>0</v>
      </c>
      <c r="T48" s="34">
        <v>0</v>
      </c>
      <c r="U48" s="33" t="s">
        <v>34</v>
      </c>
      <c r="V48" s="33" t="s">
        <v>34</v>
      </c>
      <c r="W48" s="33" t="s">
        <v>35</v>
      </c>
      <c r="X48" s="33" t="s">
        <v>152</v>
      </c>
    </row>
    <row r="49" spans="1:24" hidden="1" x14ac:dyDescent="0.2">
      <c r="A49" s="20">
        <f>MATCH(C49,'[1]Slot Managers Split'!G:G,0)</f>
        <v>283</v>
      </c>
      <c r="B49" s="20"/>
      <c r="C49" s="35" t="s">
        <v>490</v>
      </c>
      <c r="D49" s="20" t="s">
        <v>491</v>
      </c>
      <c r="E49" s="20" t="s">
        <v>30</v>
      </c>
      <c r="F49" s="20" t="s">
        <v>31</v>
      </c>
      <c r="G49" s="20" t="s">
        <v>32</v>
      </c>
      <c r="H49" s="21">
        <v>2400</v>
      </c>
      <c r="I49" s="21">
        <v>40</v>
      </c>
      <c r="J49" s="21">
        <v>14</v>
      </c>
      <c r="K49" s="21">
        <v>0</v>
      </c>
      <c r="L49" s="20" t="s">
        <v>33</v>
      </c>
      <c r="M49" s="20" t="s">
        <v>33</v>
      </c>
      <c r="N49" s="21">
        <v>125000</v>
      </c>
      <c r="O49" s="21">
        <v>42000</v>
      </c>
      <c r="P49" s="21">
        <v>454</v>
      </c>
      <c r="Q49" s="21">
        <v>12</v>
      </c>
      <c r="R49" s="21">
        <v>3</v>
      </c>
      <c r="S49" s="21">
        <v>2415</v>
      </c>
      <c r="T49" s="21">
        <v>1545</v>
      </c>
      <c r="U49" s="20" t="s">
        <v>34</v>
      </c>
      <c r="V49" s="20" t="s">
        <v>34</v>
      </c>
      <c r="W49" s="20" t="s">
        <v>35</v>
      </c>
      <c r="X49" s="20" t="s">
        <v>243</v>
      </c>
    </row>
    <row r="50" spans="1:24" hidden="1" x14ac:dyDescent="0.2">
      <c r="A50" s="20">
        <f>MATCH(C50,'[1]Slot Managers Split'!G:G,0)</f>
        <v>236</v>
      </c>
      <c r="B50" s="20"/>
      <c r="C50" s="20" t="s">
        <v>718</v>
      </c>
      <c r="D50" s="20" t="s">
        <v>557</v>
      </c>
      <c r="E50" s="20" t="s">
        <v>387</v>
      </c>
      <c r="F50" s="20" t="s">
        <v>31</v>
      </c>
      <c r="G50" s="20" t="s">
        <v>32</v>
      </c>
      <c r="H50" s="21">
        <v>2400</v>
      </c>
      <c r="I50" s="21">
        <v>59</v>
      </c>
      <c r="J50" s="21">
        <v>0</v>
      </c>
      <c r="K50" s="21">
        <v>0</v>
      </c>
      <c r="L50" s="20" t="s">
        <v>34</v>
      </c>
      <c r="M50" s="20" t="s">
        <v>33</v>
      </c>
      <c r="N50" s="21">
        <v>75000</v>
      </c>
      <c r="O50" s="21">
        <v>0</v>
      </c>
      <c r="P50" s="21">
        <v>400</v>
      </c>
      <c r="Q50" s="21">
        <v>5</v>
      </c>
      <c r="R50" s="21">
        <v>2</v>
      </c>
      <c r="S50" s="21">
        <v>3500</v>
      </c>
      <c r="T50" s="21">
        <v>0</v>
      </c>
      <c r="U50" s="20" t="s">
        <v>33</v>
      </c>
      <c r="V50" s="20" t="s">
        <v>33</v>
      </c>
      <c r="W50" s="20" t="s">
        <v>35</v>
      </c>
      <c r="X50" s="20" t="s">
        <v>720</v>
      </c>
    </row>
    <row r="51" spans="1:24" hidden="1" x14ac:dyDescent="0.2">
      <c r="A51" s="20">
        <f>MATCH(C51,'[1]Slot Managers Split'!G:G,0)</f>
        <v>79</v>
      </c>
      <c r="B51" s="20"/>
      <c r="C51" s="20" t="s">
        <v>983</v>
      </c>
      <c r="D51" s="20" t="s">
        <v>984</v>
      </c>
      <c r="E51" s="20" t="s">
        <v>39</v>
      </c>
      <c r="F51" s="20" t="s">
        <v>31</v>
      </c>
      <c r="G51" s="20" t="s">
        <v>32</v>
      </c>
      <c r="H51" s="21">
        <v>2400</v>
      </c>
      <c r="I51" s="21">
        <v>56</v>
      </c>
      <c r="J51" s="21">
        <v>17</v>
      </c>
      <c r="K51" s="21">
        <v>1246</v>
      </c>
      <c r="L51" s="20" t="s">
        <v>33</v>
      </c>
      <c r="M51" s="20" t="s">
        <v>33</v>
      </c>
      <c r="N51" s="21">
        <v>150000</v>
      </c>
      <c r="O51" s="21">
        <v>9088</v>
      </c>
      <c r="P51" s="21">
        <v>300</v>
      </c>
      <c r="Q51" s="21">
        <v>11</v>
      </c>
      <c r="R51" s="21">
        <v>1</v>
      </c>
      <c r="S51" s="21">
        <v>3500</v>
      </c>
      <c r="T51" s="21">
        <v>2700</v>
      </c>
      <c r="U51" s="20" t="s">
        <v>34</v>
      </c>
      <c r="V51" s="20" t="s">
        <v>34</v>
      </c>
      <c r="W51" s="20" t="s">
        <v>35</v>
      </c>
      <c r="X51" s="20" t="s">
        <v>985</v>
      </c>
    </row>
    <row r="52" spans="1:24" hidden="1" x14ac:dyDescent="0.2">
      <c r="A52" s="20">
        <f>MATCH(C52,'[1]Slot Managers Split'!G:G,0)</f>
        <v>237</v>
      </c>
      <c r="B52" s="20"/>
      <c r="C52" s="20" t="s">
        <v>592</v>
      </c>
      <c r="D52" s="20" t="s">
        <v>593</v>
      </c>
      <c r="E52" s="20" t="s">
        <v>129</v>
      </c>
      <c r="F52" s="20" t="s">
        <v>31</v>
      </c>
      <c r="G52" s="20" t="s">
        <v>32</v>
      </c>
      <c r="H52" s="21">
        <v>2381</v>
      </c>
      <c r="I52" s="21">
        <v>49</v>
      </c>
      <c r="J52" s="21">
        <v>0</v>
      </c>
      <c r="K52" s="21">
        <v>0</v>
      </c>
      <c r="L52" s="20" t="s">
        <v>34</v>
      </c>
      <c r="M52" s="20" t="s">
        <v>33</v>
      </c>
      <c r="N52" s="21">
        <v>117500</v>
      </c>
      <c r="O52" s="21">
        <v>0</v>
      </c>
      <c r="P52" s="21">
        <v>974</v>
      </c>
      <c r="Q52" s="21">
        <v>6</v>
      </c>
      <c r="R52" s="21">
        <v>2</v>
      </c>
      <c r="S52" s="21">
        <v>4150</v>
      </c>
      <c r="T52" s="21">
        <v>1438</v>
      </c>
      <c r="U52" s="20" t="s">
        <v>33</v>
      </c>
      <c r="V52" s="20" t="s">
        <v>33</v>
      </c>
      <c r="W52" s="20" t="s">
        <v>35</v>
      </c>
      <c r="X52" s="20" t="s">
        <v>594</v>
      </c>
    </row>
    <row r="53" spans="1:24" hidden="1" x14ac:dyDescent="0.2">
      <c r="A53" s="20">
        <f>MATCH(C53,'[1]Slot Managers Split'!G:G,0)</f>
        <v>41</v>
      </c>
      <c r="B53" s="20"/>
      <c r="C53" s="20" t="s">
        <v>1046</v>
      </c>
      <c r="D53" s="20" t="s">
        <v>1047</v>
      </c>
      <c r="E53" s="20" t="s">
        <v>39</v>
      </c>
      <c r="F53" s="20" t="s">
        <v>31</v>
      </c>
      <c r="G53" s="20" t="s">
        <v>32</v>
      </c>
      <c r="H53" s="21">
        <v>2374</v>
      </c>
      <c r="I53" s="21">
        <v>50</v>
      </c>
      <c r="J53" s="21">
        <v>0</v>
      </c>
      <c r="K53" s="21">
        <v>368</v>
      </c>
      <c r="L53" s="20" t="s">
        <v>33</v>
      </c>
      <c r="M53" s="20" t="s">
        <v>34</v>
      </c>
      <c r="N53" s="21">
        <v>125000</v>
      </c>
      <c r="O53" s="21">
        <v>9000</v>
      </c>
      <c r="P53" s="21">
        <v>396</v>
      </c>
      <c r="Q53" s="21">
        <v>12</v>
      </c>
      <c r="R53" s="21">
        <v>1</v>
      </c>
      <c r="S53" s="21">
        <v>3600</v>
      </c>
      <c r="T53" s="21">
        <v>2000</v>
      </c>
      <c r="U53" s="20" t="s">
        <v>34</v>
      </c>
      <c r="V53" s="20" t="s">
        <v>34</v>
      </c>
      <c r="W53" s="20" t="s">
        <v>35</v>
      </c>
      <c r="X53" s="20" t="s">
        <v>1048</v>
      </c>
    </row>
    <row r="54" spans="1:24" hidden="1" x14ac:dyDescent="0.2">
      <c r="A54" s="20">
        <f>MATCH(C54,'[1]Slot Managers Split'!G:G,0)</f>
        <v>123</v>
      </c>
      <c r="B54" s="20"/>
      <c r="C54" s="20" t="s">
        <v>1033</v>
      </c>
      <c r="D54" s="20" t="s">
        <v>817</v>
      </c>
      <c r="E54" s="20" t="s">
        <v>70</v>
      </c>
      <c r="F54" s="20" t="s">
        <v>31</v>
      </c>
      <c r="G54" s="20" t="s">
        <v>32</v>
      </c>
      <c r="H54" s="21">
        <v>2373</v>
      </c>
      <c r="I54" s="21">
        <v>37</v>
      </c>
      <c r="J54" s="21">
        <v>0</v>
      </c>
      <c r="K54" s="21">
        <v>870</v>
      </c>
      <c r="L54" s="20" t="s">
        <v>34</v>
      </c>
      <c r="M54" s="20" t="s">
        <v>33</v>
      </c>
      <c r="N54" s="21">
        <v>270250</v>
      </c>
      <c r="O54" s="21">
        <v>23224</v>
      </c>
      <c r="P54" s="21">
        <v>370</v>
      </c>
      <c r="Q54" s="21">
        <v>9</v>
      </c>
      <c r="R54" s="21">
        <v>2</v>
      </c>
      <c r="S54" s="21">
        <v>4365</v>
      </c>
      <c r="T54" s="21">
        <v>2500</v>
      </c>
      <c r="U54" s="20" t="s">
        <v>34</v>
      </c>
      <c r="V54" s="20" t="s">
        <v>34</v>
      </c>
      <c r="W54" s="20" t="s">
        <v>35</v>
      </c>
      <c r="X54" s="20" t="s">
        <v>819</v>
      </c>
    </row>
    <row r="55" spans="1:24" hidden="1" x14ac:dyDescent="0.2">
      <c r="A55" s="20">
        <f>MATCH(C55,'[1]Slot Managers Split'!G:G,0)</f>
        <v>238</v>
      </c>
      <c r="B55" s="20"/>
      <c r="C55" s="35" t="s">
        <v>486</v>
      </c>
      <c r="D55" s="20" t="s">
        <v>87</v>
      </c>
      <c r="E55" s="20" t="s">
        <v>88</v>
      </c>
      <c r="F55" s="20" t="s">
        <v>31</v>
      </c>
      <c r="G55" s="20" t="s">
        <v>32</v>
      </c>
      <c r="H55" s="21">
        <v>2336</v>
      </c>
      <c r="I55" s="21">
        <v>131</v>
      </c>
      <c r="J55" s="21">
        <v>0</v>
      </c>
      <c r="K55" s="21">
        <v>0</v>
      </c>
      <c r="L55" s="20" t="s">
        <v>33</v>
      </c>
      <c r="M55" s="20" t="s">
        <v>33</v>
      </c>
      <c r="N55" s="21">
        <v>120000</v>
      </c>
      <c r="O55" s="21">
        <v>155000</v>
      </c>
      <c r="P55" s="21">
        <v>1971</v>
      </c>
      <c r="Q55" s="21">
        <v>21</v>
      </c>
      <c r="R55" s="21">
        <v>4</v>
      </c>
      <c r="S55" s="21">
        <v>4000</v>
      </c>
      <c r="T55" s="21">
        <v>3000</v>
      </c>
      <c r="U55" s="20" t="s">
        <v>34</v>
      </c>
      <c r="V55" s="20" t="s">
        <v>33</v>
      </c>
      <c r="W55" s="20" t="s">
        <v>35</v>
      </c>
      <c r="X55" s="20" t="s">
        <v>482</v>
      </c>
    </row>
    <row r="56" spans="1:24" hidden="1" x14ac:dyDescent="0.2">
      <c r="A56" s="20">
        <f>MATCH(C56,'[1]Slot Managers Split'!G:G,0)</f>
        <v>21</v>
      </c>
      <c r="B56" s="20"/>
      <c r="C56" s="35" t="s">
        <v>153</v>
      </c>
      <c r="D56" s="20" t="s">
        <v>87</v>
      </c>
      <c r="E56" s="20" t="s">
        <v>88</v>
      </c>
      <c r="F56" s="20" t="s">
        <v>31</v>
      </c>
      <c r="G56" s="20" t="s">
        <v>32</v>
      </c>
      <c r="H56" s="21">
        <v>2334</v>
      </c>
      <c r="I56" s="21">
        <v>118</v>
      </c>
      <c r="J56" s="21">
        <v>70</v>
      </c>
      <c r="K56" s="21">
        <v>0</v>
      </c>
      <c r="L56" s="20" t="s">
        <v>34</v>
      </c>
      <c r="M56" s="20" t="s">
        <v>34</v>
      </c>
      <c r="N56" s="21">
        <v>161000</v>
      </c>
      <c r="O56" s="21">
        <v>106000</v>
      </c>
      <c r="P56" s="21">
        <v>2000</v>
      </c>
      <c r="Q56" s="21">
        <v>16</v>
      </c>
      <c r="R56" s="21">
        <v>4</v>
      </c>
      <c r="S56" s="21">
        <v>7100</v>
      </c>
      <c r="T56" s="21">
        <v>5622</v>
      </c>
      <c r="U56" s="20" t="s">
        <v>33</v>
      </c>
      <c r="V56" s="20" t="s">
        <v>33</v>
      </c>
      <c r="W56" s="20" t="s">
        <v>35</v>
      </c>
      <c r="X56" s="20" t="s">
        <v>130</v>
      </c>
    </row>
    <row r="57" spans="1:24" hidden="1" x14ac:dyDescent="0.2">
      <c r="A57" s="20">
        <f>MATCH(C57,'[1]Slot Managers Split'!G:G,0)</f>
        <v>124</v>
      </c>
      <c r="B57" s="20"/>
      <c r="C57" s="20" t="s">
        <v>1058</v>
      </c>
      <c r="D57" s="20" t="s">
        <v>1059</v>
      </c>
      <c r="E57" s="20" t="s">
        <v>521</v>
      </c>
      <c r="F57" s="20" t="s">
        <v>31</v>
      </c>
      <c r="G57" s="20" t="s">
        <v>32</v>
      </c>
      <c r="H57" s="21">
        <v>2318</v>
      </c>
      <c r="I57" s="21">
        <v>202</v>
      </c>
      <c r="J57" s="21">
        <v>20</v>
      </c>
      <c r="K57" s="21">
        <v>0</v>
      </c>
      <c r="L57" s="20" t="s">
        <v>33</v>
      </c>
      <c r="M57" s="20" t="s">
        <v>33</v>
      </c>
      <c r="N57" s="21">
        <v>150709</v>
      </c>
      <c r="O57" s="21">
        <v>22000</v>
      </c>
      <c r="P57" s="21">
        <v>282</v>
      </c>
      <c r="Q57" s="21">
        <v>8</v>
      </c>
      <c r="R57" s="21">
        <v>4</v>
      </c>
      <c r="S57" s="21">
        <v>3500</v>
      </c>
      <c r="T57" s="21">
        <v>2076</v>
      </c>
      <c r="U57" s="20" t="s">
        <v>34</v>
      </c>
      <c r="V57" s="20" t="s">
        <v>33</v>
      </c>
      <c r="W57" s="20" t="s">
        <v>35</v>
      </c>
      <c r="X57" s="20" t="s">
        <v>672</v>
      </c>
    </row>
    <row r="58" spans="1:24" hidden="1" x14ac:dyDescent="0.2">
      <c r="A58" s="20">
        <f>MATCH(C58,'[1]Slot Managers Split'!G:G,0)</f>
        <v>46</v>
      </c>
      <c r="B58" s="20"/>
      <c r="C58" s="20" t="s">
        <v>154</v>
      </c>
      <c r="D58" s="20" t="s">
        <v>81</v>
      </c>
      <c r="E58" s="20" t="s">
        <v>51</v>
      </c>
      <c r="F58" s="20" t="s">
        <v>31</v>
      </c>
      <c r="G58" s="20" t="s">
        <v>32</v>
      </c>
      <c r="H58" s="21">
        <v>2315</v>
      </c>
      <c r="I58" s="21">
        <v>24</v>
      </c>
      <c r="J58" s="21">
        <v>10</v>
      </c>
      <c r="K58" s="21">
        <v>390</v>
      </c>
      <c r="L58" s="20" t="s">
        <v>34</v>
      </c>
      <c r="M58" s="20" t="s">
        <v>34</v>
      </c>
      <c r="N58" s="21">
        <v>89443</v>
      </c>
      <c r="O58" s="21">
        <v>9700</v>
      </c>
      <c r="P58" s="21">
        <v>299</v>
      </c>
      <c r="Q58" s="21">
        <v>15</v>
      </c>
      <c r="R58" s="21">
        <v>1</v>
      </c>
      <c r="S58" s="21">
        <v>4350</v>
      </c>
      <c r="T58" s="21">
        <v>1200</v>
      </c>
      <c r="U58" s="20" t="s">
        <v>33</v>
      </c>
      <c r="V58" s="20" t="s">
        <v>33</v>
      </c>
      <c r="W58" s="20" t="s">
        <v>35</v>
      </c>
      <c r="X58" s="20" t="s">
        <v>155</v>
      </c>
    </row>
    <row r="59" spans="1:24" hidden="1" x14ac:dyDescent="0.2">
      <c r="A59" s="20">
        <f>MATCH(C59,'[1]Slot Managers Split'!G:G,0)</f>
        <v>102</v>
      </c>
      <c r="B59" s="20"/>
      <c r="C59" s="20" t="s">
        <v>689</v>
      </c>
      <c r="D59" s="20" t="s">
        <v>690</v>
      </c>
      <c r="E59" s="20" t="s">
        <v>573</v>
      </c>
      <c r="F59" s="20" t="s">
        <v>31</v>
      </c>
      <c r="G59" s="20" t="s">
        <v>32</v>
      </c>
      <c r="H59" s="21">
        <v>2305</v>
      </c>
      <c r="I59" s="21">
        <v>211</v>
      </c>
      <c r="J59" s="21">
        <v>50</v>
      </c>
      <c r="K59" s="21">
        <v>0</v>
      </c>
      <c r="L59" s="20" t="s">
        <v>34</v>
      </c>
      <c r="M59" s="20" t="s">
        <v>33</v>
      </c>
      <c r="N59" s="21">
        <v>163000</v>
      </c>
      <c r="O59" s="21">
        <v>50000</v>
      </c>
      <c r="P59" s="21">
        <v>308</v>
      </c>
      <c r="Q59" s="21">
        <v>1</v>
      </c>
      <c r="R59" s="21">
        <v>0</v>
      </c>
      <c r="S59" s="21">
        <v>5000</v>
      </c>
      <c r="T59" s="21">
        <v>2706</v>
      </c>
      <c r="U59" s="20" t="s">
        <v>33</v>
      </c>
      <c r="V59" s="20" t="s">
        <v>33</v>
      </c>
      <c r="W59" s="20" t="s">
        <v>35</v>
      </c>
      <c r="X59" s="20" t="s">
        <v>130</v>
      </c>
    </row>
    <row r="60" spans="1:24" x14ac:dyDescent="0.2">
      <c r="A60" s="22" t="e">
        <f>MATCH(C60,'[1]Slot Managers Split'!G:G,0)</f>
        <v>#N/A</v>
      </c>
      <c r="B60" s="22"/>
      <c r="C60" s="22" t="s">
        <v>674</v>
      </c>
      <c r="D60" s="22" t="s">
        <v>675</v>
      </c>
      <c r="E60" s="22" t="s">
        <v>0</v>
      </c>
      <c r="F60" s="22" t="s">
        <v>675</v>
      </c>
      <c r="G60" s="22" t="s">
        <v>32</v>
      </c>
      <c r="H60" s="27">
        <v>2300</v>
      </c>
      <c r="I60" s="27">
        <v>600</v>
      </c>
      <c r="J60" s="27">
        <v>0</v>
      </c>
      <c r="K60" s="27">
        <v>0</v>
      </c>
      <c r="L60" s="22" t="s">
        <v>33</v>
      </c>
      <c r="M60" s="22" t="s">
        <v>33</v>
      </c>
      <c r="N60" s="27">
        <v>161458</v>
      </c>
      <c r="O60" s="27">
        <v>1300000</v>
      </c>
      <c r="P60" s="27">
        <v>2561</v>
      </c>
      <c r="Q60" s="27">
        <v>0</v>
      </c>
      <c r="R60" s="27">
        <v>0</v>
      </c>
      <c r="S60" s="27">
        <v>0</v>
      </c>
      <c r="T60" s="27">
        <v>9500</v>
      </c>
      <c r="U60" s="22" t="s">
        <v>33</v>
      </c>
      <c r="V60" s="22" t="s">
        <v>33</v>
      </c>
      <c r="W60" s="22" t="s">
        <v>35</v>
      </c>
      <c r="X60" s="22" t="s">
        <v>676</v>
      </c>
    </row>
    <row r="61" spans="1:24" hidden="1" x14ac:dyDescent="0.2">
      <c r="A61" s="20">
        <f>MATCH(C61,'[1]Slot Managers Split'!G:G,0)</f>
        <v>44</v>
      </c>
      <c r="B61" s="20"/>
      <c r="C61" s="35" t="s">
        <v>161</v>
      </c>
      <c r="D61" s="20" t="s">
        <v>162</v>
      </c>
      <c r="E61" s="20" t="s">
        <v>39</v>
      </c>
      <c r="F61" s="20" t="s">
        <v>31</v>
      </c>
      <c r="G61" s="20" t="s">
        <v>32</v>
      </c>
      <c r="H61" s="21">
        <v>2300</v>
      </c>
      <c r="I61" s="21">
        <v>120</v>
      </c>
      <c r="J61" s="21">
        <v>0</v>
      </c>
      <c r="K61" s="21">
        <v>0</v>
      </c>
      <c r="L61" s="20" t="s">
        <v>33</v>
      </c>
      <c r="M61" s="20" t="s">
        <v>33</v>
      </c>
      <c r="N61" s="21">
        <v>94505</v>
      </c>
      <c r="O61" s="21">
        <v>1800</v>
      </c>
      <c r="P61" s="21">
        <v>200</v>
      </c>
      <c r="Q61" s="21">
        <v>10</v>
      </c>
      <c r="R61" s="21">
        <v>0</v>
      </c>
      <c r="S61" s="21">
        <v>1883</v>
      </c>
      <c r="T61" s="21">
        <v>2000</v>
      </c>
      <c r="U61" s="20" t="s">
        <v>34</v>
      </c>
      <c r="V61" s="20" t="s">
        <v>34</v>
      </c>
      <c r="W61" s="20" t="s">
        <v>35</v>
      </c>
      <c r="X61" s="20" t="s">
        <v>163</v>
      </c>
    </row>
    <row r="62" spans="1:24" hidden="1" x14ac:dyDescent="0.2">
      <c r="A62" s="20">
        <f>MATCH(C62,'[1]Slot Managers Split'!G:G,0)</f>
        <v>125</v>
      </c>
      <c r="B62" s="20"/>
      <c r="C62" s="20" t="s">
        <v>260</v>
      </c>
      <c r="D62" s="20" t="s">
        <v>261</v>
      </c>
      <c r="E62" s="20" t="s">
        <v>39</v>
      </c>
      <c r="F62" s="20" t="s">
        <v>31</v>
      </c>
      <c r="G62" s="20" t="s">
        <v>32</v>
      </c>
      <c r="H62" s="21">
        <v>2300</v>
      </c>
      <c r="I62" s="21">
        <v>45</v>
      </c>
      <c r="J62" s="21">
        <v>12</v>
      </c>
      <c r="K62" s="21">
        <v>1000</v>
      </c>
      <c r="L62" s="20" t="s">
        <v>33</v>
      </c>
      <c r="M62" s="20" t="s">
        <v>33</v>
      </c>
      <c r="N62" s="21">
        <v>115000</v>
      </c>
      <c r="O62" s="21">
        <v>15000</v>
      </c>
      <c r="P62" s="21">
        <v>320</v>
      </c>
      <c r="Q62" s="21">
        <v>7</v>
      </c>
      <c r="R62" s="21">
        <v>1</v>
      </c>
      <c r="S62" s="21">
        <v>1000</v>
      </c>
      <c r="T62" s="21">
        <v>1600</v>
      </c>
      <c r="U62" s="20" t="s">
        <v>34</v>
      </c>
      <c r="V62" s="20" t="s">
        <v>34</v>
      </c>
      <c r="W62" s="20" t="s">
        <v>35</v>
      </c>
      <c r="X62" s="20" t="s">
        <v>262</v>
      </c>
    </row>
    <row r="63" spans="1:24" hidden="1" x14ac:dyDescent="0.2">
      <c r="A63" s="31" t="e">
        <f>MATCH(C63,'[1]Slot Managers Split'!G:G,0)</f>
        <v>#N/A</v>
      </c>
      <c r="B63" s="31"/>
      <c r="C63" s="36" t="s">
        <v>354</v>
      </c>
      <c r="D63" s="31" t="s">
        <v>355</v>
      </c>
      <c r="E63" s="31" t="s">
        <v>70</v>
      </c>
      <c r="F63" s="31" t="s">
        <v>31</v>
      </c>
      <c r="G63" s="31" t="s">
        <v>32</v>
      </c>
      <c r="H63" s="32">
        <v>2300</v>
      </c>
      <c r="I63" s="32">
        <v>0</v>
      </c>
      <c r="J63" s="32">
        <v>0</v>
      </c>
      <c r="K63" s="32">
        <v>0</v>
      </c>
      <c r="L63" s="31" t="s">
        <v>34</v>
      </c>
      <c r="M63" s="31" t="s">
        <v>33</v>
      </c>
      <c r="N63" s="32">
        <v>33000</v>
      </c>
      <c r="O63" s="32">
        <v>25000</v>
      </c>
      <c r="P63" s="32">
        <v>103</v>
      </c>
      <c r="Q63" s="32">
        <v>3</v>
      </c>
      <c r="R63" s="32">
        <v>0</v>
      </c>
      <c r="S63" s="32">
        <v>2500</v>
      </c>
      <c r="T63" s="32">
        <v>2000</v>
      </c>
      <c r="U63" s="31" t="s">
        <v>34</v>
      </c>
      <c r="V63" s="31" t="s">
        <v>34</v>
      </c>
      <c r="W63" s="31" t="s">
        <v>35</v>
      </c>
      <c r="X63" s="31" t="s">
        <v>357</v>
      </c>
    </row>
    <row r="64" spans="1:24" hidden="1" x14ac:dyDescent="0.2">
      <c r="A64" s="31" t="e">
        <f>MATCH(C64,'[1]Slot Managers Split'!G:G,0)</f>
        <v>#N/A</v>
      </c>
      <c r="B64" s="31"/>
      <c r="C64" s="36" t="s">
        <v>468</v>
      </c>
      <c r="D64" s="31" t="s">
        <v>165</v>
      </c>
      <c r="E64" s="31" t="s">
        <v>51</v>
      </c>
      <c r="F64" s="31" t="s">
        <v>31</v>
      </c>
      <c r="G64" s="31" t="s">
        <v>32</v>
      </c>
      <c r="H64" s="32">
        <v>2250</v>
      </c>
      <c r="I64" s="32">
        <v>56</v>
      </c>
      <c r="J64" s="32">
        <v>0</v>
      </c>
      <c r="K64" s="32">
        <v>0</v>
      </c>
      <c r="L64" s="31" t="s">
        <v>34</v>
      </c>
      <c r="M64" s="31" t="s">
        <v>34</v>
      </c>
      <c r="N64" s="32">
        <v>143891</v>
      </c>
      <c r="O64" s="32">
        <v>79000</v>
      </c>
      <c r="P64" s="32">
        <v>480</v>
      </c>
      <c r="Q64" s="32">
        <v>10</v>
      </c>
      <c r="R64" s="32">
        <v>6</v>
      </c>
      <c r="S64" s="32">
        <v>1200</v>
      </c>
      <c r="T64" s="32">
        <v>1700</v>
      </c>
      <c r="U64" s="31" t="s">
        <v>33</v>
      </c>
      <c r="V64" s="31" t="s">
        <v>33</v>
      </c>
      <c r="W64" s="31" t="s">
        <v>35</v>
      </c>
      <c r="X64" s="31" t="s">
        <v>469</v>
      </c>
    </row>
    <row r="65" spans="1:24" hidden="1" x14ac:dyDescent="0.2">
      <c r="A65" s="31" t="e">
        <f>MATCH(C65,'[1]Slot Managers Split'!G:G,0)</f>
        <v>#N/A</v>
      </c>
      <c r="B65" s="31"/>
      <c r="C65" s="31" t="s">
        <v>336</v>
      </c>
      <c r="D65" s="31" t="s">
        <v>81</v>
      </c>
      <c r="E65" s="31" t="s">
        <v>51</v>
      </c>
      <c r="F65" s="31" t="s">
        <v>31</v>
      </c>
      <c r="G65" s="31" t="s">
        <v>32</v>
      </c>
      <c r="H65" s="32">
        <v>2230</v>
      </c>
      <c r="I65" s="32">
        <v>68</v>
      </c>
      <c r="J65" s="32">
        <v>0</v>
      </c>
      <c r="K65" s="32">
        <v>0</v>
      </c>
      <c r="L65" s="31" t="s">
        <v>34</v>
      </c>
      <c r="M65" s="31" t="s">
        <v>34</v>
      </c>
      <c r="N65" s="32">
        <v>83000</v>
      </c>
      <c r="O65" s="32">
        <v>20000</v>
      </c>
      <c r="P65" s="32">
        <v>215</v>
      </c>
      <c r="Q65" s="32">
        <v>0</v>
      </c>
      <c r="R65" s="32">
        <v>0</v>
      </c>
      <c r="S65" s="32">
        <v>0</v>
      </c>
      <c r="T65" s="32">
        <v>0</v>
      </c>
      <c r="U65" s="31" t="s">
        <v>33</v>
      </c>
      <c r="V65" s="31" t="s">
        <v>33</v>
      </c>
      <c r="W65" s="31" t="s">
        <v>35</v>
      </c>
      <c r="X65" s="31" t="s">
        <v>155</v>
      </c>
    </row>
    <row r="66" spans="1:24" hidden="1" x14ac:dyDescent="0.2">
      <c r="A66" s="20" t="e">
        <f>MATCH(C66,'[1]Slot Managers Split'!G:G,0)</f>
        <v>#N/A</v>
      </c>
      <c r="B66" s="20"/>
      <c r="C66" s="20" t="s">
        <v>887</v>
      </c>
      <c r="D66" s="20" t="s">
        <v>81</v>
      </c>
      <c r="E66" s="20" t="s">
        <v>51</v>
      </c>
      <c r="F66" s="20" t="s">
        <v>31</v>
      </c>
      <c r="G66" s="20" t="s">
        <v>32</v>
      </c>
      <c r="H66" s="21">
        <v>2228</v>
      </c>
      <c r="I66" s="21">
        <v>39</v>
      </c>
      <c r="J66" s="21">
        <v>14</v>
      </c>
      <c r="K66" s="21">
        <v>466</v>
      </c>
      <c r="L66" s="20" t="s">
        <v>34</v>
      </c>
      <c r="M66" s="20" t="s">
        <v>34</v>
      </c>
      <c r="N66" s="21">
        <v>160001</v>
      </c>
      <c r="O66" s="21">
        <v>6111</v>
      </c>
      <c r="P66" s="21">
        <v>200</v>
      </c>
      <c r="Q66" s="21">
        <v>13</v>
      </c>
      <c r="R66" s="21">
        <v>3</v>
      </c>
      <c r="S66" s="21">
        <v>5200</v>
      </c>
      <c r="T66" s="21">
        <v>996</v>
      </c>
      <c r="U66" s="20" t="s">
        <v>33</v>
      </c>
      <c r="V66" s="20" t="s">
        <v>33</v>
      </c>
      <c r="W66" s="20" t="s">
        <v>35</v>
      </c>
      <c r="X66" s="20" t="s">
        <v>155</v>
      </c>
    </row>
    <row r="67" spans="1:24" hidden="1" x14ac:dyDescent="0.2">
      <c r="A67" s="20" t="e">
        <f>MATCH(C67,'[1]Slot Managers Split'!G:G,0)</f>
        <v>#N/A</v>
      </c>
      <c r="B67" s="20"/>
      <c r="C67" s="20" t="s">
        <v>956</v>
      </c>
      <c r="D67" s="20" t="s">
        <v>957</v>
      </c>
      <c r="E67" s="20" t="s">
        <v>760</v>
      </c>
      <c r="F67" s="20" t="s">
        <v>31</v>
      </c>
      <c r="G67" s="20" t="s">
        <v>32</v>
      </c>
      <c r="H67" s="21">
        <v>2218</v>
      </c>
      <c r="I67" s="21">
        <v>54</v>
      </c>
      <c r="J67" s="21">
        <v>0</v>
      </c>
      <c r="K67" s="21">
        <v>0</v>
      </c>
      <c r="L67" s="20" t="s">
        <v>34</v>
      </c>
      <c r="M67" s="20" t="s">
        <v>34</v>
      </c>
      <c r="N67" s="21">
        <v>113000</v>
      </c>
      <c r="O67" s="21">
        <v>0</v>
      </c>
      <c r="P67" s="21">
        <v>300</v>
      </c>
      <c r="Q67" s="21">
        <v>8</v>
      </c>
      <c r="R67" s="21">
        <v>2</v>
      </c>
      <c r="S67" s="21">
        <v>1400</v>
      </c>
      <c r="T67" s="21">
        <v>984</v>
      </c>
      <c r="U67" s="20" t="s">
        <v>33</v>
      </c>
      <c r="V67" s="20" t="s">
        <v>33</v>
      </c>
      <c r="W67" s="20" t="s">
        <v>428</v>
      </c>
      <c r="X67" s="20" t="s">
        <v>958</v>
      </c>
    </row>
    <row r="68" spans="1:24" hidden="1" x14ac:dyDescent="0.2">
      <c r="A68" s="31" t="e">
        <f>MATCH(C68,'[1]Slot Managers Split'!G:G,0)</f>
        <v>#N/A</v>
      </c>
      <c r="B68" s="31"/>
      <c r="C68" s="31" t="s">
        <v>796</v>
      </c>
      <c r="D68" s="31" t="s">
        <v>797</v>
      </c>
      <c r="E68" s="31" t="s">
        <v>179</v>
      </c>
      <c r="F68" s="31" t="s">
        <v>180</v>
      </c>
      <c r="G68" s="31" t="s">
        <v>32</v>
      </c>
      <c r="H68" s="32">
        <v>2200</v>
      </c>
      <c r="I68" s="32">
        <v>90</v>
      </c>
      <c r="J68" s="32">
        <v>18</v>
      </c>
      <c r="K68" s="32">
        <v>0</v>
      </c>
      <c r="L68" s="31" t="s">
        <v>33</v>
      </c>
      <c r="M68" s="31" t="s">
        <v>33</v>
      </c>
      <c r="N68" s="32">
        <v>96000</v>
      </c>
      <c r="O68" s="32">
        <v>0</v>
      </c>
      <c r="P68" s="32">
        <v>275</v>
      </c>
      <c r="Q68" s="32">
        <v>1</v>
      </c>
      <c r="R68" s="32">
        <v>1</v>
      </c>
      <c r="S68" s="32">
        <v>0</v>
      </c>
      <c r="T68" s="32">
        <v>2000</v>
      </c>
      <c r="U68" s="31" t="s">
        <v>33</v>
      </c>
      <c r="V68" s="31" t="s">
        <v>33</v>
      </c>
      <c r="W68" s="31" t="s">
        <v>35</v>
      </c>
      <c r="X68" s="31" t="s">
        <v>798</v>
      </c>
    </row>
    <row r="69" spans="1:24" hidden="1" x14ac:dyDescent="0.2">
      <c r="A69" s="20">
        <f>MATCH(C69,'[1]Slot Managers Split'!G:G,0)</f>
        <v>78</v>
      </c>
      <c r="B69" s="20"/>
      <c r="C69" s="20" t="s">
        <v>118</v>
      </c>
      <c r="D69" s="20" t="s">
        <v>119</v>
      </c>
      <c r="E69" s="20" t="s">
        <v>39</v>
      </c>
      <c r="F69" s="20" t="s">
        <v>31</v>
      </c>
      <c r="G69" s="20" t="s">
        <v>32</v>
      </c>
      <c r="H69" s="21">
        <v>2200</v>
      </c>
      <c r="I69" s="21">
        <v>65</v>
      </c>
      <c r="J69" s="21">
        <v>0</v>
      </c>
      <c r="K69" s="21">
        <v>0</v>
      </c>
      <c r="L69" s="20" t="s">
        <v>33</v>
      </c>
      <c r="M69" s="20" t="s">
        <v>34</v>
      </c>
      <c r="N69" s="21">
        <v>310000</v>
      </c>
      <c r="O69" s="21">
        <v>100000</v>
      </c>
      <c r="P69" s="21">
        <v>400</v>
      </c>
      <c r="Q69" s="21">
        <v>9</v>
      </c>
      <c r="R69" s="21">
        <v>0</v>
      </c>
      <c r="S69" s="21">
        <v>5000</v>
      </c>
      <c r="T69" s="21">
        <v>3000</v>
      </c>
      <c r="U69" s="20" t="s">
        <v>34</v>
      </c>
      <c r="V69" s="20" t="s">
        <v>34</v>
      </c>
      <c r="W69" s="20" t="s">
        <v>35</v>
      </c>
      <c r="X69" s="20" t="s">
        <v>121</v>
      </c>
    </row>
    <row r="70" spans="1:24" hidden="1" x14ac:dyDescent="0.2">
      <c r="A70" s="20">
        <f>MATCH(C70,'[1]Slot Managers Split'!G:G,0)</f>
        <v>242</v>
      </c>
      <c r="B70" s="20"/>
      <c r="C70" s="20" t="s">
        <v>556</v>
      </c>
      <c r="D70" s="20" t="s">
        <v>557</v>
      </c>
      <c r="E70" s="20" t="s">
        <v>387</v>
      </c>
      <c r="F70" s="20" t="s">
        <v>31</v>
      </c>
      <c r="G70" s="20" t="s">
        <v>32</v>
      </c>
      <c r="H70" s="21">
        <v>2200</v>
      </c>
      <c r="I70" s="21">
        <v>61</v>
      </c>
      <c r="J70" s="21">
        <v>10</v>
      </c>
      <c r="K70" s="21">
        <v>0</v>
      </c>
      <c r="L70" s="20" t="s">
        <v>34</v>
      </c>
      <c r="M70" s="20" t="s">
        <v>33</v>
      </c>
      <c r="N70" s="21">
        <v>100000</v>
      </c>
      <c r="O70" s="21">
        <v>2735</v>
      </c>
      <c r="P70" s="21">
        <v>400</v>
      </c>
      <c r="Q70" s="21">
        <v>7</v>
      </c>
      <c r="R70" s="21">
        <v>3</v>
      </c>
      <c r="S70" s="21">
        <v>2900</v>
      </c>
      <c r="T70" s="21">
        <v>1700</v>
      </c>
      <c r="U70" s="20" t="s">
        <v>33</v>
      </c>
      <c r="V70" s="20" t="s">
        <v>33</v>
      </c>
      <c r="W70" s="20" t="s">
        <v>35</v>
      </c>
      <c r="X70" s="20" t="s">
        <v>558</v>
      </c>
    </row>
    <row r="71" spans="1:24" hidden="1" x14ac:dyDescent="0.2">
      <c r="A71" s="31" t="e">
        <f>MATCH(C71,'[1]Slot Managers Split'!G:G,0)</f>
        <v>#N/A</v>
      </c>
      <c r="B71" s="31"/>
      <c r="C71" s="31" t="s">
        <v>896</v>
      </c>
      <c r="D71" s="31" t="s">
        <v>897</v>
      </c>
      <c r="E71" s="31" t="s">
        <v>185</v>
      </c>
      <c r="F71" s="31" t="s">
        <v>31</v>
      </c>
      <c r="G71" s="31" t="s">
        <v>32</v>
      </c>
      <c r="H71" s="32">
        <v>2200</v>
      </c>
      <c r="I71" s="32">
        <v>80</v>
      </c>
      <c r="J71" s="32">
        <v>30</v>
      </c>
      <c r="K71" s="32">
        <v>0</v>
      </c>
      <c r="L71" s="31" t="s">
        <v>34</v>
      </c>
      <c r="M71" s="31" t="s">
        <v>33</v>
      </c>
      <c r="N71" s="32">
        <v>100000</v>
      </c>
      <c r="O71" s="32">
        <v>0</v>
      </c>
      <c r="P71" s="32">
        <v>0</v>
      </c>
      <c r="Q71" s="32">
        <v>7</v>
      </c>
      <c r="R71" s="32">
        <v>1</v>
      </c>
      <c r="S71" s="32">
        <v>2400</v>
      </c>
      <c r="T71" s="32">
        <v>2019</v>
      </c>
      <c r="U71" s="31" t="s">
        <v>34</v>
      </c>
      <c r="V71" s="31" t="s">
        <v>34</v>
      </c>
      <c r="W71" s="31" t="s">
        <v>35</v>
      </c>
      <c r="X71" s="31" t="s">
        <v>482</v>
      </c>
    </row>
    <row r="72" spans="1:24" hidden="1" x14ac:dyDescent="0.2">
      <c r="A72" s="20">
        <f>MATCH(C72,'[1]Slot Managers Split'!G:G,0)</f>
        <v>243</v>
      </c>
      <c r="B72" s="20"/>
      <c r="C72" s="20" t="s">
        <v>1063</v>
      </c>
      <c r="D72" s="20" t="s">
        <v>1064</v>
      </c>
      <c r="E72" s="20" t="s">
        <v>1057</v>
      </c>
      <c r="F72" s="20" t="s">
        <v>31</v>
      </c>
      <c r="G72" s="20" t="s">
        <v>32</v>
      </c>
      <c r="H72" s="21">
        <v>2200</v>
      </c>
      <c r="I72" s="21">
        <v>0</v>
      </c>
      <c r="J72" s="21">
        <v>0</v>
      </c>
      <c r="K72" s="21">
        <v>0</v>
      </c>
      <c r="L72" s="20" t="s">
        <v>33</v>
      </c>
      <c r="M72" s="20" t="s">
        <v>33</v>
      </c>
      <c r="N72" s="21">
        <v>65000</v>
      </c>
      <c r="O72" s="21">
        <v>0</v>
      </c>
      <c r="P72" s="21">
        <v>123</v>
      </c>
      <c r="Q72" s="21">
        <v>3</v>
      </c>
      <c r="R72" s="21">
        <v>0</v>
      </c>
      <c r="S72" s="21">
        <v>1600</v>
      </c>
      <c r="T72" s="21">
        <v>600</v>
      </c>
      <c r="U72" s="20" t="s">
        <v>34</v>
      </c>
      <c r="V72" s="20" t="s">
        <v>34</v>
      </c>
      <c r="W72" s="20" t="s">
        <v>35</v>
      </c>
      <c r="X72" s="20" t="s">
        <v>672</v>
      </c>
    </row>
    <row r="73" spans="1:24" hidden="1" x14ac:dyDescent="0.2">
      <c r="A73" s="20" t="e">
        <f>MATCH(C73,'[1]Slot Managers Split'!G:G,0)</f>
        <v>#N/A</v>
      </c>
      <c r="B73" s="20"/>
      <c r="C73" s="20" t="s">
        <v>100</v>
      </c>
      <c r="D73" s="20" t="s">
        <v>101</v>
      </c>
      <c r="E73" s="20" t="s">
        <v>102</v>
      </c>
      <c r="F73" s="20" t="s">
        <v>31</v>
      </c>
      <c r="G73" s="20" t="s">
        <v>32</v>
      </c>
      <c r="H73" s="21">
        <v>2154</v>
      </c>
      <c r="I73" s="21">
        <v>28</v>
      </c>
      <c r="J73" s="21">
        <v>0</v>
      </c>
      <c r="K73" s="21">
        <v>0</v>
      </c>
      <c r="L73" s="20" t="s">
        <v>34</v>
      </c>
      <c r="M73" s="20" t="s">
        <v>34</v>
      </c>
      <c r="N73" s="21">
        <v>115000</v>
      </c>
      <c r="O73" s="21">
        <v>35000</v>
      </c>
      <c r="P73" s="21">
        <v>500</v>
      </c>
      <c r="Q73" s="21">
        <v>13</v>
      </c>
      <c r="R73" s="21">
        <v>2</v>
      </c>
      <c r="S73" s="21">
        <v>2300</v>
      </c>
      <c r="T73" s="21">
        <v>1400</v>
      </c>
      <c r="U73" s="20" t="s">
        <v>33</v>
      </c>
      <c r="V73" s="20" t="s">
        <v>33</v>
      </c>
      <c r="W73" s="20" t="s">
        <v>103</v>
      </c>
      <c r="X73" s="20" t="s">
        <v>99</v>
      </c>
    </row>
    <row r="74" spans="1:24" hidden="1" x14ac:dyDescent="0.2">
      <c r="A74" s="20" t="e">
        <f>MATCH(C74,'[1]Slot Managers Split'!G:G,0)</f>
        <v>#N/A</v>
      </c>
      <c r="B74" s="20"/>
      <c r="C74" s="20" t="s">
        <v>954</v>
      </c>
      <c r="D74" s="20" t="s">
        <v>81</v>
      </c>
      <c r="E74" s="20" t="s">
        <v>51</v>
      </c>
      <c r="F74" s="20" t="s">
        <v>31</v>
      </c>
      <c r="G74" s="20" t="s">
        <v>32</v>
      </c>
      <c r="H74" s="21">
        <v>2113</v>
      </c>
      <c r="I74" s="21">
        <v>64</v>
      </c>
      <c r="J74" s="21">
        <v>31</v>
      </c>
      <c r="K74" s="21">
        <v>640</v>
      </c>
      <c r="L74" s="20" t="s">
        <v>34</v>
      </c>
      <c r="M74" s="20" t="s">
        <v>34</v>
      </c>
      <c r="N74" s="21">
        <v>137232</v>
      </c>
      <c r="O74" s="21">
        <v>150000</v>
      </c>
      <c r="P74" s="21">
        <v>2100</v>
      </c>
      <c r="Q74" s="21">
        <v>14</v>
      </c>
      <c r="R74" s="21">
        <v>2</v>
      </c>
      <c r="S74" s="21">
        <v>5696</v>
      </c>
      <c r="T74" s="21">
        <v>2300</v>
      </c>
      <c r="U74" s="20" t="s">
        <v>33</v>
      </c>
      <c r="V74" s="20" t="s">
        <v>33</v>
      </c>
      <c r="W74" s="20" t="s">
        <v>35</v>
      </c>
      <c r="X74" s="20" t="s">
        <v>955</v>
      </c>
    </row>
    <row r="75" spans="1:24" hidden="1" x14ac:dyDescent="0.2">
      <c r="A75" s="20" t="e">
        <f>MATCH(C75,'[1]Slot Managers Split'!G:G,0)</f>
        <v>#N/A</v>
      </c>
      <c r="B75" s="20"/>
      <c r="C75" s="20" t="s">
        <v>989</v>
      </c>
      <c r="D75" s="20" t="s">
        <v>990</v>
      </c>
      <c r="E75" s="20" t="s">
        <v>39</v>
      </c>
      <c r="F75" s="20" t="s">
        <v>31</v>
      </c>
      <c r="G75" s="20" t="s">
        <v>32</v>
      </c>
      <c r="H75" s="21">
        <v>2104</v>
      </c>
      <c r="I75" s="21">
        <v>28</v>
      </c>
      <c r="J75" s="21">
        <v>0</v>
      </c>
      <c r="K75" s="21">
        <v>1200</v>
      </c>
      <c r="L75" s="20" t="s">
        <v>33</v>
      </c>
      <c r="M75" s="20" t="s">
        <v>33</v>
      </c>
      <c r="N75" s="21">
        <v>140000</v>
      </c>
      <c r="O75" s="21">
        <v>6000</v>
      </c>
      <c r="P75" s="21">
        <v>255</v>
      </c>
      <c r="Q75" s="21">
        <v>8</v>
      </c>
      <c r="R75" s="21">
        <v>2</v>
      </c>
      <c r="S75" s="21">
        <v>0</v>
      </c>
      <c r="T75" s="21">
        <v>1500</v>
      </c>
      <c r="U75" s="20" t="s">
        <v>34</v>
      </c>
      <c r="V75" s="20" t="s">
        <v>34</v>
      </c>
      <c r="W75" s="20" t="s">
        <v>35</v>
      </c>
      <c r="X75" s="20" t="s">
        <v>991</v>
      </c>
    </row>
    <row r="76" spans="1:24" hidden="1" x14ac:dyDescent="0.2">
      <c r="A76" s="31" t="e">
        <f>MATCH(C76,'[1]Slot Managers Split'!G:G,0)</f>
        <v>#N/A</v>
      </c>
      <c r="B76" s="31"/>
      <c r="C76" s="31" t="s">
        <v>358</v>
      </c>
      <c r="D76" s="31" t="s">
        <v>359</v>
      </c>
      <c r="E76" s="31" t="s">
        <v>70</v>
      </c>
      <c r="F76" s="31" t="s">
        <v>31</v>
      </c>
      <c r="G76" s="31" t="s">
        <v>32</v>
      </c>
      <c r="H76" s="32">
        <v>2100</v>
      </c>
      <c r="I76" s="32">
        <v>60</v>
      </c>
      <c r="J76" s="32">
        <v>0</v>
      </c>
      <c r="K76" s="32">
        <v>0</v>
      </c>
      <c r="L76" s="31" t="s">
        <v>34</v>
      </c>
      <c r="M76" s="31" t="s">
        <v>33</v>
      </c>
      <c r="N76" s="32">
        <v>50000</v>
      </c>
      <c r="O76" s="32">
        <v>23000</v>
      </c>
      <c r="P76" s="32">
        <v>155</v>
      </c>
      <c r="Q76" s="32">
        <v>5</v>
      </c>
      <c r="R76" s="32">
        <v>0</v>
      </c>
      <c r="S76" s="32">
        <v>1000</v>
      </c>
      <c r="T76" s="32">
        <v>2000</v>
      </c>
      <c r="U76" s="31" t="s">
        <v>34</v>
      </c>
      <c r="V76" s="31" t="s">
        <v>34</v>
      </c>
      <c r="W76" s="31" t="s">
        <v>35</v>
      </c>
      <c r="X76" s="31" t="s">
        <v>357</v>
      </c>
    </row>
    <row r="77" spans="1:24" hidden="1" x14ac:dyDescent="0.2">
      <c r="A77" s="20">
        <f>MATCH(C77,'[1]Slot Managers Split'!G:G,0)</f>
        <v>246</v>
      </c>
      <c r="B77" s="20"/>
      <c r="C77" s="20" t="s">
        <v>822</v>
      </c>
      <c r="D77" s="20" t="s">
        <v>823</v>
      </c>
      <c r="E77" s="20" t="s">
        <v>39</v>
      </c>
      <c r="F77" s="20" t="s">
        <v>31</v>
      </c>
      <c r="G77" s="20" t="s">
        <v>32</v>
      </c>
      <c r="H77" s="21">
        <v>2100</v>
      </c>
      <c r="I77" s="21">
        <v>70</v>
      </c>
      <c r="J77" s="21">
        <v>0</v>
      </c>
      <c r="K77" s="21">
        <v>0</v>
      </c>
      <c r="L77" s="20" t="s">
        <v>33</v>
      </c>
      <c r="M77" s="20" t="s">
        <v>33</v>
      </c>
      <c r="N77" s="21">
        <v>88000</v>
      </c>
      <c r="O77" s="21">
        <v>0</v>
      </c>
      <c r="P77" s="21">
        <v>155</v>
      </c>
      <c r="Q77" s="21">
        <v>9</v>
      </c>
      <c r="R77" s="21">
        <v>0</v>
      </c>
      <c r="S77" s="21">
        <v>3000</v>
      </c>
      <c r="T77" s="21">
        <v>1725</v>
      </c>
      <c r="U77" s="20" t="s">
        <v>34</v>
      </c>
      <c r="V77" s="20" t="s">
        <v>34</v>
      </c>
      <c r="W77" s="20" t="s">
        <v>35</v>
      </c>
      <c r="X77" s="20" t="s">
        <v>825</v>
      </c>
    </row>
    <row r="78" spans="1:24" hidden="1" x14ac:dyDescent="0.2">
      <c r="A78" s="20">
        <f>MATCH(C78,'[1]Slot Managers Split'!G:G,0)</f>
        <v>47</v>
      </c>
      <c r="B78" s="20"/>
      <c r="C78" s="20" t="s">
        <v>933</v>
      </c>
      <c r="D78" s="20" t="s">
        <v>934</v>
      </c>
      <c r="E78" s="20" t="s">
        <v>39</v>
      </c>
      <c r="F78" s="20" t="s">
        <v>31</v>
      </c>
      <c r="G78" s="20" t="s">
        <v>32</v>
      </c>
      <c r="H78" s="21">
        <v>2100</v>
      </c>
      <c r="I78" s="21">
        <v>80</v>
      </c>
      <c r="J78" s="21">
        <v>0</v>
      </c>
      <c r="K78" s="21">
        <v>0</v>
      </c>
      <c r="L78" s="20" t="s">
        <v>33</v>
      </c>
      <c r="M78" s="20" t="s">
        <v>33</v>
      </c>
      <c r="N78" s="21">
        <v>110260</v>
      </c>
      <c r="O78" s="21">
        <v>30000</v>
      </c>
      <c r="P78" s="21">
        <v>302</v>
      </c>
      <c r="Q78" s="21">
        <v>0</v>
      </c>
      <c r="R78" s="21">
        <v>0</v>
      </c>
      <c r="S78" s="21">
        <v>0</v>
      </c>
      <c r="T78" s="21">
        <v>2000</v>
      </c>
      <c r="U78" s="20" t="s">
        <v>34</v>
      </c>
      <c r="V78" s="20" t="s">
        <v>34</v>
      </c>
      <c r="W78" s="20" t="s">
        <v>35</v>
      </c>
      <c r="X78" s="20" t="s">
        <v>935</v>
      </c>
    </row>
    <row r="79" spans="1:24" hidden="1" x14ac:dyDescent="0.2">
      <c r="A79" s="31" t="e">
        <f>MATCH(C79,'[1]Slot Managers Split'!G:G,0)</f>
        <v>#N/A</v>
      </c>
      <c r="B79" s="31"/>
      <c r="C79" s="31" t="s">
        <v>979</v>
      </c>
      <c r="D79" s="31" t="s">
        <v>165</v>
      </c>
      <c r="E79" s="31" t="s">
        <v>51</v>
      </c>
      <c r="F79" s="31" t="s">
        <v>31</v>
      </c>
      <c r="G79" s="31" t="s">
        <v>32</v>
      </c>
      <c r="H79" s="32">
        <v>2080</v>
      </c>
      <c r="I79" s="32">
        <v>29</v>
      </c>
      <c r="J79" s="32">
        <v>0</v>
      </c>
      <c r="K79" s="32">
        <v>488</v>
      </c>
      <c r="L79" s="31" t="s">
        <v>34</v>
      </c>
      <c r="M79" s="31" t="s">
        <v>34</v>
      </c>
      <c r="N79" s="32">
        <v>162000</v>
      </c>
      <c r="O79" s="32">
        <v>13000</v>
      </c>
      <c r="P79" s="32">
        <v>421</v>
      </c>
      <c r="Q79" s="32">
        <v>13</v>
      </c>
      <c r="R79" s="32">
        <v>8</v>
      </c>
      <c r="S79" s="32">
        <v>6000</v>
      </c>
      <c r="T79" s="32">
        <v>1600</v>
      </c>
      <c r="U79" s="31" t="s">
        <v>33</v>
      </c>
      <c r="V79" s="31" t="s">
        <v>33</v>
      </c>
      <c r="W79" s="31" t="s">
        <v>35</v>
      </c>
      <c r="X79" s="31" t="s">
        <v>155</v>
      </c>
    </row>
    <row r="80" spans="1:24" hidden="1" x14ac:dyDescent="0.2">
      <c r="A80" s="20" t="e">
        <f>MATCH(C80,'[1]Slot Managers Split'!G:G,0)</f>
        <v>#N/A</v>
      </c>
      <c r="B80" s="20"/>
      <c r="C80" s="20" t="s">
        <v>772</v>
      </c>
      <c r="D80" s="20" t="s">
        <v>773</v>
      </c>
      <c r="E80" s="20" t="s">
        <v>39</v>
      </c>
      <c r="F80" s="20" t="s">
        <v>31</v>
      </c>
      <c r="G80" s="20" t="s">
        <v>32</v>
      </c>
      <c r="H80" s="21">
        <v>2050</v>
      </c>
      <c r="I80" s="21">
        <v>77</v>
      </c>
      <c r="J80" s="21">
        <v>13</v>
      </c>
      <c r="K80" s="21">
        <v>500</v>
      </c>
      <c r="L80" s="20" t="s">
        <v>33</v>
      </c>
      <c r="M80" s="20" t="s">
        <v>33</v>
      </c>
      <c r="N80" s="21">
        <v>50000</v>
      </c>
      <c r="O80" s="21">
        <v>30000</v>
      </c>
      <c r="P80" s="21">
        <v>607</v>
      </c>
      <c r="Q80" s="21">
        <v>13</v>
      </c>
      <c r="R80" s="21">
        <v>2</v>
      </c>
      <c r="S80" s="21">
        <v>3000</v>
      </c>
      <c r="T80" s="21">
        <v>1780</v>
      </c>
      <c r="U80" s="20" t="s">
        <v>34</v>
      </c>
      <c r="V80" s="20" t="s">
        <v>34</v>
      </c>
      <c r="W80" s="20" t="s">
        <v>35</v>
      </c>
      <c r="X80" s="20" t="s">
        <v>774</v>
      </c>
    </row>
    <row r="81" spans="1:24" x14ac:dyDescent="0.2">
      <c r="A81" s="22" t="e">
        <f>MATCH(C81,'[1]Slot Managers Split'!G:G,0)</f>
        <v>#N/A</v>
      </c>
      <c r="B81" s="22"/>
      <c r="C81" s="22" t="s">
        <v>314</v>
      </c>
      <c r="D81" s="22" t="s">
        <v>315</v>
      </c>
      <c r="E81" s="22" t="s">
        <v>70</v>
      </c>
      <c r="F81" s="22" t="s">
        <v>311</v>
      </c>
      <c r="G81" s="22" t="s">
        <v>32</v>
      </c>
      <c r="H81" s="27">
        <v>2000</v>
      </c>
      <c r="I81" s="27">
        <v>240</v>
      </c>
      <c r="J81" s="27">
        <v>12</v>
      </c>
      <c r="K81" s="27">
        <v>0</v>
      </c>
      <c r="L81" s="22" t="s">
        <v>33</v>
      </c>
      <c r="M81" s="22" t="s">
        <v>33</v>
      </c>
      <c r="N81" s="27">
        <v>221198</v>
      </c>
      <c r="O81" s="27">
        <v>167917</v>
      </c>
      <c r="P81" s="27">
        <v>1188</v>
      </c>
      <c r="Q81" s="27">
        <v>29</v>
      </c>
      <c r="R81" s="27">
        <v>15</v>
      </c>
      <c r="S81" s="27">
        <v>5418</v>
      </c>
      <c r="T81" s="27">
        <v>5600</v>
      </c>
      <c r="U81" s="22" t="s">
        <v>33</v>
      </c>
      <c r="V81" s="22" t="s">
        <v>33</v>
      </c>
      <c r="W81" s="22" t="s">
        <v>35</v>
      </c>
      <c r="X81" s="22" t="s">
        <v>313</v>
      </c>
    </row>
    <row r="82" spans="1:24" x14ac:dyDescent="0.2">
      <c r="A82" s="22" t="e">
        <f>MATCH(C82,'[1]Slot Managers Split'!G:G,0)</f>
        <v>#N/A</v>
      </c>
      <c r="B82" s="22"/>
      <c r="C82" s="22" t="s">
        <v>1020</v>
      </c>
      <c r="D82" s="22" t="s">
        <v>274</v>
      </c>
      <c r="E82" s="22" t="s">
        <v>0</v>
      </c>
      <c r="F82" s="22" t="s">
        <v>275</v>
      </c>
      <c r="G82" s="22" t="s">
        <v>32</v>
      </c>
      <c r="H82" s="27">
        <v>2000</v>
      </c>
      <c r="I82" s="27">
        <v>500</v>
      </c>
      <c r="J82" s="27">
        <v>7</v>
      </c>
      <c r="K82" s="27">
        <v>0</v>
      </c>
      <c r="L82" s="22" t="s">
        <v>33</v>
      </c>
      <c r="M82" s="22" t="s">
        <v>33</v>
      </c>
      <c r="N82" s="27">
        <v>376000</v>
      </c>
      <c r="O82" s="27">
        <v>1200000</v>
      </c>
      <c r="P82" s="27">
        <v>2905</v>
      </c>
      <c r="Q82" s="27">
        <v>32</v>
      </c>
      <c r="R82" s="27">
        <v>3</v>
      </c>
      <c r="S82" s="27">
        <v>0</v>
      </c>
      <c r="T82" s="27">
        <v>8300</v>
      </c>
      <c r="U82" s="22" t="s">
        <v>33</v>
      </c>
      <c r="V82" s="22" t="s">
        <v>33</v>
      </c>
      <c r="W82" s="22" t="s">
        <v>35</v>
      </c>
      <c r="X82" s="22" t="s">
        <v>883</v>
      </c>
    </row>
    <row r="83" spans="1:24" x14ac:dyDescent="0.2">
      <c r="A83" s="22" t="e">
        <f>MATCH(C83,'[1]Slot Managers Split'!G:G,0)</f>
        <v>#N/A</v>
      </c>
      <c r="B83" s="22"/>
      <c r="C83" s="22" t="s">
        <v>1023</v>
      </c>
      <c r="D83" s="22" t="s">
        <v>1024</v>
      </c>
      <c r="E83" s="22" t="s">
        <v>0</v>
      </c>
      <c r="F83" s="22" t="s">
        <v>190</v>
      </c>
      <c r="G83" s="22" t="s">
        <v>32</v>
      </c>
      <c r="H83" s="27">
        <v>2000</v>
      </c>
      <c r="I83" s="27">
        <v>60</v>
      </c>
      <c r="J83" s="27">
        <v>0</v>
      </c>
      <c r="K83" s="27">
        <v>0</v>
      </c>
      <c r="L83" s="22" t="s">
        <v>33</v>
      </c>
      <c r="M83" s="22" t="s">
        <v>33</v>
      </c>
      <c r="N83" s="27">
        <v>0</v>
      </c>
      <c r="O83" s="27">
        <v>0</v>
      </c>
      <c r="P83" s="27">
        <v>238</v>
      </c>
      <c r="Q83" s="27">
        <v>13</v>
      </c>
      <c r="R83" s="27">
        <v>1</v>
      </c>
      <c r="S83" s="27">
        <v>3600</v>
      </c>
      <c r="T83" s="27">
        <v>2200</v>
      </c>
      <c r="U83" s="22" t="s">
        <v>33</v>
      </c>
      <c r="V83" s="22" t="s">
        <v>33</v>
      </c>
      <c r="W83" s="22" t="s">
        <v>35</v>
      </c>
      <c r="X83" s="22" t="s">
        <v>192</v>
      </c>
    </row>
    <row r="84" spans="1:24" hidden="1" x14ac:dyDescent="0.2">
      <c r="A84" s="20" t="e">
        <f>MATCH(C84,'[1]Slot Managers Split'!G:G,0)</f>
        <v>#N/A</v>
      </c>
      <c r="B84" s="20"/>
      <c r="C84" s="20" t="s">
        <v>305</v>
      </c>
      <c r="D84" s="20" t="s">
        <v>306</v>
      </c>
      <c r="E84" s="20" t="s">
        <v>106</v>
      </c>
      <c r="F84" s="20" t="s">
        <v>31</v>
      </c>
      <c r="G84" s="20" t="s">
        <v>32</v>
      </c>
      <c r="H84" s="21">
        <v>2000</v>
      </c>
      <c r="I84" s="21">
        <v>55</v>
      </c>
      <c r="J84" s="21">
        <v>10</v>
      </c>
      <c r="K84" s="21">
        <v>350</v>
      </c>
      <c r="L84" s="20" t="s">
        <v>34</v>
      </c>
      <c r="M84" s="20" t="s">
        <v>34</v>
      </c>
      <c r="N84" s="21">
        <v>107600</v>
      </c>
      <c r="O84" s="21">
        <v>9856</v>
      </c>
      <c r="P84" s="21">
        <v>904</v>
      </c>
      <c r="Q84" s="21">
        <v>12</v>
      </c>
      <c r="R84" s="21">
        <v>2</v>
      </c>
      <c r="S84" s="21">
        <v>2714</v>
      </c>
      <c r="T84" s="21">
        <v>2600</v>
      </c>
      <c r="U84" s="20" t="s">
        <v>34</v>
      </c>
      <c r="V84" s="20" t="s">
        <v>34</v>
      </c>
      <c r="W84" s="20" t="s">
        <v>35</v>
      </c>
      <c r="X84" s="20" t="s">
        <v>307</v>
      </c>
    </row>
    <row r="85" spans="1:24" s="20" customFormat="1" hidden="1" x14ac:dyDescent="0.2">
      <c r="A85" s="20">
        <f>MATCH(C85,'[1]Slot Managers Split'!G:G,0)</f>
        <v>351</v>
      </c>
      <c r="C85" s="20" t="s">
        <v>947</v>
      </c>
      <c r="D85" s="20" t="s">
        <v>948</v>
      </c>
      <c r="E85" s="20" t="s">
        <v>39</v>
      </c>
      <c r="F85" s="20" t="s">
        <v>31</v>
      </c>
      <c r="G85" s="20" t="s">
        <v>32</v>
      </c>
      <c r="H85" s="21">
        <v>2000</v>
      </c>
      <c r="I85" s="21">
        <v>35</v>
      </c>
      <c r="J85" s="21">
        <v>0</v>
      </c>
      <c r="K85" s="21">
        <v>0</v>
      </c>
      <c r="L85" s="20" t="s">
        <v>33</v>
      </c>
      <c r="M85" s="20" t="s">
        <v>33</v>
      </c>
      <c r="N85" s="21">
        <v>83500</v>
      </c>
      <c r="O85" s="21">
        <v>15000</v>
      </c>
      <c r="P85" s="21">
        <v>200</v>
      </c>
      <c r="Q85" s="21">
        <v>13</v>
      </c>
      <c r="R85" s="21">
        <v>0</v>
      </c>
      <c r="S85" s="21">
        <v>5080</v>
      </c>
      <c r="T85" s="21">
        <v>0</v>
      </c>
      <c r="U85" s="20" t="s">
        <v>34</v>
      </c>
      <c r="V85" s="20" t="s">
        <v>34</v>
      </c>
      <c r="W85" s="20" t="s">
        <v>35</v>
      </c>
      <c r="X85" s="20" t="s">
        <v>949</v>
      </c>
    </row>
    <row r="86" spans="1:24" hidden="1" x14ac:dyDescent="0.2">
      <c r="A86" s="20" t="e">
        <f>MATCH(C86,'[1]Slot Managers Split'!G:G,0)</f>
        <v>#N/A</v>
      </c>
      <c r="B86" s="20"/>
      <c r="C86" s="20" t="s">
        <v>986</v>
      </c>
      <c r="D86" s="20" t="s">
        <v>987</v>
      </c>
      <c r="E86" s="20" t="s">
        <v>39</v>
      </c>
      <c r="F86" s="20" t="s">
        <v>31</v>
      </c>
      <c r="G86" s="20" t="s">
        <v>32</v>
      </c>
      <c r="H86" s="21">
        <v>2000</v>
      </c>
      <c r="I86" s="21">
        <v>33</v>
      </c>
      <c r="J86" s="21">
        <v>0</v>
      </c>
      <c r="K86" s="21">
        <v>336</v>
      </c>
      <c r="L86" s="20" t="s">
        <v>33</v>
      </c>
      <c r="M86" s="20" t="s">
        <v>33</v>
      </c>
      <c r="N86" s="21">
        <v>110000</v>
      </c>
      <c r="O86" s="21">
        <v>23000</v>
      </c>
      <c r="P86" s="21">
        <v>150</v>
      </c>
      <c r="Q86" s="21">
        <v>4</v>
      </c>
      <c r="R86" s="21">
        <v>0</v>
      </c>
      <c r="S86" s="21">
        <v>0</v>
      </c>
      <c r="T86" s="21">
        <v>0</v>
      </c>
      <c r="U86" s="20" t="s">
        <v>34</v>
      </c>
      <c r="V86" s="20" t="s">
        <v>34</v>
      </c>
      <c r="W86" s="20" t="s">
        <v>35</v>
      </c>
      <c r="X86" s="20" t="s">
        <v>988</v>
      </c>
    </row>
    <row r="87" spans="1:24" hidden="1" x14ac:dyDescent="0.2">
      <c r="A87" s="20">
        <f>MATCH(C87,'[1]Slot Managers Split'!G:G,0)</f>
        <v>247</v>
      </c>
      <c r="B87" s="20"/>
      <c r="C87" s="20" t="s">
        <v>1034</v>
      </c>
      <c r="D87" s="20" t="s">
        <v>1035</v>
      </c>
      <c r="E87" s="20" t="s">
        <v>47</v>
      </c>
      <c r="F87" s="20" t="s">
        <v>31</v>
      </c>
      <c r="G87" s="20" t="s">
        <v>32</v>
      </c>
      <c r="H87" s="21">
        <v>2000</v>
      </c>
      <c r="I87" s="21">
        <v>66</v>
      </c>
      <c r="J87" s="21">
        <v>32</v>
      </c>
      <c r="K87" s="21">
        <v>1400</v>
      </c>
      <c r="L87" s="20" t="s">
        <v>34</v>
      </c>
      <c r="M87" s="20" t="s">
        <v>33</v>
      </c>
      <c r="N87" s="21">
        <v>125000</v>
      </c>
      <c r="O87" s="21">
        <v>100000</v>
      </c>
      <c r="P87" s="21">
        <v>788</v>
      </c>
      <c r="Q87" s="21">
        <v>19</v>
      </c>
      <c r="R87" s="21">
        <v>2</v>
      </c>
      <c r="S87" s="21">
        <v>5000</v>
      </c>
      <c r="T87" s="21">
        <v>4050</v>
      </c>
      <c r="U87" s="20" t="s">
        <v>34</v>
      </c>
      <c r="V87" s="20" t="s">
        <v>34</v>
      </c>
      <c r="W87" s="20" t="s">
        <v>35</v>
      </c>
      <c r="X87" s="20" t="s">
        <v>1036</v>
      </c>
    </row>
    <row r="88" spans="1:24" hidden="1" x14ac:dyDescent="0.2">
      <c r="A88" s="20">
        <f>MATCH(C88,'[1]Slot Managers Split'!G:G,0)</f>
        <v>138</v>
      </c>
      <c r="B88" s="20"/>
      <c r="C88" s="20" t="s">
        <v>1044</v>
      </c>
      <c r="D88" s="20" t="s">
        <v>527</v>
      </c>
      <c r="E88" s="20" t="s">
        <v>39</v>
      </c>
      <c r="F88" s="20" t="s">
        <v>31</v>
      </c>
      <c r="G88" s="20" t="s">
        <v>32</v>
      </c>
      <c r="H88" s="21">
        <v>2000</v>
      </c>
      <c r="I88" s="21">
        <v>18</v>
      </c>
      <c r="J88" s="21">
        <v>0</v>
      </c>
      <c r="K88" s="21">
        <v>0</v>
      </c>
      <c r="L88" s="20" t="s">
        <v>33</v>
      </c>
      <c r="M88" s="20" t="s">
        <v>33</v>
      </c>
      <c r="N88" s="21">
        <v>113000</v>
      </c>
      <c r="O88" s="21">
        <v>0</v>
      </c>
      <c r="P88" s="21">
        <v>108</v>
      </c>
      <c r="Q88" s="21">
        <v>9</v>
      </c>
      <c r="R88" s="21">
        <v>0</v>
      </c>
      <c r="S88" s="21">
        <v>2000</v>
      </c>
      <c r="T88" s="21">
        <v>1100</v>
      </c>
      <c r="U88" s="20" t="s">
        <v>34</v>
      </c>
      <c r="V88" s="20" t="s">
        <v>34</v>
      </c>
      <c r="W88" s="20" t="s">
        <v>35</v>
      </c>
      <c r="X88" s="20" t="s">
        <v>1045</v>
      </c>
    </row>
    <row r="89" spans="1:24" x14ac:dyDescent="0.2">
      <c r="A89" s="22" t="e">
        <f>MATCH(C89,'[1]Slot Managers Split'!G:G,0)</f>
        <v>#N/A</v>
      </c>
      <c r="B89" s="22"/>
      <c r="C89" s="40" t="s">
        <v>711</v>
      </c>
      <c r="D89" s="22" t="s">
        <v>712</v>
      </c>
      <c r="E89" s="22" t="s">
        <v>0</v>
      </c>
      <c r="F89" s="22" t="s">
        <v>232</v>
      </c>
      <c r="G89" s="22" t="s">
        <v>32</v>
      </c>
      <c r="H89" s="27">
        <v>1982</v>
      </c>
      <c r="I89" s="27">
        <v>82</v>
      </c>
      <c r="J89" s="27">
        <v>0</v>
      </c>
      <c r="K89" s="27">
        <v>300</v>
      </c>
      <c r="L89" s="22" t="s">
        <v>33</v>
      </c>
      <c r="M89" s="22" t="s">
        <v>33</v>
      </c>
      <c r="N89" s="27">
        <v>0</v>
      </c>
      <c r="O89" s="27">
        <v>25219</v>
      </c>
      <c r="P89" s="27">
        <v>155</v>
      </c>
      <c r="Q89" s="27">
        <v>8</v>
      </c>
      <c r="R89" s="27">
        <v>0</v>
      </c>
      <c r="S89" s="27">
        <v>1200</v>
      </c>
      <c r="T89" s="27">
        <v>1700</v>
      </c>
      <c r="U89" s="22" t="s">
        <v>33</v>
      </c>
      <c r="V89" s="22" t="s">
        <v>33</v>
      </c>
      <c r="W89" s="22" t="s">
        <v>35</v>
      </c>
      <c r="X89" s="22" t="s">
        <v>714</v>
      </c>
    </row>
    <row r="90" spans="1:24" hidden="1" x14ac:dyDescent="0.2">
      <c r="A90" s="20">
        <f>MATCH(C90,'[1]Slot Managers Split'!G:G,0)</f>
        <v>16</v>
      </c>
      <c r="B90" s="20"/>
      <c r="C90" s="20" t="s">
        <v>867</v>
      </c>
      <c r="D90" s="20" t="s">
        <v>868</v>
      </c>
      <c r="E90" s="20" t="s">
        <v>521</v>
      </c>
      <c r="F90" s="20" t="s">
        <v>31</v>
      </c>
      <c r="G90" s="20" t="s">
        <v>32</v>
      </c>
      <c r="H90" s="21">
        <v>1981</v>
      </c>
      <c r="I90" s="21">
        <v>106</v>
      </c>
      <c r="J90" s="21">
        <v>30</v>
      </c>
      <c r="K90" s="21">
        <v>0</v>
      </c>
      <c r="L90" s="20" t="s">
        <v>34</v>
      </c>
      <c r="M90" s="20" t="s">
        <v>33</v>
      </c>
      <c r="N90" s="21">
        <v>120000</v>
      </c>
      <c r="O90" s="21">
        <v>15000</v>
      </c>
      <c r="P90" s="21">
        <v>0</v>
      </c>
      <c r="Q90" s="21">
        <v>8</v>
      </c>
      <c r="R90" s="21">
        <v>0</v>
      </c>
      <c r="S90" s="21">
        <v>0</v>
      </c>
      <c r="T90" s="21">
        <v>1766</v>
      </c>
      <c r="U90" s="20" t="s">
        <v>33</v>
      </c>
      <c r="V90" s="20" t="s">
        <v>33</v>
      </c>
      <c r="W90" s="20" t="s">
        <v>35</v>
      </c>
      <c r="X90" s="20" t="s">
        <v>862</v>
      </c>
    </row>
    <row r="91" spans="1:24" hidden="1" x14ac:dyDescent="0.2">
      <c r="A91" s="20">
        <f>MATCH(C91,'[1]Slot Managers Split'!G:G,0)</f>
        <v>248</v>
      </c>
      <c r="B91" s="20"/>
      <c r="C91" s="20" t="s">
        <v>564</v>
      </c>
      <c r="D91" s="20" t="s">
        <v>71</v>
      </c>
      <c r="E91" s="20" t="s">
        <v>521</v>
      </c>
      <c r="F91" s="20" t="s">
        <v>31</v>
      </c>
      <c r="G91" s="20" t="s">
        <v>32</v>
      </c>
      <c r="H91" s="21">
        <v>1959</v>
      </c>
      <c r="I91" s="21">
        <v>82</v>
      </c>
      <c r="J91" s="21">
        <v>14</v>
      </c>
      <c r="K91" s="21">
        <v>0</v>
      </c>
      <c r="L91" s="20" t="s">
        <v>34</v>
      </c>
      <c r="M91" s="20" t="s">
        <v>34</v>
      </c>
      <c r="N91" s="21">
        <v>131000</v>
      </c>
      <c r="O91" s="21">
        <v>0</v>
      </c>
      <c r="P91" s="21">
        <v>0</v>
      </c>
      <c r="Q91" s="21">
        <v>7</v>
      </c>
      <c r="R91" s="21">
        <v>1</v>
      </c>
      <c r="S91" s="21">
        <v>1684</v>
      </c>
      <c r="T91" s="21">
        <v>1263</v>
      </c>
      <c r="U91" s="20" t="s">
        <v>33</v>
      </c>
      <c r="V91" s="20" t="s">
        <v>33</v>
      </c>
      <c r="W91" s="20" t="s">
        <v>103</v>
      </c>
      <c r="X91" s="20" t="s">
        <v>59</v>
      </c>
    </row>
    <row r="92" spans="1:24" hidden="1" x14ac:dyDescent="0.2">
      <c r="A92" s="20">
        <f>MATCH(C92,'[1]Slot Managers Split'!G:G,0)</f>
        <v>48</v>
      </c>
      <c r="B92" s="20"/>
      <c r="C92" s="20" t="s">
        <v>318</v>
      </c>
      <c r="D92" s="20" t="s">
        <v>319</v>
      </c>
      <c r="E92" s="20" t="s">
        <v>102</v>
      </c>
      <c r="F92" s="20" t="s">
        <v>31</v>
      </c>
      <c r="G92" s="20" t="s">
        <v>32</v>
      </c>
      <c r="H92" s="21">
        <v>1957</v>
      </c>
      <c r="I92" s="21">
        <v>44</v>
      </c>
      <c r="J92" s="21">
        <v>10</v>
      </c>
      <c r="K92" s="21">
        <v>0</v>
      </c>
      <c r="L92" s="20" t="s">
        <v>34</v>
      </c>
      <c r="M92" s="20" t="s">
        <v>34</v>
      </c>
      <c r="N92" s="21">
        <v>78520</v>
      </c>
      <c r="O92" s="21">
        <v>0</v>
      </c>
      <c r="P92" s="21">
        <v>0</v>
      </c>
      <c r="Q92" s="21">
        <v>11</v>
      </c>
      <c r="R92" s="21">
        <v>2</v>
      </c>
      <c r="S92" s="21">
        <v>7600</v>
      </c>
      <c r="T92" s="21">
        <v>1670</v>
      </c>
      <c r="U92" s="20" t="s">
        <v>33</v>
      </c>
      <c r="V92" s="20" t="s">
        <v>33</v>
      </c>
      <c r="W92" s="20" t="s">
        <v>103</v>
      </c>
      <c r="X92" s="20" t="s">
        <v>320</v>
      </c>
    </row>
    <row r="93" spans="1:24" hidden="1" x14ac:dyDescent="0.2">
      <c r="A93" s="20">
        <f>MATCH(C93,'[1]Slot Managers Split'!G:G,0)</f>
        <v>249</v>
      </c>
      <c r="B93" s="20"/>
      <c r="C93" s="20" t="s">
        <v>653</v>
      </c>
      <c r="D93" s="20" t="s">
        <v>432</v>
      </c>
      <c r="E93" s="20" t="s">
        <v>521</v>
      </c>
      <c r="F93" s="20" t="s">
        <v>31</v>
      </c>
      <c r="G93" s="20" t="s">
        <v>32</v>
      </c>
      <c r="H93" s="21">
        <v>1950</v>
      </c>
      <c r="I93" s="21">
        <v>112</v>
      </c>
      <c r="J93" s="21">
        <v>29</v>
      </c>
      <c r="K93" s="21">
        <v>0</v>
      </c>
      <c r="L93" s="20" t="s">
        <v>34</v>
      </c>
      <c r="M93" s="20" t="s">
        <v>33</v>
      </c>
      <c r="N93" s="21">
        <v>260000</v>
      </c>
      <c r="O93" s="21">
        <v>15000</v>
      </c>
      <c r="P93" s="21">
        <v>209</v>
      </c>
      <c r="Q93" s="21">
        <v>0</v>
      </c>
      <c r="R93" s="21">
        <v>0</v>
      </c>
      <c r="S93" s="21">
        <v>3000</v>
      </c>
      <c r="T93" s="21">
        <v>1246</v>
      </c>
      <c r="U93" s="20" t="s">
        <v>33</v>
      </c>
      <c r="V93" s="20" t="s">
        <v>33</v>
      </c>
      <c r="W93" s="20" t="s">
        <v>35</v>
      </c>
      <c r="X93" s="20" t="s">
        <v>652</v>
      </c>
    </row>
    <row r="94" spans="1:24" hidden="1" x14ac:dyDescent="0.2">
      <c r="A94" s="33" t="e">
        <f>MATCH(C94,'[1]Slot Managers Split'!G:G,0)</f>
        <v>#N/A</v>
      </c>
      <c r="B94" s="33"/>
      <c r="C94" s="33" t="s">
        <v>1006</v>
      </c>
      <c r="D94" s="33" t="s">
        <v>81</v>
      </c>
      <c r="E94" s="33" t="s">
        <v>51</v>
      </c>
      <c r="F94" s="33" t="s">
        <v>31</v>
      </c>
      <c r="G94" s="33" t="s">
        <v>32</v>
      </c>
      <c r="H94" s="34">
        <v>1902</v>
      </c>
      <c r="I94" s="34">
        <v>56</v>
      </c>
      <c r="J94" s="34">
        <v>39</v>
      </c>
      <c r="K94" s="34">
        <v>0</v>
      </c>
      <c r="L94" s="33" t="s">
        <v>34</v>
      </c>
      <c r="M94" s="33" t="s">
        <v>34</v>
      </c>
      <c r="N94" s="34">
        <v>137000</v>
      </c>
      <c r="O94" s="34">
        <v>40000</v>
      </c>
      <c r="P94" s="34">
        <v>1886</v>
      </c>
      <c r="Q94" s="34">
        <v>14</v>
      </c>
      <c r="R94" s="34">
        <v>6</v>
      </c>
      <c r="S94" s="34">
        <v>8000</v>
      </c>
      <c r="T94" s="34">
        <v>2312</v>
      </c>
      <c r="U94" s="33" t="s">
        <v>33</v>
      </c>
      <c r="V94" s="33" t="s">
        <v>33</v>
      </c>
      <c r="W94" s="33" t="s">
        <v>35</v>
      </c>
      <c r="X94" s="33" t="s">
        <v>53</v>
      </c>
    </row>
    <row r="95" spans="1:24" x14ac:dyDescent="0.2">
      <c r="A95" s="22" t="e">
        <f>MATCH(C95,'[1]Slot Managers Split'!G:G,0)</f>
        <v>#N/A</v>
      </c>
      <c r="B95" s="22"/>
      <c r="C95" s="22" t="s">
        <v>407</v>
      </c>
      <c r="D95" s="22" t="s">
        <v>274</v>
      </c>
      <c r="E95" s="22" t="s">
        <v>0</v>
      </c>
      <c r="F95" s="22" t="s">
        <v>275</v>
      </c>
      <c r="G95" s="22" t="s">
        <v>32</v>
      </c>
      <c r="H95" s="27">
        <v>1900</v>
      </c>
      <c r="I95" s="27">
        <v>540</v>
      </c>
      <c r="J95" s="27">
        <v>0</v>
      </c>
      <c r="K95" s="27">
        <v>0</v>
      </c>
      <c r="L95" s="22" t="s">
        <v>33</v>
      </c>
      <c r="M95" s="22" t="s">
        <v>33</v>
      </c>
      <c r="N95" s="27">
        <v>420000</v>
      </c>
      <c r="O95" s="27">
        <v>34800</v>
      </c>
      <c r="P95" s="27">
        <v>3600</v>
      </c>
      <c r="Q95" s="27">
        <v>65</v>
      </c>
      <c r="R95" s="27">
        <v>1</v>
      </c>
      <c r="S95" s="27">
        <v>1000</v>
      </c>
      <c r="T95" s="27">
        <v>9000</v>
      </c>
      <c r="U95" s="22" t="s">
        <v>33</v>
      </c>
      <c r="V95" s="22" t="s">
        <v>33</v>
      </c>
      <c r="W95" s="22" t="s">
        <v>35</v>
      </c>
      <c r="X95" s="22" t="s">
        <v>412</v>
      </c>
    </row>
    <row r="96" spans="1:24" hidden="1" x14ac:dyDescent="0.2">
      <c r="A96" s="20">
        <f>MATCH(C96,'[1]Slot Managers Split'!G:G,0)</f>
        <v>142</v>
      </c>
      <c r="B96" s="20"/>
      <c r="C96" s="20" t="s">
        <v>395</v>
      </c>
      <c r="D96" s="20" t="s">
        <v>396</v>
      </c>
      <c r="E96" s="20" t="s">
        <v>387</v>
      </c>
      <c r="F96" s="20" t="s">
        <v>31</v>
      </c>
      <c r="G96" s="20" t="s">
        <v>32</v>
      </c>
      <c r="H96" s="21">
        <v>1900</v>
      </c>
      <c r="I96" s="21">
        <v>41</v>
      </c>
      <c r="J96" s="21">
        <v>0</v>
      </c>
      <c r="K96" s="21">
        <v>0</v>
      </c>
      <c r="L96" s="20" t="s">
        <v>34</v>
      </c>
      <c r="M96" s="20" t="s">
        <v>33</v>
      </c>
      <c r="N96" s="21">
        <v>130000</v>
      </c>
      <c r="O96" s="21">
        <v>17000</v>
      </c>
      <c r="P96" s="21">
        <v>415</v>
      </c>
      <c r="Q96" s="21">
        <v>8</v>
      </c>
      <c r="R96" s="21">
        <v>1</v>
      </c>
      <c r="S96" s="21">
        <v>4235</v>
      </c>
      <c r="T96" s="21">
        <v>0</v>
      </c>
      <c r="U96" s="20" t="s">
        <v>34</v>
      </c>
      <c r="V96" s="20" t="s">
        <v>34</v>
      </c>
      <c r="W96" s="20" t="s">
        <v>35</v>
      </c>
      <c r="X96" s="20" t="s">
        <v>397</v>
      </c>
    </row>
    <row r="97" spans="1:24" hidden="1" x14ac:dyDescent="0.2">
      <c r="A97" s="20">
        <f>MATCH(C97,'[1]Slot Managers Split'!G:G,0)</f>
        <v>250</v>
      </c>
      <c r="B97" s="20"/>
      <c r="C97" s="20" t="s">
        <v>695</v>
      </c>
      <c r="D97" s="20" t="s">
        <v>696</v>
      </c>
      <c r="E97" s="20" t="s">
        <v>135</v>
      </c>
      <c r="F97" s="20" t="s">
        <v>31</v>
      </c>
      <c r="G97" s="20" t="s">
        <v>32</v>
      </c>
      <c r="H97" s="21">
        <v>1875</v>
      </c>
      <c r="I97" s="21">
        <v>0</v>
      </c>
      <c r="J97" s="21">
        <v>0</v>
      </c>
      <c r="K97" s="21">
        <v>0</v>
      </c>
      <c r="L97" s="20" t="s">
        <v>34</v>
      </c>
      <c r="M97" s="20" t="s">
        <v>34</v>
      </c>
      <c r="N97" s="21">
        <v>167000</v>
      </c>
      <c r="O97" s="21">
        <v>0</v>
      </c>
      <c r="P97" s="21">
        <v>0</v>
      </c>
      <c r="Q97" s="21">
        <v>5</v>
      </c>
      <c r="R97" s="21">
        <v>0</v>
      </c>
      <c r="S97" s="21">
        <v>2600</v>
      </c>
      <c r="T97" s="21">
        <v>433</v>
      </c>
      <c r="U97" s="20" t="s">
        <v>33</v>
      </c>
      <c r="V97" s="20" t="s">
        <v>33</v>
      </c>
      <c r="W97" s="20" t="s">
        <v>103</v>
      </c>
      <c r="X97" s="20" t="s">
        <v>697</v>
      </c>
    </row>
    <row r="98" spans="1:24" hidden="1" x14ac:dyDescent="0.2">
      <c r="A98" s="33" t="e">
        <f>MATCH(C98,'[1]Slot Managers Split'!G:G,0)</f>
        <v>#N/A</v>
      </c>
      <c r="B98" s="33"/>
      <c r="C98" s="33" t="s">
        <v>255</v>
      </c>
      <c r="D98" s="33" t="s">
        <v>256</v>
      </c>
      <c r="E98" s="33" t="s">
        <v>30</v>
      </c>
      <c r="F98" s="33" t="s">
        <v>31</v>
      </c>
      <c r="G98" s="33" t="s">
        <v>32</v>
      </c>
      <c r="H98" s="34">
        <v>1860</v>
      </c>
      <c r="I98" s="34">
        <v>13</v>
      </c>
      <c r="J98" s="34">
        <v>5</v>
      </c>
      <c r="K98" s="34">
        <v>0</v>
      </c>
      <c r="L98" s="33" t="s">
        <v>33</v>
      </c>
      <c r="M98" s="33" t="s">
        <v>34</v>
      </c>
      <c r="N98" s="34">
        <v>87000</v>
      </c>
      <c r="O98" s="34">
        <v>0</v>
      </c>
      <c r="P98" s="34">
        <v>118</v>
      </c>
      <c r="Q98" s="34">
        <v>4</v>
      </c>
      <c r="R98" s="34">
        <v>0</v>
      </c>
      <c r="S98" s="34">
        <v>890</v>
      </c>
      <c r="T98" s="34">
        <v>571</v>
      </c>
      <c r="U98" s="33" t="s">
        <v>34</v>
      </c>
      <c r="V98" s="33" t="s">
        <v>34</v>
      </c>
      <c r="W98" s="33" t="s">
        <v>35</v>
      </c>
      <c r="X98" s="33" t="s">
        <v>251</v>
      </c>
    </row>
    <row r="99" spans="1:24" hidden="1" x14ac:dyDescent="0.2">
      <c r="A99" s="31" t="e">
        <f>MATCH(C99,'[1]Slot Managers Split'!G:G,0)</f>
        <v>#N/A</v>
      </c>
      <c r="B99" s="31"/>
      <c r="C99" s="31" t="s">
        <v>509</v>
      </c>
      <c r="D99" s="31" t="s">
        <v>87</v>
      </c>
      <c r="E99" s="31" t="s">
        <v>88</v>
      </c>
      <c r="F99" s="31" t="s">
        <v>31</v>
      </c>
      <c r="G99" s="31" t="s">
        <v>32</v>
      </c>
      <c r="H99" s="32">
        <v>1848</v>
      </c>
      <c r="I99" s="32">
        <v>101</v>
      </c>
      <c r="J99" s="32">
        <v>28</v>
      </c>
      <c r="K99" s="32">
        <v>0</v>
      </c>
      <c r="L99" s="31" t="s">
        <v>34</v>
      </c>
      <c r="M99" s="31" t="s">
        <v>34</v>
      </c>
      <c r="N99" s="32">
        <v>150100</v>
      </c>
      <c r="O99" s="32">
        <v>19407</v>
      </c>
      <c r="P99" s="32">
        <v>2591</v>
      </c>
      <c r="Q99" s="32">
        <v>18</v>
      </c>
      <c r="R99" s="32">
        <v>4</v>
      </c>
      <c r="S99" s="32">
        <v>3396</v>
      </c>
      <c r="T99" s="32">
        <v>3294</v>
      </c>
      <c r="U99" s="31" t="s">
        <v>33</v>
      </c>
      <c r="V99" s="31" t="s">
        <v>33</v>
      </c>
      <c r="W99" s="31" t="s">
        <v>35</v>
      </c>
      <c r="X99" s="31" t="s">
        <v>167</v>
      </c>
    </row>
    <row r="100" spans="1:24" hidden="1" x14ac:dyDescent="0.2">
      <c r="A100" s="20">
        <f>MATCH(C100,'[1]Slot Managers Split'!G:G,0)</f>
        <v>252</v>
      </c>
      <c r="B100" s="20"/>
      <c r="C100" s="20" t="s">
        <v>761</v>
      </c>
      <c r="D100" s="20" t="s">
        <v>87</v>
      </c>
      <c r="E100" s="20" t="s">
        <v>88</v>
      </c>
      <c r="F100" s="20" t="s">
        <v>31</v>
      </c>
      <c r="G100" s="20" t="s">
        <v>32</v>
      </c>
      <c r="H100" s="21">
        <v>1848</v>
      </c>
      <c r="I100" s="21">
        <v>133</v>
      </c>
      <c r="J100" s="21">
        <v>0</v>
      </c>
      <c r="K100" s="21">
        <v>0</v>
      </c>
      <c r="L100" s="20" t="s">
        <v>34</v>
      </c>
      <c r="M100" s="20" t="s">
        <v>33</v>
      </c>
      <c r="N100" s="21">
        <v>138000</v>
      </c>
      <c r="O100" s="21">
        <v>165000</v>
      </c>
      <c r="P100" s="21">
        <v>1399</v>
      </c>
      <c r="Q100" s="21">
        <v>6</v>
      </c>
      <c r="R100" s="21">
        <v>6</v>
      </c>
      <c r="S100" s="21">
        <v>7000</v>
      </c>
      <c r="T100" s="21">
        <v>2500</v>
      </c>
      <c r="U100" s="20" t="s">
        <v>33</v>
      </c>
      <c r="V100" s="20" t="s">
        <v>33</v>
      </c>
      <c r="W100" s="20" t="s">
        <v>35</v>
      </c>
      <c r="X100" s="20" t="s">
        <v>762</v>
      </c>
    </row>
    <row r="101" spans="1:24" hidden="1" x14ac:dyDescent="0.2">
      <c r="A101" s="20">
        <f>MATCH(C101,'[1]Slot Managers Split'!G:G,0)</f>
        <v>253</v>
      </c>
      <c r="B101" s="20"/>
      <c r="C101" s="20" t="s">
        <v>620</v>
      </c>
      <c r="D101" s="20" t="s">
        <v>621</v>
      </c>
      <c r="E101" s="20" t="s">
        <v>427</v>
      </c>
      <c r="F101" s="20" t="s">
        <v>31</v>
      </c>
      <c r="G101" s="20" t="s">
        <v>32</v>
      </c>
      <c r="H101" s="21">
        <v>1825</v>
      </c>
      <c r="I101" s="21">
        <v>43</v>
      </c>
      <c r="J101" s="21">
        <v>8</v>
      </c>
      <c r="K101" s="21">
        <v>0</v>
      </c>
      <c r="L101" s="20" t="s">
        <v>34</v>
      </c>
      <c r="M101" s="20" t="s">
        <v>33</v>
      </c>
      <c r="N101" s="21">
        <v>49746</v>
      </c>
      <c r="O101" s="21">
        <v>0</v>
      </c>
      <c r="P101" s="21">
        <v>0</v>
      </c>
      <c r="Q101" s="21">
        <v>3</v>
      </c>
      <c r="R101" s="21">
        <v>0</v>
      </c>
      <c r="S101" s="21">
        <v>1850</v>
      </c>
      <c r="T101" s="21">
        <v>830</v>
      </c>
      <c r="U101" s="20" t="s">
        <v>33</v>
      </c>
      <c r="V101" s="20" t="s">
        <v>33</v>
      </c>
      <c r="W101" s="20" t="s">
        <v>35</v>
      </c>
      <c r="X101" s="20" t="s">
        <v>53</v>
      </c>
    </row>
    <row r="102" spans="1:24" hidden="1" x14ac:dyDescent="0.2">
      <c r="A102" s="20">
        <f>MATCH(C102,'[1]Slot Managers Split'!G:G,0)</f>
        <v>148</v>
      </c>
      <c r="B102" s="20"/>
      <c r="C102" s="20" t="s">
        <v>793</v>
      </c>
      <c r="D102" s="20" t="s">
        <v>84</v>
      </c>
      <c r="E102" s="20" t="s">
        <v>51</v>
      </c>
      <c r="F102" s="20" t="s">
        <v>31</v>
      </c>
      <c r="G102" s="20" t="s">
        <v>32</v>
      </c>
      <c r="H102" s="21">
        <v>1812</v>
      </c>
      <c r="I102" s="21">
        <v>49</v>
      </c>
      <c r="J102" s="21">
        <v>16</v>
      </c>
      <c r="K102" s="21">
        <v>1000</v>
      </c>
      <c r="L102" s="20" t="s">
        <v>34</v>
      </c>
      <c r="M102" s="20" t="s">
        <v>34</v>
      </c>
      <c r="N102" s="21">
        <v>80400</v>
      </c>
      <c r="O102" s="21">
        <v>107272</v>
      </c>
      <c r="P102" s="21">
        <v>1621</v>
      </c>
      <c r="Q102" s="21">
        <v>15</v>
      </c>
      <c r="R102" s="21">
        <v>9</v>
      </c>
      <c r="S102" s="21">
        <v>4000</v>
      </c>
      <c r="T102" s="21">
        <v>2000</v>
      </c>
      <c r="U102" s="20" t="s">
        <v>33</v>
      </c>
      <c r="V102" s="20" t="s">
        <v>33</v>
      </c>
      <c r="W102" s="20" t="s">
        <v>35</v>
      </c>
      <c r="X102" s="20" t="s">
        <v>795</v>
      </c>
    </row>
    <row r="103" spans="1:24" x14ac:dyDescent="0.2">
      <c r="A103" s="22" t="e">
        <f>MATCH(C103,'[1]Slot Managers Split'!G:G,0)</f>
        <v>#N/A</v>
      </c>
      <c r="B103" s="22"/>
      <c r="C103" s="22" t="s">
        <v>458</v>
      </c>
      <c r="D103" s="22" t="s">
        <v>459</v>
      </c>
      <c r="E103" s="22" t="s">
        <v>0</v>
      </c>
      <c r="F103" s="22" t="s">
        <v>190</v>
      </c>
      <c r="G103" s="22" t="s">
        <v>32</v>
      </c>
      <c r="H103" s="27">
        <v>1802</v>
      </c>
      <c r="I103" s="27">
        <v>50</v>
      </c>
      <c r="J103" s="27">
        <v>0</v>
      </c>
      <c r="K103" s="27">
        <v>0</v>
      </c>
      <c r="L103" s="22" t="s">
        <v>33</v>
      </c>
      <c r="M103" s="22" t="s">
        <v>33</v>
      </c>
      <c r="N103" s="27">
        <v>0</v>
      </c>
      <c r="O103" s="27">
        <v>0</v>
      </c>
      <c r="P103" s="27">
        <v>39</v>
      </c>
      <c r="Q103" s="27">
        <v>27</v>
      </c>
      <c r="R103" s="27">
        <v>7</v>
      </c>
      <c r="S103" s="27">
        <v>0</v>
      </c>
      <c r="T103" s="27">
        <v>0</v>
      </c>
      <c r="U103" s="22" t="s">
        <v>33</v>
      </c>
      <c r="V103" s="22" t="s">
        <v>33</v>
      </c>
      <c r="W103" s="22" t="s">
        <v>35</v>
      </c>
      <c r="X103" s="22" t="s">
        <v>192</v>
      </c>
    </row>
    <row r="104" spans="1:24" x14ac:dyDescent="0.2">
      <c r="A104" s="22" t="e">
        <f>MATCH(C104,'[1]Slot Managers Split'!G:G,0)</f>
        <v>#N/A</v>
      </c>
      <c r="B104" s="22"/>
      <c r="C104" s="40" t="s">
        <v>227</v>
      </c>
      <c r="D104" s="22" t="s">
        <v>228</v>
      </c>
      <c r="E104" s="22" t="s">
        <v>0</v>
      </c>
      <c r="F104" s="22" t="s">
        <v>198</v>
      </c>
      <c r="G104" s="22" t="s">
        <v>32</v>
      </c>
      <c r="H104" s="27">
        <v>1800</v>
      </c>
      <c r="I104" s="27">
        <v>74</v>
      </c>
      <c r="J104" s="27">
        <v>4</v>
      </c>
      <c r="K104" s="27">
        <v>0</v>
      </c>
      <c r="L104" s="22" t="s">
        <v>33</v>
      </c>
      <c r="M104" s="22" t="s">
        <v>33</v>
      </c>
      <c r="N104" s="27">
        <v>0</v>
      </c>
      <c r="O104" s="27">
        <v>0</v>
      </c>
      <c r="P104" s="27">
        <v>0</v>
      </c>
      <c r="Q104" s="27">
        <v>7</v>
      </c>
      <c r="R104" s="27">
        <v>1</v>
      </c>
      <c r="S104" s="27">
        <v>1600</v>
      </c>
      <c r="T104" s="27">
        <v>1240</v>
      </c>
      <c r="U104" s="22" t="s">
        <v>33</v>
      </c>
      <c r="V104" s="22" t="s">
        <v>33</v>
      </c>
      <c r="W104" s="22" t="s">
        <v>35</v>
      </c>
      <c r="X104" s="22" t="s">
        <v>229</v>
      </c>
    </row>
    <row r="105" spans="1:24" hidden="1" x14ac:dyDescent="0.2">
      <c r="A105" s="33" t="e">
        <f>MATCH(C105,'[1]Slot Managers Split'!G:G,0)</f>
        <v>#N/A</v>
      </c>
      <c r="B105" s="33"/>
      <c r="C105" s="33" t="s">
        <v>224</v>
      </c>
      <c r="D105" s="33" t="s">
        <v>225</v>
      </c>
      <c r="E105" s="33" t="s">
        <v>179</v>
      </c>
      <c r="F105" s="33" t="s">
        <v>180</v>
      </c>
      <c r="G105" s="33" t="s">
        <v>32</v>
      </c>
      <c r="H105" s="34">
        <v>1800</v>
      </c>
      <c r="I105" s="34">
        <v>100</v>
      </c>
      <c r="J105" s="34">
        <v>4</v>
      </c>
      <c r="K105" s="34">
        <v>0</v>
      </c>
      <c r="L105" s="33" t="s">
        <v>33</v>
      </c>
      <c r="M105" s="33" t="s">
        <v>33</v>
      </c>
      <c r="N105" s="34">
        <v>93000</v>
      </c>
      <c r="O105" s="34">
        <v>16000</v>
      </c>
      <c r="P105" s="34">
        <v>292</v>
      </c>
      <c r="Q105" s="34">
        <v>10</v>
      </c>
      <c r="R105" s="34">
        <v>1</v>
      </c>
      <c r="S105" s="34">
        <v>3170</v>
      </c>
      <c r="T105" s="34">
        <v>3389</v>
      </c>
      <c r="U105" s="33" t="s">
        <v>34</v>
      </c>
      <c r="V105" s="33" t="s">
        <v>33</v>
      </c>
      <c r="W105" s="33" t="s">
        <v>35</v>
      </c>
      <c r="X105" s="33" t="s">
        <v>226</v>
      </c>
    </row>
    <row r="106" spans="1:24" hidden="1" x14ac:dyDescent="0.2">
      <c r="A106" s="31" t="e">
        <f>MATCH(C106,'[1]Slot Managers Split'!G:G,0)</f>
        <v>#N/A</v>
      </c>
      <c r="B106" s="31"/>
      <c r="C106" s="31" t="s">
        <v>137</v>
      </c>
      <c r="D106" s="31" t="s">
        <v>138</v>
      </c>
      <c r="E106" s="31" t="s">
        <v>139</v>
      </c>
      <c r="F106" s="31" t="s">
        <v>31</v>
      </c>
      <c r="G106" s="31" t="s">
        <v>32</v>
      </c>
      <c r="H106" s="32">
        <v>1800</v>
      </c>
      <c r="I106" s="32">
        <v>16</v>
      </c>
      <c r="J106" s="32">
        <v>0</v>
      </c>
      <c r="K106" s="32">
        <v>550</v>
      </c>
      <c r="L106" s="31" t="s">
        <v>33</v>
      </c>
      <c r="M106" s="31" t="s">
        <v>33</v>
      </c>
      <c r="N106" s="32">
        <v>88000</v>
      </c>
      <c r="O106" s="32">
        <v>17650</v>
      </c>
      <c r="P106" s="32">
        <v>408</v>
      </c>
      <c r="Q106" s="32">
        <v>4</v>
      </c>
      <c r="R106" s="32">
        <v>1</v>
      </c>
      <c r="S106" s="32">
        <v>1550</v>
      </c>
      <c r="T106" s="32">
        <v>714</v>
      </c>
      <c r="U106" s="31" t="s">
        <v>34</v>
      </c>
      <c r="V106" s="31" t="s">
        <v>34</v>
      </c>
      <c r="W106" s="31" t="s">
        <v>35</v>
      </c>
      <c r="X106" s="31" t="s">
        <v>140</v>
      </c>
    </row>
    <row r="107" spans="1:24" hidden="1" x14ac:dyDescent="0.2">
      <c r="A107" s="20">
        <f>MATCH(C107,'[1]Slot Managers Split'!G:G,0)</f>
        <v>254</v>
      </c>
      <c r="B107" s="20"/>
      <c r="C107" s="20" t="s">
        <v>257</v>
      </c>
      <c r="D107" s="20" t="s">
        <v>258</v>
      </c>
      <c r="E107" s="20" t="s">
        <v>39</v>
      </c>
      <c r="F107" s="20" t="s">
        <v>31</v>
      </c>
      <c r="G107" s="20" t="s">
        <v>32</v>
      </c>
      <c r="H107" s="21">
        <v>1800</v>
      </c>
      <c r="I107" s="21">
        <v>36</v>
      </c>
      <c r="J107" s="21">
        <v>0</v>
      </c>
      <c r="K107" s="21">
        <v>0</v>
      </c>
      <c r="L107" s="20" t="s">
        <v>33</v>
      </c>
      <c r="M107" s="20" t="s">
        <v>33</v>
      </c>
      <c r="N107" s="21">
        <v>56000</v>
      </c>
      <c r="O107" s="21">
        <v>0</v>
      </c>
      <c r="P107" s="21">
        <v>400</v>
      </c>
      <c r="Q107" s="21">
        <v>9</v>
      </c>
      <c r="R107" s="21">
        <v>0</v>
      </c>
      <c r="S107" s="21">
        <v>2500</v>
      </c>
      <c r="T107" s="21">
        <v>1380</v>
      </c>
      <c r="U107" s="20" t="s">
        <v>34</v>
      </c>
      <c r="V107" s="20" t="s">
        <v>34</v>
      </c>
      <c r="W107" s="20" t="s">
        <v>35</v>
      </c>
      <c r="X107" s="20" t="s">
        <v>259</v>
      </c>
    </row>
    <row r="108" spans="1:24" hidden="1" x14ac:dyDescent="0.2">
      <c r="A108" s="20">
        <f>MATCH(C108,'[1]Slot Managers Split'!G:G,0)</f>
        <v>136</v>
      </c>
      <c r="B108" s="20"/>
      <c r="C108" s="20" t="s">
        <v>332</v>
      </c>
      <c r="D108" s="20" t="s">
        <v>333</v>
      </c>
      <c r="E108" s="20" t="s">
        <v>30</v>
      </c>
      <c r="F108" s="20" t="s">
        <v>31</v>
      </c>
      <c r="G108" s="20" t="s">
        <v>32</v>
      </c>
      <c r="H108" s="21">
        <v>1800</v>
      </c>
      <c r="I108" s="21">
        <v>25</v>
      </c>
      <c r="J108" s="21">
        <v>14</v>
      </c>
      <c r="K108" s="21">
        <v>0</v>
      </c>
      <c r="L108" s="20" t="s">
        <v>33</v>
      </c>
      <c r="M108" s="20" t="s">
        <v>33</v>
      </c>
      <c r="N108" s="21">
        <v>70000</v>
      </c>
      <c r="O108" s="21">
        <v>25000</v>
      </c>
      <c r="P108" s="21">
        <v>374</v>
      </c>
      <c r="Q108" s="21">
        <v>8</v>
      </c>
      <c r="R108" s="21">
        <v>2</v>
      </c>
      <c r="S108" s="21">
        <v>3000</v>
      </c>
      <c r="T108" s="21">
        <v>1100</v>
      </c>
      <c r="U108" s="20" t="s">
        <v>34</v>
      </c>
      <c r="V108" s="20" t="s">
        <v>34</v>
      </c>
      <c r="W108" s="20" t="s">
        <v>35</v>
      </c>
      <c r="X108" s="20" t="s">
        <v>335</v>
      </c>
    </row>
    <row r="109" spans="1:24" hidden="1" x14ac:dyDescent="0.2">
      <c r="A109" s="20">
        <f>MATCH(C109,'[1]Slot Managers Split'!G:G,0)</f>
        <v>256</v>
      </c>
      <c r="B109" s="20"/>
      <c r="C109" s="20" t="s">
        <v>378</v>
      </c>
      <c r="D109" s="20" t="s">
        <v>379</v>
      </c>
      <c r="E109" s="20" t="s">
        <v>39</v>
      </c>
      <c r="F109" s="20" t="s">
        <v>31</v>
      </c>
      <c r="G109" s="20" t="s">
        <v>32</v>
      </c>
      <c r="H109" s="21">
        <v>1800</v>
      </c>
      <c r="I109" s="21">
        <v>40</v>
      </c>
      <c r="J109" s="21">
        <v>0</v>
      </c>
      <c r="K109" s="21">
        <v>750</v>
      </c>
      <c r="L109" s="20" t="s">
        <v>33</v>
      </c>
      <c r="M109" s="20" t="s">
        <v>34</v>
      </c>
      <c r="N109" s="21">
        <v>100000</v>
      </c>
      <c r="O109" s="21">
        <v>100000</v>
      </c>
      <c r="P109" s="21">
        <v>250</v>
      </c>
      <c r="Q109" s="21">
        <v>12</v>
      </c>
      <c r="R109" s="21">
        <v>1</v>
      </c>
      <c r="S109" s="21">
        <v>5000</v>
      </c>
      <c r="T109" s="21">
        <v>1000</v>
      </c>
      <c r="U109" s="20" t="s">
        <v>34</v>
      </c>
      <c r="V109" s="20" t="s">
        <v>34</v>
      </c>
      <c r="W109" s="20" t="s">
        <v>35</v>
      </c>
      <c r="X109" s="20" t="s">
        <v>380</v>
      </c>
    </row>
    <row r="110" spans="1:24" hidden="1" x14ac:dyDescent="0.2">
      <c r="A110" s="20">
        <f>MATCH(C110,'[1]Slot Managers Split'!G:G,0)</f>
        <v>255</v>
      </c>
      <c r="B110" s="20"/>
      <c r="C110" s="20" t="s">
        <v>398</v>
      </c>
      <c r="D110" s="20" t="s">
        <v>399</v>
      </c>
      <c r="E110" s="20" t="s">
        <v>146</v>
      </c>
      <c r="F110" s="20" t="s">
        <v>31</v>
      </c>
      <c r="G110" s="20" t="s">
        <v>32</v>
      </c>
      <c r="H110" s="21">
        <v>1800</v>
      </c>
      <c r="I110" s="21">
        <v>27</v>
      </c>
      <c r="J110" s="21">
        <v>12</v>
      </c>
      <c r="K110" s="21">
        <v>0</v>
      </c>
      <c r="L110" s="20" t="s">
        <v>34</v>
      </c>
      <c r="M110" s="20" t="s">
        <v>33</v>
      </c>
      <c r="N110" s="21">
        <v>140000</v>
      </c>
      <c r="O110" s="21">
        <v>175000</v>
      </c>
      <c r="P110" s="21">
        <v>0</v>
      </c>
      <c r="Q110" s="21">
        <v>6</v>
      </c>
      <c r="R110" s="21">
        <v>0</v>
      </c>
      <c r="S110" s="21">
        <v>4500</v>
      </c>
      <c r="T110" s="21">
        <v>1200</v>
      </c>
      <c r="U110" s="20" t="s">
        <v>34</v>
      </c>
      <c r="V110" s="20" t="s">
        <v>34</v>
      </c>
      <c r="W110" s="20" t="s">
        <v>35</v>
      </c>
      <c r="X110" s="20" t="s">
        <v>397</v>
      </c>
    </row>
    <row r="111" spans="1:24" hidden="1" x14ac:dyDescent="0.2">
      <c r="A111" s="20">
        <f>MATCH(C111,'[1]Slot Managers Split'!G:G,0)</f>
        <v>51</v>
      </c>
      <c r="B111" s="20"/>
      <c r="C111" s="20" t="s">
        <v>698</v>
      </c>
      <c r="D111" s="20" t="s">
        <v>670</v>
      </c>
      <c r="E111" s="20" t="s">
        <v>185</v>
      </c>
      <c r="F111" s="20" t="s">
        <v>31</v>
      </c>
      <c r="G111" s="20" t="s">
        <v>32</v>
      </c>
      <c r="H111" s="21">
        <v>1800</v>
      </c>
      <c r="I111" s="21">
        <v>0</v>
      </c>
      <c r="J111" s="21">
        <v>20</v>
      </c>
      <c r="K111" s="21">
        <v>800</v>
      </c>
      <c r="L111" s="20" t="s">
        <v>33</v>
      </c>
      <c r="M111" s="20" t="s">
        <v>33</v>
      </c>
      <c r="N111" s="21">
        <v>67000</v>
      </c>
      <c r="O111" s="21">
        <v>46000</v>
      </c>
      <c r="P111" s="21">
        <v>302</v>
      </c>
      <c r="Q111" s="21">
        <v>9</v>
      </c>
      <c r="R111" s="21">
        <v>1</v>
      </c>
      <c r="S111" s="21">
        <v>0</v>
      </c>
      <c r="T111" s="21">
        <v>970</v>
      </c>
      <c r="U111" s="20" t="s">
        <v>34</v>
      </c>
      <c r="V111" s="20" t="s">
        <v>34</v>
      </c>
      <c r="W111" s="20" t="s">
        <v>35</v>
      </c>
      <c r="X111" s="20" t="s">
        <v>699</v>
      </c>
    </row>
    <row r="112" spans="1:24" hidden="1" x14ac:dyDescent="0.2">
      <c r="A112" s="20">
        <f>MATCH(C112,'[1]Slot Managers Split'!G:G,0)</f>
        <v>144</v>
      </c>
      <c r="B112" s="20"/>
      <c r="C112" s="20" t="s">
        <v>1028</v>
      </c>
      <c r="D112" s="20" t="s">
        <v>1029</v>
      </c>
      <c r="E112" s="20" t="s">
        <v>139</v>
      </c>
      <c r="F112" s="20" t="s">
        <v>31</v>
      </c>
      <c r="G112" s="20" t="s">
        <v>32</v>
      </c>
      <c r="H112" s="21">
        <v>1800</v>
      </c>
      <c r="I112" s="21">
        <v>40</v>
      </c>
      <c r="J112" s="21">
        <v>7</v>
      </c>
      <c r="K112" s="21">
        <v>500</v>
      </c>
      <c r="L112" s="20" t="s">
        <v>33</v>
      </c>
      <c r="M112" s="20" t="s">
        <v>33</v>
      </c>
      <c r="N112" s="21">
        <v>150000</v>
      </c>
      <c r="O112" s="21">
        <v>50000</v>
      </c>
      <c r="P112" s="21">
        <v>788</v>
      </c>
      <c r="Q112" s="21">
        <v>15</v>
      </c>
      <c r="R112" s="21">
        <v>1</v>
      </c>
      <c r="S112" s="21">
        <v>3909</v>
      </c>
      <c r="T112" s="21">
        <v>1500</v>
      </c>
      <c r="U112" s="20" t="s">
        <v>34</v>
      </c>
      <c r="V112" s="20" t="s">
        <v>34</v>
      </c>
      <c r="W112" s="20" t="s">
        <v>35</v>
      </c>
      <c r="X112" s="20" t="s">
        <v>1030</v>
      </c>
    </row>
    <row r="113" spans="1:24" hidden="1" x14ac:dyDescent="0.2">
      <c r="A113" s="31" t="e">
        <f>MATCH(C113,'[1]Slot Managers Split'!G:G,0)</f>
        <v>#N/A</v>
      </c>
      <c r="B113" s="31"/>
      <c r="C113" s="31" t="s">
        <v>595</v>
      </c>
      <c r="D113" s="31" t="s">
        <v>596</v>
      </c>
      <c r="E113" s="31" t="s">
        <v>158</v>
      </c>
      <c r="F113" s="31" t="s">
        <v>31</v>
      </c>
      <c r="G113" s="31" t="s">
        <v>32</v>
      </c>
      <c r="H113" s="32">
        <v>1799</v>
      </c>
      <c r="I113" s="32">
        <v>24</v>
      </c>
      <c r="J113" s="32">
        <v>6</v>
      </c>
      <c r="K113" s="32">
        <v>128</v>
      </c>
      <c r="L113" s="31" t="s">
        <v>34</v>
      </c>
      <c r="M113" s="31" t="s">
        <v>33</v>
      </c>
      <c r="N113" s="32">
        <v>100000</v>
      </c>
      <c r="O113" s="32">
        <v>30000</v>
      </c>
      <c r="P113" s="32">
        <v>201</v>
      </c>
      <c r="Q113" s="32">
        <v>8</v>
      </c>
      <c r="R113" s="32">
        <v>1</v>
      </c>
      <c r="S113" s="32">
        <v>2200</v>
      </c>
      <c r="T113" s="32">
        <v>1156</v>
      </c>
      <c r="U113" s="31" t="s">
        <v>34</v>
      </c>
      <c r="V113" s="31" t="s">
        <v>34</v>
      </c>
      <c r="W113" s="31" t="s">
        <v>35</v>
      </c>
      <c r="X113" s="31" t="s">
        <v>597</v>
      </c>
    </row>
    <row r="114" spans="1:24" hidden="1" x14ac:dyDescent="0.2">
      <c r="A114" s="31" t="e">
        <f>MATCH(C114,'[1]Slot Managers Split'!G:G,0)</f>
        <v>#N/A</v>
      </c>
      <c r="B114" s="31"/>
      <c r="C114" s="31" t="s">
        <v>65</v>
      </c>
      <c r="D114" s="31" t="s">
        <v>66</v>
      </c>
      <c r="E114" s="31" t="s">
        <v>62</v>
      </c>
      <c r="F114" s="31" t="s">
        <v>31</v>
      </c>
      <c r="G114" s="31" t="s">
        <v>32</v>
      </c>
      <c r="H114" s="32">
        <v>1792</v>
      </c>
      <c r="I114" s="32">
        <v>44</v>
      </c>
      <c r="J114" s="32">
        <v>17</v>
      </c>
      <c r="K114" s="32">
        <v>0</v>
      </c>
      <c r="L114" s="31" t="s">
        <v>33</v>
      </c>
      <c r="M114" s="31" t="s">
        <v>33</v>
      </c>
      <c r="N114" s="32">
        <v>130000</v>
      </c>
      <c r="O114" s="32">
        <v>55000</v>
      </c>
      <c r="P114" s="32">
        <v>400</v>
      </c>
      <c r="Q114" s="32">
        <v>12</v>
      </c>
      <c r="R114" s="32">
        <v>2</v>
      </c>
      <c r="S114" s="32">
        <v>4000</v>
      </c>
      <c r="T114" s="32">
        <v>1506</v>
      </c>
      <c r="U114" s="31" t="s">
        <v>33</v>
      </c>
      <c r="V114" s="31" t="s">
        <v>33</v>
      </c>
      <c r="W114" s="31" t="s">
        <v>57</v>
      </c>
      <c r="X114" s="31" t="s">
        <v>64</v>
      </c>
    </row>
    <row r="115" spans="1:24" hidden="1" x14ac:dyDescent="0.2">
      <c r="A115" s="20">
        <f>MATCH(C115,'[1]Slot Managers Split'!G:G,0)</f>
        <v>141</v>
      </c>
      <c r="B115" s="20"/>
      <c r="C115" s="20" t="s">
        <v>880</v>
      </c>
      <c r="D115" s="20" t="s">
        <v>596</v>
      </c>
      <c r="E115" s="20" t="s">
        <v>158</v>
      </c>
      <c r="F115" s="20" t="s">
        <v>31</v>
      </c>
      <c r="G115" s="20" t="s">
        <v>32</v>
      </c>
      <c r="H115" s="21">
        <v>1774</v>
      </c>
      <c r="I115" s="21">
        <v>29</v>
      </c>
      <c r="J115" s="21">
        <v>15</v>
      </c>
      <c r="K115" s="21">
        <v>450</v>
      </c>
      <c r="L115" s="20" t="s">
        <v>34</v>
      </c>
      <c r="M115" s="20" t="s">
        <v>33</v>
      </c>
      <c r="N115" s="21">
        <v>140000</v>
      </c>
      <c r="O115" s="21">
        <v>50000</v>
      </c>
      <c r="P115" s="21">
        <v>228</v>
      </c>
      <c r="Q115" s="21">
        <v>10</v>
      </c>
      <c r="R115" s="21">
        <v>2</v>
      </c>
      <c r="S115" s="21">
        <v>13470</v>
      </c>
      <c r="T115" s="21">
        <v>2000</v>
      </c>
      <c r="U115" s="20" t="s">
        <v>34</v>
      </c>
      <c r="V115" s="20" t="s">
        <v>34</v>
      </c>
      <c r="W115" s="20" t="s">
        <v>35</v>
      </c>
      <c r="X115" s="20" t="s">
        <v>881</v>
      </c>
    </row>
    <row r="116" spans="1:24" hidden="1" x14ac:dyDescent="0.2">
      <c r="A116" s="20">
        <f>MATCH(C116,'[1]Slot Managers Split'!G:G,0)</f>
        <v>143</v>
      </c>
      <c r="B116" s="20"/>
      <c r="C116" s="20" t="s">
        <v>446</v>
      </c>
      <c r="D116" s="20" t="s">
        <v>447</v>
      </c>
      <c r="E116" s="20" t="s">
        <v>139</v>
      </c>
      <c r="F116" s="20" t="s">
        <v>31</v>
      </c>
      <c r="G116" s="20" t="s">
        <v>32</v>
      </c>
      <c r="H116" s="21">
        <v>1770</v>
      </c>
      <c r="I116" s="21">
        <v>22</v>
      </c>
      <c r="J116" s="21">
        <v>8</v>
      </c>
      <c r="K116" s="21">
        <v>288</v>
      </c>
      <c r="L116" s="20" t="s">
        <v>33</v>
      </c>
      <c r="M116" s="20" t="s">
        <v>33</v>
      </c>
      <c r="N116" s="21">
        <v>68000</v>
      </c>
      <c r="O116" s="21">
        <v>26000</v>
      </c>
      <c r="P116" s="21">
        <v>563</v>
      </c>
      <c r="Q116" s="21">
        <v>6</v>
      </c>
      <c r="R116" s="21">
        <v>1</v>
      </c>
      <c r="S116" s="21">
        <v>4254</v>
      </c>
      <c r="T116" s="21">
        <v>1111</v>
      </c>
      <c r="U116" s="20" t="s">
        <v>34</v>
      </c>
      <c r="V116" s="20" t="s">
        <v>34</v>
      </c>
      <c r="W116" s="20" t="s">
        <v>35</v>
      </c>
      <c r="X116" s="20" t="s">
        <v>442</v>
      </c>
    </row>
    <row r="117" spans="1:24" x14ac:dyDescent="0.2">
      <c r="A117" s="22" t="e">
        <f>MATCH(C117,'[1]Slot Managers Split'!G:G,0)</f>
        <v>#N/A</v>
      </c>
      <c r="B117" s="22"/>
      <c r="C117" s="22" t="s">
        <v>188</v>
      </c>
      <c r="D117" s="22" t="s">
        <v>189</v>
      </c>
      <c r="E117" s="22" t="s">
        <v>0</v>
      </c>
      <c r="F117" s="22" t="s">
        <v>190</v>
      </c>
      <c r="G117" s="22" t="s">
        <v>32</v>
      </c>
      <c r="H117" s="27">
        <v>1758</v>
      </c>
      <c r="I117" s="27">
        <v>58</v>
      </c>
      <c r="J117" s="27">
        <v>0</v>
      </c>
      <c r="K117" s="27">
        <v>0</v>
      </c>
      <c r="L117" s="22" t="s">
        <v>33</v>
      </c>
      <c r="M117" s="22" t="s">
        <v>33</v>
      </c>
      <c r="N117" s="27">
        <v>0</v>
      </c>
      <c r="O117" s="27">
        <v>0</v>
      </c>
      <c r="P117" s="27">
        <v>105</v>
      </c>
      <c r="Q117" s="27">
        <v>13</v>
      </c>
      <c r="R117" s="27">
        <v>5</v>
      </c>
      <c r="S117" s="27">
        <v>900</v>
      </c>
      <c r="T117" s="27">
        <v>0</v>
      </c>
      <c r="U117" s="22" t="s">
        <v>33</v>
      </c>
      <c r="V117" s="22" t="s">
        <v>33</v>
      </c>
      <c r="W117" s="22" t="s">
        <v>35</v>
      </c>
      <c r="X117" s="22" t="s">
        <v>192</v>
      </c>
    </row>
    <row r="118" spans="1:24" hidden="1" x14ac:dyDescent="0.2">
      <c r="A118" s="20">
        <f>MATCH(C118,'[1]Slot Managers Split'!G:G,0)</f>
        <v>52</v>
      </c>
      <c r="B118" s="20"/>
      <c r="C118" s="20" t="s">
        <v>480</v>
      </c>
      <c r="D118" s="20" t="s">
        <v>481</v>
      </c>
      <c r="E118" s="20" t="s">
        <v>146</v>
      </c>
      <c r="F118" s="20" t="s">
        <v>31</v>
      </c>
      <c r="G118" s="20" t="s">
        <v>32</v>
      </c>
      <c r="H118" s="21">
        <v>1756</v>
      </c>
      <c r="I118" s="21">
        <v>76</v>
      </c>
      <c r="J118" s="21">
        <v>0</v>
      </c>
      <c r="K118" s="21">
        <v>0</v>
      </c>
      <c r="L118" s="20" t="s">
        <v>34</v>
      </c>
      <c r="M118" s="20" t="s">
        <v>33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1800</v>
      </c>
      <c r="U118" s="20" t="s">
        <v>34</v>
      </c>
      <c r="V118" s="20" t="s">
        <v>33</v>
      </c>
      <c r="W118" s="20" t="s">
        <v>35</v>
      </c>
      <c r="X118" s="20" t="s">
        <v>482</v>
      </c>
    </row>
    <row r="119" spans="1:24" hidden="1" x14ac:dyDescent="0.2">
      <c r="A119" s="20">
        <f>MATCH(C119,'[1]Slot Managers Split'!G:G,0)</f>
        <v>131</v>
      </c>
      <c r="B119" s="20"/>
      <c r="C119" s="20" t="s">
        <v>346</v>
      </c>
      <c r="D119" s="20" t="s">
        <v>347</v>
      </c>
      <c r="E119" s="20" t="s">
        <v>135</v>
      </c>
      <c r="F119" s="20" t="s">
        <v>31</v>
      </c>
      <c r="G119" s="20" t="s">
        <v>32</v>
      </c>
      <c r="H119" s="21">
        <v>1755</v>
      </c>
      <c r="I119" s="21">
        <v>0</v>
      </c>
      <c r="J119" s="21">
        <v>0</v>
      </c>
      <c r="K119" s="21">
        <v>0</v>
      </c>
      <c r="L119" s="20" t="s">
        <v>34</v>
      </c>
      <c r="M119" s="20" t="s">
        <v>34</v>
      </c>
      <c r="N119" s="21">
        <v>108400</v>
      </c>
      <c r="O119" s="21">
        <v>0</v>
      </c>
      <c r="P119" s="21">
        <v>0</v>
      </c>
      <c r="Q119" s="21">
        <v>9</v>
      </c>
      <c r="R119" s="21">
        <v>2</v>
      </c>
      <c r="S119" s="21">
        <v>0</v>
      </c>
      <c r="T119" s="21">
        <v>475</v>
      </c>
      <c r="U119" s="20" t="s">
        <v>33</v>
      </c>
      <c r="V119" s="20" t="s">
        <v>33</v>
      </c>
      <c r="W119" s="20" t="s">
        <v>103</v>
      </c>
      <c r="X119" s="20" t="s">
        <v>267</v>
      </c>
    </row>
    <row r="120" spans="1:24" hidden="1" x14ac:dyDescent="0.2">
      <c r="A120" s="20">
        <f>MATCH(C120,'[1]Slot Managers Split'!G:G,0)</f>
        <v>259</v>
      </c>
      <c r="B120" s="20"/>
      <c r="C120" s="20" t="s">
        <v>337</v>
      </c>
      <c r="D120" s="20" t="s">
        <v>338</v>
      </c>
      <c r="E120" s="20" t="s">
        <v>39</v>
      </c>
      <c r="F120" s="20" t="s">
        <v>31</v>
      </c>
      <c r="G120" s="20" t="s">
        <v>32</v>
      </c>
      <c r="H120" s="21">
        <v>1750</v>
      </c>
      <c r="I120" s="21">
        <v>20</v>
      </c>
      <c r="J120" s="21">
        <v>0</v>
      </c>
      <c r="K120" s="21">
        <v>0</v>
      </c>
      <c r="L120" s="20" t="s">
        <v>33</v>
      </c>
      <c r="M120" s="20" t="s">
        <v>33</v>
      </c>
      <c r="N120" s="21">
        <v>105000</v>
      </c>
      <c r="O120" s="21">
        <v>29000</v>
      </c>
      <c r="P120" s="21">
        <v>250</v>
      </c>
      <c r="Q120" s="21">
        <v>0</v>
      </c>
      <c r="R120" s="21">
        <v>0</v>
      </c>
      <c r="S120" s="21">
        <v>0</v>
      </c>
      <c r="T120" s="21">
        <v>0</v>
      </c>
      <c r="U120" s="20" t="s">
        <v>34</v>
      </c>
      <c r="V120" s="20" t="s">
        <v>34</v>
      </c>
      <c r="W120" s="20" t="s">
        <v>35</v>
      </c>
      <c r="X120" s="20" t="s">
        <v>341</v>
      </c>
    </row>
    <row r="121" spans="1:24" hidden="1" x14ac:dyDescent="0.2">
      <c r="A121" s="20">
        <f>MATCH(C121,'[1]Slot Managers Split'!G:G,0)</f>
        <v>258</v>
      </c>
      <c r="B121" s="20"/>
      <c r="C121" s="20" t="s">
        <v>443</v>
      </c>
      <c r="D121" s="20" t="s">
        <v>444</v>
      </c>
      <c r="E121" s="20" t="s">
        <v>30</v>
      </c>
      <c r="F121" s="20" t="s">
        <v>31</v>
      </c>
      <c r="G121" s="20" t="s">
        <v>32</v>
      </c>
      <c r="H121" s="21">
        <v>1750</v>
      </c>
      <c r="I121" s="21">
        <v>18</v>
      </c>
      <c r="J121" s="21">
        <v>13</v>
      </c>
      <c r="K121" s="21">
        <v>0</v>
      </c>
      <c r="L121" s="20" t="s">
        <v>33</v>
      </c>
      <c r="M121" s="20" t="s">
        <v>33</v>
      </c>
      <c r="N121" s="21">
        <v>125000</v>
      </c>
      <c r="O121" s="21">
        <v>25000</v>
      </c>
      <c r="P121" s="21">
        <v>262</v>
      </c>
      <c r="Q121" s="21">
        <v>9</v>
      </c>
      <c r="R121" s="21">
        <v>1</v>
      </c>
      <c r="S121" s="21">
        <v>4000</v>
      </c>
      <c r="T121" s="21">
        <v>900</v>
      </c>
      <c r="U121" s="20" t="s">
        <v>34</v>
      </c>
      <c r="V121" s="20" t="s">
        <v>34</v>
      </c>
      <c r="W121" s="20" t="s">
        <v>35</v>
      </c>
      <c r="X121" s="20" t="s">
        <v>445</v>
      </c>
    </row>
    <row r="122" spans="1:24" hidden="1" x14ac:dyDescent="0.2">
      <c r="A122" s="20">
        <f>MATCH(C122,'[1]Slot Managers Split'!G:G,0)</f>
        <v>155</v>
      </c>
      <c r="B122" s="20"/>
      <c r="C122" s="20" t="s">
        <v>606</v>
      </c>
      <c r="D122" s="20" t="s">
        <v>607</v>
      </c>
      <c r="E122" s="20" t="s">
        <v>39</v>
      </c>
      <c r="F122" s="20" t="s">
        <v>31</v>
      </c>
      <c r="G122" s="20" t="s">
        <v>32</v>
      </c>
      <c r="H122" s="21">
        <v>1740</v>
      </c>
      <c r="I122" s="21">
        <v>32</v>
      </c>
      <c r="J122" s="21">
        <v>6</v>
      </c>
      <c r="K122" s="21">
        <v>0</v>
      </c>
      <c r="L122" s="20" t="s">
        <v>33</v>
      </c>
      <c r="M122" s="20" t="s">
        <v>33</v>
      </c>
      <c r="N122" s="21">
        <v>197789</v>
      </c>
      <c r="O122" s="21">
        <v>14684</v>
      </c>
      <c r="P122" s="21">
        <v>86</v>
      </c>
      <c r="Q122" s="21">
        <v>5</v>
      </c>
      <c r="R122" s="21">
        <v>2</v>
      </c>
      <c r="S122" s="21">
        <v>2900</v>
      </c>
      <c r="T122" s="21">
        <v>1000</v>
      </c>
      <c r="U122" s="20" t="s">
        <v>34</v>
      </c>
      <c r="V122" s="20" t="s">
        <v>34</v>
      </c>
      <c r="W122" s="20" t="s">
        <v>35</v>
      </c>
      <c r="X122" s="20" t="s">
        <v>608</v>
      </c>
    </row>
    <row r="123" spans="1:24" hidden="1" x14ac:dyDescent="0.2">
      <c r="A123" s="33" t="e">
        <f>MATCH(C123,'[1]Slot Managers Split'!G:G,0)</f>
        <v>#N/A</v>
      </c>
      <c r="B123" s="33"/>
      <c r="C123" s="37" t="s">
        <v>177</v>
      </c>
      <c r="D123" s="33" t="s">
        <v>178</v>
      </c>
      <c r="E123" s="33" t="s">
        <v>179</v>
      </c>
      <c r="F123" s="33" t="s">
        <v>180</v>
      </c>
      <c r="G123" s="33" t="s">
        <v>32</v>
      </c>
      <c r="H123" s="34">
        <v>1738</v>
      </c>
      <c r="I123" s="34">
        <v>85</v>
      </c>
      <c r="J123" s="34">
        <v>14</v>
      </c>
      <c r="K123" s="34">
        <v>0</v>
      </c>
      <c r="L123" s="33" t="s">
        <v>34</v>
      </c>
      <c r="M123" s="33" t="s">
        <v>34</v>
      </c>
      <c r="N123" s="34">
        <v>100000</v>
      </c>
      <c r="O123" s="34">
        <v>100000</v>
      </c>
      <c r="P123" s="34">
        <v>760</v>
      </c>
      <c r="Q123" s="34">
        <v>6</v>
      </c>
      <c r="R123" s="34">
        <v>5</v>
      </c>
      <c r="S123" s="34">
        <v>3000</v>
      </c>
      <c r="T123" s="34">
        <v>3000</v>
      </c>
      <c r="U123" s="33" t="s">
        <v>33</v>
      </c>
      <c r="V123" s="33" t="s">
        <v>33</v>
      </c>
      <c r="W123" s="33" t="s">
        <v>35</v>
      </c>
      <c r="X123" s="33" t="s">
        <v>182</v>
      </c>
    </row>
    <row r="124" spans="1:24" hidden="1" x14ac:dyDescent="0.2">
      <c r="A124" s="20">
        <f>MATCH(C124,'[1]Slot Managers Split'!G:G,0)</f>
        <v>23</v>
      </c>
      <c r="B124" s="20"/>
      <c r="C124" s="20" t="s">
        <v>166</v>
      </c>
      <c r="D124" s="20" t="s">
        <v>87</v>
      </c>
      <c r="E124" s="20" t="s">
        <v>88</v>
      </c>
      <c r="F124" s="20" t="s">
        <v>31</v>
      </c>
      <c r="G124" s="20" t="s">
        <v>32</v>
      </c>
      <c r="H124" s="21">
        <v>1731</v>
      </c>
      <c r="I124" s="21">
        <v>105</v>
      </c>
      <c r="J124" s="21">
        <v>0</v>
      </c>
      <c r="K124" s="21">
        <v>0</v>
      </c>
      <c r="L124" s="20" t="s">
        <v>34</v>
      </c>
      <c r="M124" s="20" t="s">
        <v>34</v>
      </c>
      <c r="N124" s="21">
        <v>113400</v>
      </c>
      <c r="O124" s="21">
        <v>33730</v>
      </c>
      <c r="P124" s="21">
        <v>1150</v>
      </c>
      <c r="Q124" s="21">
        <v>18</v>
      </c>
      <c r="R124" s="21">
        <v>8</v>
      </c>
      <c r="S124" s="21">
        <v>2938</v>
      </c>
      <c r="T124" s="21">
        <v>2649</v>
      </c>
      <c r="U124" s="20" t="s">
        <v>33</v>
      </c>
      <c r="V124" s="20" t="s">
        <v>33</v>
      </c>
      <c r="W124" s="20" t="s">
        <v>35</v>
      </c>
      <c r="X124" s="20" t="s">
        <v>167</v>
      </c>
    </row>
    <row r="125" spans="1:24" x14ac:dyDescent="0.2">
      <c r="A125" s="22" t="e">
        <f>MATCH(C125,'[1]Slot Managers Split'!G:G,0)</f>
        <v>#N/A</v>
      </c>
      <c r="B125" s="22"/>
      <c r="C125" s="22" t="s">
        <v>361</v>
      </c>
      <c r="D125" s="22" t="s">
        <v>362</v>
      </c>
      <c r="E125" s="22" t="s">
        <v>0</v>
      </c>
      <c r="F125" s="22" t="s">
        <v>190</v>
      </c>
      <c r="G125" s="22" t="s">
        <v>32</v>
      </c>
      <c r="H125" s="27">
        <v>1724</v>
      </c>
      <c r="I125" s="27">
        <v>67</v>
      </c>
      <c r="J125" s="27">
        <v>11</v>
      </c>
      <c r="K125" s="27">
        <v>0</v>
      </c>
      <c r="L125" s="22" t="s">
        <v>33</v>
      </c>
      <c r="M125" s="22" t="s">
        <v>33</v>
      </c>
      <c r="N125" s="27">
        <v>123720</v>
      </c>
      <c r="O125" s="27">
        <v>170909</v>
      </c>
      <c r="P125" s="27">
        <v>655</v>
      </c>
      <c r="Q125" s="27">
        <v>16</v>
      </c>
      <c r="R125" s="27">
        <v>7</v>
      </c>
      <c r="S125" s="27">
        <v>4500</v>
      </c>
      <c r="T125" s="27">
        <v>1355</v>
      </c>
      <c r="U125" s="22" t="s">
        <v>33</v>
      </c>
      <c r="V125" s="22" t="s">
        <v>33</v>
      </c>
      <c r="W125" s="22" t="s">
        <v>35</v>
      </c>
      <c r="X125" s="22" t="s">
        <v>363</v>
      </c>
    </row>
    <row r="126" spans="1:24" hidden="1" x14ac:dyDescent="0.2">
      <c r="A126" s="31" t="e">
        <f>MATCH(C126,'[1]Slot Managers Split'!G:G,0)</f>
        <v>#N/A</v>
      </c>
      <c r="B126" s="31"/>
      <c r="C126" s="31" t="s">
        <v>553</v>
      </c>
      <c r="D126" s="31" t="s">
        <v>554</v>
      </c>
      <c r="E126" s="31" t="s">
        <v>555</v>
      </c>
      <c r="F126" s="31" t="s">
        <v>31</v>
      </c>
      <c r="G126" s="31" t="s">
        <v>32</v>
      </c>
      <c r="H126" s="32">
        <v>1711</v>
      </c>
      <c r="I126" s="32">
        <v>78</v>
      </c>
      <c r="J126" s="32">
        <v>16</v>
      </c>
      <c r="K126" s="32">
        <v>0</v>
      </c>
      <c r="L126" s="31" t="s">
        <v>34</v>
      </c>
      <c r="M126" s="31" t="s">
        <v>34</v>
      </c>
      <c r="N126" s="32">
        <v>115000</v>
      </c>
      <c r="O126" s="32">
        <v>0</v>
      </c>
      <c r="P126" s="32">
        <v>153</v>
      </c>
      <c r="Q126" s="32">
        <v>7</v>
      </c>
      <c r="R126" s="32">
        <v>1</v>
      </c>
      <c r="S126" s="32">
        <v>6084</v>
      </c>
      <c r="T126" s="32">
        <v>1217</v>
      </c>
      <c r="U126" s="31" t="s">
        <v>33</v>
      </c>
      <c r="V126" s="31" t="s">
        <v>33</v>
      </c>
      <c r="W126" s="31" t="s">
        <v>103</v>
      </c>
      <c r="X126" s="31" t="s">
        <v>59</v>
      </c>
    </row>
    <row r="127" spans="1:24" x14ac:dyDescent="0.2">
      <c r="A127" s="22" t="e">
        <f>MATCH(C127,'[1]Slot Managers Split'!G:G,0)</f>
        <v>#N/A</v>
      </c>
      <c r="B127" s="22"/>
      <c r="C127" s="22" t="s">
        <v>273</v>
      </c>
      <c r="D127" s="22" t="s">
        <v>274</v>
      </c>
      <c r="E127" s="22" t="s">
        <v>0</v>
      </c>
      <c r="F127" s="22" t="s">
        <v>275</v>
      </c>
      <c r="G127" s="22" t="s">
        <v>32</v>
      </c>
      <c r="H127" s="27">
        <v>1707</v>
      </c>
      <c r="I127" s="27">
        <v>455</v>
      </c>
      <c r="J127" s="27">
        <v>30</v>
      </c>
      <c r="K127" s="27">
        <v>0</v>
      </c>
      <c r="L127" s="22" t="s">
        <v>33</v>
      </c>
      <c r="M127" s="22" t="s">
        <v>33</v>
      </c>
      <c r="N127" s="27">
        <v>448000</v>
      </c>
      <c r="O127" s="27">
        <v>0</v>
      </c>
      <c r="P127" s="27">
        <v>2189</v>
      </c>
      <c r="Q127" s="27">
        <v>29</v>
      </c>
      <c r="R127" s="27">
        <v>1</v>
      </c>
      <c r="S127" s="27">
        <v>0</v>
      </c>
      <c r="T127" s="27">
        <v>7000</v>
      </c>
      <c r="U127" s="22" t="s">
        <v>33</v>
      </c>
      <c r="V127" s="22" t="s">
        <v>33</v>
      </c>
      <c r="W127" s="22" t="s">
        <v>35</v>
      </c>
      <c r="X127" s="22" t="s">
        <v>277</v>
      </c>
    </row>
    <row r="128" spans="1:24" s="6" customFormat="1" hidden="1" x14ac:dyDescent="0.2">
      <c r="A128" s="38" t="e">
        <f>MATCH(C128,'[1]Slot Managers Split'!G:G,0)</f>
        <v>#N/A</v>
      </c>
      <c r="B128" s="38"/>
      <c r="C128" s="38" t="s">
        <v>959</v>
      </c>
      <c r="D128" s="38" t="s">
        <v>960</v>
      </c>
      <c r="E128" s="38" t="s">
        <v>246</v>
      </c>
      <c r="F128" s="38" t="s">
        <v>31</v>
      </c>
      <c r="G128" s="38" t="s">
        <v>32</v>
      </c>
      <c r="H128" s="39">
        <v>1707</v>
      </c>
      <c r="I128" s="39">
        <v>28</v>
      </c>
      <c r="J128" s="39">
        <v>0</v>
      </c>
      <c r="K128" s="39">
        <v>400</v>
      </c>
      <c r="L128" s="38" t="s">
        <v>34</v>
      </c>
      <c r="M128" s="38" t="s">
        <v>33</v>
      </c>
      <c r="N128" s="39">
        <v>90000</v>
      </c>
      <c r="O128" s="39">
        <v>17200</v>
      </c>
      <c r="P128" s="39">
        <v>254</v>
      </c>
      <c r="Q128" s="39">
        <v>5</v>
      </c>
      <c r="R128" s="39">
        <v>1</v>
      </c>
      <c r="S128" s="39">
        <v>2910</v>
      </c>
      <c r="T128" s="39">
        <v>1300</v>
      </c>
      <c r="U128" s="38" t="s">
        <v>34</v>
      </c>
      <c r="V128" s="38" t="s">
        <v>34</v>
      </c>
      <c r="W128" s="38" t="s">
        <v>35</v>
      </c>
      <c r="X128" s="38" t="s">
        <v>961</v>
      </c>
    </row>
    <row r="129" spans="1:24" hidden="1" x14ac:dyDescent="0.2">
      <c r="A129" s="33" t="e">
        <f>MATCH(C129,'[1]Slot Managers Split'!G:G,0)</f>
        <v>#N/A</v>
      </c>
      <c r="B129" s="33"/>
      <c r="C129" s="33" t="s">
        <v>207</v>
      </c>
      <c r="D129" s="33" t="s">
        <v>208</v>
      </c>
      <c r="E129" s="33" t="s">
        <v>205</v>
      </c>
      <c r="F129" s="33" t="s">
        <v>180</v>
      </c>
      <c r="G129" s="33" t="s">
        <v>32</v>
      </c>
      <c r="H129" s="34">
        <v>1700</v>
      </c>
      <c r="I129" s="34">
        <v>60</v>
      </c>
      <c r="J129" s="34">
        <v>0</v>
      </c>
      <c r="K129" s="34">
        <v>0</v>
      </c>
      <c r="L129" s="33" t="s">
        <v>33</v>
      </c>
      <c r="M129" s="33" t="s">
        <v>33</v>
      </c>
      <c r="N129" s="34">
        <v>70644</v>
      </c>
      <c r="O129" s="34">
        <v>33000</v>
      </c>
      <c r="P129" s="34">
        <v>349</v>
      </c>
      <c r="Q129" s="34">
        <v>9</v>
      </c>
      <c r="R129" s="34">
        <v>2</v>
      </c>
      <c r="S129" s="34">
        <v>4000</v>
      </c>
      <c r="T129" s="34">
        <v>1500</v>
      </c>
      <c r="U129" s="33" t="s">
        <v>33</v>
      </c>
      <c r="V129" s="33" t="s">
        <v>33</v>
      </c>
      <c r="W129" s="33" t="s">
        <v>35</v>
      </c>
      <c r="X129" s="33" t="s">
        <v>206</v>
      </c>
    </row>
    <row r="130" spans="1:24" x14ac:dyDescent="0.2">
      <c r="A130" s="22" t="e">
        <f>MATCH(C130,'[1]Slot Managers Split'!G:G,0)</f>
        <v>#N/A</v>
      </c>
      <c r="B130" s="22"/>
      <c r="C130" s="22" t="s">
        <v>1005</v>
      </c>
      <c r="D130" s="22" t="s">
        <v>274</v>
      </c>
      <c r="E130" s="22" t="s">
        <v>0</v>
      </c>
      <c r="F130" s="22" t="s">
        <v>275</v>
      </c>
      <c r="G130" s="22" t="s">
        <v>32</v>
      </c>
      <c r="H130" s="27">
        <v>1700</v>
      </c>
      <c r="I130" s="27">
        <v>200</v>
      </c>
      <c r="J130" s="27">
        <v>0</v>
      </c>
      <c r="K130" s="27">
        <v>0</v>
      </c>
      <c r="L130" s="22" t="s">
        <v>33</v>
      </c>
      <c r="M130" s="22" t="s">
        <v>33</v>
      </c>
      <c r="N130" s="27">
        <v>370000</v>
      </c>
      <c r="O130" s="27">
        <v>200000</v>
      </c>
      <c r="P130" s="27">
        <v>5696</v>
      </c>
      <c r="Q130" s="27">
        <v>23</v>
      </c>
      <c r="R130" s="27">
        <v>0</v>
      </c>
      <c r="S130" s="27">
        <v>0</v>
      </c>
      <c r="T130" s="27">
        <v>8100</v>
      </c>
      <c r="U130" s="22" t="s">
        <v>33</v>
      </c>
      <c r="V130" s="22" t="s">
        <v>33</v>
      </c>
      <c r="W130" s="22" t="s">
        <v>35</v>
      </c>
      <c r="X130" s="22" t="s">
        <v>883</v>
      </c>
    </row>
    <row r="131" spans="1:24" x14ac:dyDescent="0.2">
      <c r="A131" s="22" t="e">
        <f>MATCH(C131,'[1]Slot Managers Split'!G:G,0)</f>
        <v>#N/A</v>
      </c>
      <c r="B131" s="22"/>
      <c r="C131" s="22" t="s">
        <v>709</v>
      </c>
      <c r="D131" s="22" t="s">
        <v>710</v>
      </c>
      <c r="E131" s="22" t="s">
        <v>0</v>
      </c>
      <c r="F131" s="22" t="s">
        <v>190</v>
      </c>
      <c r="G131" s="22" t="s">
        <v>32</v>
      </c>
      <c r="H131" s="27">
        <v>1700</v>
      </c>
      <c r="I131" s="27">
        <v>78</v>
      </c>
      <c r="J131" s="27">
        <v>3</v>
      </c>
      <c r="K131" s="27">
        <v>0</v>
      </c>
      <c r="L131" s="22" t="s">
        <v>33</v>
      </c>
      <c r="M131" s="22" t="s">
        <v>33</v>
      </c>
      <c r="N131" s="27">
        <v>278871</v>
      </c>
      <c r="O131" s="27">
        <v>0</v>
      </c>
      <c r="P131" s="27">
        <v>246</v>
      </c>
      <c r="Q131" s="27">
        <v>27</v>
      </c>
      <c r="R131" s="27">
        <v>2</v>
      </c>
      <c r="S131" s="27">
        <v>3800</v>
      </c>
      <c r="T131" s="27">
        <v>1100</v>
      </c>
      <c r="U131" s="22" t="s">
        <v>33</v>
      </c>
      <c r="V131" s="22" t="s">
        <v>33</v>
      </c>
      <c r="W131" s="22" t="s">
        <v>35</v>
      </c>
      <c r="X131" s="22" t="s">
        <v>424</v>
      </c>
    </row>
    <row r="132" spans="1:24" hidden="1" x14ac:dyDescent="0.2">
      <c r="A132" s="20">
        <f>MATCH(C132,'[1]Slot Managers Split'!G:G,0)</f>
        <v>149</v>
      </c>
      <c r="B132" s="20"/>
      <c r="C132" s="20" t="s">
        <v>941</v>
      </c>
      <c r="D132" s="20" t="s">
        <v>942</v>
      </c>
      <c r="E132" s="20" t="s">
        <v>70</v>
      </c>
      <c r="F132" s="20" t="s">
        <v>31</v>
      </c>
      <c r="G132" s="20" t="s">
        <v>32</v>
      </c>
      <c r="H132" s="21">
        <v>1700</v>
      </c>
      <c r="I132" s="21">
        <v>59</v>
      </c>
      <c r="J132" s="21">
        <v>0</v>
      </c>
      <c r="K132" s="21">
        <v>0</v>
      </c>
      <c r="L132" s="20" t="s">
        <v>34</v>
      </c>
      <c r="M132" s="20" t="s">
        <v>33</v>
      </c>
      <c r="N132" s="21">
        <v>51000</v>
      </c>
      <c r="O132" s="21">
        <v>0</v>
      </c>
      <c r="P132" s="21">
        <v>210</v>
      </c>
      <c r="Q132" s="21">
        <v>7</v>
      </c>
      <c r="R132" s="21">
        <v>1</v>
      </c>
      <c r="S132" s="21">
        <v>2350</v>
      </c>
      <c r="T132" s="21">
        <v>1001</v>
      </c>
      <c r="U132" s="20" t="s">
        <v>34</v>
      </c>
      <c r="V132" s="20" t="s">
        <v>34</v>
      </c>
      <c r="W132" s="20" t="s">
        <v>35</v>
      </c>
      <c r="X132" s="20" t="s">
        <v>943</v>
      </c>
    </row>
    <row r="133" spans="1:24" hidden="1" x14ac:dyDescent="0.2">
      <c r="A133" s="20">
        <f>MATCH(C133,'[1]Slot Managers Split'!G:G,0)</f>
        <v>260</v>
      </c>
      <c r="B133" s="20"/>
      <c r="C133" s="20" t="s">
        <v>1055</v>
      </c>
      <c r="D133" s="20" t="s">
        <v>1056</v>
      </c>
      <c r="E133" s="20" t="s">
        <v>1057</v>
      </c>
      <c r="F133" s="20" t="s">
        <v>31</v>
      </c>
      <c r="G133" s="20" t="s">
        <v>32</v>
      </c>
      <c r="H133" s="21">
        <v>1700</v>
      </c>
      <c r="I133" s="21">
        <v>0</v>
      </c>
      <c r="J133" s="21">
        <v>0</v>
      </c>
      <c r="K133" s="21">
        <v>0</v>
      </c>
      <c r="L133" s="20" t="s">
        <v>33</v>
      </c>
      <c r="M133" s="20" t="s">
        <v>33</v>
      </c>
      <c r="N133" s="21">
        <v>57000</v>
      </c>
      <c r="O133" s="21">
        <v>8000</v>
      </c>
      <c r="P133" s="21">
        <v>236</v>
      </c>
      <c r="Q133" s="21">
        <v>6</v>
      </c>
      <c r="R133" s="21">
        <v>2</v>
      </c>
      <c r="S133" s="21">
        <v>0</v>
      </c>
      <c r="T133" s="21">
        <v>815</v>
      </c>
      <c r="U133" s="20" t="s">
        <v>34</v>
      </c>
      <c r="V133" s="20" t="s">
        <v>34</v>
      </c>
      <c r="W133" s="20" t="s">
        <v>35</v>
      </c>
      <c r="X133" s="20" t="s">
        <v>672</v>
      </c>
    </row>
    <row r="134" spans="1:24" x14ac:dyDescent="0.2">
      <c r="A134" s="22" t="e">
        <f>MATCH(C134,'[1]Slot Managers Split'!G:G,0)</f>
        <v>#N/A</v>
      </c>
      <c r="B134" s="22"/>
      <c r="C134" s="22" t="s">
        <v>278</v>
      </c>
      <c r="D134" s="22" t="s">
        <v>279</v>
      </c>
      <c r="E134" s="22" t="s">
        <v>0</v>
      </c>
      <c r="F134" s="22" t="s">
        <v>280</v>
      </c>
      <c r="G134" s="22" t="s">
        <v>32</v>
      </c>
      <c r="H134" s="27">
        <v>1680</v>
      </c>
      <c r="I134" s="27">
        <v>365</v>
      </c>
      <c r="J134" s="27">
        <v>14</v>
      </c>
      <c r="K134" s="27">
        <v>0</v>
      </c>
      <c r="L134" s="22" t="s">
        <v>33</v>
      </c>
      <c r="M134" s="22" t="s">
        <v>33</v>
      </c>
      <c r="N134" s="27">
        <v>0</v>
      </c>
      <c r="O134" s="27">
        <v>0</v>
      </c>
      <c r="P134" s="27">
        <v>946</v>
      </c>
      <c r="Q134" s="27">
        <v>8</v>
      </c>
      <c r="R134" s="27">
        <v>6</v>
      </c>
      <c r="S134" s="27">
        <v>0</v>
      </c>
      <c r="T134" s="27">
        <v>4000</v>
      </c>
      <c r="U134" s="22" t="s">
        <v>33</v>
      </c>
      <c r="V134" s="22" t="s">
        <v>33</v>
      </c>
      <c r="W134" s="22" t="s">
        <v>35</v>
      </c>
      <c r="X134" s="22" t="s">
        <v>277</v>
      </c>
    </row>
    <row r="135" spans="1:24" hidden="1" x14ac:dyDescent="0.2">
      <c r="A135" s="20">
        <f>MATCH(C135,'[1]Slot Managers Split'!G:G,0)</f>
        <v>122</v>
      </c>
      <c r="B135" s="20"/>
      <c r="C135" s="35" t="s">
        <v>775</v>
      </c>
      <c r="D135" s="20" t="s">
        <v>81</v>
      </c>
      <c r="E135" s="20" t="s">
        <v>51</v>
      </c>
      <c r="F135" s="20" t="s">
        <v>31</v>
      </c>
      <c r="G135" s="20" t="s">
        <v>32</v>
      </c>
      <c r="H135" s="21">
        <v>1680</v>
      </c>
      <c r="I135" s="21">
        <v>52</v>
      </c>
      <c r="J135" s="21">
        <v>0</v>
      </c>
      <c r="K135" s="21">
        <v>362</v>
      </c>
      <c r="L135" s="20" t="s">
        <v>34</v>
      </c>
      <c r="M135" s="20" t="s">
        <v>34</v>
      </c>
      <c r="N135" s="21">
        <v>84000</v>
      </c>
      <c r="O135" s="21">
        <v>18500</v>
      </c>
      <c r="P135" s="21">
        <v>980</v>
      </c>
      <c r="Q135" s="21">
        <v>12</v>
      </c>
      <c r="R135" s="21">
        <v>3</v>
      </c>
      <c r="S135" s="21">
        <v>2300</v>
      </c>
      <c r="T135" s="21">
        <v>0</v>
      </c>
      <c r="U135" s="20" t="s">
        <v>33</v>
      </c>
      <c r="V135" s="20" t="s">
        <v>33</v>
      </c>
      <c r="W135" s="20" t="s">
        <v>35</v>
      </c>
      <c r="X135" s="20" t="s">
        <v>155</v>
      </c>
    </row>
    <row r="136" spans="1:24" hidden="1" x14ac:dyDescent="0.2">
      <c r="A136" s="20">
        <f>MATCH(C136,'[1]Slot Managers Split'!G:G,0)</f>
        <v>261</v>
      </c>
      <c r="B136" s="20"/>
      <c r="C136" s="20" t="s">
        <v>548</v>
      </c>
      <c r="D136" s="20" t="s">
        <v>549</v>
      </c>
      <c r="E136" s="20" t="s">
        <v>135</v>
      </c>
      <c r="F136" s="20" t="s">
        <v>31</v>
      </c>
      <c r="G136" s="20" t="s">
        <v>32</v>
      </c>
      <c r="H136" s="21">
        <v>1678</v>
      </c>
      <c r="I136" s="21">
        <v>57</v>
      </c>
      <c r="J136" s="21">
        <v>12</v>
      </c>
      <c r="K136" s="21">
        <v>0</v>
      </c>
      <c r="L136" s="20" t="s">
        <v>34</v>
      </c>
      <c r="M136" s="20" t="s">
        <v>33</v>
      </c>
      <c r="N136" s="21">
        <v>125000</v>
      </c>
      <c r="O136" s="21">
        <v>0</v>
      </c>
      <c r="P136" s="21">
        <v>0</v>
      </c>
      <c r="Q136" s="21">
        <v>4</v>
      </c>
      <c r="R136" s="21">
        <v>1</v>
      </c>
      <c r="S136" s="21">
        <v>2887</v>
      </c>
      <c r="T136" s="21">
        <v>834</v>
      </c>
      <c r="U136" s="20" t="s">
        <v>33</v>
      </c>
      <c r="V136" s="20" t="s">
        <v>33</v>
      </c>
      <c r="W136" s="20" t="s">
        <v>35</v>
      </c>
      <c r="X136" s="20" t="s">
        <v>59</v>
      </c>
    </row>
    <row r="137" spans="1:24" hidden="1" x14ac:dyDescent="0.2">
      <c r="A137" s="31" t="e">
        <f>MATCH(C137,'[1]Slot Managers Split'!G:G,0)</f>
        <v>#N/A</v>
      </c>
      <c r="B137" s="31"/>
      <c r="C137" s="36" t="s">
        <v>743</v>
      </c>
      <c r="D137" s="31" t="s">
        <v>744</v>
      </c>
      <c r="E137" s="31" t="s">
        <v>70</v>
      </c>
      <c r="F137" s="31" t="s">
        <v>31</v>
      </c>
      <c r="G137" s="31" t="s">
        <v>32</v>
      </c>
      <c r="H137" s="32">
        <v>1678</v>
      </c>
      <c r="I137" s="32">
        <v>20</v>
      </c>
      <c r="J137" s="32">
        <v>0</v>
      </c>
      <c r="K137" s="32">
        <v>0</v>
      </c>
      <c r="L137" s="31" t="s">
        <v>33</v>
      </c>
      <c r="M137" s="31" t="s">
        <v>33</v>
      </c>
      <c r="N137" s="32">
        <v>95000</v>
      </c>
      <c r="O137" s="32">
        <v>0</v>
      </c>
      <c r="P137" s="32">
        <v>0</v>
      </c>
      <c r="Q137" s="32">
        <v>7</v>
      </c>
      <c r="R137" s="32">
        <v>0</v>
      </c>
      <c r="S137" s="32">
        <v>900</v>
      </c>
      <c r="T137" s="32">
        <v>594</v>
      </c>
      <c r="U137" s="31" t="s">
        <v>34</v>
      </c>
      <c r="V137" s="31" t="s">
        <v>34</v>
      </c>
      <c r="W137" s="31" t="s">
        <v>35</v>
      </c>
      <c r="X137" s="31" t="s">
        <v>745</v>
      </c>
    </row>
    <row r="138" spans="1:24" hidden="1" x14ac:dyDescent="0.2">
      <c r="A138" s="20">
        <f>MATCH(C138,'[1]Slot Managers Split'!G:G,0)</f>
        <v>262</v>
      </c>
      <c r="B138" s="20"/>
      <c r="C138" s="20" t="s">
        <v>316</v>
      </c>
      <c r="D138" s="20" t="s">
        <v>317</v>
      </c>
      <c r="E138" s="20" t="s">
        <v>47</v>
      </c>
      <c r="F138" s="20" t="s">
        <v>31</v>
      </c>
      <c r="G138" s="20" t="s">
        <v>32</v>
      </c>
      <c r="H138" s="21">
        <v>1665</v>
      </c>
      <c r="I138" s="21">
        <v>66</v>
      </c>
      <c r="J138" s="21">
        <v>14</v>
      </c>
      <c r="K138" s="21">
        <v>0</v>
      </c>
      <c r="L138" s="20" t="s">
        <v>34</v>
      </c>
      <c r="M138" s="20" t="s">
        <v>33</v>
      </c>
      <c r="N138" s="21">
        <v>94000</v>
      </c>
      <c r="O138" s="21">
        <v>0</v>
      </c>
      <c r="P138" s="21">
        <v>205</v>
      </c>
      <c r="Q138" s="21">
        <v>8</v>
      </c>
      <c r="R138" s="21">
        <v>1</v>
      </c>
      <c r="S138" s="21">
        <v>0</v>
      </c>
      <c r="T138" s="21">
        <v>1800</v>
      </c>
      <c r="U138" s="20" t="s">
        <v>33</v>
      </c>
      <c r="V138" s="20" t="s">
        <v>33</v>
      </c>
      <c r="W138" s="20" t="s">
        <v>35</v>
      </c>
      <c r="X138" s="20" t="s">
        <v>186</v>
      </c>
    </row>
    <row r="139" spans="1:24" hidden="1" x14ac:dyDescent="0.2">
      <c r="A139" s="20">
        <f>MATCH(C139,'[1]Slot Managers Split'!G:G,0)</f>
        <v>81</v>
      </c>
      <c r="B139" s="20"/>
      <c r="C139" s="20" t="s">
        <v>754</v>
      </c>
      <c r="D139" s="20" t="s">
        <v>755</v>
      </c>
      <c r="E139" s="20" t="s">
        <v>70</v>
      </c>
      <c r="F139" s="20" t="s">
        <v>31</v>
      </c>
      <c r="G139" s="20" t="s">
        <v>32</v>
      </c>
      <c r="H139" s="21">
        <v>1651</v>
      </c>
      <c r="I139" s="21">
        <v>37</v>
      </c>
      <c r="J139" s="21">
        <v>7</v>
      </c>
      <c r="K139" s="21">
        <v>0</v>
      </c>
      <c r="L139" s="20" t="s">
        <v>33</v>
      </c>
      <c r="M139" s="20" t="s">
        <v>34</v>
      </c>
      <c r="N139" s="21">
        <v>85000</v>
      </c>
      <c r="O139" s="21">
        <v>22000</v>
      </c>
      <c r="P139" s="21">
        <v>250</v>
      </c>
      <c r="Q139" s="21">
        <v>12</v>
      </c>
      <c r="R139" s="21">
        <v>2</v>
      </c>
      <c r="S139" s="21">
        <v>3800</v>
      </c>
      <c r="T139" s="21">
        <v>2000</v>
      </c>
      <c r="U139" s="20" t="s">
        <v>34</v>
      </c>
      <c r="V139" s="20" t="s">
        <v>34</v>
      </c>
      <c r="W139" s="20" t="s">
        <v>35</v>
      </c>
      <c r="X139" s="20" t="s">
        <v>757</v>
      </c>
    </row>
    <row r="140" spans="1:24" hidden="1" x14ac:dyDescent="0.2">
      <c r="A140" s="20">
        <f>MATCH(C140,'[1]Slot Managers Split'!G:G,0)</f>
        <v>45</v>
      </c>
      <c r="B140" s="20"/>
      <c r="C140" s="20" t="s">
        <v>545</v>
      </c>
      <c r="D140" s="20" t="s">
        <v>347</v>
      </c>
      <c r="E140" s="20" t="s">
        <v>135</v>
      </c>
      <c r="F140" s="20" t="s">
        <v>31</v>
      </c>
      <c r="G140" s="20" t="s">
        <v>32</v>
      </c>
      <c r="H140" s="21">
        <v>1650</v>
      </c>
      <c r="I140" s="21">
        <v>84</v>
      </c>
      <c r="J140" s="21">
        <v>34</v>
      </c>
      <c r="K140" s="21">
        <v>0</v>
      </c>
      <c r="L140" s="20" t="s">
        <v>34</v>
      </c>
      <c r="M140" s="20" t="s">
        <v>33</v>
      </c>
      <c r="N140" s="21">
        <v>160000</v>
      </c>
      <c r="O140" s="21">
        <v>10000</v>
      </c>
      <c r="P140" s="21">
        <v>0</v>
      </c>
      <c r="Q140" s="21">
        <v>5</v>
      </c>
      <c r="R140" s="21">
        <v>1</v>
      </c>
      <c r="S140" s="21">
        <v>4000</v>
      </c>
      <c r="T140" s="21">
        <v>970</v>
      </c>
      <c r="U140" s="20" t="s">
        <v>33</v>
      </c>
      <c r="V140" s="20" t="s">
        <v>33</v>
      </c>
      <c r="W140" s="20" t="s">
        <v>35</v>
      </c>
      <c r="X140" s="20" t="s">
        <v>59</v>
      </c>
    </row>
    <row r="141" spans="1:24" hidden="1" x14ac:dyDescent="0.2">
      <c r="A141" s="20">
        <f>MATCH(C141,'[1]Slot Managers Split'!G:G,0)</f>
        <v>10</v>
      </c>
      <c r="B141" s="20"/>
      <c r="C141" s="20" t="s">
        <v>1072</v>
      </c>
      <c r="D141" s="20" t="s">
        <v>81</v>
      </c>
      <c r="E141" s="20" t="s">
        <v>51</v>
      </c>
      <c r="F141" s="20" t="s">
        <v>31</v>
      </c>
      <c r="G141" s="20" t="s">
        <v>32</v>
      </c>
      <c r="H141" s="21">
        <v>1650</v>
      </c>
      <c r="I141" s="21">
        <v>245</v>
      </c>
      <c r="J141" s="21">
        <v>39</v>
      </c>
      <c r="K141" s="21">
        <v>0</v>
      </c>
      <c r="L141" s="20" t="s">
        <v>34</v>
      </c>
      <c r="M141" s="20" t="s">
        <v>34</v>
      </c>
      <c r="N141" s="21">
        <v>96943</v>
      </c>
      <c r="O141" s="21">
        <v>260000</v>
      </c>
      <c r="P141" s="21">
        <v>2716</v>
      </c>
      <c r="Q141" s="21">
        <v>24</v>
      </c>
      <c r="R141" s="21">
        <v>3</v>
      </c>
      <c r="S141" s="21">
        <v>1413</v>
      </c>
      <c r="T141" s="21">
        <v>7000</v>
      </c>
      <c r="U141" s="20" t="s">
        <v>33</v>
      </c>
      <c r="V141" s="20" t="s">
        <v>33</v>
      </c>
      <c r="W141" s="20" t="s">
        <v>35</v>
      </c>
      <c r="X141" s="20" t="s">
        <v>371</v>
      </c>
    </row>
    <row r="142" spans="1:24" hidden="1" x14ac:dyDescent="0.2">
      <c r="A142" s="20">
        <f>MATCH(C142,'[1]Slot Managers Split'!G:G,0)</f>
        <v>263</v>
      </c>
      <c r="B142" s="20"/>
      <c r="C142" s="35" t="s">
        <v>474</v>
      </c>
      <c r="D142" s="20" t="s">
        <v>134</v>
      </c>
      <c r="E142" s="20" t="s">
        <v>135</v>
      </c>
      <c r="F142" s="20" t="s">
        <v>31</v>
      </c>
      <c r="G142" s="20" t="s">
        <v>32</v>
      </c>
      <c r="H142" s="21">
        <v>1637</v>
      </c>
      <c r="I142" s="21">
        <v>100</v>
      </c>
      <c r="J142" s="21">
        <v>30</v>
      </c>
      <c r="K142" s="21">
        <v>0</v>
      </c>
      <c r="L142" s="20" t="s">
        <v>34</v>
      </c>
      <c r="M142" s="20" t="s">
        <v>33</v>
      </c>
      <c r="N142" s="21">
        <v>100000</v>
      </c>
      <c r="O142" s="21">
        <v>33000</v>
      </c>
      <c r="P142" s="21">
        <v>0</v>
      </c>
      <c r="Q142" s="21">
        <v>0</v>
      </c>
      <c r="R142" s="21">
        <v>0</v>
      </c>
      <c r="S142" s="21">
        <v>4000</v>
      </c>
      <c r="T142" s="21">
        <v>1033</v>
      </c>
      <c r="U142" s="20" t="s">
        <v>34</v>
      </c>
      <c r="V142" s="20" t="s">
        <v>33</v>
      </c>
      <c r="W142" s="20" t="s">
        <v>35</v>
      </c>
      <c r="X142" s="20" t="s">
        <v>475</v>
      </c>
    </row>
    <row r="143" spans="1:24" hidden="1" x14ac:dyDescent="0.2">
      <c r="A143" s="20">
        <f>MATCH(C143,'[1]Slot Managers Split'!G:G,0)</f>
        <v>80</v>
      </c>
      <c r="B143" s="20"/>
      <c r="C143" s="20" t="s">
        <v>833</v>
      </c>
      <c r="D143" s="20" t="s">
        <v>834</v>
      </c>
      <c r="E143" s="20" t="s">
        <v>47</v>
      </c>
      <c r="F143" s="20" t="s">
        <v>31</v>
      </c>
      <c r="G143" s="20" t="s">
        <v>32</v>
      </c>
      <c r="H143" s="21">
        <v>1636</v>
      </c>
      <c r="I143" s="21">
        <v>133</v>
      </c>
      <c r="J143" s="21">
        <v>19</v>
      </c>
      <c r="K143" s="21">
        <v>0</v>
      </c>
      <c r="L143" s="20" t="s">
        <v>34</v>
      </c>
      <c r="M143" s="20" t="s">
        <v>33</v>
      </c>
      <c r="N143" s="21">
        <v>100000</v>
      </c>
      <c r="O143" s="21">
        <v>10000</v>
      </c>
      <c r="P143" s="21">
        <v>390</v>
      </c>
      <c r="Q143" s="21">
        <v>9</v>
      </c>
      <c r="R143" s="21">
        <v>0</v>
      </c>
      <c r="S143" s="21">
        <v>0</v>
      </c>
      <c r="T143" s="21">
        <v>0</v>
      </c>
      <c r="U143" s="20" t="s">
        <v>33</v>
      </c>
      <c r="V143" s="20" t="s">
        <v>33</v>
      </c>
      <c r="W143" s="20" t="s">
        <v>35</v>
      </c>
      <c r="X143" s="20" t="s">
        <v>832</v>
      </c>
    </row>
    <row r="144" spans="1:24" hidden="1" x14ac:dyDescent="0.2">
      <c r="A144" s="20">
        <f>MATCH(C144,'[1]Slot Managers Split'!G:G,0)</f>
        <v>53</v>
      </c>
      <c r="B144" s="20"/>
      <c r="C144" s="35" t="s">
        <v>612</v>
      </c>
      <c r="D144" s="20" t="s">
        <v>613</v>
      </c>
      <c r="E144" s="20" t="s">
        <v>39</v>
      </c>
      <c r="F144" s="20" t="s">
        <v>31</v>
      </c>
      <c r="G144" s="20" t="s">
        <v>32</v>
      </c>
      <c r="H144" s="21">
        <v>1635</v>
      </c>
      <c r="I144" s="21">
        <v>39</v>
      </c>
      <c r="J144" s="21">
        <v>10</v>
      </c>
      <c r="K144" s="21">
        <v>0</v>
      </c>
      <c r="L144" s="20" t="s">
        <v>33</v>
      </c>
      <c r="M144" s="20" t="s">
        <v>33</v>
      </c>
      <c r="N144" s="21">
        <v>68262</v>
      </c>
      <c r="O144" s="21">
        <v>0</v>
      </c>
      <c r="P144" s="21">
        <v>200</v>
      </c>
      <c r="Q144" s="21">
        <v>7</v>
      </c>
      <c r="R144" s="21">
        <v>0</v>
      </c>
      <c r="S144" s="21">
        <v>1800</v>
      </c>
      <c r="T144" s="21">
        <v>1000</v>
      </c>
      <c r="U144" s="20" t="s">
        <v>34</v>
      </c>
      <c r="V144" s="20" t="s">
        <v>34</v>
      </c>
      <c r="W144" s="20" t="s">
        <v>35</v>
      </c>
      <c r="X144" s="20" t="s">
        <v>614</v>
      </c>
    </row>
    <row r="145" spans="1:24" hidden="1" x14ac:dyDescent="0.2">
      <c r="A145" s="20">
        <f>MATCH(C145,'[1]Slot Managers Split'!G:G,0)</f>
        <v>135</v>
      </c>
      <c r="B145" s="20"/>
      <c r="C145" s="20" t="s">
        <v>439</v>
      </c>
      <c r="D145" s="20" t="s">
        <v>440</v>
      </c>
      <c r="E145" s="20" t="s">
        <v>139</v>
      </c>
      <c r="F145" s="20" t="s">
        <v>31</v>
      </c>
      <c r="G145" s="20" t="s">
        <v>32</v>
      </c>
      <c r="H145" s="21">
        <v>1620</v>
      </c>
      <c r="I145" s="21">
        <v>26</v>
      </c>
      <c r="J145" s="21">
        <v>0</v>
      </c>
      <c r="K145" s="21">
        <v>330</v>
      </c>
      <c r="L145" s="20" t="s">
        <v>33</v>
      </c>
      <c r="M145" s="20" t="s">
        <v>33</v>
      </c>
      <c r="N145" s="21">
        <v>68000</v>
      </c>
      <c r="O145" s="21">
        <v>36000</v>
      </c>
      <c r="P145" s="21">
        <v>868</v>
      </c>
      <c r="Q145" s="21">
        <v>9</v>
      </c>
      <c r="R145" s="21">
        <v>1</v>
      </c>
      <c r="S145" s="21">
        <v>4136</v>
      </c>
      <c r="T145" s="21">
        <v>1643</v>
      </c>
      <c r="U145" s="20" t="s">
        <v>34</v>
      </c>
      <c r="V145" s="20" t="s">
        <v>34</v>
      </c>
      <c r="W145" s="20" t="s">
        <v>35</v>
      </c>
      <c r="X145" s="20" t="s">
        <v>442</v>
      </c>
    </row>
    <row r="146" spans="1:24" hidden="1" x14ac:dyDescent="0.2">
      <c r="A146" s="20">
        <f>MATCH(C146,'[1]Slot Managers Split'!G:G,0)</f>
        <v>265</v>
      </c>
      <c r="B146" s="20"/>
      <c r="C146" s="20" t="s">
        <v>890</v>
      </c>
      <c r="D146" s="20" t="s">
        <v>891</v>
      </c>
      <c r="E146" s="20" t="s">
        <v>760</v>
      </c>
      <c r="F146" s="20" t="s">
        <v>31</v>
      </c>
      <c r="G146" s="20" t="s">
        <v>32</v>
      </c>
      <c r="H146" s="21">
        <v>1618</v>
      </c>
      <c r="I146" s="21">
        <v>39</v>
      </c>
      <c r="J146" s="21">
        <v>10</v>
      </c>
      <c r="K146" s="21">
        <v>0</v>
      </c>
      <c r="L146" s="20" t="s">
        <v>34</v>
      </c>
      <c r="M146" s="20" t="s">
        <v>33</v>
      </c>
      <c r="N146" s="21">
        <v>80000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1100</v>
      </c>
      <c r="U146" s="20" t="s">
        <v>34</v>
      </c>
      <c r="V146" s="20" t="s">
        <v>33</v>
      </c>
      <c r="W146" s="20" t="s">
        <v>35</v>
      </c>
      <c r="X146" s="20" t="s">
        <v>335</v>
      </c>
    </row>
    <row r="147" spans="1:24" hidden="1" x14ac:dyDescent="0.2">
      <c r="A147" s="20">
        <f>MATCH(C147,'[1]Slot Managers Split'!G:G,0)</f>
        <v>152</v>
      </c>
      <c r="B147" s="20"/>
      <c r="C147" s="20" t="s">
        <v>691</v>
      </c>
      <c r="D147" s="20" t="s">
        <v>692</v>
      </c>
      <c r="E147" s="20" t="s">
        <v>135</v>
      </c>
      <c r="F147" s="20" t="s">
        <v>31</v>
      </c>
      <c r="G147" s="20" t="s">
        <v>32</v>
      </c>
      <c r="H147" s="21">
        <v>1602</v>
      </c>
      <c r="I147" s="21">
        <v>0</v>
      </c>
      <c r="J147" s="21">
        <v>0</v>
      </c>
      <c r="K147" s="21">
        <v>0</v>
      </c>
      <c r="L147" s="20" t="s">
        <v>34</v>
      </c>
      <c r="M147" s="20" t="s">
        <v>34</v>
      </c>
      <c r="N147" s="21">
        <v>90000</v>
      </c>
      <c r="O147" s="21">
        <v>0</v>
      </c>
      <c r="P147" s="21">
        <v>0</v>
      </c>
      <c r="Q147" s="21">
        <v>6</v>
      </c>
      <c r="R147" s="21">
        <v>2</v>
      </c>
      <c r="S147" s="21">
        <v>3500</v>
      </c>
      <c r="T147" s="21">
        <v>2154</v>
      </c>
      <c r="U147" s="20" t="s">
        <v>33</v>
      </c>
      <c r="V147" s="20" t="s">
        <v>33</v>
      </c>
      <c r="W147" s="20" t="s">
        <v>103</v>
      </c>
      <c r="X147" s="20" t="s">
        <v>130</v>
      </c>
    </row>
    <row r="148" spans="1:24" hidden="1" x14ac:dyDescent="0.2">
      <c r="A148" s="20">
        <f>MATCH(C148,'[1]Slot Managers Split'!G:G,0)</f>
        <v>326</v>
      </c>
      <c r="B148" s="20"/>
      <c r="C148" s="35" t="s">
        <v>60</v>
      </c>
      <c r="D148" s="20" t="s">
        <v>61</v>
      </c>
      <c r="E148" s="20" t="s">
        <v>62</v>
      </c>
      <c r="F148" s="20" t="s">
        <v>31</v>
      </c>
      <c r="G148" s="20" t="s">
        <v>32</v>
      </c>
      <c r="H148" s="21">
        <v>1601</v>
      </c>
      <c r="I148" s="21">
        <v>40</v>
      </c>
      <c r="J148" s="21">
        <v>0</v>
      </c>
      <c r="K148" s="21">
        <v>0</v>
      </c>
      <c r="L148" s="20" t="s">
        <v>33</v>
      </c>
      <c r="M148" s="20" t="s">
        <v>33</v>
      </c>
      <c r="N148" s="21">
        <v>140000</v>
      </c>
      <c r="O148" s="21">
        <v>14520</v>
      </c>
      <c r="P148" s="21">
        <v>184</v>
      </c>
      <c r="Q148" s="21">
        <v>10</v>
      </c>
      <c r="R148" s="21">
        <v>4</v>
      </c>
      <c r="S148" s="21">
        <v>8320</v>
      </c>
      <c r="T148" s="21">
        <v>971</v>
      </c>
      <c r="U148" s="20" t="s">
        <v>33</v>
      </c>
      <c r="V148" s="20" t="s">
        <v>33</v>
      </c>
      <c r="W148" s="20" t="s">
        <v>57</v>
      </c>
      <c r="X148" s="20" t="s">
        <v>64</v>
      </c>
    </row>
    <row r="149" spans="1:24" x14ac:dyDescent="0.2">
      <c r="A149" s="22" t="e">
        <f>MATCH(C149,'[1]Slot Managers Split'!G:G,0)</f>
        <v>#N/A</v>
      </c>
      <c r="B149" s="22"/>
      <c r="C149" s="22" t="s">
        <v>1010</v>
      </c>
      <c r="D149" s="22" t="s">
        <v>1011</v>
      </c>
      <c r="E149" s="22" t="s">
        <v>1012</v>
      </c>
      <c r="F149" s="22" t="s">
        <v>311</v>
      </c>
      <c r="G149" s="22" t="s">
        <v>32</v>
      </c>
      <c r="H149" s="27">
        <v>1600</v>
      </c>
      <c r="I149" s="27">
        <v>81</v>
      </c>
      <c r="J149" s="27">
        <v>11</v>
      </c>
      <c r="K149" s="27">
        <v>0</v>
      </c>
      <c r="L149" s="22" t="s">
        <v>33</v>
      </c>
      <c r="M149" s="22" t="s">
        <v>33</v>
      </c>
      <c r="N149" s="27">
        <v>0</v>
      </c>
      <c r="O149" s="27">
        <v>0</v>
      </c>
      <c r="P149" s="27">
        <v>0</v>
      </c>
      <c r="Q149" s="27">
        <v>15</v>
      </c>
      <c r="R149" s="27">
        <v>0</v>
      </c>
      <c r="S149" s="27">
        <v>0</v>
      </c>
      <c r="T149" s="27">
        <v>0</v>
      </c>
      <c r="U149" s="22" t="s">
        <v>33</v>
      </c>
      <c r="V149" s="22" t="s">
        <v>33</v>
      </c>
      <c r="W149" s="22" t="s">
        <v>35</v>
      </c>
      <c r="X149" s="22" t="s">
        <v>1013</v>
      </c>
    </row>
    <row r="150" spans="1:24" x14ac:dyDescent="0.2">
      <c r="A150" s="22" t="e">
        <f>MATCH(C150,'[1]Slot Managers Split'!G:G,0)</f>
        <v>#N/A</v>
      </c>
      <c r="B150" s="22"/>
      <c r="C150" s="22" t="s">
        <v>1014</v>
      </c>
      <c r="D150" s="22" t="s">
        <v>1015</v>
      </c>
      <c r="E150" s="22" t="s">
        <v>1012</v>
      </c>
      <c r="F150" s="22" t="s">
        <v>311</v>
      </c>
      <c r="G150" s="22" t="s">
        <v>32</v>
      </c>
      <c r="H150" s="27">
        <v>1600</v>
      </c>
      <c r="I150" s="27">
        <v>70</v>
      </c>
      <c r="J150" s="27">
        <v>8</v>
      </c>
      <c r="K150" s="27">
        <v>0</v>
      </c>
      <c r="L150" s="22" t="s">
        <v>33</v>
      </c>
      <c r="M150" s="22" t="s">
        <v>33</v>
      </c>
      <c r="N150" s="27">
        <v>65000</v>
      </c>
      <c r="O150" s="27">
        <v>17518</v>
      </c>
      <c r="P150" s="27">
        <v>594</v>
      </c>
      <c r="Q150" s="27">
        <v>14</v>
      </c>
      <c r="R150" s="27">
        <v>7</v>
      </c>
      <c r="S150" s="27">
        <v>2378</v>
      </c>
      <c r="T150" s="27">
        <v>2500</v>
      </c>
      <c r="U150" s="22" t="s">
        <v>33</v>
      </c>
      <c r="V150" s="22" t="s">
        <v>33</v>
      </c>
      <c r="W150" s="22" t="s">
        <v>35</v>
      </c>
      <c r="X150" s="22" t="s">
        <v>1013</v>
      </c>
    </row>
    <row r="151" spans="1:24" x14ac:dyDescent="0.2">
      <c r="A151" s="22" t="e">
        <f>MATCH(C151,'[1]Slot Managers Split'!G:G,0)</f>
        <v>#N/A</v>
      </c>
      <c r="B151" s="22"/>
      <c r="C151" s="22" t="s">
        <v>423</v>
      </c>
      <c r="D151" s="22" t="s">
        <v>362</v>
      </c>
      <c r="E151" s="22" t="s">
        <v>0</v>
      </c>
      <c r="F151" s="22" t="s">
        <v>190</v>
      </c>
      <c r="G151" s="22" t="s">
        <v>32</v>
      </c>
      <c r="H151" s="27">
        <v>1600</v>
      </c>
      <c r="I151" s="27">
        <v>49</v>
      </c>
      <c r="J151" s="27">
        <v>1</v>
      </c>
      <c r="K151" s="27">
        <v>0</v>
      </c>
      <c r="L151" s="22" t="s">
        <v>33</v>
      </c>
      <c r="M151" s="22" t="s">
        <v>33</v>
      </c>
      <c r="N151" s="27">
        <v>0</v>
      </c>
      <c r="O151" s="27">
        <v>4994</v>
      </c>
      <c r="P151" s="27">
        <v>38</v>
      </c>
      <c r="Q151" s="27">
        <v>5</v>
      </c>
      <c r="R151" s="27">
        <v>1</v>
      </c>
      <c r="S151" s="27">
        <v>0</v>
      </c>
      <c r="T151" s="27">
        <v>0</v>
      </c>
      <c r="U151" s="22" t="s">
        <v>33</v>
      </c>
      <c r="V151" s="22" t="s">
        <v>33</v>
      </c>
      <c r="W151" s="22" t="s">
        <v>35</v>
      </c>
      <c r="X151" s="22" t="s">
        <v>424</v>
      </c>
    </row>
    <row r="152" spans="1:24" hidden="1" x14ac:dyDescent="0.2">
      <c r="A152" s="31" t="e">
        <f>MATCH(C152,'[1]Slot Managers Split'!G:G,0)</f>
        <v>#N/A</v>
      </c>
      <c r="B152" s="31"/>
      <c r="C152" s="36" t="s">
        <v>240</v>
      </c>
      <c r="D152" s="31" t="s">
        <v>241</v>
      </c>
      <c r="E152" s="31" t="s">
        <v>30</v>
      </c>
      <c r="F152" s="31" t="s">
        <v>31</v>
      </c>
      <c r="G152" s="31" t="s">
        <v>32</v>
      </c>
      <c r="H152" s="32">
        <v>1600</v>
      </c>
      <c r="I152" s="32">
        <v>18</v>
      </c>
      <c r="J152" s="32">
        <v>8</v>
      </c>
      <c r="K152" s="32">
        <v>0</v>
      </c>
      <c r="L152" s="31" t="s">
        <v>33</v>
      </c>
      <c r="M152" s="31" t="s">
        <v>34</v>
      </c>
      <c r="N152" s="32">
        <v>50000</v>
      </c>
      <c r="O152" s="32">
        <v>7120</v>
      </c>
      <c r="P152" s="32">
        <v>140</v>
      </c>
      <c r="Q152" s="32">
        <v>5</v>
      </c>
      <c r="R152" s="32">
        <v>1</v>
      </c>
      <c r="S152" s="32">
        <v>685</v>
      </c>
      <c r="T152" s="32">
        <v>740</v>
      </c>
      <c r="U152" s="31" t="s">
        <v>34</v>
      </c>
      <c r="V152" s="31" t="s">
        <v>34</v>
      </c>
      <c r="W152" s="31" t="s">
        <v>35</v>
      </c>
      <c r="X152" s="31" t="s">
        <v>243</v>
      </c>
    </row>
    <row r="153" spans="1:24" hidden="1" x14ac:dyDescent="0.2">
      <c r="A153" s="20">
        <f>MATCH(C153,'[1]Slot Managers Split'!G:G,0)</f>
        <v>55</v>
      </c>
      <c r="B153" s="20"/>
      <c r="C153" s="20" t="s">
        <v>437</v>
      </c>
      <c r="D153" s="20" t="s">
        <v>438</v>
      </c>
      <c r="E153" s="20" t="s">
        <v>106</v>
      </c>
      <c r="F153" s="20" t="s">
        <v>31</v>
      </c>
      <c r="G153" s="20" t="s">
        <v>32</v>
      </c>
      <c r="H153" s="21">
        <v>1600</v>
      </c>
      <c r="I153" s="21">
        <v>87</v>
      </c>
      <c r="J153" s="21">
        <v>6</v>
      </c>
      <c r="K153" s="21">
        <v>0</v>
      </c>
      <c r="L153" s="20" t="s">
        <v>34</v>
      </c>
      <c r="M153" s="20" t="s">
        <v>33</v>
      </c>
      <c r="N153" s="21">
        <v>0</v>
      </c>
      <c r="O153" s="21">
        <v>29460</v>
      </c>
      <c r="P153" s="21">
        <v>740</v>
      </c>
      <c r="Q153" s="21">
        <v>1</v>
      </c>
      <c r="R153" s="21">
        <v>0</v>
      </c>
      <c r="S153" s="21">
        <v>0</v>
      </c>
      <c r="T153" s="21">
        <v>2432</v>
      </c>
      <c r="U153" s="20" t="s">
        <v>33</v>
      </c>
      <c r="V153" s="20" t="s">
        <v>33</v>
      </c>
      <c r="W153" s="20" t="s">
        <v>35</v>
      </c>
      <c r="X153" s="20" t="s">
        <v>436</v>
      </c>
    </row>
    <row r="154" spans="1:24" hidden="1" x14ac:dyDescent="0.2">
      <c r="A154" s="33" t="e">
        <f>MATCH(C154,'[1]Slot Managers Split'!G:G,0)</f>
        <v>#N/A</v>
      </c>
      <c r="B154" s="33"/>
      <c r="C154" s="33" t="s">
        <v>768</v>
      </c>
      <c r="D154" s="33" t="s">
        <v>769</v>
      </c>
      <c r="E154" s="33" t="s">
        <v>30</v>
      </c>
      <c r="F154" s="33" t="s">
        <v>31</v>
      </c>
      <c r="G154" s="33" t="s">
        <v>32</v>
      </c>
      <c r="H154" s="34">
        <v>1600</v>
      </c>
      <c r="I154" s="34">
        <v>15</v>
      </c>
      <c r="J154" s="34">
        <v>0</v>
      </c>
      <c r="K154" s="34">
        <v>0</v>
      </c>
      <c r="L154" s="33" t="s">
        <v>33</v>
      </c>
      <c r="M154" s="33" t="s">
        <v>33</v>
      </c>
      <c r="N154" s="34">
        <v>47000</v>
      </c>
      <c r="O154" s="34">
        <v>1600</v>
      </c>
      <c r="P154" s="34">
        <v>141</v>
      </c>
      <c r="Q154" s="34">
        <v>4</v>
      </c>
      <c r="R154" s="34">
        <v>1</v>
      </c>
      <c r="S154" s="34">
        <v>800</v>
      </c>
      <c r="T154" s="34">
        <v>466</v>
      </c>
      <c r="U154" s="33" t="s">
        <v>34</v>
      </c>
      <c r="V154" s="33" t="s">
        <v>34</v>
      </c>
      <c r="W154" s="33" t="s">
        <v>35</v>
      </c>
      <c r="X154" s="33" t="s">
        <v>771</v>
      </c>
    </row>
    <row r="155" spans="1:24" hidden="1" x14ac:dyDescent="0.2">
      <c r="A155" s="20">
        <f>MATCH(C155,'[1]Slot Managers Split'!G:G,0)</f>
        <v>58</v>
      </c>
      <c r="B155" s="20"/>
      <c r="C155" s="20" t="s">
        <v>884</v>
      </c>
      <c r="D155" s="20" t="s">
        <v>885</v>
      </c>
      <c r="E155" s="20" t="s">
        <v>158</v>
      </c>
      <c r="F155" s="20" t="s">
        <v>31</v>
      </c>
      <c r="G155" s="20" t="s">
        <v>32</v>
      </c>
      <c r="H155" s="21">
        <v>1600</v>
      </c>
      <c r="I155" s="21">
        <v>15</v>
      </c>
      <c r="J155" s="21">
        <v>0</v>
      </c>
      <c r="K155" s="21">
        <v>0</v>
      </c>
      <c r="L155" s="20" t="s">
        <v>34</v>
      </c>
      <c r="M155" s="20" t="s">
        <v>33</v>
      </c>
      <c r="N155" s="21">
        <v>70390</v>
      </c>
      <c r="O155" s="21">
        <v>0</v>
      </c>
      <c r="P155" s="21">
        <v>204</v>
      </c>
      <c r="Q155" s="21">
        <v>6</v>
      </c>
      <c r="R155" s="21">
        <v>1</v>
      </c>
      <c r="S155" s="21">
        <v>1600</v>
      </c>
      <c r="T155" s="21">
        <v>635</v>
      </c>
      <c r="U155" s="20" t="s">
        <v>34</v>
      </c>
      <c r="V155" s="20" t="s">
        <v>34</v>
      </c>
      <c r="W155" s="20" t="s">
        <v>35</v>
      </c>
      <c r="X155" s="20" t="s">
        <v>886</v>
      </c>
    </row>
    <row r="156" spans="1:24" hidden="1" x14ac:dyDescent="0.2">
      <c r="A156" s="31" t="e">
        <f>MATCH(C156,'[1]Slot Managers Split'!G:G,0)</f>
        <v>#N/A</v>
      </c>
      <c r="B156" s="31"/>
      <c r="C156" s="36" t="s">
        <v>907</v>
      </c>
      <c r="D156" s="31" t="s">
        <v>908</v>
      </c>
      <c r="E156" s="31" t="s">
        <v>47</v>
      </c>
      <c r="F156" s="31" t="s">
        <v>31</v>
      </c>
      <c r="G156" s="31" t="s">
        <v>32</v>
      </c>
      <c r="H156" s="32">
        <v>1600</v>
      </c>
      <c r="I156" s="32">
        <v>30</v>
      </c>
      <c r="J156" s="32">
        <v>0</v>
      </c>
      <c r="K156" s="32">
        <v>0</v>
      </c>
      <c r="L156" s="31" t="s">
        <v>34</v>
      </c>
      <c r="M156" s="31" t="s">
        <v>33</v>
      </c>
      <c r="N156" s="32">
        <v>68300</v>
      </c>
      <c r="O156" s="32">
        <v>4943</v>
      </c>
      <c r="P156" s="32">
        <v>413</v>
      </c>
      <c r="Q156" s="32">
        <v>6</v>
      </c>
      <c r="R156" s="32">
        <v>2</v>
      </c>
      <c r="S156" s="32">
        <v>3200</v>
      </c>
      <c r="T156" s="32">
        <v>1200</v>
      </c>
      <c r="U156" s="31" t="s">
        <v>34</v>
      </c>
      <c r="V156" s="31" t="s">
        <v>34</v>
      </c>
      <c r="W156" s="31" t="s">
        <v>35</v>
      </c>
      <c r="X156" s="31" t="s">
        <v>909</v>
      </c>
    </row>
    <row r="157" spans="1:24" hidden="1" x14ac:dyDescent="0.2">
      <c r="A157" s="31" t="e">
        <f>MATCH(C157,'[1]Slot Managers Split'!G:G,0)</f>
        <v>#N/A</v>
      </c>
      <c r="B157" s="31"/>
      <c r="C157" s="31" t="s">
        <v>847</v>
      </c>
      <c r="D157" s="31" t="s">
        <v>848</v>
      </c>
      <c r="E157" s="31" t="s">
        <v>62</v>
      </c>
      <c r="F157" s="31" t="s">
        <v>31</v>
      </c>
      <c r="G157" s="31" t="s">
        <v>32</v>
      </c>
      <c r="H157" s="32">
        <v>1588</v>
      </c>
      <c r="I157" s="32">
        <v>43</v>
      </c>
      <c r="J157" s="32">
        <v>0</v>
      </c>
      <c r="K157" s="32">
        <v>0</v>
      </c>
      <c r="L157" s="31" t="s">
        <v>33</v>
      </c>
      <c r="M157" s="31" t="s">
        <v>33</v>
      </c>
      <c r="N157" s="32">
        <v>90000</v>
      </c>
      <c r="O157" s="32">
        <v>0</v>
      </c>
      <c r="P157" s="32">
        <v>200</v>
      </c>
      <c r="Q157" s="32">
        <v>8</v>
      </c>
      <c r="R157" s="32">
        <v>1</v>
      </c>
      <c r="S157" s="32">
        <v>3000</v>
      </c>
      <c r="T157" s="32">
        <v>1027</v>
      </c>
      <c r="U157" s="31" t="s">
        <v>33</v>
      </c>
      <c r="V157" s="31" t="s">
        <v>33</v>
      </c>
      <c r="W157" s="31" t="s">
        <v>35</v>
      </c>
      <c r="X157" s="31" t="s">
        <v>59</v>
      </c>
    </row>
    <row r="158" spans="1:24" hidden="1" x14ac:dyDescent="0.2">
      <c r="A158" s="20">
        <f>MATCH(C158,'[1]Slot Managers Split'!G:G,0)</f>
        <v>267</v>
      </c>
      <c r="B158" s="20"/>
      <c r="C158" s="20" t="s">
        <v>721</v>
      </c>
      <c r="D158" s="20" t="s">
        <v>722</v>
      </c>
      <c r="E158" s="20" t="s">
        <v>521</v>
      </c>
      <c r="F158" s="20" t="s">
        <v>31</v>
      </c>
      <c r="G158" s="20" t="s">
        <v>32</v>
      </c>
      <c r="H158" s="21">
        <v>1585</v>
      </c>
      <c r="I158" s="21">
        <v>60</v>
      </c>
      <c r="J158" s="21">
        <v>8</v>
      </c>
      <c r="K158" s="21">
        <v>0</v>
      </c>
      <c r="L158" s="20" t="s">
        <v>34</v>
      </c>
      <c r="M158" s="20" t="s">
        <v>33</v>
      </c>
      <c r="N158" s="21">
        <v>65144</v>
      </c>
      <c r="O158" s="21">
        <v>6000</v>
      </c>
      <c r="P158" s="21">
        <v>188</v>
      </c>
      <c r="Q158" s="21">
        <v>4</v>
      </c>
      <c r="R158" s="21">
        <v>2</v>
      </c>
      <c r="S158" s="21">
        <v>0</v>
      </c>
      <c r="T158" s="21">
        <v>1300</v>
      </c>
      <c r="U158" s="20" t="s">
        <v>33</v>
      </c>
      <c r="V158" s="20" t="s">
        <v>33</v>
      </c>
      <c r="W158" s="20" t="s">
        <v>35</v>
      </c>
      <c r="X158" s="20" t="s">
        <v>0</v>
      </c>
    </row>
    <row r="159" spans="1:24" hidden="1" x14ac:dyDescent="0.2">
      <c r="A159" s="20">
        <f>MATCH(C159,'[1]Slot Managers Split'!G:G,0)</f>
        <v>39</v>
      </c>
      <c r="B159" s="20"/>
      <c r="C159" s="35" t="s">
        <v>577</v>
      </c>
      <c r="D159" s="20" t="s">
        <v>578</v>
      </c>
      <c r="E159" s="20" t="s">
        <v>146</v>
      </c>
      <c r="F159" s="20" t="s">
        <v>31</v>
      </c>
      <c r="G159" s="20" t="s">
        <v>32</v>
      </c>
      <c r="H159" s="21">
        <v>1582</v>
      </c>
      <c r="I159" s="21">
        <v>84</v>
      </c>
      <c r="J159" s="21">
        <v>15</v>
      </c>
      <c r="K159" s="21">
        <v>0</v>
      </c>
      <c r="L159" s="20" t="s">
        <v>34</v>
      </c>
      <c r="M159" s="20" t="s">
        <v>34</v>
      </c>
      <c r="N159" s="21">
        <v>116500</v>
      </c>
      <c r="O159" s="21">
        <v>0</v>
      </c>
      <c r="P159" s="21">
        <v>0</v>
      </c>
      <c r="Q159" s="21">
        <v>5</v>
      </c>
      <c r="R159" s="21">
        <v>1</v>
      </c>
      <c r="S159" s="21">
        <v>3100</v>
      </c>
      <c r="T159" s="21">
        <v>1846</v>
      </c>
      <c r="U159" s="20" t="s">
        <v>33</v>
      </c>
      <c r="V159" s="20" t="s">
        <v>33</v>
      </c>
      <c r="W159" s="20" t="s">
        <v>57</v>
      </c>
      <c r="X159" s="20" t="s">
        <v>167</v>
      </c>
    </row>
    <row r="160" spans="1:24" hidden="1" x14ac:dyDescent="0.2">
      <c r="A160" s="20">
        <f>MATCH(C160,'[1]Slot Managers Split'!G:G,0)</f>
        <v>43</v>
      </c>
      <c r="B160" s="20"/>
      <c r="C160" s="20" t="s">
        <v>701</v>
      </c>
      <c r="D160" s="20" t="s">
        <v>702</v>
      </c>
      <c r="E160" s="20" t="s">
        <v>521</v>
      </c>
      <c r="F160" s="20" t="s">
        <v>31</v>
      </c>
      <c r="G160" s="20" t="s">
        <v>32</v>
      </c>
      <c r="H160" s="21">
        <v>1582</v>
      </c>
      <c r="I160" s="21">
        <v>66</v>
      </c>
      <c r="J160" s="21">
        <v>9</v>
      </c>
      <c r="K160" s="21">
        <v>0</v>
      </c>
      <c r="L160" s="20" t="s">
        <v>34</v>
      </c>
      <c r="M160" s="20" t="s">
        <v>34</v>
      </c>
      <c r="N160" s="21">
        <v>67000</v>
      </c>
      <c r="O160" s="21">
        <v>20000</v>
      </c>
      <c r="P160" s="21">
        <v>237</v>
      </c>
      <c r="Q160" s="21">
        <v>17</v>
      </c>
      <c r="R160" s="21">
        <v>1</v>
      </c>
      <c r="S160" s="21">
        <v>4000</v>
      </c>
      <c r="T160" s="21">
        <v>2000</v>
      </c>
      <c r="U160" s="20" t="s">
        <v>34</v>
      </c>
      <c r="V160" s="20" t="s">
        <v>33</v>
      </c>
      <c r="W160" s="20" t="s">
        <v>103</v>
      </c>
      <c r="X160" s="20" t="s">
        <v>703</v>
      </c>
    </row>
    <row r="161" spans="1:24" hidden="1" x14ac:dyDescent="0.2">
      <c r="A161" s="20">
        <f>MATCH(C161,'[1]Slot Managers Split'!G:G,0)</f>
        <v>268</v>
      </c>
      <c r="B161" s="20"/>
      <c r="C161" s="20" t="s">
        <v>1031</v>
      </c>
      <c r="D161" s="20" t="s">
        <v>87</v>
      </c>
      <c r="E161" s="20" t="s">
        <v>88</v>
      </c>
      <c r="F161" s="20" t="s">
        <v>31</v>
      </c>
      <c r="G161" s="20" t="s">
        <v>32</v>
      </c>
      <c r="H161" s="21">
        <v>1581</v>
      </c>
      <c r="I161" s="21">
        <v>84</v>
      </c>
      <c r="J161" s="21">
        <v>18</v>
      </c>
      <c r="K161" s="21">
        <v>0</v>
      </c>
      <c r="L161" s="20" t="s">
        <v>34</v>
      </c>
      <c r="M161" s="20" t="s">
        <v>33</v>
      </c>
      <c r="N161" s="21">
        <v>121700</v>
      </c>
      <c r="O161" s="21">
        <v>122000</v>
      </c>
      <c r="P161" s="21">
        <v>2360</v>
      </c>
      <c r="Q161" s="21">
        <v>29</v>
      </c>
      <c r="R161" s="21">
        <v>9</v>
      </c>
      <c r="S161" s="21">
        <v>5684</v>
      </c>
      <c r="T161" s="21">
        <v>3070</v>
      </c>
      <c r="U161" s="20" t="s">
        <v>33</v>
      </c>
      <c r="V161" s="20" t="s">
        <v>33</v>
      </c>
      <c r="W161" s="20" t="s">
        <v>35</v>
      </c>
      <c r="X161" s="20" t="s">
        <v>1032</v>
      </c>
    </row>
    <row r="162" spans="1:24" hidden="1" x14ac:dyDescent="0.2">
      <c r="A162" s="20">
        <f>MATCH(C162,'[1]Slot Managers Split'!G:G,0)</f>
        <v>160</v>
      </c>
      <c r="B162" s="20"/>
      <c r="C162" s="35" t="s">
        <v>820</v>
      </c>
      <c r="D162" s="20" t="s">
        <v>81</v>
      </c>
      <c r="E162" s="20" t="s">
        <v>51</v>
      </c>
      <c r="F162" s="20" t="s">
        <v>31</v>
      </c>
      <c r="G162" s="20" t="s">
        <v>32</v>
      </c>
      <c r="H162" s="21">
        <v>1560</v>
      </c>
      <c r="I162" s="21">
        <v>34</v>
      </c>
      <c r="J162" s="21">
        <v>0</v>
      </c>
      <c r="K162" s="21">
        <v>300</v>
      </c>
      <c r="L162" s="20" t="s">
        <v>34</v>
      </c>
      <c r="M162" s="20" t="s">
        <v>34</v>
      </c>
      <c r="N162" s="21">
        <v>58010</v>
      </c>
      <c r="O162" s="21">
        <v>100000</v>
      </c>
      <c r="P162" s="21">
        <v>550</v>
      </c>
      <c r="Q162" s="21">
        <v>13</v>
      </c>
      <c r="R162" s="21">
        <v>3</v>
      </c>
      <c r="S162" s="21">
        <v>900</v>
      </c>
      <c r="T162" s="21">
        <v>1500</v>
      </c>
      <c r="U162" s="20" t="s">
        <v>33</v>
      </c>
      <c r="V162" s="20" t="s">
        <v>33</v>
      </c>
      <c r="W162" s="20" t="s">
        <v>35</v>
      </c>
      <c r="X162" s="20" t="s">
        <v>821</v>
      </c>
    </row>
    <row r="163" spans="1:24" hidden="1" x14ac:dyDescent="0.2">
      <c r="A163" s="20">
        <f>MATCH(C163,'[1]Slot Managers Split'!G:G,0)</f>
        <v>269</v>
      </c>
      <c r="B163" s="20"/>
      <c r="C163" s="35" t="s">
        <v>519</v>
      </c>
      <c r="D163" s="20" t="s">
        <v>520</v>
      </c>
      <c r="E163" s="20" t="s">
        <v>521</v>
      </c>
      <c r="F163" s="20" t="s">
        <v>31</v>
      </c>
      <c r="G163" s="20" t="s">
        <v>32</v>
      </c>
      <c r="H163" s="21">
        <v>1545</v>
      </c>
      <c r="I163" s="21">
        <v>59</v>
      </c>
      <c r="J163" s="21">
        <v>0</v>
      </c>
      <c r="K163" s="21">
        <v>0</v>
      </c>
      <c r="L163" s="20" t="s">
        <v>34</v>
      </c>
      <c r="M163" s="20" t="s">
        <v>34</v>
      </c>
      <c r="N163" s="21">
        <v>99500</v>
      </c>
      <c r="O163" s="21">
        <v>11000</v>
      </c>
      <c r="P163" s="21">
        <v>0</v>
      </c>
      <c r="Q163" s="21">
        <v>9</v>
      </c>
      <c r="R163" s="21">
        <v>0</v>
      </c>
      <c r="S163" s="21">
        <v>2662</v>
      </c>
      <c r="T163" s="21">
        <v>1244</v>
      </c>
      <c r="U163" s="20" t="s">
        <v>33</v>
      </c>
      <c r="V163" s="20" t="s">
        <v>33</v>
      </c>
      <c r="W163" s="20" t="s">
        <v>103</v>
      </c>
      <c r="X163" s="20" t="s">
        <v>167</v>
      </c>
    </row>
    <row r="164" spans="1:24" hidden="1" x14ac:dyDescent="0.2">
      <c r="A164" s="31" t="e">
        <f>MATCH(C164,'[1]Slot Managers Split'!G:G,0)</f>
        <v>#N/A</v>
      </c>
      <c r="B164" s="31"/>
      <c r="C164" s="36" t="s">
        <v>546</v>
      </c>
      <c r="D164" s="31" t="s">
        <v>547</v>
      </c>
      <c r="E164" s="31" t="s">
        <v>62</v>
      </c>
      <c r="F164" s="31" t="s">
        <v>31</v>
      </c>
      <c r="G164" s="31" t="s">
        <v>32</v>
      </c>
      <c r="H164" s="32">
        <v>1544</v>
      </c>
      <c r="I164" s="32">
        <v>45</v>
      </c>
      <c r="J164" s="32">
        <v>20</v>
      </c>
      <c r="K164" s="32">
        <v>0</v>
      </c>
      <c r="L164" s="31" t="s">
        <v>33</v>
      </c>
      <c r="M164" s="31" t="s">
        <v>33</v>
      </c>
      <c r="N164" s="32">
        <v>120000</v>
      </c>
      <c r="O164" s="32">
        <v>8000</v>
      </c>
      <c r="P164" s="32">
        <v>488</v>
      </c>
      <c r="Q164" s="32">
        <v>7</v>
      </c>
      <c r="R164" s="32">
        <v>2</v>
      </c>
      <c r="S164" s="32">
        <v>5300</v>
      </c>
      <c r="T164" s="32">
        <v>1093</v>
      </c>
      <c r="U164" s="31" t="s">
        <v>33</v>
      </c>
      <c r="V164" s="31" t="s">
        <v>33</v>
      </c>
      <c r="W164" s="31" t="s">
        <v>35</v>
      </c>
      <c r="X164" s="31" t="s">
        <v>59</v>
      </c>
    </row>
    <row r="165" spans="1:24" hidden="1" x14ac:dyDescent="0.2">
      <c r="A165" s="20">
        <f>MATCH(C165,'[1]Slot Managers Split'!G:G,0)</f>
        <v>129</v>
      </c>
      <c r="B165" s="20"/>
      <c r="C165" s="20" t="s">
        <v>543</v>
      </c>
      <c r="D165" s="20" t="s">
        <v>544</v>
      </c>
      <c r="E165" s="20" t="s">
        <v>478</v>
      </c>
      <c r="F165" s="20" t="s">
        <v>31</v>
      </c>
      <c r="G165" s="20" t="s">
        <v>32</v>
      </c>
      <c r="H165" s="21">
        <v>1541</v>
      </c>
      <c r="I165" s="21">
        <v>36</v>
      </c>
      <c r="J165" s="21">
        <v>0</v>
      </c>
      <c r="K165" s="21">
        <v>600</v>
      </c>
      <c r="L165" s="20" t="s">
        <v>33</v>
      </c>
      <c r="M165" s="20" t="s">
        <v>34</v>
      </c>
      <c r="N165" s="21">
        <v>94480</v>
      </c>
      <c r="O165" s="21">
        <v>35000</v>
      </c>
      <c r="P165" s="21">
        <v>302</v>
      </c>
      <c r="Q165" s="21">
        <v>6</v>
      </c>
      <c r="R165" s="21">
        <v>1</v>
      </c>
      <c r="S165" s="21">
        <v>4184</v>
      </c>
      <c r="T165" s="21">
        <v>0</v>
      </c>
      <c r="U165" s="20" t="s">
        <v>34</v>
      </c>
      <c r="V165" s="20" t="s">
        <v>34</v>
      </c>
      <c r="W165" s="20" t="s">
        <v>35</v>
      </c>
      <c r="X165" s="20" t="s">
        <v>540</v>
      </c>
    </row>
    <row r="166" spans="1:24" hidden="1" x14ac:dyDescent="0.2">
      <c r="A166" s="20">
        <f>MATCH(C166,'[1]Slot Managers Split'!G:G,0)</f>
        <v>313</v>
      </c>
      <c r="B166" s="20"/>
      <c r="C166" s="20" t="s">
        <v>562</v>
      </c>
      <c r="D166" s="20" t="s">
        <v>563</v>
      </c>
      <c r="E166" s="20" t="s">
        <v>521</v>
      </c>
      <c r="F166" s="20" t="s">
        <v>31</v>
      </c>
      <c r="G166" s="20" t="s">
        <v>32</v>
      </c>
      <c r="H166" s="21">
        <v>1536</v>
      </c>
      <c r="I166" s="21">
        <v>54</v>
      </c>
      <c r="J166" s="21">
        <v>11</v>
      </c>
      <c r="K166" s="21">
        <v>0</v>
      </c>
      <c r="L166" s="20" t="s">
        <v>34</v>
      </c>
      <c r="M166" s="20" t="s">
        <v>34</v>
      </c>
      <c r="N166" s="21">
        <v>99500</v>
      </c>
      <c r="O166" s="21">
        <v>6500</v>
      </c>
      <c r="P166" s="21">
        <v>0</v>
      </c>
      <c r="Q166" s="21">
        <v>6</v>
      </c>
      <c r="R166" s="21">
        <v>1</v>
      </c>
      <c r="S166" s="21">
        <v>4100</v>
      </c>
      <c r="T166" s="21">
        <v>907</v>
      </c>
      <c r="U166" s="20" t="s">
        <v>33</v>
      </c>
      <c r="V166" s="20" t="s">
        <v>33</v>
      </c>
      <c r="W166" s="20" t="s">
        <v>103</v>
      </c>
      <c r="X166" s="20" t="s">
        <v>59</v>
      </c>
    </row>
    <row r="167" spans="1:24" hidden="1" x14ac:dyDescent="0.2">
      <c r="A167" s="20">
        <f>MATCH(C167,'[1]Slot Managers Split'!G:G,0)</f>
        <v>158</v>
      </c>
      <c r="B167" s="20"/>
      <c r="C167" s="20" t="s">
        <v>776</v>
      </c>
      <c r="D167" s="20" t="s">
        <v>81</v>
      </c>
      <c r="E167" s="20" t="s">
        <v>51</v>
      </c>
      <c r="F167" s="20" t="s">
        <v>31</v>
      </c>
      <c r="G167" s="20" t="s">
        <v>32</v>
      </c>
      <c r="H167" s="21">
        <v>1530</v>
      </c>
      <c r="I167" s="21">
        <v>40</v>
      </c>
      <c r="J167" s="21">
        <v>0</v>
      </c>
      <c r="K167" s="21">
        <v>0</v>
      </c>
      <c r="L167" s="20" t="s">
        <v>34</v>
      </c>
      <c r="M167" s="20" t="s">
        <v>34</v>
      </c>
      <c r="N167" s="21">
        <v>85000</v>
      </c>
      <c r="O167" s="21">
        <v>60000</v>
      </c>
      <c r="P167" s="21">
        <v>726</v>
      </c>
      <c r="Q167" s="21">
        <v>14</v>
      </c>
      <c r="R167" s="21">
        <v>7</v>
      </c>
      <c r="S167" s="21">
        <v>2500</v>
      </c>
      <c r="T167" s="21">
        <v>2000</v>
      </c>
      <c r="U167" s="20" t="s">
        <v>34</v>
      </c>
      <c r="V167" s="20" t="s">
        <v>33</v>
      </c>
      <c r="W167" s="20" t="s">
        <v>35</v>
      </c>
      <c r="X167" s="20" t="s">
        <v>777</v>
      </c>
    </row>
    <row r="168" spans="1:24" hidden="1" x14ac:dyDescent="0.2">
      <c r="A168" s="31" t="e">
        <f>MATCH(C168,'[1]Slot Managers Split'!G:G,0)</f>
        <v>#N/A</v>
      </c>
      <c r="B168" s="31"/>
      <c r="C168" s="36" t="s">
        <v>876</v>
      </c>
      <c r="D168" s="31" t="s">
        <v>877</v>
      </c>
      <c r="E168" s="31" t="s">
        <v>39</v>
      </c>
      <c r="F168" s="31" t="s">
        <v>31</v>
      </c>
      <c r="G168" s="31" t="s">
        <v>32</v>
      </c>
      <c r="H168" s="32">
        <v>1526</v>
      </c>
      <c r="I168" s="32">
        <v>5</v>
      </c>
      <c r="J168" s="32">
        <v>2</v>
      </c>
      <c r="K168" s="32">
        <v>0</v>
      </c>
      <c r="L168" s="31" t="s">
        <v>33</v>
      </c>
      <c r="M168" s="31" t="s">
        <v>33</v>
      </c>
      <c r="N168" s="32">
        <v>31419</v>
      </c>
      <c r="O168" s="32">
        <v>0</v>
      </c>
      <c r="P168" s="32">
        <v>0</v>
      </c>
      <c r="Q168" s="32">
        <v>2</v>
      </c>
      <c r="R168" s="32">
        <v>0</v>
      </c>
      <c r="S168" s="32">
        <v>816</v>
      </c>
      <c r="T168" s="32">
        <v>476</v>
      </c>
      <c r="U168" s="31" t="s">
        <v>34</v>
      </c>
      <c r="V168" s="31" t="s">
        <v>34</v>
      </c>
      <c r="W168" s="31" t="s">
        <v>35</v>
      </c>
      <c r="X168" s="31" t="s">
        <v>879</v>
      </c>
    </row>
    <row r="169" spans="1:24" hidden="1" x14ac:dyDescent="0.2">
      <c r="A169" s="20">
        <f>MATCH(C169,'[1]Slot Managers Split'!G:G,0)</f>
        <v>327</v>
      </c>
      <c r="B169" s="20"/>
      <c r="C169" s="35" t="s">
        <v>814</v>
      </c>
      <c r="D169" s="20" t="s">
        <v>815</v>
      </c>
      <c r="E169" s="20" t="s">
        <v>521</v>
      </c>
      <c r="F169" s="20" t="s">
        <v>31</v>
      </c>
      <c r="G169" s="20" t="s">
        <v>32</v>
      </c>
      <c r="H169" s="21">
        <v>1525</v>
      </c>
      <c r="I169" s="21">
        <v>34</v>
      </c>
      <c r="J169" s="21">
        <v>7</v>
      </c>
      <c r="K169" s="21">
        <v>0</v>
      </c>
      <c r="L169" s="20" t="s">
        <v>34</v>
      </c>
      <c r="M169" s="20" t="s">
        <v>34</v>
      </c>
      <c r="N169" s="21">
        <v>0</v>
      </c>
      <c r="O169" s="21">
        <v>0</v>
      </c>
      <c r="P169" s="21">
        <v>0</v>
      </c>
      <c r="Q169" s="21">
        <v>9</v>
      </c>
      <c r="R169" s="21">
        <v>1</v>
      </c>
      <c r="S169" s="21">
        <v>4000</v>
      </c>
      <c r="T169" s="21">
        <v>788</v>
      </c>
      <c r="U169" s="20" t="s">
        <v>33</v>
      </c>
      <c r="V169" s="20" t="s">
        <v>33</v>
      </c>
      <c r="W169" s="20" t="s">
        <v>103</v>
      </c>
      <c r="X169" s="20" t="s">
        <v>186</v>
      </c>
    </row>
    <row r="170" spans="1:24" hidden="1" x14ac:dyDescent="0.2">
      <c r="A170" s="31" t="e">
        <f>MATCH(C170,'[1]Slot Managers Split'!G:G,0)</f>
        <v>#N/A</v>
      </c>
      <c r="B170" s="31"/>
      <c r="C170" s="36" t="s">
        <v>866</v>
      </c>
      <c r="D170" s="31" t="s">
        <v>432</v>
      </c>
      <c r="E170" s="31" t="s">
        <v>521</v>
      </c>
      <c r="F170" s="31" t="s">
        <v>31</v>
      </c>
      <c r="G170" s="31" t="s">
        <v>32</v>
      </c>
      <c r="H170" s="32">
        <v>1520</v>
      </c>
      <c r="I170" s="32">
        <v>109</v>
      </c>
      <c r="J170" s="32">
        <v>28</v>
      </c>
      <c r="K170" s="32">
        <v>0</v>
      </c>
      <c r="L170" s="31" t="s">
        <v>34</v>
      </c>
      <c r="M170" s="31" t="s">
        <v>33</v>
      </c>
      <c r="N170" s="32">
        <v>51017</v>
      </c>
      <c r="O170" s="32">
        <v>10000</v>
      </c>
      <c r="P170" s="32">
        <v>0</v>
      </c>
      <c r="Q170" s="32">
        <v>7</v>
      </c>
      <c r="R170" s="32">
        <v>1</v>
      </c>
      <c r="S170" s="32">
        <v>1700</v>
      </c>
      <c r="T170" s="32">
        <v>1476</v>
      </c>
      <c r="U170" s="31" t="s">
        <v>33</v>
      </c>
      <c r="V170" s="31" t="s">
        <v>33</v>
      </c>
      <c r="W170" s="31" t="s">
        <v>35</v>
      </c>
      <c r="X170" s="31" t="s">
        <v>862</v>
      </c>
    </row>
    <row r="171" spans="1:24" hidden="1" x14ac:dyDescent="0.2">
      <c r="A171" s="20">
        <f>MATCH(C171,'[1]Slot Managers Split'!G:G,0)</f>
        <v>154</v>
      </c>
      <c r="B171" s="20"/>
      <c r="C171" s="20" t="s">
        <v>863</v>
      </c>
      <c r="D171" s="20" t="s">
        <v>864</v>
      </c>
      <c r="E171" s="20" t="s">
        <v>97</v>
      </c>
      <c r="F171" s="20" t="s">
        <v>31</v>
      </c>
      <c r="G171" s="20" t="s">
        <v>32</v>
      </c>
      <c r="H171" s="21">
        <v>1515</v>
      </c>
      <c r="I171" s="21">
        <v>120</v>
      </c>
      <c r="J171" s="21">
        <v>22</v>
      </c>
      <c r="K171" s="21">
        <v>0</v>
      </c>
      <c r="L171" s="20" t="s">
        <v>34</v>
      </c>
      <c r="M171" s="20" t="s">
        <v>33</v>
      </c>
      <c r="N171" s="21">
        <v>43687</v>
      </c>
      <c r="O171" s="21">
        <v>0</v>
      </c>
      <c r="P171" s="21">
        <v>0</v>
      </c>
      <c r="Q171" s="21">
        <v>5</v>
      </c>
      <c r="R171" s="21">
        <v>0</v>
      </c>
      <c r="S171" s="21">
        <v>2300</v>
      </c>
      <c r="T171" s="21">
        <v>1452</v>
      </c>
      <c r="U171" s="20" t="s">
        <v>33</v>
      </c>
      <c r="V171" s="20" t="s">
        <v>33</v>
      </c>
      <c r="W171" s="20" t="s">
        <v>35</v>
      </c>
      <c r="X171" s="20" t="s">
        <v>865</v>
      </c>
    </row>
    <row r="172" spans="1:24" x14ac:dyDescent="0.2">
      <c r="A172" s="22" t="e">
        <f>MATCH(C172,'[1]Slot Managers Split'!G:G,0)</f>
        <v>#N/A</v>
      </c>
      <c r="B172" s="22"/>
      <c r="C172" s="22" t="s">
        <v>1016</v>
      </c>
      <c r="D172" s="22" t="s">
        <v>1017</v>
      </c>
      <c r="E172" s="22" t="s">
        <v>780</v>
      </c>
      <c r="F172" s="22" t="s">
        <v>311</v>
      </c>
      <c r="G172" s="22" t="s">
        <v>32</v>
      </c>
      <c r="H172" s="27">
        <v>1500</v>
      </c>
      <c r="I172" s="27">
        <v>250</v>
      </c>
      <c r="J172" s="27">
        <v>29</v>
      </c>
      <c r="K172" s="27">
        <v>0</v>
      </c>
      <c r="L172" s="22" t="s">
        <v>33</v>
      </c>
      <c r="M172" s="22" t="s">
        <v>33</v>
      </c>
      <c r="N172" s="27">
        <v>104425</v>
      </c>
      <c r="O172" s="27">
        <v>0</v>
      </c>
      <c r="P172" s="27">
        <v>650</v>
      </c>
      <c r="Q172" s="27">
        <v>23</v>
      </c>
      <c r="R172" s="27">
        <v>3</v>
      </c>
      <c r="S172" s="27">
        <v>0</v>
      </c>
      <c r="T172" s="27">
        <v>0</v>
      </c>
      <c r="U172" s="22" t="s">
        <v>33</v>
      </c>
      <c r="V172" s="22" t="s">
        <v>33</v>
      </c>
      <c r="W172" s="22" t="s">
        <v>35</v>
      </c>
      <c r="X172" s="22" t="s">
        <v>1013</v>
      </c>
    </row>
    <row r="173" spans="1:24" hidden="1" x14ac:dyDescent="0.2">
      <c r="A173" s="33" t="e">
        <f>MATCH(C173,'[1]Slot Managers Split'!G:G,0)</f>
        <v>#N/A</v>
      </c>
      <c r="B173" s="33"/>
      <c r="C173" s="37" t="s">
        <v>351</v>
      </c>
      <c r="D173" s="33" t="s">
        <v>352</v>
      </c>
      <c r="E173" s="33" t="s">
        <v>179</v>
      </c>
      <c r="F173" s="33" t="s">
        <v>180</v>
      </c>
      <c r="G173" s="33" t="s">
        <v>32</v>
      </c>
      <c r="H173" s="34">
        <v>1500</v>
      </c>
      <c r="I173" s="34">
        <v>61</v>
      </c>
      <c r="J173" s="34">
        <v>0</v>
      </c>
      <c r="K173" s="34">
        <v>0</v>
      </c>
      <c r="L173" s="33" t="s">
        <v>33</v>
      </c>
      <c r="M173" s="33" t="s">
        <v>34</v>
      </c>
      <c r="N173" s="34">
        <v>20000</v>
      </c>
      <c r="O173" s="34">
        <v>0</v>
      </c>
      <c r="P173" s="34">
        <v>0</v>
      </c>
      <c r="Q173" s="34">
        <v>6</v>
      </c>
      <c r="R173" s="34">
        <v>0</v>
      </c>
      <c r="S173" s="34">
        <v>4276</v>
      </c>
      <c r="T173" s="34">
        <v>0</v>
      </c>
      <c r="U173" s="33" t="s">
        <v>33</v>
      </c>
      <c r="V173" s="33" t="s">
        <v>33</v>
      </c>
      <c r="W173" s="33" t="s">
        <v>103</v>
      </c>
      <c r="X173" s="33" t="s">
        <v>353</v>
      </c>
    </row>
    <row r="174" spans="1:24" x14ac:dyDescent="0.2">
      <c r="A174" s="22" t="e">
        <f>MATCH(C174,'[1]Slot Managers Split'!G:G,0)</f>
        <v>#N/A</v>
      </c>
      <c r="B174" s="22"/>
      <c r="C174" s="22" t="s">
        <v>739</v>
      </c>
      <c r="D174" s="22" t="s">
        <v>740</v>
      </c>
      <c r="E174" s="22" t="s">
        <v>0</v>
      </c>
      <c r="F174" s="22" t="s">
        <v>280</v>
      </c>
      <c r="G174" s="22" t="s">
        <v>32</v>
      </c>
      <c r="H174" s="27">
        <v>1500</v>
      </c>
      <c r="I174" s="27">
        <v>300</v>
      </c>
      <c r="J174" s="27">
        <v>0</v>
      </c>
      <c r="K174" s="27">
        <v>0</v>
      </c>
      <c r="L174" s="22" t="s">
        <v>33</v>
      </c>
      <c r="M174" s="22" t="s">
        <v>33</v>
      </c>
      <c r="N174" s="27">
        <v>323000</v>
      </c>
      <c r="O174" s="27">
        <v>0</v>
      </c>
      <c r="P174" s="27">
        <v>1226</v>
      </c>
      <c r="Q174" s="27">
        <v>0</v>
      </c>
      <c r="R174" s="27">
        <v>0</v>
      </c>
      <c r="S174" s="27">
        <v>0</v>
      </c>
      <c r="T174" s="27">
        <v>0</v>
      </c>
      <c r="U174" s="22" t="s">
        <v>33</v>
      </c>
      <c r="V174" s="22" t="s">
        <v>33</v>
      </c>
      <c r="W174" s="22" t="s">
        <v>35</v>
      </c>
      <c r="X174" s="22" t="s">
        <v>742</v>
      </c>
    </row>
    <row r="175" spans="1:24" hidden="1" x14ac:dyDescent="0.2">
      <c r="A175" s="20">
        <f>MATCH(C175,'[1]Slot Managers Split'!G:G,0)</f>
        <v>56</v>
      </c>
      <c r="B175" s="20"/>
      <c r="C175" s="20" t="s">
        <v>321</v>
      </c>
      <c r="D175" s="20" t="s">
        <v>322</v>
      </c>
      <c r="E175" s="20" t="s">
        <v>106</v>
      </c>
      <c r="F175" s="20" t="s">
        <v>31</v>
      </c>
      <c r="G175" s="20" t="s">
        <v>32</v>
      </c>
      <c r="H175" s="21">
        <v>1500</v>
      </c>
      <c r="I175" s="21">
        <v>0</v>
      </c>
      <c r="J175" s="21">
        <v>0</v>
      </c>
      <c r="K175" s="21">
        <v>0</v>
      </c>
      <c r="L175" s="20" t="s">
        <v>34</v>
      </c>
      <c r="M175" s="20" t="s">
        <v>34</v>
      </c>
      <c r="N175" s="21">
        <v>15000</v>
      </c>
      <c r="O175" s="21">
        <v>0</v>
      </c>
      <c r="P175" s="21">
        <v>367</v>
      </c>
      <c r="Q175" s="21">
        <v>4</v>
      </c>
      <c r="R175" s="21">
        <v>2</v>
      </c>
      <c r="S175" s="21">
        <v>1461</v>
      </c>
      <c r="T175" s="21">
        <v>656</v>
      </c>
      <c r="U175" s="20" t="s">
        <v>33</v>
      </c>
      <c r="V175" s="20" t="s">
        <v>33</v>
      </c>
      <c r="W175" s="20" t="s">
        <v>103</v>
      </c>
      <c r="X175" s="20" t="s">
        <v>53</v>
      </c>
    </row>
    <row r="176" spans="1:24" hidden="1" x14ac:dyDescent="0.2">
      <c r="A176" s="20">
        <f>MATCH(C176,'[1]Slot Managers Split'!G:G,0)</f>
        <v>50</v>
      </c>
      <c r="B176" s="20"/>
      <c r="C176" s="35" t="s">
        <v>487</v>
      </c>
      <c r="D176" s="20" t="s">
        <v>488</v>
      </c>
      <c r="E176" s="20" t="s">
        <v>39</v>
      </c>
      <c r="F176" s="20" t="s">
        <v>31</v>
      </c>
      <c r="G176" s="20" t="s">
        <v>32</v>
      </c>
      <c r="H176" s="21">
        <v>1500</v>
      </c>
      <c r="I176" s="21">
        <v>60</v>
      </c>
      <c r="J176" s="21">
        <v>0</v>
      </c>
      <c r="K176" s="21">
        <v>0</v>
      </c>
      <c r="L176" s="20" t="s">
        <v>33</v>
      </c>
      <c r="M176" s="20" t="s">
        <v>33</v>
      </c>
      <c r="N176" s="21">
        <v>50000</v>
      </c>
      <c r="O176" s="21">
        <v>0</v>
      </c>
      <c r="P176" s="21">
        <v>169</v>
      </c>
      <c r="Q176" s="21">
        <v>6</v>
      </c>
      <c r="R176" s="21">
        <v>0</v>
      </c>
      <c r="S176" s="21">
        <v>2750</v>
      </c>
      <c r="T176" s="21">
        <v>2000</v>
      </c>
      <c r="U176" s="20" t="s">
        <v>34</v>
      </c>
      <c r="V176" s="20" t="s">
        <v>34</v>
      </c>
      <c r="W176" s="20" t="s">
        <v>35</v>
      </c>
      <c r="X176" s="20" t="s">
        <v>489</v>
      </c>
    </row>
    <row r="177" spans="1:24" hidden="1" x14ac:dyDescent="0.2">
      <c r="A177" s="31" t="e">
        <f>MATCH(C177,'[1]Slot Managers Split'!G:G,0)</f>
        <v>#N/A</v>
      </c>
      <c r="B177" s="31"/>
      <c r="C177" s="36" t="s">
        <v>526</v>
      </c>
      <c r="D177" s="31" t="s">
        <v>527</v>
      </c>
      <c r="E177" s="31" t="s">
        <v>39</v>
      </c>
      <c r="F177" s="31" t="s">
        <v>31</v>
      </c>
      <c r="G177" s="31" t="s">
        <v>32</v>
      </c>
      <c r="H177" s="32">
        <v>1500</v>
      </c>
      <c r="I177" s="32">
        <v>50</v>
      </c>
      <c r="J177" s="32">
        <v>0</v>
      </c>
      <c r="K177" s="32">
        <v>0</v>
      </c>
      <c r="L177" s="31" t="s">
        <v>33</v>
      </c>
      <c r="M177" s="31" t="s">
        <v>33</v>
      </c>
      <c r="N177" s="32">
        <v>72900</v>
      </c>
      <c r="O177" s="32">
        <v>39000</v>
      </c>
      <c r="P177" s="32">
        <v>1090</v>
      </c>
      <c r="Q177" s="32">
        <v>14</v>
      </c>
      <c r="R177" s="32">
        <v>1</v>
      </c>
      <c r="S177" s="32">
        <v>1200</v>
      </c>
      <c r="T177" s="32">
        <v>1600</v>
      </c>
      <c r="U177" s="31" t="s">
        <v>34</v>
      </c>
      <c r="V177" s="31" t="s">
        <v>34</v>
      </c>
      <c r="W177" s="31" t="s">
        <v>35</v>
      </c>
      <c r="X177" s="31" t="s">
        <v>528</v>
      </c>
    </row>
    <row r="178" spans="1:24" hidden="1" x14ac:dyDescent="0.2">
      <c r="A178" s="20">
        <f>MATCH(C178,'[1]Slot Managers Split'!G:G,0)</f>
        <v>272</v>
      </c>
      <c r="B178" s="20"/>
      <c r="C178" s="20" t="s">
        <v>559</v>
      </c>
      <c r="D178" s="20" t="s">
        <v>61</v>
      </c>
      <c r="E178" s="20" t="s">
        <v>427</v>
      </c>
      <c r="F178" s="20" t="s">
        <v>31</v>
      </c>
      <c r="G178" s="20" t="s">
        <v>32</v>
      </c>
      <c r="H178" s="21">
        <v>1500</v>
      </c>
      <c r="I178" s="21">
        <v>35</v>
      </c>
      <c r="J178" s="21">
        <v>12</v>
      </c>
      <c r="K178" s="21">
        <v>0</v>
      </c>
      <c r="L178" s="20" t="s">
        <v>34</v>
      </c>
      <c r="M178" s="20" t="s">
        <v>33</v>
      </c>
      <c r="N178" s="21">
        <v>95000</v>
      </c>
      <c r="O178" s="21">
        <v>0</v>
      </c>
      <c r="P178" s="21">
        <v>0</v>
      </c>
      <c r="Q178" s="21">
        <v>5</v>
      </c>
      <c r="R178" s="21">
        <v>0</v>
      </c>
      <c r="S178" s="21">
        <v>0</v>
      </c>
      <c r="T178" s="21">
        <v>700</v>
      </c>
      <c r="U178" s="20" t="s">
        <v>33</v>
      </c>
      <c r="V178" s="20" t="s">
        <v>33</v>
      </c>
      <c r="W178" s="20" t="s">
        <v>35</v>
      </c>
      <c r="X178" s="20" t="s">
        <v>561</v>
      </c>
    </row>
    <row r="179" spans="1:24" hidden="1" x14ac:dyDescent="0.2">
      <c r="A179" s="20">
        <f>MATCH(C179,'[1]Slot Managers Split'!G:G,0)</f>
        <v>163</v>
      </c>
      <c r="B179" s="20"/>
      <c r="C179" s="35" t="s">
        <v>637</v>
      </c>
      <c r="D179" s="20" t="s">
        <v>638</v>
      </c>
      <c r="E179" s="20" t="s">
        <v>70</v>
      </c>
      <c r="F179" s="20" t="s">
        <v>31</v>
      </c>
      <c r="G179" s="20" t="s">
        <v>32</v>
      </c>
      <c r="H179" s="21">
        <v>1500</v>
      </c>
      <c r="I179" s="21">
        <v>18</v>
      </c>
      <c r="J179" s="21">
        <v>7</v>
      </c>
      <c r="K179" s="21">
        <v>0</v>
      </c>
      <c r="L179" s="20" t="s">
        <v>33</v>
      </c>
      <c r="M179" s="20" t="s">
        <v>33</v>
      </c>
      <c r="N179" s="21">
        <v>70000</v>
      </c>
      <c r="O179" s="21">
        <v>0</v>
      </c>
      <c r="P179" s="21">
        <v>218</v>
      </c>
      <c r="Q179" s="21">
        <v>4</v>
      </c>
      <c r="R179" s="21">
        <v>1</v>
      </c>
      <c r="S179" s="21">
        <v>2500</v>
      </c>
      <c r="T179" s="21">
        <v>700</v>
      </c>
      <c r="U179" s="20" t="s">
        <v>34</v>
      </c>
      <c r="V179" s="20" t="s">
        <v>34</v>
      </c>
      <c r="W179" s="20" t="s">
        <v>35</v>
      </c>
      <c r="X179" s="20" t="s">
        <v>640</v>
      </c>
    </row>
    <row r="180" spans="1:24" hidden="1" x14ac:dyDescent="0.2">
      <c r="A180" s="20">
        <f>MATCH(C180,'[1]Slot Managers Split'!G:G,0)</f>
        <v>271</v>
      </c>
      <c r="B180" s="20"/>
      <c r="C180" s="20" t="s">
        <v>693</v>
      </c>
      <c r="D180" s="20" t="s">
        <v>694</v>
      </c>
      <c r="E180" s="20" t="s">
        <v>368</v>
      </c>
      <c r="F180" s="20" t="s">
        <v>31</v>
      </c>
      <c r="G180" s="20" t="s">
        <v>32</v>
      </c>
      <c r="H180" s="21">
        <v>1500</v>
      </c>
      <c r="I180" s="21">
        <v>79</v>
      </c>
      <c r="J180" s="21">
        <v>15</v>
      </c>
      <c r="K180" s="21">
        <v>0</v>
      </c>
      <c r="L180" s="20" t="s">
        <v>34</v>
      </c>
      <c r="M180" s="20" t="s">
        <v>33</v>
      </c>
      <c r="N180" s="21">
        <v>109000</v>
      </c>
      <c r="O180" s="21">
        <v>0</v>
      </c>
      <c r="P180" s="21">
        <v>240</v>
      </c>
      <c r="Q180" s="21">
        <v>13</v>
      </c>
      <c r="R180" s="21">
        <v>0</v>
      </c>
      <c r="S180" s="21">
        <v>3400</v>
      </c>
      <c r="T180" s="21">
        <v>1281</v>
      </c>
      <c r="U180" s="20" t="s">
        <v>33</v>
      </c>
      <c r="V180" s="20" t="s">
        <v>33</v>
      </c>
      <c r="W180" s="20" t="s">
        <v>35</v>
      </c>
      <c r="X180" s="20" t="s">
        <v>130</v>
      </c>
    </row>
    <row r="181" spans="1:24" hidden="1" x14ac:dyDescent="0.2">
      <c r="A181" s="20">
        <f>MATCH(C181,'[1]Slot Managers Split'!G:G,0)</f>
        <v>156</v>
      </c>
      <c r="B181" s="20"/>
      <c r="C181" s="20" t="s">
        <v>816</v>
      </c>
      <c r="D181" s="20" t="s">
        <v>817</v>
      </c>
      <c r="E181" s="20" t="s">
        <v>70</v>
      </c>
      <c r="F181" s="20" t="s">
        <v>31</v>
      </c>
      <c r="G181" s="20" t="s">
        <v>32</v>
      </c>
      <c r="H181" s="21">
        <v>1500</v>
      </c>
      <c r="I181" s="21">
        <v>16</v>
      </c>
      <c r="J181" s="21">
        <v>0</v>
      </c>
      <c r="K181" s="21">
        <v>0</v>
      </c>
      <c r="L181" s="20" t="s">
        <v>33</v>
      </c>
      <c r="M181" s="20" t="s">
        <v>33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1000</v>
      </c>
      <c r="T181" s="21">
        <v>350</v>
      </c>
      <c r="U181" s="20" t="s">
        <v>34</v>
      </c>
      <c r="V181" s="20" t="s">
        <v>34</v>
      </c>
      <c r="W181" s="20" t="s">
        <v>35</v>
      </c>
      <c r="X181" s="20" t="s">
        <v>819</v>
      </c>
    </row>
    <row r="182" spans="1:24" x14ac:dyDescent="0.2">
      <c r="A182" s="22" t="e">
        <f>MATCH(C182,'[1]Slot Managers Split'!G:G,0)</f>
        <v>#N/A</v>
      </c>
      <c r="B182" s="22"/>
      <c r="C182" s="40" t="s">
        <v>534</v>
      </c>
      <c r="D182" s="22" t="s">
        <v>535</v>
      </c>
      <c r="E182" s="22" t="s">
        <v>0</v>
      </c>
      <c r="F182" s="22" t="s">
        <v>536</v>
      </c>
      <c r="G182" s="22" t="s">
        <v>32</v>
      </c>
      <c r="H182" s="27">
        <v>1500</v>
      </c>
      <c r="I182" s="27">
        <v>0</v>
      </c>
      <c r="J182" s="27">
        <v>0</v>
      </c>
      <c r="K182" s="27">
        <v>0</v>
      </c>
      <c r="L182" s="22" t="s">
        <v>33</v>
      </c>
      <c r="M182" s="22" t="s">
        <v>34</v>
      </c>
      <c r="N182" s="27">
        <v>0</v>
      </c>
      <c r="O182" s="27">
        <v>0</v>
      </c>
      <c r="P182" s="27">
        <v>0</v>
      </c>
      <c r="Q182" s="27">
        <v>2</v>
      </c>
      <c r="R182" s="27">
        <v>0</v>
      </c>
      <c r="S182" s="27">
        <v>800</v>
      </c>
      <c r="T182" s="27">
        <v>260</v>
      </c>
      <c r="U182" s="22" t="s">
        <v>33</v>
      </c>
      <c r="V182" s="22" t="s">
        <v>33</v>
      </c>
      <c r="W182" s="22" t="s">
        <v>103</v>
      </c>
      <c r="X182" s="22" t="s">
        <v>537</v>
      </c>
    </row>
    <row r="183" spans="1:24" hidden="1" x14ac:dyDescent="0.2">
      <c r="A183" s="31" t="e">
        <f>MATCH(C183,'[1]Slot Managers Split'!G:G,0)</f>
        <v>#N/A</v>
      </c>
      <c r="B183" s="31"/>
      <c r="C183" s="31" t="s">
        <v>422</v>
      </c>
      <c r="D183" s="31" t="s">
        <v>81</v>
      </c>
      <c r="E183" s="31" t="s">
        <v>51</v>
      </c>
      <c r="F183" s="31" t="s">
        <v>31</v>
      </c>
      <c r="G183" s="31" t="s">
        <v>32</v>
      </c>
      <c r="H183" s="32">
        <v>1490</v>
      </c>
      <c r="I183" s="32">
        <v>44</v>
      </c>
      <c r="J183" s="32">
        <v>0</v>
      </c>
      <c r="K183" s="32">
        <v>720</v>
      </c>
      <c r="L183" s="31" t="s">
        <v>34</v>
      </c>
      <c r="M183" s="31" t="s">
        <v>34</v>
      </c>
      <c r="N183" s="32">
        <v>87000</v>
      </c>
      <c r="O183" s="32">
        <v>30000</v>
      </c>
      <c r="P183" s="32">
        <v>712</v>
      </c>
      <c r="Q183" s="32">
        <v>7</v>
      </c>
      <c r="R183" s="32">
        <v>1</v>
      </c>
      <c r="S183" s="32">
        <v>3500</v>
      </c>
      <c r="T183" s="32">
        <v>1147</v>
      </c>
      <c r="U183" s="31" t="s">
        <v>33</v>
      </c>
      <c r="V183" s="31" t="s">
        <v>33</v>
      </c>
      <c r="W183" s="31" t="s">
        <v>35</v>
      </c>
      <c r="X183" s="31" t="s">
        <v>53</v>
      </c>
    </row>
    <row r="184" spans="1:24" hidden="1" x14ac:dyDescent="0.2">
      <c r="A184" s="20">
        <f>MATCH(C184,'[1]Slot Managers Split'!G:G,0)</f>
        <v>328</v>
      </c>
      <c r="B184" s="20"/>
      <c r="C184" s="20" t="s">
        <v>579</v>
      </c>
      <c r="D184" s="20" t="s">
        <v>580</v>
      </c>
      <c r="E184" s="20" t="s">
        <v>146</v>
      </c>
      <c r="F184" s="20" t="s">
        <v>31</v>
      </c>
      <c r="G184" s="20" t="s">
        <v>32</v>
      </c>
      <c r="H184" s="21">
        <v>1487</v>
      </c>
      <c r="I184" s="21">
        <v>88</v>
      </c>
      <c r="J184" s="21">
        <v>20</v>
      </c>
      <c r="K184" s="21">
        <v>0</v>
      </c>
      <c r="L184" s="20" t="s">
        <v>34</v>
      </c>
      <c r="M184" s="20" t="s">
        <v>34</v>
      </c>
      <c r="N184" s="21">
        <v>80100</v>
      </c>
      <c r="O184" s="21">
        <v>0</v>
      </c>
      <c r="P184" s="21">
        <v>0</v>
      </c>
      <c r="Q184" s="21">
        <v>5</v>
      </c>
      <c r="R184" s="21">
        <v>2</v>
      </c>
      <c r="S184" s="21">
        <v>0</v>
      </c>
      <c r="T184" s="21">
        <v>978</v>
      </c>
      <c r="U184" s="20" t="s">
        <v>33</v>
      </c>
      <c r="V184" s="20" t="s">
        <v>33</v>
      </c>
      <c r="W184" s="20" t="s">
        <v>103</v>
      </c>
      <c r="X184" s="20" t="s">
        <v>267</v>
      </c>
    </row>
    <row r="185" spans="1:24" hidden="1" x14ac:dyDescent="0.2">
      <c r="A185" s="20">
        <f>MATCH(C185,'[1]Slot Managers Split'!G:G,0)</f>
        <v>329</v>
      </c>
      <c r="B185" s="20"/>
      <c r="C185" s="35" t="s">
        <v>584</v>
      </c>
      <c r="D185" s="20" t="s">
        <v>585</v>
      </c>
      <c r="E185" s="20" t="s">
        <v>30</v>
      </c>
      <c r="F185" s="20" t="s">
        <v>31</v>
      </c>
      <c r="G185" s="20" t="s">
        <v>32</v>
      </c>
      <c r="H185" s="21">
        <v>1475</v>
      </c>
      <c r="I185" s="21">
        <v>14</v>
      </c>
      <c r="J185" s="21">
        <v>6</v>
      </c>
      <c r="K185" s="21">
        <v>0</v>
      </c>
      <c r="L185" s="20" t="s">
        <v>33</v>
      </c>
      <c r="M185" s="20" t="s">
        <v>34</v>
      </c>
      <c r="N185" s="21">
        <v>45000</v>
      </c>
      <c r="O185" s="21">
        <v>10000</v>
      </c>
      <c r="P185" s="21">
        <v>244</v>
      </c>
      <c r="Q185" s="21">
        <v>3</v>
      </c>
      <c r="R185" s="21">
        <v>0</v>
      </c>
      <c r="S185" s="21">
        <v>1000</v>
      </c>
      <c r="T185" s="21">
        <v>565</v>
      </c>
      <c r="U185" s="20" t="s">
        <v>34</v>
      </c>
      <c r="V185" s="20" t="s">
        <v>34</v>
      </c>
      <c r="W185" s="20" t="s">
        <v>35</v>
      </c>
      <c r="X185" s="20" t="s">
        <v>587</v>
      </c>
    </row>
    <row r="186" spans="1:24" hidden="1" x14ac:dyDescent="0.2">
      <c r="A186" s="31" t="e">
        <f>MATCH(C186,'[1]Slot Managers Split'!G:G,0)</f>
        <v>#N/A</v>
      </c>
      <c r="B186" s="31"/>
      <c r="C186" s="31" t="s">
        <v>601</v>
      </c>
      <c r="D186" s="31" t="s">
        <v>602</v>
      </c>
      <c r="E186" s="31" t="s">
        <v>135</v>
      </c>
      <c r="F186" s="31" t="s">
        <v>31</v>
      </c>
      <c r="G186" s="31" t="s">
        <v>32</v>
      </c>
      <c r="H186" s="32">
        <v>1465</v>
      </c>
      <c r="I186" s="32">
        <v>0</v>
      </c>
      <c r="J186" s="32">
        <v>0</v>
      </c>
      <c r="K186" s="32">
        <v>0</v>
      </c>
      <c r="L186" s="31" t="s">
        <v>34</v>
      </c>
      <c r="M186" s="31" t="s">
        <v>34</v>
      </c>
      <c r="N186" s="32">
        <v>0</v>
      </c>
      <c r="O186" s="32">
        <v>0</v>
      </c>
      <c r="P186" s="32">
        <v>250</v>
      </c>
      <c r="Q186" s="32">
        <v>9</v>
      </c>
      <c r="R186" s="32">
        <v>0</v>
      </c>
      <c r="S186" s="32">
        <v>0</v>
      </c>
      <c r="T186" s="32">
        <v>469</v>
      </c>
      <c r="U186" s="31" t="s">
        <v>33</v>
      </c>
      <c r="V186" s="31" t="s">
        <v>33</v>
      </c>
      <c r="W186" s="31" t="s">
        <v>103</v>
      </c>
      <c r="X186" s="31" t="s">
        <v>600</v>
      </c>
    </row>
    <row r="187" spans="1:24" hidden="1" x14ac:dyDescent="0.2">
      <c r="A187" s="33" t="e">
        <f>MATCH(C187,'[1]Slot Managers Split'!G:G,0)</f>
        <v>#N/A</v>
      </c>
      <c r="B187" s="33"/>
      <c r="C187" s="33" t="s">
        <v>170</v>
      </c>
      <c r="D187" s="33" t="s">
        <v>81</v>
      </c>
      <c r="E187" s="33" t="s">
        <v>51</v>
      </c>
      <c r="F187" s="33" t="s">
        <v>31</v>
      </c>
      <c r="G187" s="33" t="s">
        <v>32</v>
      </c>
      <c r="H187" s="34">
        <v>1460</v>
      </c>
      <c r="I187" s="34">
        <v>170</v>
      </c>
      <c r="J187" s="34">
        <v>20</v>
      </c>
      <c r="K187" s="34">
        <v>0</v>
      </c>
      <c r="L187" s="33" t="s">
        <v>34</v>
      </c>
      <c r="M187" s="33" t="s">
        <v>34</v>
      </c>
      <c r="N187" s="34">
        <v>124200</v>
      </c>
      <c r="O187" s="34">
        <v>320000</v>
      </c>
      <c r="P187" s="34">
        <v>3970</v>
      </c>
      <c r="Q187" s="34">
        <v>16</v>
      </c>
      <c r="R187" s="34">
        <v>12</v>
      </c>
      <c r="S187" s="34">
        <v>7500</v>
      </c>
      <c r="T187" s="34">
        <v>1853</v>
      </c>
      <c r="U187" s="33" t="s">
        <v>33</v>
      </c>
      <c r="V187" s="33" t="s">
        <v>33</v>
      </c>
      <c r="W187" s="33" t="s">
        <v>35</v>
      </c>
      <c r="X187" s="33" t="s">
        <v>167</v>
      </c>
    </row>
    <row r="188" spans="1:24" hidden="1" x14ac:dyDescent="0.2">
      <c r="A188" s="20">
        <f>MATCH(C188,'[1]Slot Managers Split'!G:G,0)</f>
        <v>57</v>
      </c>
      <c r="B188" s="20"/>
      <c r="C188" s="35" t="s">
        <v>42</v>
      </c>
      <c r="D188" s="20" t="s">
        <v>43</v>
      </c>
      <c r="E188" s="20" t="s">
        <v>39</v>
      </c>
      <c r="F188" s="20" t="s">
        <v>31</v>
      </c>
      <c r="G188" s="20" t="s">
        <v>32</v>
      </c>
      <c r="H188" s="21">
        <v>1450</v>
      </c>
      <c r="I188" s="21">
        <v>42</v>
      </c>
      <c r="J188" s="21">
        <v>10</v>
      </c>
      <c r="K188" s="21">
        <v>0</v>
      </c>
      <c r="L188" s="20" t="s">
        <v>33</v>
      </c>
      <c r="M188" s="20" t="s">
        <v>33</v>
      </c>
      <c r="N188" s="21">
        <v>142000</v>
      </c>
      <c r="O188" s="21">
        <v>10000</v>
      </c>
      <c r="P188" s="21">
        <v>340</v>
      </c>
      <c r="Q188" s="21">
        <v>8</v>
      </c>
      <c r="R188" s="21">
        <v>1</v>
      </c>
      <c r="S188" s="21">
        <v>3338</v>
      </c>
      <c r="T188" s="21">
        <v>1274</v>
      </c>
      <c r="U188" s="20" t="s">
        <v>34</v>
      </c>
      <c r="V188" s="20" t="s">
        <v>34</v>
      </c>
      <c r="W188" s="20" t="s">
        <v>35</v>
      </c>
      <c r="X188" s="20" t="s">
        <v>44</v>
      </c>
    </row>
    <row r="189" spans="1:24" hidden="1" x14ac:dyDescent="0.2">
      <c r="A189" s="20">
        <f>MATCH(C189,'[1]Slot Managers Split'!G:G,0)</f>
        <v>164</v>
      </c>
      <c r="B189" s="20"/>
      <c r="C189" s="20" t="s">
        <v>68</v>
      </c>
      <c r="D189" s="20" t="s">
        <v>69</v>
      </c>
      <c r="E189" s="20" t="s">
        <v>70</v>
      </c>
      <c r="F189" s="20" t="s">
        <v>31</v>
      </c>
      <c r="G189" s="20" t="s">
        <v>32</v>
      </c>
      <c r="H189" s="21">
        <v>1447</v>
      </c>
      <c r="I189" s="21">
        <v>24</v>
      </c>
      <c r="J189" s="21">
        <v>0</v>
      </c>
      <c r="K189" s="21">
        <v>0</v>
      </c>
      <c r="L189" s="20" t="s">
        <v>34</v>
      </c>
      <c r="M189" s="20" t="s">
        <v>34</v>
      </c>
      <c r="N189" s="21">
        <v>112000</v>
      </c>
      <c r="O189" s="21">
        <v>0</v>
      </c>
      <c r="P189" s="21">
        <v>125</v>
      </c>
      <c r="Q189" s="21">
        <v>9</v>
      </c>
      <c r="R189" s="21">
        <v>1</v>
      </c>
      <c r="S189" s="21">
        <v>1100</v>
      </c>
      <c r="T189" s="21">
        <v>700</v>
      </c>
      <c r="U189" s="20" t="s">
        <v>34</v>
      </c>
      <c r="V189" s="20" t="s">
        <v>34</v>
      </c>
      <c r="W189" s="20" t="s">
        <v>35</v>
      </c>
      <c r="X189" s="20" t="s">
        <v>73</v>
      </c>
    </row>
    <row r="190" spans="1:24" hidden="1" x14ac:dyDescent="0.2">
      <c r="A190" s="20">
        <f>MATCH(C190,'[1]Slot Managers Split'!G:G,0)</f>
        <v>305</v>
      </c>
      <c r="B190" s="20"/>
      <c r="C190" s="20" t="s">
        <v>962</v>
      </c>
      <c r="D190" s="20" t="s">
        <v>963</v>
      </c>
      <c r="E190" s="20" t="s">
        <v>39</v>
      </c>
      <c r="F190" s="20" t="s">
        <v>31</v>
      </c>
      <c r="G190" s="20" t="s">
        <v>32</v>
      </c>
      <c r="H190" s="21">
        <v>1441</v>
      </c>
      <c r="I190" s="21">
        <v>15</v>
      </c>
      <c r="J190" s="21">
        <v>0</v>
      </c>
      <c r="K190" s="21">
        <v>0</v>
      </c>
      <c r="L190" s="20" t="s">
        <v>33</v>
      </c>
      <c r="M190" s="20" t="s">
        <v>33</v>
      </c>
      <c r="N190" s="21">
        <v>150000</v>
      </c>
      <c r="O190" s="21">
        <v>20188</v>
      </c>
      <c r="P190" s="21">
        <v>0</v>
      </c>
      <c r="Q190" s="21">
        <v>7</v>
      </c>
      <c r="R190" s="21">
        <v>1</v>
      </c>
      <c r="S190" s="21">
        <v>2500</v>
      </c>
      <c r="T190" s="21">
        <v>750</v>
      </c>
      <c r="U190" s="20" t="s">
        <v>34</v>
      </c>
      <c r="V190" s="20" t="s">
        <v>34</v>
      </c>
      <c r="W190" s="20" t="s">
        <v>35</v>
      </c>
      <c r="X190" s="20" t="s">
        <v>964</v>
      </c>
    </row>
    <row r="191" spans="1:24" hidden="1" x14ac:dyDescent="0.2">
      <c r="A191" s="20">
        <f>MATCH(C191,'[1]Slot Managers Split'!G:G,0)</f>
        <v>303</v>
      </c>
      <c r="B191" s="20"/>
      <c r="C191" s="20" t="s">
        <v>758</v>
      </c>
      <c r="D191" s="20" t="s">
        <v>759</v>
      </c>
      <c r="E191" s="20" t="s">
        <v>760</v>
      </c>
      <c r="F191" s="20" t="s">
        <v>31</v>
      </c>
      <c r="G191" s="20" t="s">
        <v>32</v>
      </c>
      <c r="H191" s="21">
        <v>1439</v>
      </c>
      <c r="I191" s="21">
        <v>31</v>
      </c>
      <c r="J191" s="21">
        <v>0</v>
      </c>
      <c r="K191" s="21">
        <v>0</v>
      </c>
      <c r="L191" s="20" t="s">
        <v>33</v>
      </c>
      <c r="M191" s="20" t="s">
        <v>34</v>
      </c>
      <c r="N191" s="21">
        <v>0</v>
      </c>
      <c r="O191" s="21">
        <v>0</v>
      </c>
      <c r="P191" s="21">
        <v>0</v>
      </c>
      <c r="Q191" s="21">
        <v>10</v>
      </c>
      <c r="R191" s="21">
        <v>0</v>
      </c>
      <c r="S191" s="21">
        <v>0</v>
      </c>
      <c r="T191" s="21">
        <v>0</v>
      </c>
      <c r="U191" s="20" t="s">
        <v>33</v>
      </c>
      <c r="V191" s="20" t="s">
        <v>33</v>
      </c>
      <c r="W191" s="20" t="s">
        <v>103</v>
      </c>
      <c r="X191" s="20" t="s">
        <v>0</v>
      </c>
    </row>
    <row r="192" spans="1:24" hidden="1" x14ac:dyDescent="0.2">
      <c r="A192" s="31" t="e">
        <f>MATCH(C192,'[1]Slot Managers Split'!G:G,0)</f>
        <v>#N/A</v>
      </c>
      <c r="B192" s="31"/>
      <c r="C192" s="31" t="s">
        <v>875</v>
      </c>
      <c r="D192" s="31" t="s">
        <v>81</v>
      </c>
      <c r="E192" s="31" t="s">
        <v>51</v>
      </c>
      <c r="F192" s="31" t="s">
        <v>31</v>
      </c>
      <c r="G192" s="31" t="s">
        <v>32</v>
      </c>
      <c r="H192" s="32">
        <v>1435</v>
      </c>
      <c r="I192" s="32">
        <v>13</v>
      </c>
      <c r="J192" s="32">
        <v>0</v>
      </c>
      <c r="K192" s="32">
        <v>400</v>
      </c>
      <c r="L192" s="31" t="s">
        <v>34</v>
      </c>
      <c r="M192" s="31" t="s">
        <v>34</v>
      </c>
      <c r="N192" s="32">
        <v>120681</v>
      </c>
      <c r="O192" s="32">
        <v>30157</v>
      </c>
      <c r="P192" s="32">
        <v>645</v>
      </c>
      <c r="Q192" s="32">
        <v>14</v>
      </c>
      <c r="R192" s="32">
        <v>3</v>
      </c>
      <c r="S192" s="32">
        <v>3778</v>
      </c>
      <c r="T192" s="32">
        <v>1669</v>
      </c>
      <c r="U192" s="31" t="s">
        <v>33</v>
      </c>
      <c r="V192" s="31" t="s">
        <v>33</v>
      </c>
      <c r="W192" s="31" t="s">
        <v>35</v>
      </c>
      <c r="X192" s="31" t="s">
        <v>53</v>
      </c>
    </row>
    <row r="193" spans="1:24" hidden="1" x14ac:dyDescent="0.2">
      <c r="A193" s="20">
        <f>MATCH(C193,'[1]Slot Managers Split'!G:G,0)</f>
        <v>159</v>
      </c>
      <c r="B193" s="20"/>
      <c r="C193" s="20" t="s">
        <v>849</v>
      </c>
      <c r="D193" s="20" t="s">
        <v>850</v>
      </c>
      <c r="E193" s="20" t="s">
        <v>851</v>
      </c>
      <c r="F193" s="20" t="s">
        <v>180</v>
      </c>
      <c r="G193" s="20" t="s">
        <v>32</v>
      </c>
      <c r="H193" s="21">
        <v>1427</v>
      </c>
      <c r="I193" s="21">
        <v>39</v>
      </c>
      <c r="J193" s="21">
        <v>12</v>
      </c>
      <c r="K193" s="21">
        <v>0</v>
      </c>
      <c r="L193" s="20" t="s">
        <v>33</v>
      </c>
      <c r="M193" s="20" t="s">
        <v>33</v>
      </c>
      <c r="N193" s="21">
        <v>62600</v>
      </c>
      <c r="O193" s="21">
        <v>20000</v>
      </c>
      <c r="P193" s="21">
        <v>255</v>
      </c>
      <c r="Q193" s="21">
        <v>6</v>
      </c>
      <c r="R193" s="21">
        <v>0</v>
      </c>
      <c r="S193" s="21">
        <v>0</v>
      </c>
      <c r="T193" s="21">
        <v>0</v>
      </c>
      <c r="U193" s="20" t="s">
        <v>34</v>
      </c>
      <c r="V193" s="20" t="s">
        <v>33</v>
      </c>
      <c r="W193" s="20" t="s">
        <v>35</v>
      </c>
      <c r="X193" s="20" t="s">
        <v>852</v>
      </c>
    </row>
    <row r="194" spans="1:24" hidden="1" x14ac:dyDescent="0.2">
      <c r="A194" s="31" t="e">
        <f>MATCH(C194,'[1]Slot Managers Split'!G:G,0)</f>
        <v>#N/A</v>
      </c>
      <c r="B194" s="31"/>
      <c r="C194" s="31" t="s">
        <v>49</v>
      </c>
      <c r="D194" s="31" t="s">
        <v>50</v>
      </c>
      <c r="E194" s="31" t="s">
        <v>51</v>
      </c>
      <c r="F194" s="31" t="s">
        <v>31</v>
      </c>
      <c r="G194" s="31" t="s">
        <v>32</v>
      </c>
      <c r="H194" s="32">
        <v>1425</v>
      </c>
      <c r="I194" s="32">
        <v>26</v>
      </c>
      <c r="J194" s="32">
        <v>0</v>
      </c>
      <c r="K194" s="32">
        <v>200</v>
      </c>
      <c r="L194" s="31" t="s">
        <v>34</v>
      </c>
      <c r="M194" s="31" t="s">
        <v>34</v>
      </c>
      <c r="N194" s="32">
        <v>100000</v>
      </c>
      <c r="O194" s="32">
        <v>30000</v>
      </c>
      <c r="P194" s="32">
        <v>202</v>
      </c>
      <c r="Q194" s="32">
        <v>11</v>
      </c>
      <c r="R194" s="32">
        <v>2</v>
      </c>
      <c r="S194" s="32">
        <v>5000</v>
      </c>
      <c r="T194" s="32">
        <v>1134</v>
      </c>
      <c r="U194" s="31" t="s">
        <v>33</v>
      </c>
      <c r="V194" s="31" t="s">
        <v>33</v>
      </c>
      <c r="W194" s="31" t="s">
        <v>35</v>
      </c>
      <c r="X194" s="31" t="s">
        <v>53</v>
      </c>
    </row>
    <row r="195" spans="1:24" hidden="1" x14ac:dyDescent="0.2">
      <c r="A195" s="20">
        <f>MATCH(C195,'[1]Slot Managers Split'!G:G,0)</f>
        <v>59</v>
      </c>
      <c r="B195" s="20"/>
      <c r="C195" s="20" t="s">
        <v>869</v>
      </c>
      <c r="D195" s="20" t="s">
        <v>870</v>
      </c>
      <c r="E195" s="20" t="s">
        <v>174</v>
      </c>
      <c r="F195" s="20" t="s">
        <v>31</v>
      </c>
      <c r="G195" s="20" t="s">
        <v>32</v>
      </c>
      <c r="H195" s="21">
        <v>1419</v>
      </c>
      <c r="I195" s="21">
        <v>61</v>
      </c>
      <c r="J195" s="21">
        <v>24</v>
      </c>
      <c r="K195" s="21">
        <v>0</v>
      </c>
      <c r="L195" s="20" t="s">
        <v>34</v>
      </c>
      <c r="M195" s="20" t="s">
        <v>33</v>
      </c>
      <c r="N195" s="21">
        <v>450000</v>
      </c>
      <c r="O195" s="21">
        <v>0</v>
      </c>
      <c r="P195" s="21">
        <v>0</v>
      </c>
      <c r="Q195" s="21">
        <v>7</v>
      </c>
      <c r="R195" s="21">
        <v>0</v>
      </c>
      <c r="S195" s="21">
        <v>3000</v>
      </c>
      <c r="T195" s="21">
        <v>1300</v>
      </c>
      <c r="U195" s="20" t="s">
        <v>33</v>
      </c>
      <c r="V195" s="20" t="s">
        <v>33</v>
      </c>
      <c r="W195" s="20" t="s">
        <v>35</v>
      </c>
      <c r="X195" s="20" t="s">
        <v>862</v>
      </c>
    </row>
    <row r="196" spans="1:24" hidden="1" x14ac:dyDescent="0.2">
      <c r="A196" s="31" t="e">
        <f>MATCH(C196,'[1]Slot Managers Split'!G:G,0)</f>
        <v>#N/A</v>
      </c>
      <c r="B196" s="31"/>
      <c r="C196" s="31" t="s">
        <v>666</v>
      </c>
      <c r="D196" s="31" t="s">
        <v>667</v>
      </c>
      <c r="E196" s="31" t="s">
        <v>30</v>
      </c>
      <c r="F196" s="31" t="s">
        <v>31</v>
      </c>
      <c r="G196" s="31" t="s">
        <v>32</v>
      </c>
      <c r="H196" s="32">
        <v>1414</v>
      </c>
      <c r="I196" s="32">
        <v>10</v>
      </c>
      <c r="J196" s="32">
        <v>0</v>
      </c>
      <c r="K196" s="32">
        <v>0</v>
      </c>
      <c r="L196" s="31" t="s">
        <v>33</v>
      </c>
      <c r="M196" s="31" t="s">
        <v>33</v>
      </c>
      <c r="N196" s="32">
        <v>40000</v>
      </c>
      <c r="O196" s="32">
        <v>0</v>
      </c>
      <c r="P196" s="32">
        <v>0</v>
      </c>
      <c r="Q196" s="32">
        <v>1</v>
      </c>
      <c r="R196" s="32">
        <v>0</v>
      </c>
      <c r="S196" s="32">
        <v>1000</v>
      </c>
      <c r="T196" s="32">
        <v>400</v>
      </c>
      <c r="U196" s="31" t="s">
        <v>34</v>
      </c>
      <c r="V196" s="31" t="s">
        <v>34</v>
      </c>
      <c r="W196" s="31" t="s">
        <v>35</v>
      </c>
      <c r="X196" s="31" t="s">
        <v>665</v>
      </c>
    </row>
    <row r="197" spans="1:24" hidden="1" x14ac:dyDescent="0.2">
      <c r="A197" s="20">
        <f>MATCH(C197,'[1]Slot Managers Split'!G:G,0)</f>
        <v>315</v>
      </c>
      <c r="B197" s="20"/>
      <c r="C197" s="20" t="s">
        <v>496</v>
      </c>
      <c r="D197" s="20" t="s">
        <v>497</v>
      </c>
      <c r="E197" s="20" t="s">
        <v>174</v>
      </c>
      <c r="F197" s="20" t="s">
        <v>31</v>
      </c>
      <c r="G197" s="20" t="s">
        <v>32</v>
      </c>
      <c r="H197" s="21">
        <v>1408</v>
      </c>
      <c r="I197" s="21">
        <v>63</v>
      </c>
      <c r="J197" s="21">
        <v>14</v>
      </c>
      <c r="K197" s="21">
        <v>0</v>
      </c>
      <c r="L197" s="20" t="s">
        <v>34</v>
      </c>
      <c r="M197" s="20" t="s">
        <v>33</v>
      </c>
      <c r="N197" s="21">
        <v>300000</v>
      </c>
      <c r="O197" s="21">
        <v>0</v>
      </c>
      <c r="P197" s="21">
        <v>303</v>
      </c>
      <c r="Q197" s="21">
        <v>2</v>
      </c>
      <c r="R197" s="21">
        <v>2</v>
      </c>
      <c r="S197" s="21">
        <v>0</v>
      </c>
      <c r="T197" s="21">
        <v>1200</v>
      </c>
      <c r="U197" s="20" t="s">
        <v>34</v>
      </c>
      <c r="V197" s="20" t="s">
        <v>33</v>
      </c>
      <c r="W197" s="20" t="s">
        <v>35</v>
      </c>
      <c r="X197" s="20" t="s">
        <v>482</v>
      </c>
    </row>
    <row r="198" spans="1:24" x14ac:dyDescent="0.2">
      <c r="A198" s="22" t="e">
        <f>MATCH(C198,'[1]Slot Managers Split'!G:G,0)</f>
        <v>#N/A</v>
      </c>
      <c r="B198" s="22"/>
      <c r="C198" s="22" t="s">
        <v>196</v>
      </c>
      <c r="D198" s="22" t="s">
        <v>197</v>
      </c>
      <c r="E198" s="22" t="s">
        <v>0</v>
      </c>
      <c r="F198" s="22" t="s">
        <v>198</v>
      </c>
      <c r="G198" s="22" t="s">
        <v>32</v>
      </c>
      <c r="H198" s="27">
        <v>1400</v>
      </c>
      <c r="I198" s="27">
        <v>120</v>
      </c>
      <c r="J198" s="27">
        <v>11</v>
      </c>
      <c r="K198" s="27">
        <v>0</v>
      </c>
      <c r="L198" s="22" t="s">
        <v>33</v>
      </c>
      <c r="M198" s="22" t="s">
        <v>33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1500</v>
      </c>
      <c r="T198" s="27">
        <v>2000</v>
      </c>
      <c r="U198" s="22" t="s">
        <v>33</v>
      </c>
      <c r="V198" s="22" t="s">
        <v>33</v>
      </c>
      <c r="W198" s="22" t="s">
        <v>35</v>
      </c>
      <c r="X198" s="22" t="s">
        <v>202</v>
      </c>
    </row>
    <row r="199" spans="1:24" hidden="1" x14ac:dyDescent="0.2">
      <c r="A199" s="31" t="e">
        <f>MATCH(C199,'[1]Slot Managers Split'!G:G,0)</f>
        <v>#N/A</v>
      </c>
      <c r="B199" s="31"/>
      <c r="C199" s="31" t="s">
        <v>265</v>
      </c>
      <c r="D199" s="31" t="s">
        <v>84</v>
      </c>
      <c r="E199" s="31" t="s">
        <v>51</v>
      </c>
      <c r="F199" s="31" t="s">
        <v>31</v>
      </c>
      <c r="G199" s="31" t="s">
        <v>32</v>
      </c>
      <c r="H199" s="32">
        <v>1400</v>
      </c>
      <c r="I199" s="32">
        <v>6</v>
      </c>
      <c r="J199" s="32">
        <v>0</v>
      </c>
      <c r="K199" s="32">
        <v>0</v>
      </c>
      <c r="L199" s="31" t="s">
        <v>34</v>
      </c>
      <c r="M199" s="31" t="s">
        <v>34</v>
      </c>
      <c r="N199" s="32">
        <v>65500</v>
      </c>
      <c r="O199" s="32">
        <v>22000</v>
      </c>
      <c r="P199" s="32">
        <v>1570</v>
      </c>
      <c r="Q199" s="32">
        <v>5</v>
      </c>
      <c r="R199" s="32">
        <v>4</v>
      </c>
      <c r="S199" s="32">
        <v>3300</v>
      </c>
      <c r="T199" s="32">
        <v>532</v>
      </c>
      <c r="U199" s="31" t="s">
        <v>33</v>
      </c>
      <c r="V199" s="31" t="s">
        <v>33</v>
      </c>
      <c r="W199" s="31" t="s">
        <v>35</v>
      </c>
      <c r="X199" s="31" t="s">
        <v>267</v>
      </c>
    </row>
    <row r="200" spans="1:24" hidden="1" x14ac:dyDescent="0.2">
      <c r="A200" s="31" t="e">
        <f>MATCH(C200,'[1]Slot Managers Split'!G:G,0)</f>
        <v>#N/A</v>
      </c>
      <c r="B200" s="31"/>
      <c r="C200" s="31" t="s">
        <v>636</v>
      </c>
      <c r="D200" s="31" t="s">
        <v>438</v>
      </c>
      <c r="E200" s="31" t="s">
        <v>106</v>
      </c>
      <c r="F200" s="31" t="s">
        <v>31</v>
      </c>
      <c r="G200" s="31" t="s">
        <v>32</v>
      </c>
      <c r="H200" s="32">
        <v>1400</v>
      </c>
      <c r="I200" s="32">
        <v>82</v>
      </c>
      <c r="J200" s="32">
        <v>0</v>
      </c>
      <c r="K200" s="32">
        <v>0</v>
      </c>
      <c r="L200" s="31" t="s">
        <v>34</v>
      </c>
      <c r="M200" s="31" t="s">
        <v>33</v>
      </c>
      <c r="N200" s="32">
        <v>70000</v>
      </c>
      <c r="O200" s="32">
        <v>38000</v>
      </c>
      <c r="P200" s="32">
        <v>995</v>
      </c>
      <c r="Q200" s="32">
        <v>9</v>
      </c>
      <c r="R200" s="32">
        <v>3</v>
      </c>
      <c r="S200" s="32">
        <v>2800</v>
      </c>
      <c r="T200" s="32">
        <v>1948</v>
      </c>
      <c r="U200" s="31" t="s">
        <v>33</v>
      </c>
      <c r="V200" s="31" t="s">
        <v>33</v>
      </c>
      <c r="W200" s="31" t="s">
        <v>57</v>
      </c>
      <c r="X200" s="31" t="s">
        <v>59</v>
      </c>
    </row>
    <row r="201" spans="1:24" hidden="1" x14ac:dyDescent="0.2">
      <c r="A201" s="20">
        <f>MATCH(C201,'[1]Slot Managers Split'!G:G,0)</f>
        <v>60</v>
      </c>
      <c r="B201" s="20"/>
      <c r="C201" s="20" t="s">
        <v>898</v>
      </c>
      <c r="D201" s="20" t="s">
        <v>899</v>
      </c>
      <c r="E201" s="20" t="s">
        <v>185</v>
      </c>
      <c r="F201" s="20" t="s">
        <v>31</v>
      </c>
      <c r="G201" s="20" t="s">
        <v>32</v>
      </c>
      <c r="H201" s="21">
        <v>1400</v>
      </c>
      <c r="I201" s="21">
        <v>38</v>
      </c>
      <c r="J201" s="21">
        <v>0</v>
      </c>
      <c r="K201" s="21">
        <v>0</v>
      </c>
      <c r="L201" s="20" t="s">
        <v>34</v>
      </c>
      <c r="M201" s="20" t="s">
        <v>33</v>
      </c>
      <c r="N201" s="21">
        <v>75600</v>
      </c>
      <c r="O201" s="21">
        <v>0</v>
      </c>
      <c r="P201" s="21">
        <v>99</v>
      </c>
      <c r="Q201" s="21">
        <v>6</v>
      </c>
      <c r="R201" s="21">
        <v>1</v>
      </c>
      <c r="S201" s="21">
        <v>1138</v>
      </c>
      <c r="T201" s="21">
        <v>800</v>
      </c>
      <c r="U201" s="20" t="s">
        <v>34</v>
      </c>
      <c r="V201" s="20" t="s">
        <v>34</v>
      </c>
      <c r="W201" s="20" t="s">
        <v>35</v>
      </c>
      <c r="X201" s="20" t="s">
        <v>482</v>
      </c>
    </row>
    <row r="202" spans="1:24" hidden="1" x14ac:dyDescent="0.2">
      <c r="A202" s="20">
        <f>MATCH(C202,'[1]Slot Managers Split'!G:G,0)</f>
        <v>332</v>
      </c>
      <c r="B202" s="20"/>
      <c r="C202" s="20" t="s">
        <v>1060</v>
      </c>
      <c r="D202" s="20" t="s">
        <v>1061</v>
      </c>
      <c r="E202" s="20" t="s">
        <v>97</v>
      </c>
      <c r="F202" s="20" t="s">
        <v>31</v>
      </c>
      <c r="G202" s="20" t="s">
        <v>32</v>
      </c>
      <c r="H202" s="21">
        <v>1400</v>
      </c>
      <c r="I202" s="21">
        <v>56</v>
      </c>
      <c r="J202" s="21">
        <v>7</v>
      </c>
      <c r="K202" s="21">
        <v>0</v>
      </c>
      <c r="L202" s="20" t="s">
        <v>34</v>
      </c>
      <c r="M202" s="20" t="s">
        <v>33</v>
      </c>
      <c r="N202" s="21">
        <v>70000</v>
      </c>
      <c r="O202" s="21">
        <v>35000</v>
      </c>
      <c r="P202" s="21">
        <v>255</v>
      </c>
      <c r="Q202" s="21">
        <v>0</v>
      </c>
      <c r="R202" s="21">
        <v>0</v>
      </c>
      <c r="S202" s="21">
        <v>0</v>
      </c>
      <c r="T202" s="21">
        <v>800</v>
      </c>
      <c r="U202" s="20" t="s">
        <v>34</v>
      </c>
      <c r="V202" s="20" t="s">
        <v>33</v>
      </c>
      <c r="W202" s="20" t="s">
        <v>35</v>
      </c>
      <c r="X202" s="20" t="s">
        <v>672</v>
      </c>
    </row>
    <row r="203" spans="1:24" hidden="1" x14ac:dyDescent="0.2">
      <c r="A203" s="20">
        <f>MATCH(C203,'[1]Slot Managers Split'!G:G,0)</f>
        <v>168</v>
      </c>
      <c r="B203" s="20"/>
      <c r="C203" s="20" t="s">
        <v>393</v>
      </c>
      <c r="D203" s="20" t="s">
        <v>81</v>
      </c>
      <c r="E203" s="20" t="s">
        <v>51</v>
      </c>
      <c r="F203" s="20" t="s">
        <v>31</v>
      </c>
      <c r="G203" s="20" t="s">
        <v>32</v>
      </c>
      <c r="H203" s="21">
        <v>1385</v>
      </c>
      <c r="I203" s="21">
        <v>141</v>
      </c>
      <c r="J203" s="21">
        <v>0</v>
      </c>
      <c r="K203" s="21">
        <v>0</v>
      </c>
      <c r="L203" s="20" t="s">
        <v>34</v>
      </c>
      <c r="M203" s="20" t="s">
        <v>34</v>
      </c>
      <c r="N203" s="21">
        <v>150000</v>
      </c>
      <c r="O203" s="21">
        <v>0</v>
      </c>
      <c r="P203" s="21">
        <v>3644</v>
      </c>
      <c r="Q203" s="21">
        <v>32</v>
      </c>
      <c r="R203" s="21">
        <v>0</v>
      </c>
      <c r="S203" s="21">
        <v>0</v>
      </c>
      <c r="T203" s="21">
        <v>0</v>
      </c>
      <c r="U203" s="20" t="s">
        <v>33</v>
      </c>
      <c r="V203" s="20" t="s">
        <v>33</v>
      </c>
      <c r="W203" s="20" t="s">
        <v>35</v>
      </c>
      <c r="X203" s="20" t="s">
        <v>394</v>
      </c>
    </row>
    <row r="204" spans="1:24" x14ac:dyDescent="0.2">
      <c r="A204" s="22" t="e">
        <f>MATCH(C204,'[1]Slot Managers Split'!G:G,0)</f>
        <v>#N/A</v>
      </c>
      <c r="B204" s="22"/>
      <c r="C204" s="22" t="s">
        <v>615</v>
      </c>
      <c r="D204" s="22" t="s">
        <v>616</v>
      </c>
      <c r="E204" s="22" t="s">
        <v>0</v>
      </c>
      <c r="F204" s="22" t="s">
        <v>617</v>
      </c>
      <c r="G204" s="22" t="s">
        <v>32</v>
      </c>
      <c r="H204" s="27">
        <v>1360</v>
      </c>
      <c r="I204" s="27">
        <v>200</v>
      </c>
      <c r="J204" s="27">
        <v>0</v>
      </c>
      <c r="K204" s="27">
        <v>0</v>
      </c>
      <c r="L204" s="22" t="s">
        <v>33</v>
      </c>
      <c r="M204" s="22" t="s">
        <v>33</v>
      </c>
      <c r="N204" s="27">
        <v>0</v>
      </c>
      <c r="O204" s="27">
        <v>0</v>
      </c>
      <c r="P204" s="27">
        <v>477</v>
      </c>
      <c r="Q204" s="27">
        <v>0</v>
      </c>
      <c r="R204" s="27">
        <v>0</v>
      </c>
      <c r="S204" s="27">
        <v>0</v>
      </c>
      <c r="T204" s="27">
        <v>0</v>
      </c>
      <c r="U204" s="22" t="s">
        <v>33</v>
      </c>
      <c r="V204" s="22" t="s">
        <v>33</v>
      </c>
      <c r="W204" s="22" t="s">
        <v>35</v>
      </c>
      <c r="X204" s="22" t="s">
        <v>619</v>
      </c>
    </row>
    <row r="205" spans="1:24" hidden="1" x14ac:dyDescent="0.2">
      <c r="A205" s="20">
        <f>MATCH(C205,'[1]Slot Managers Split'!G:G,0)</f>
        <v>153</v>
      </c>
      <c r="B205" s="20"/>
      <c r="C205" s="20" t="s">
        <v>644</v>
      </c>
      <c r="D205" s="20" t="s">
        <v>645</v>
      </c>
      <c r="E205" s="20" t="s">
        <v>387</v>
      </c>
      <c r="F205" s="20" t="s">
        <v>31</v>
      </c>
      <c r="G205" s="20" t="s">
        <v>32</v>
      </c>
      <c r="H205" s="21">
        <v>1350</v>
      </c>
      <c r="I205" s="21">
        <v>28</v>
      </c>
      <c r="J205" s="21">
        <v>0</v>
      </c>
      <c r="K205" s="21">
        <v>0</v>
      </c>
      <c r="L205" s="20" t="s">
        <v>33</v>
      </c>
      <c r="M205" s="20" t="s">
        <v>33</v>
      </c>
      <c r="N205" s="21">
        <v>44000</v>
      </c>
      <c r="O205" s="21">
        <v>9000</v>
      </c>
      <c r="P205" s="21">
        <v>292</v>
      </c>
      <c r="Q205" s="21">
        <v>4</v>
      </c>
      <c r="R205" s="21">
        <v>1</v>
      </c>
      <c r="S205" s="21">
        <v>2500</v>
      </c>
      <c r="T205" s="21">
        <v>900</v>
      </c>
      <c r="U205" s="20" t="s">
        <v>34</v>
      </c>
      <c r="V205" s="20" t="s">
        <v>34</v>
      </c>
      <c r="W205" s="20" t="s">
        <v>35</v>
      </c>
      <c r="X205" s="20" t="s">
        <v>646</v>
      </c>
    </row>
    <row r="206" spans="1:24" hidden="1" x14ac:dyDescent="0.2">
      <c r="A206" s="20">
        <f>MATCH(C206,'[1]Slot Managers Split'!G:G,0)</f>
        <v>167</v>
      </c>
      <c r="B206" s="20"/>
      <c r="C206" s="20" t="s">
        <v>678</v>
      </c>
      <c r="D206" s="20" t="s">
        <v>679</v>
      </c>
      <c r="E206" s="20" t="s">
        <v>56</v>
      </c>
      <c r="F206" s="20" t="s">
        <v>31</v>
      </c>
      <c r="G206" s="20" t="s">
        <v>32</v>
      </c>
      <c r="H206" s="21">
        <v>1350</v>
      </c>
      <c r="I206" s="21">
        <v>25</v>
      </c>
      <c r="J206" s="21">
        <v>0</v>
      </c>
      <c r="K206" s="21">
        <v>550</v>
      </c>
      <c r="L206" s="20" t="s">
        <v>34</v>
      </c>
      <c r="M206" s="20" t="s">
        <v>34</v>
      </c>
      <c r="N206" s="21">
        <v>127669</v>
      </c>
      <c r="O206" s="21">
        <v>14000</v>
      </c>
      <c r="P206" s="21">
        <v>402</v>
      </c>
      <c r="Q206" s="21">
        <v>6</v>
      </c>
      <c r="R206" s="21">
        <v>1</v>
      </c>
      <c r="S206" s="21">
        <v>1800</v>
      </c>
      <c r="T206" s="21">
        <v>1200</v>
      </c>
      <c r="U206" s="20" t="s">
        <v>34</v>
      </c>
      <c r="V206" s="20" t="s">
        <v>34</v>
      </c>
      <c r="W206" s="20" t="s">
        <v>35</v>
      </c>
      <c r="X206" s="20" t="s">
        <v>681</v>
      </c>
    </row>
    <row r="207" spans="1:24" hidden="1" x14ac:dyDescent="0.2">
      <c r="A207" s="20">
        <f>MATCH(C207,'[1]Slot Managers Split'!G:G,0)</f>
        <v>84</v>
      </c>
      <c r="B207" s="20"/>
      <c r="C207" s="35" t="s">
        <v>571</v>
      </c>
      <c r="D207" s="20" t="s">
        <v>572</v>
      </c>
      <c r="E207" s="20" t="s">
        <v>573</v>
      </c>
      <c r="F207" s="20" t="s">
        <v>31</v>
      </c>
      <c r="G207" s="20" t="s">
        <v>32</v>
      </c>
      <c r="H207" s="21">
        <v>1348</v>
      </c>
      <c r="I207" s="21">
        <v>115</v>
      </c>
      <c r="J207" s="21">
        <v>23</v>
      </c>
      <c r="K207" s="21">
        <v>0</v>
      </c>
      <c r="L207" s="20" t="s">
        <v>34</v>
      </c>
      <c r="M207" s="20" t="s">
        <v>33</v>
      </c>
      <c r="N207" s="21">
        <v>122000</v>
      </c>
      <c r="O207" s="21">
        <v>0</v>
      </c>
      <c r="P207" s="21">
        <v>0</v>
      </c>
      <c r="Q207" s="21">
        <v>6</v>
      </c>
      <c r="R207" s="21">
        <v>1</v>
      </c>
      <c r="S207" s="21">
        <v>3500</v>
      </c>
      <c r="T207" s="21">
        <v>1364</v>
      </c>
      <c r="U207" s="20" t="s">
        <v>33</v>
      </c>
      <c r="V207" s="20" t="s">
        <v>33</v>
      </c>
      <c r="W207" s="20" t="s">
        <v>35</v>
      </c>
      <c r="X207" s="20" t="s">
        <v>267</v>
      </c>
    </row>
    <row r="208" spans="1:24" hidden="1" x14ac:dyDescent="0.2">
      <c r="A208" s="31" t="e">
        <f>(MATCH(C208,'[1]Slot Managers Split'!G:G,0))*(MATCH(C208,'[1]Slot Managers Split'!G:G,0))</f>
        <v>#N/A</v>
      </c>
      <c r="B208" s="31"/>
      <c r="C208" s="31" t="s">
        <v>634</v>
      </c>
      <c r="D208" s="31" t="s">
        <v>635</v>
      </c>
      <c r="E208" s="31" t="s">
        <v>106</v>
      </c>
      <c r="F208" s="31" t="s">
        <v>31</v>
      </c>
      <c r="G208" s="31" t="s">
        <v>32</v>
      </c>
      <c r="H208" s="32">
        <v>1332</v>
      </c>
      <c r="I208" s="32">
        <v>47</v>
      </c>
      <c r="J208" s="32">
        <v>7</v>
      </c>
      <c r="K208" s="32">
        <v>0</v>
      </c>
      <c r="L208" s="31" t="s">
        <v>34</v>
      </c>
      <c r="M208" s="31" t="s">
        <v>33</v>
      </c>
      <c r="N208" s="32">
        <v>74000</v>
      </c>
      <c r="O208" s="32">
        <v>13000</v>
      </c>
      <c r="P208" s="32">
        <v>205</v>
      </c>
      <c r="Q208" s="32">
        <v>4</v>
      </c>
      <c r="R208" s="32">
        <v>0</v>
      </c>
      <c r="S208" s="32">
        <v>2400</v>
      </c>
      <c r="T208" s="32">
        <v>974</v>
      </c>
      <c r="U208" s="31" t="s">
        <v>33</v>
      </c>
      <c r="V208" s="31" t="s">
        <v>33</v>
      </c>
      <c r="W208" s="31" t="s">
        <v>35</v>
      </c>
      <c r="X208" s="31" t="s">
        <v>59</v>
      </c>
    </row>
    <row r="209" spans="1:24" x14ac:dyDescent="0.2">
      <c r="A209" s="22" t="e">
        <f>MATCH(C209,'[1]Slot Managers Split'!G:G,0)</f>
        <v>#N/A</v>
      </c>
      <c r="B209" s="22"/>
      <c r="C209" s="22" t="s">
        <v>976</v>
      </c>
      <c r="D209" s="22" t="s">
        <v>977</v>
      </c>
      <c r="E209" s="22" t="s">
        <v>0</v>
      </c>
      <c r="F209" s="22" t="s">
        <v>190</v>
      </c>
      <c r="G209" s="22" t="s">
        <v>32</v>
      </c>
      <c r="H209" s="27">
        <v>1330</v>
      </c>
      <c r="I209" s="27">
        <v>48</v>
      </c>
      <c r="J209" s="27">
        <v>2</v>
      </c>
      <c r="K209" s="27">
        <v>0</v>
      </c>
      <c r="L209" s="22" t="s">
        <v>33</v>
      </c>
      <c r="M209" s="22" t="s">
        <v>33</v>
      </c>
      <c r="N209" s="27">
        <v>75350</v>
      </c>
      <c r="O209" s="27">
        <v>0</v>
      </c>
      <c r="P209" s="27">
        <v>165</v>
      </c>
      <c r="Q209" s="27">
        <v>19</v>
      </c>
      <c r="R209" s="27">
        <v>3</v>
      </c>
      <c r="S209" s="27">
        <v>2360</v>
      </c>
      <c r="T209" s="27">
        <v>1000</v>
      </c>
      <c r="U209" s="22" t="s">
        <v>33</v>
      </c>
      <c r="V209" s="22" t="s">
        <v>33</v>
      </c>
      <c r="W209" s="22" t="s">
        <v>35</v>
      </c>
      <c r="X209" s="22" t="s">
        <v>424</v>
      </c>
    </row>
    <row r="210" spans="1:24" hidden="1" x14ac:dyDescent="0.2">
      <c r="A210" s="33" t="e">
        <f>MATCH(C210,'[1]Slot Managers Split'!G:G,0)</f>
        <v>#N/A</v>
      </c>
      <c r="B210" s="33"/>
      <c r="C210" s="33" t="s">
        <v>684</v>
      </c>
      <c r="D210" s="33" t="s">
        <v>81</v>
      </c>
      <c r="E210" s="33" t="s">
        <v>51</v>
      </c>
      <c r="F210" s="33" t="s">
        <v>31</v>
      </c>
      <c r="G210" s="33" t="s">
        <v>32</v>
      </c>
      <c r="H210" s="34">
        <v>1330</v>
      </c>
      <c r="I210" s="34">
        <v>136</v>
      </c>
      <c r="J210" s="34">
        <v>17</v>
      </c>
      <c r="K210" s="34">
        <v>0</v>
      </c>
      <c r="L210" s="33" t="s">
        <v>34</v>
      </c>
      <c r="M210" s="33" t="s">
        <v>34</v>
      </c>
      <c r="N210" s="34">
        <v>153000</v>
      </c>
      <c r="O210" s="34">
        <v>580000</v>
      </c>
      <c r="P210" s="34">
        <v>6532</v>
      </c>
      <c r="Q210" s="34">
        <v>26</v>
      </c>
      <c r="R210" s="34">
        <v>13</v>
      </c>
      <c r="S210" s="34">
        <v>6000</v>
      </c>
      <c r="T210" s="34">
        <v>2994</v>
      </c>
      <c r="U210" s="33" t="s">
        <v>33</v>
      </c>
      <c r="V210" s="33" t="s">
        <v>33</v>
      </c>
      <c r="W210" s="33" t="s">
        <v>35</v>
      </c>
      <c r="X210" s="33" t="s">
        <v>130</v>
      </c>
    </row>
    <row r="211" spans="1:24" hidden="1" x14ac:dyDescent="0.2">
      <c r="A211" s="20">
        <f>MATCH(C211,'[1]Slot Managers Split'!G:G,0)</f>
        <v>334</v>
      </c>
      <c r="B211" s="20"/>
      <c r="C211" s="35" t="s">
        <v>529</v>
      </c>
      <c r="D211" s="20" t="s">
        <v>530</v>
      </c>
      <c r="E211" s="20" t="s">
        <v>102</v>
      </c>
      <c r="F211" s="20" t="s">
        <v>31</v>
      </c>
      <c r="G211" s="20" t="s">
        <v>32</v>
      </c>
      <c r="H211" s="21">
        <v>1315</v>
      </c>
      <c r="I211" s="21">
        <v>26</v>
      </c>
      <c r="J211" s="21">
        <v>7</v>
      </c>
      <c r="K211" s="21">
        <v>0</v>
      </c>
      <c r="L211" s="20" t="s">
        <v>34</v>
      </c>
      <c r="M211" s="20" t="s">
        <v>34</v>
      </c>
      <c r="N211" s="21">
        <v>140000</v>
      </c>
      <c r="O211" s="21">
        <v>10000</v>
      </c>
      <c r="P211" s="21">
        <v>0</v>
      </c>
      <c r="Q211" s="21">
        <v>4</v>
      </c>
      <c r="R211" s="21">
        <v>2</v>
      </c>
      <c r="S211" s="21">
        <v>550</v>
      </c>
      <c r="T211" s="21">
        <v>450</v>
      </c>
      <c r="U211" s="20" t="s">
        <v>33</v>
      </c>
      <c r="V211" s="20" t="s">
        <v>33</v>
      </c>
      <c r="W211" s="20" t="s">
        <v>103</v>
      </c>
      <c r="X211" s="20" t="s">
        <v>1874</v>
      </c>
    </row>
    <row r="212" spans="1:24" hidden="1" x14ac:dyDescent="0.2">
      <c r="A212" s="20">
        <f>MATCH(C212,'[1]Slot Managers Split'!G:G,0)</f>
        <v>165</v>
      </c>
      <c r="B212" s="20"/>
      <c r="C212" s="20" t="s">
        <v>1873</v>
      </c>
      <c r="D212" s="20" t="s">
        <v>81</v>
      </c>
      <c r="E212" s="20" t="s">
        <v>51</v>
      </c>
      <c r="F212" s="20" t="s">
        <v>31</v>
      </c>
      <c r="G212" s="20" t="s">
        <v>32</v>
      </c>
      <c r="H212" s="21">
        <v>1312</v>
      </c>
      <c r="I212" s="21">
        <v>48</v>
      </c>
      <c r="J212" s="21">
        <v>0</v>
      </c>
      <c r="K212" s="21">
        <v>0</v>
      </c>
      <c r="L212" s="20" t="s">
        <v>34</v>
      </c>
      <c r="M212" s="20" t="s">
        <v>34</v>
      </c>
      <c r="N212" s="21">
        <v>0</v>
      </c>
      <c r="O212" s="21">
        <v>0</v>
      </c>
      <c r="P212" s="21">
        <v>618</v>
      </c>
      <c r="Q212" s="21">
        <v>11</v>
      </c>
      <c r="R212" s="21">
        <v>0</v>
      </c>
      <c r="S212" s="21">
        <v>0</v>
      </c>
      <c r="T212" s="21">
        <v>0</v>
      </c>
      <c r="U212" s="20" t="s">
        <v>33</v>
      </c>
      <c r="V212" s="20" t="s">
        <v>33</v>
      </c>
      <c r="W212" s="20" t="s">
        <v>35</v>
      </c>
      <c r="X212" s="20" t="s">
        <v>264</v>
      </c>
    </row>
    <row r="213" spans="1:24" hidden="1" x14ac:dyDescent="0.2">
      <c r="A213" s="20">
        <f>MATCH(C213,'[1]Slot Managers Split'!G:G,0)</f>
        <v>49</v>
      </c>
      <c r="B213" s="20"/>
      <c r="C213" s="35" t="s">
        <v>144</v>
      </c>
      <c r="D213" s="20" t="s">
        <v>145</v>
      </c>
      <c r="E213" s="20" t="s">
        <v>146</v>
      </c>
      <c r="F213" s="20" t="s">
        <v>31</v>
      </c>
      <c r="G213" s="20" t="s">
        <v>32</v>
      </c>
      <c r="H213" s="21">
        <v>1311</v>
      </c>
      <c r="I213" s="21">
        <v>22</v>
      </c>
      <c r="J213" s="21">
        <v>16</v>
      </c>
      <c r="K213" s="21">
        <v>0</v>
      </c>
      <c r="L213" s="20" t="s">
        <v>34</v>
      </c>
      <c r="M213" s="20" t="s">
        <v>33</v>
      </c>
      <c r="N213" s="21">
        <v>65000</v>
      </c>
      <c r="O213" s="21">
        <v>15000</v>
      </c>
      <c r="P213" s="21">
        <v>486</v>
      </c>
      <c r="Q213" s="21">
        <v>6</v>
      </c>
      <c r="R213" s="21">
        <v>3</v>
      </c>
      <c r="S213" s="21">
        <v>2575</v>
      </c>
      <c r="T213" s="21">
        <v>992</v>
      </c>
      <c r="U213" s="20" t="s">
        <v>33</v>
      </c>
      <c r="V213" s="20" t="s">
        <v>33</v>
      </c>
      <c r="W213" s="20" t="s">
        <v>57</v>
      </c>
      <c r="X213" s="20" t="s">
        <v>53</v>
      </c>
    </row>
    <row r="214" spans="1:24" hidden="1" x14ac:dyDescent="0.2">
      <c r="A214" s="20">
        <f>MATCH(C214,'[1]Slot Managers Split'!G:G,0)</f>
        <v>333</v>
      </c>
      <c r="B214" s="20"/>
      <c r="C214" s="35" t="s">
        <v>217</v>
      </c>
      <c r="D214" s="20" t="s">
        <v>218</v>
      </c>
      <c r="E214" s="20" t="s">
        <v>179</v>
      </c>
      <c r="F214" s="20" t="s">
        <v>180</v>
      </c>
      <c r="G214" s="20" t="s">
        <v>32</v>
      </c>
      <c r="H214" s="21">
        <v>1300</v>
      </c>
      <c r="I214" s="21">
        <v>30</v>
      </c>
      <c r="J214" s="21">
        <v>18</v>
      </c>
      <c r="K214" s="21">
        <v>0</v>
      </c>
      <c r="L214" s="20" t="s">
        <v>34</v>
      </c>
      <c r="M214" s="20" t="s">
        <v>34</v>
      </c>
      <c r="N214" s="21">
        <v>95000</v>
      </c>
      <c r="O214" s="21">
        <v>0</v>
      </c>
      <c r="P214" s="21">
        <v>0</v>
      </c>
      <c r="Q214" s="21">
        <v>5</v>
      </c>
      <c r="R214" s="21">
        <v>2</v>
      </c>
      <c r="S214" s="21">
        <v>1400</v>
      </c>
      <c r="T214" s="21">
        <v>800</v>
      </c>
      <c r="U214" s="20" t="s">
        <v>34</v>
      </c>
      <c r="V214" s="20" t="s">
        <v>33</v>
      </c>
      <c r="W214" s="20" t="s">
        <v>35</v>
      </c>
      <c r="X214" s="35" t="s">
        <v>219</v>
      </c>
    </row>
    <row r="215" spans="1:24" x14ac:dyDescent="0.2">
      <c r="A215" s="22" t="e">
        <f>MATCH(C215,'[1]Slot Managers Split'!G:G,0)</f>
        <v>#N/A</v>
      </c>
      <c r="B215" s="22"/>
      <c r="C215" s="22" t="s">
        <v>372</v>
      </c>
      <c r="D215" s="22" t="s">
        <v>373</v>
      </c>
      <c r="E215" s="22" t="s">
        <v>0</v>
      </c>
      <c r="F215" s="22" t="s">
        <v>232</v>
      </c>
      <c r="G215" s="22" t="s">
        <v>32</v>
      </c>
      <c r="H215" s="27">
        <v>1300</v>
      </c>
      <c r="I215" s="27">
        <v>50</v>
      </c>
      <c r="J215" s="27">
        <v>0</v>
      </c>
      <c r="K215" s="27">
        <v>0</v>
      </c>
      <c r="L215" s="22" t="s">
        <v>33</v>
      </c>
      <c r="M215" s="22" t="s">
        <v>33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2" t="s">
        <v>33</v>
      </c>
      <c r="V215" s="22" t="s">
        <v>33</v>
      </c>
      <c r="W215" s="22" t="s">
        <v>35</v>
      </c>
      <c r="X215" s="22" t="s">
        <v>233</v>
      </c>
    </row>
    <row r="216" spans="1:24" hidden="1" x14ac:dyDescent="0.2">
      <c r="A216" s="33" t="e">
        <f>MATCH(C216,'[1]Slot Managers Split'!G:G,0)</f>
        <v>#N/A</v>
      </c>
      <c r="B216" s="33"/>
      <c r="C216" s="33" t="s">
        <v>168</v>
      </c>
      <c r="D216" s="33" t="s">
        <v>169</v>
      </c>
      <c r="E216" s="33" t="s">
        <v>106</v>
      </c>
      <c r="F216" s="33" t="s">
        <v>31</v>
      </c>
      <c r="G216" s="33" t="s">
        <v>32</v>
      </c>
      <c r="H216" s="34">
        <v>1300</v>
      </c>
      <c r="I216" s="34">
        <v>120</v>
      </c>
      <c r="J216" s="34">
        <v>20</v>
      </c>
      <c r="K216" s="34">
        <v>0</v>
      </c>
      <c r="L216" s="33" t="s">
        <v>34</v>
      </c>
      <c r="M216" s="33" t="s">
        <v>33</v>
      </c>
      <c r="N216" s="34">
        <v>115000</v>
      </c>
      <c r="O216" s="34">
        <v>7000</v>
      </c>
      <c r="P216" s="34">
        <v>450</v>
      </c>
      <c r="Q216" s="34">
        <v>9</v>
      </c>
      <c r="R216" s="34">
        <v>3</v>
      </c>
      <c r="S216" s="34">
        <v>1500</v>
      </c>
      <c r="T216" s="34">
        <v>2400</v>
      </c>
      <c r="U216" s="33" t="s">
        <v>33</v>
      </c>
      <c r="V216" s="33" t="s">
        <v>33</v>
      </c>
      <c r="W216" s="33" t="s">
        <v>35</v>
      </c>
      <c r="X216" s="33" t="s">
        <v>167</v>
      </c>
    </row>
    <row r="217" spans="1:24" hidden="1" x14ac:dyDescent="0.2">
      <c r="A217" s="33" t="e">
        <f>MATCH(C217,'[1]Slot Managers Split'!G:G,0)</f>
        <v>#N/A</v>
      </c>
      <c r="B217" s="33"/>
      <c r="C217" s="37" t="s">
        <v>420</v>
      </c>
      <c r="D217" s="33" t="s">
        <v>418</v>
      </c>
      <c r="E217" s="33" t="s">
        <v>325</v>
      </c>
      <c r="F217" s="33" t="s">
        <v>31</v>
      </c>
      <c r="G217" s="33" t="s">
        <v>32</v>
      </c>
      <c r="H217" s="34">
        <v>1300</v>
      </c>
      <c r="I217" s="34">
        <v>19</v>
      </c>
      <c r="J217" s="34">
        <v>0</v>
      </c>
      <c r="K217" s="34">
        <v>366</v>
      </c>
      <c r="L217" s="33" t="s">
        <v>33</v>
      </c>
      <c r="M217" s="33" t="s">
        <v>33</v>
      </c>
      <c r="N217" s="34">
        <v>70000</v>
      </c>
      <c r="O217" s="34">
        <v>6000</v>
      </c>
      <c r="P217" s="34">
        <v>90</v>
      </c>
      <c r="Q217" s="34">
        <v>5</v>
      </c>
      <c r="R217" s="34">
        <v>1</v>
      </c>
      <c r="S217" s="34">
        <v>1000</v>
      </c>
      <c r="T217" s="34">
        <v>1062</v>
      </c>
      <c r="U217" s="33" t="s">
        <v>34</v>
      </c>
      <c r="V217" s="33" t="s">
        <v>34</v>
      </c>
      <c r="W217" s="33" t="s">
        <v>35</v>
      </c>
      <c r="X217" s="33" t="s">
        <v>419</v>
      </c>
    </row>
    <row r="218" spans="1:24" hidden="1" x14ac:dyDescent="0.2">
      <c r="A218" s="33" t="e">
        <f>MATCH(C218,'[1]Slot Managers Split'!G:G,0)</f>
        <v>#N/A</v>
      </c>
      <c r="B218" s="33"/>
      <c r="C218" s="33" t="s">
        <v>421</v>
      </c>
      <c r="D218" s="33" t="s">
        <v>418</v>
      </c>
      <c r="E218" s="33" t="s">
        <v>325</v>
      </c>
      <c r="F218" s="33" t="s">
        <v>31</v>
      </c>
      <c r="G218" s="33" t="s">
        <v>32</v>
      </c>
      <c r="H218" s="34">
        <v>1300</v>
      </c>
      <c r="I218" s="34">
        <v>24</v>
      </c>
      <c r="J218" s="34">
        <v>30</v>
      </c>
      <c r="K218" s="34">
        <v>0</v>
      </c>
      <c r="L218" s="33" t="s">
        <v>33</v>
      </c>
      <c r="M218" s="33" t="s">
        <v>33</v>
      </c>
      <c r="N218" s="34">
        <v>100000</v>
      </c>
      <c r="O218" s="34">
        <v>12000</v>
      </c>
      <c r="P218" s="34">
        <v>446</v>
      </c>
      <c r="Q218" s="34">
        <v>9</v>
      </c>
      <c r="R218" s="34">
        <v>1</v>
      </c>
      <c r="S218" s="34">
        <v>0</v>
      </c>
      <c r="T218" s="34">
        <v>1500</v>
      </c>
      <c r="U218" s="33" t="s">
        <v>34</v>
      </c>
      <c r="V218" s="33" t="s">
        <v>34</v>
      </c>
      <c r="W218" s="33" t="s">
        <v>35</v>
      </c>
      <c r="X218" s="33" t="s">
        <v>419</v>
      </c>
    </row>
    <row r="219" spans="1:24" hidden="1" x14ac:dyDescent="0.2">
      <c r="A219" s="20">
        <f>MATCH(C219,'[1]Slot Managers Split'!G:G,0)</f>
        <v>232</v>
      </c>
      <c r="B219" s="20"/>
      <c r="C219" s="35" t="s">
        <v>514</v>
      </c>
      <c r="D219" s="20" t="s">
        <v>120</v>
      </c>
      <c r="E219" s="20" t="s">
        <v>236</v>
      </c>
      <c r="F219" s="20" t="s">
        <v>31</v>
      </c>
      <c r="G219" s="20" t="s">
        <v>32</v>
      </c>
      <c r="H219" s="21">
        <v>1300</v>
      </c>
      <c r="I219" s="21">
        <v>68</v>
      </c>
      <c r="J219" s="21">
        <v>0</v>
      </c>
      <c r="K219" s="21">
        <v>0</v>
      </c>
      <c r="L219" s="20" t="s">
        <v>33</v>
      </c>
      <c r="M219" s="20" t="s">
        <v>33</v>
      </c>
      <c r="N219" s="21">
        <v>66000</v>
      </c>
      <c r="O219" s="21">
        <v>41000</v>
      </c>
      <c r="P219" s="21">
        <v>300</v>
      </c>
      <c r="Q219" s="21">
        <v>5</v>
      </c>
      <c r="R219" s="21">
        <v>0</v>
      </c>
      <c r="S219" s="21">
        <v>0</v>
      </c>
      <c r="T219" s="21">
        <v>1054</v>
      </c>
      <c r="U219" s="20" t="s">
        <v>34</v>
      </c>
      <c r="V219" s="20" t="s">
        <v>34</v>
      </c>
      <c r="W219" s="20" t="s">
        <v>35</v>
      </c>
      <c r="X219" s="20" t="s">
        <v>513</v>
      </c>
    </row>
    <row r="220" spans="1:24" hidden="1" x14ac:dyDescent="0.2">
      <c r="A220" s="31" t="e">
        <f>MATCH(C220,'[1]Slot Managers Split'!G:G,0)</f>
        <v>#N/A</v>
      </c>
      <c r="B220" s="31"/>
      <c r="C220" s="36" t="s">
        <v>663</v>
      </c>
      <c r="D220" s="31" t="s">
        <v>664</v>
      </c>
      <c r="E220" s="31" t="s">
        <v>30</v>
      </c>
      <c r="F220" s="31" t="s">
        <v>31</v>
      </c>
      <c r="G220" s="31" t="s">
        <v>32</v>
      </c>
      <c r="H220" s="32">
        <v>1300</v>
      </c>
      <c r="I220" s="32">
        <v>6</v>
      </c>
      <c r="J220" s="32">
        <v>0</v>
      </c>
      <c r="K220" s="32">
        <v>0</v>
      </c>
      <c r="L220" s="31" t="s">
        <v>33</v>
      </c>
      <c r="M220" s="31" t="s">
        <v>33</v>
      </c>
      <c r="N220" s="32">
        <v>13000</v>
      </c>
      <c r="O220" s="32">
        <v>0</v>
      </c>
      <c r="P220" s="32">
        <v>0</v>
      </c>
      <c r="Q220" s="32">
        <v>1</v>
      </c>
      <c r="R220" s="32">
        <v>0</v>
      </c>
      <c r="S220" s="32">
        <v>0</v>
      </c>
      <c r="T220" s="32">
        <v>285</v>
      </c>
      <c r="U220" s="31" t="s">
        <v>34</v>
      </c>
      <c r="V220" s="31" t="s">
        <v>34</v>
      </c>
      <c r="W220" s="31" t="s">
        <v>35</v>
      </c>
      <c r="X220" s="31" t="s">
        <v>665</v>
      </c>
    </row>
    <row r="221" spans="1:24" hidden="1" x14ac:dyDescent="0.2">
      <c r="A221" s="33" t="e">
        <f>MATCH(C221,'[1]Slot Managers Split'!G:G,0)</f>
        <v>#N/A</v>
      </c>
      <c r="B221" s="33"/>
      <c r="C221" s="33" t="s">
        <v>978</v>
      </c>
      <c r="D221" s="33" t="s">
        <v>81</v>
      </c>
      <c r="E221" s="33" t="s">
        <v>51</v>
      </c>
      <c r="F221" s="33" t="s">
        <v>31</v>
      </c>
      <c r="G221" s="33" t="s">
        <v>32</v>
      </c>
      <c r="H221" s="34">
        <v>1300</v>
      </c>
      <c r="I221" s="34">
        <v>24</v>
      </c>
      <c r="J221" s="34">
        <v>0</v>
      </c>
      <c r="K221" s="34">
        <v>600</v>
      </c>
      <c r="L221" s="33" t="s">
        <v>34</v>
      </c>
      <c r="M221" s="33" t="s">
        <v>34</v>
      </c>
      <c r="N221" s="34">
        <v>80000</v>
      </c>
      <c r="O221" s="34">
        <v>25000</v>
      </c>
      <c r="P221" s="34">
        <v>427</v>
      </c>
      <c r="Q221" s="34">
        <v>10</v>
      </c>
      <c r="R221" s="34">
        <v>2</v>
      </c>
      <c r="S221" s="34">
        <v>5000</v>
      </c>
      <c r="T221" s="34">
        <v>1701</v>
      </c>
      <c r="U221" s="33" t="s">
        <v>33</v>
      </c>
      <c r="V221" s="33" t="s">
        <v>33</v>
      </c>
      <c r="W221" s="33" t="s">
        <v>35</v>
      </c>
      <c r="X221" s="33" t="s">
        <v>53</v>
      </c>
    </row>
    <row r="222" spans="1:24" hidden="1" x14ac:dyDescent="0.2">
      <c r="A222" s="20">
        <f>MATCH(C222,'[1]Slot Managers Split'!G:G,0)</f>
        <v>171</v>
      </c>
      <c r="B222" s="20"/>
      <c r="C222" s="20" t="s">
        <v>483</v>
      </c>
      <c r="D222" s="20" t="s">
        <v>484</v>
      </c>
      <c r="E222" s="20" t="s">
        <v>97</v>
      </c>
      <c r="F222" s="20" t="s">
        <v>31</v>
      </c>
      <c r="G222" s="20" t="s">
        <v>32</v>
      </c>
      <c r="H222" s="21">
        <v>1295</v>
      </c>
      <c r="I222" s="21">
        <v>50</v>
      </c>
      <c r="J222" s="21">
        <v>6</v>
      </c>
      <c r="K222" s="21">
        <v>0</v>
      </c>
      <c r="L222" s="20" t="s">
        <v>34</v>
      </c>
      <c r="M222" s="20" t="s">
        <v>33</v>
      </c>
      <c r="N222" s="21">
        <v>64000</v>
      </c>
      <c r="O222" s="21">
        <v>0</v>
      </c>
      <c r="P222" s="21">
        <v>0</v>
      </c>
      <c r="Q222" s="21">
        <v>6</v>
      </c>
      <c r="R222" s="21">
        <v>0</v>
      </c>
      <c r="S222" s="21">
        <v>1800</v>
      </c>
      <c r="T222" s="21">
        <v>1000</v>
      </c>
      <c r="U222" s="20" t="s">
        <v>34</v>
      </c>
      <c r="V222" s="20" t="s">
        <v>33</v>
      </c>
      <c r="W222" s="20" t="s">
        <v>35</v>
      </c>
      <c r="X222" s="20" t="s">
        <v>485</v>
      </c>
    </row>
    <row r="223" spans="1:24" hidden="1" x14ac:dyDescent="0.2">
      <c r="A223" s="20">
        <f>MATCH(C223,'[1]Slot Managers Split'!G:G,0)</f>
        <v>19</v>
      </c>
      <c r="B223" s="20"/>
      <c r="C223" s="20" t="s">
        <v>131</v>
      </c>
      <c r="D223" s="20" t="s">
        <v>81</v>
      </c>
      <c r="E223" s="20" t="s">
        <v>51</v>
      </c>
      <c r="F223" s="20" t="s">
        <v>31</v>
      </c>
      <c r="G223" s="20" t="s">
        <v>32</v>
      </c>
      <c r="H223" s="21">
        <v>1285</v>
      </c>
      <c r="I223" s="21">
        <v>165</v>
      </c>
      <c r="J223" s="21">
        <v>51</v>
      </c>
      <c r="K223" s="21">
        <v>0</v>
      </c>
      <c r="L223" s="20" t="s">
        <v>34</v>
      </c>
      <c r="M223" s="20" t="s">
        <v>34</v>
      </c>
      <c r="N223" s="21">
        <v>156000</v>
      </c>
      <c r="O223" s="21">
        <v>200000</v>
      </c>
      <c r="P223" s="21">
        <v>3933</v>
      </c>
      <c r="Q223" s="21">
        <v>21</v>
      </c>
      <c r="R223" s="21">
        <v>8</v>
      </c>
      <c r="S223" s="21">
        <v>6000</v>
      </c>
      <c r="T223" s="21">
        <v>8100</v>
      </c>
      <c r="U223" s="20" t="s">
        <v>33</v>
      </c>
      <c r="V223" s="20" t="s">
        <v>33</v>
      </c>
      <c r="W223" s="20" t="s">
        <v>35</v>
      </c>
      <c r="X223" s="20" t="s">
        <v>132</v>
      </c>
    </row>
    <row r="224" spans="1:24" hidden="1" x14ac:dyDescent="0.2">
      <c r="A224" s="20">
        <f>MATCH(C224,'[1]Slot Managers Split'!G:G,0)</f>
        <v>170</v>
      </c>
      <c r="B224" s="20"/>
      <c r="C224" s="20" t="s">
        <v>541</v>
      </c>
      <c r="D224" s="20" t="s">
        <v>542</v>
      </c>
      <c r="E224" s="20" t="s">
        <v>478</v>
      </c>
      <c r="F224" s="20" t="s">
        <v>31</v>
      </c>
      <c r="G224" s="20" t="s">
        <v>32</v>
      </c>
      <c r="H224" s="21">
        <v>1283</v>
      </c>
      <c r="I224" s="21">
        <v>0</v>
      </c>
      <c r="J224" s="21">
        <v>0</v>
      </c>
      <c r="K224" s="21">
        <v>0</v>
      </c>
      <c r="L224" s="20" t="s">
        <v>33</v>
      </c>
      <c r="M224" s="20" t="s">
        <v>33</v>
      </c>
      <c r="N224" s="21">
        <v>60000</v>
      </c>
      <c r="O224" s="21">
        <v>0</v>
      </c>
      <c r="P224" s="21">
        <v>0</v>
      </c>
      <c r="Q224" s="21">
        <v>2</v>
      </c>
      <c r="R224" s="21">
        <v>0</v>
      </c>
      <c r="S224" s="21">
        <v>650</v>
      </c>
      <c r="T224" s="21">
        <v>300</v>
      </c>
      <c r="U224" s="20" t="s">
        <v>34</v>
      </c>
      <c r="V224" s="20" t="s">
        <v>34</v>
      </c>
      <c r="W224" s="20" t="s">
        <v>35</v>
      </c>
      <c r="X224" s="20" t="s">
        <v>540</v>
      </c>
    </row>
    <row r="225" spans="1:24" hidden="1" x14ac:dyDescent="0.2">
      <c r="A225" s="31" t="e">
        <f>MATCH(C225,'[1]Slot Managers Split'!G:G,0)</f>
        <v>#N/A</v>
      </c>
      <c r="B225" s="31"/>
      <c r="C225" s="31" t="s">
        <v>827</v>
      </c>
      <c r="D225" s="31" t="s">
        <v>87</v>
      </c>
      <c r="E225" s="31" t="s">
        <v>88</v>
      </c>
      <c r="F225" s="31" t="s">
        <v>31</v>
      </c>
      <c r="G225" s="31" t="s">
        <v>32</v>
      </c>
      <c r="H225" s="32">
        <v>1272</v>
      </c>
      <c r="I225" s="32">
        <v>74</v>
      </c>
      <c r="J225" s="32">
        <v>0</v>
      </c>
      <c r="K225" s="32">
        <v>0</v>
      </c>
      <c r="L225" s="31" t="s">
        <v>34</v>
      </c>
      <c r="M225" s="31" t="s">
        <v>33</v>
      </c>
      <c r="N225" s="32">
        <v>100000</v>
      </c>
      <c r="O225" s="32">
        <v>39000</v>
      </c>
      <c r="P225" s="32">
        <v>942</v>
      </c>
      <c r="Q225" s="32">
        <v>9</v>
      </c>
      <c r="R225" s="32">
        <v>2</v>
      </c>
      <c r="S225" s="32">
        <v>1349</v>
      </c>
      <c r="T225" s="32">
        <v>2300</v>
      </c>
      <c r="U225" s="31" t="s">
        <v>34</v>
      </c>
      <c r="V225" s="31" t="s">
        <v>33</v>
      </c>
      <c r="W225" s="31" t="s">
        <v>35</v>
      </c>
      <c r="X225" s="31" t="s">
        <v>829</v>
      </c>
    </row>
    <row r="226" spans="1:24" x14ac:dyDescent="0.2">
      <c r="A226" s="22" t="e">
        <f>MATCH(C226,'[1]Slot Managers Split'!G:G,0)</f>
        <v>#N/A</v>
      </c>
      <c r="B226" s="22"/>
      <c r="C226" s="22" t="s">
        <v>687</v>
      </c>
      <c r="D226" s="22" t="s">
        <v>275</v>
      </c>
      <c r="E226" s="22" t="s">
        <v>0</v>
      </c>
      <c r="F226" s="22" t="s">
        <v>275</v>
      </c>
      <c r="G226" s="22" t="s">
        <v>32</v>
      </c>
      <c r="H226" s="27">
        <v>1271</v>
      </c>
      <c r="I226" s="27">
        <v>415</v>
      </c>
      <c r="J226" s="27">
        <v>12</v>
      </c>
      <c r="K226" s="27">
        <v>0</v>
      </c>
      <c r="L226" s="22" t="s">
        <v>33</v>
      </c>
      <c r="M226" s="22" t="s">
        <v>33</v>
      </c>
      <c r="N226" s="27">
        <v>284353</v>
      </c>
      <c r="O226" s="27">
        <v>17210</v>
      </c>
      <c r="P226" s="27">
        <v>583</v>
      </c>
      <c r="Q226" s="27">
        <v>8</v>
      </c>
      <c r="R226" s="27">
        <v>3</v>
      </c>
      <c r="S226" s="27">
        <v>0</v>
      </c>
      <c r="T226" s="27">
        <v>5600</v>
      </c>
      <c r="U226" s="22" t="s">
        <v>33</v>
      </c>
      <c r="V226" s="22" t="s">
        <v>33</v>
      </c>
      <c r="W226" s="22" t="s">
        <v>35</v>
      </c>
      <c r="X226" s="22" t="s">
        <v>688</v>
      </c>
    </row>
    <row r="227" spans="1:24" hidden="1" x14ac:dyDescent="0.2">
      <c r="A227" s="20">
        <f>MATCH(C227,'[1]Slot Managers Split'!G:G,0)</f>
        <v>24</v>
      </c>
      <c r="B227" s="20"/>
      <c r="C227" s="20" t="s">
        <v>80</v>
      </c>
      <c r="D227" s="20" t="s">
        <v>81</v>
      </c>
      <c r="E227" s="20" t="s">
        <v>51</v>
      </c>
      <c r="F227" s="20" t="s">
        <v>31</v>
      </c>
      <c r="G227" s="20" t="s">
        <v>32</v>
      </c>
      <c r="H227" s="21">
        <v>1267</v>
      </c>
      <c r="I227" s="21">
        <v>149</v>
      </c>
      <c r="J227" s="21">
        <v>59</v>
      </c>
      <c r="K227" s="21">
        <v>0</v>
      </c>
      <c r="L227" s="20" t="s">
        <v>34</v>
      </c>
      <c r="M227" s="20" t="s">
        <v>34</v>
      </c>
      <c r="N227" s="21">
        <v>150000</v>
      </c>
      <c r="O227" s="21">
        <v>300000</v>
      </c>
      <c r="P227" s="21">
        <v>4000</v>
      </c>
      <c r="Q227" s="21">
        <v>21</v>
      </c>
      <c r="R227" s="21">
        <v>13</v>
      </c>
      <c r="S227" s="21">
        <v>0</v>
      </c>
      <c r="T227" s="21">
        <v>2767</v>
      </c>
      <c r="U227" s="20" t="s">
        <v>33</v>
      </c>
      <c r="V227" s="20" t="s">
        <v>33</v>
      </c>
      <c r="W227" s="20" t="s">
        <v>35</v>
      </c>
      <c r="X227" s="20" t="s">
        <v>82</v>
      </c>
    </row>
    <row r="228" spans="1:24" x14ac:dyDescent="0.2">
      <c r="A228" s="22" t="e">
        <f>MATCH(C228,'[1]Slot Managers Split'!G:G,0)</f>
        <v>#N/A</v>
      </c>
      <c r="B228" s="22"/>
      <c r="C228" s="22" t="s">
        <v>969</v>
      </c>
      <c r="D228" s="22" t="s">
        <v>970</v>
      </c>
      <c r="E228" s="22" t="s">
        <v>0</v>
      </c>
      <c r="F228" s="22" t="s">
        <v>734</v>
      </c>
      <c r="G228" s="22" t="s">
        <v>32</v>
      </c>
      <c r="H228" s="27">
        <v>1264</v>
      </c>
      <c r="I228" s="27">
        <v>100</v>
      </c>
      <c r="J228" s="27">
        <v>0</v>
      </c>
      <c r="K228" s="27">
        <v>0</v>
      </c>
      <c r="L228" s="22" t="s">
        <v>33</v>
      </c>
      <c r="M228" s="22" t="s">
        <v>33</v>
      </c>
      <c r="N228" s="27">
        <v>10000</v>
      </c>
      <c r="O228" s="27">
        <v>0</v>
      </c>
      <c r="P228" s="27">
        <v>385</v>
      </c>
      <c r="Q228" s="27">
        <v>0</v>
      </c>
      <c r="R228" s="27">
        <v>2</v>
      </c>
      <c r="S228" s="27">
        <v>0</v>
      </c>
      <c r="T228" s="27">
        <v>0</v>
      </c>
      <c r="U228" s="22" t="s">
        <v>33</v>
      </c>
      <c r="V228" s="22" t="s">
        <v>33</v>
      </c>
      <c r="W228" s="22" t="s">
        <v>35</v>
      </c>
      <c r="X228" s="22" t="s">
        <v>971</v>
      </c>
    </row>
    <row r="229" spans="1:24" s="20" customFormat="1" hidden="1" x14ac:dyDescent="0.2">
      <c r="A229" s="20">
        <f>MATCH(C229,'[1]Slot Managers Split'!G:G,0)</f>
        <v>335</v>
      </c>
      <c r="C229" s="20" t="s">
        <v>841</v>
      </c>
      <c r="D229" s="20" t="s">
        <v>81</v>
      </c>
      <c r="E229" s="20" t="s">
        <v>51</v>
      </c>
      <c r="F229" s="20" t="s">
        <v>31</v>
      </c>
      <c r="G229" s="20" t="s">
        <v>32</v>
      </c>
      <c r="H229" s="21">
        <v>1260</v>
      </c>
      <c r="I229" s="21">
        <v>140</v>
      </c>
      <c r="J229" s="21">
        <v>30</v>
      </c>
      <c r="K229" s="21">
        <v>0</v>
      </c>
      <c r="L229" s="20" t="s">
        <v>34</v>
      </c>
      <c r="M229" s="20" t="s">
        <v>34</v>
      </c>
      <c r="N229" s="21">
        <v>150000</v>
      </c>
      <c r="O229" s="21">
        <v>657000</v>
      </c>
      <c r="P229" s="21">
        <v>3500</v>
      </c>
      <c r="Q229" s="21">
        <v>0</v>
      </c>
      <c r="R229" s="21">
        <v>2</v>
      </c>
      <c r="S229" s="21">
        <v>8000</v>
      </c>
      <c r="T229" s="21">
        <v>2500</v>
      </c>
      <c r="U229" s="20" t="s">
        <v>33</v>
      </c>
      <c r="V229" s="20" t="s">
        <v>33</v>
      </c>
      <c r="W229" s="20" t="s">
        <v>35</v>
      </c>
      <c r="X229" s="20" t="s">
        <v>842</v>
      </c>
    </row>
    <row r="230" spans="1:24" s="31" customFormat="1" hidden="1" x14ac:dyDescent="0.2">
      <c r="A230" s="31" t="e">
        <f>MATCH(C230,'[1]Slot Managers Split'!G:G,0)</f>
        <v>#N/A</v>
      </c>
      <c r="C230" s="31" t="s">
        <v>846</v>
      </c>
      <c r="D230" s="31" t="s">
        <v>500</v>
      </c>
      <c r="E230" s="31" t="s">
        <v>179</v>
      </c>
      <c r="F230" s="31" t="s">
        <v>180</v>
      </c>
      <c r="G230" s="31" t="s">
        <v>32</v>
      </c>
      <c r="H230" s="32">
        <v>1250</v>
      </c>
      <c r="I230" s="32">
        <v>0</v>
      </c>
      <c r="J230" s="32">
        <v>0</v>
      </c>
      <c r="K230" s="32">
        <v>250</v>
      </c>
      <c r="L230" s="31" t="s">
        <v>33</v>
      </c>
      <c r="M230" s="31" t="s">
        <v>34</v>
      </c>
      <c r="N230" s="32">
        <v>40000</v>
      </c>
      <c r="O230" s="32">
        <v>5600</v>
      </c>
      <c r="P230" s="32">
        <v>0</v>
      </c>
      <c r="Q230" s="32">
        <v>6</v>
      </c>
      <c r="R230" s="32">
        <v>1</v>
      </c>
      <c r="S230" s="32">
        <v>2000</v>
      </c>
      <c r="T230" s="32">
        <v>200</v>
      </c>
      <c r="U230" s="31" t="s">
        <v>34</v>
      </c>
      <c r="V230" s="31" t="s">
        <v>33</v>
      </c>
      <c r="W230" s="31" t="s">
        <v>103</v>
      </c>
      <c r="X230" s="31" t="s">
        <v>501</v>
      </c>
    </row>
    <row r="231" spans="1:24" s="20" customFormat="1" hidden="1" x14ac:dyDescent="0.2">
      <c r="A231" s="20">
        <f>MATCH(C231,'[1]Slot Managers Split'!G:G,0)</f>
        <v>336</v>
      </c>
      <c r="C231" s="20" t="s">
        <v>551</v>
      </c>
      <c r="D231" s="20" t="s">
        <v>552</v>
      </c>
      <c r="E231" s="20" t="s">
        <v>146</v>
      </c>
      <c r="F231" s="20" t="s">
        <v>31</v>
      </c>
      <c r="G231" s="20" t="s">
        <v>32</v>
      </c>
      <c r="H231" s="21">
        <v>1250</v>
      </c>
      <c r="I231" s="21">
        <v>43</v>
      </c>
      <c r="J231" s="21">
        <v>0</v>
      </c>
      <c r="K231" s="21">
        <v>0</v>
      </c>
      <c r="L231" s="20" t="s">
        <v>34</v>
      </c>
      <c r="M231" s="20" t="s">
        <v>33</v>
      </c>
      <c r="N231" s="21">
        <v>146500</v>
      </c>
      <c r="O231" s="21">
        <v>0</v>
      </c>
      <c r="P231" s="21">
        <v>295</v>
      </c>
      <c r="Q231" s="21">
        <v>5</v>
      </c>
      <c r="R231" s="21">
        <v>1</v>
      </c>
      <c r="S231" s="21">
        <v>3650</v>
      </c>
      <c r="T231" s="21">
        <v>918</v>
      </c>
      <c r="U231" s="20" t="s">
        <v>33</v>
      </c>
      <c r="V231" s="20" t="s">
        <v>33</v>
      </c>
      <c r="W231" s="20" t="s">
        <v>35</v>
      </c>
      <c r="X231" s="20" t="s">
        <v>59</v>
      </c>
    </row>
    <row r="232" spans="1:24" s="31" customFormat="1" hidden="1" x14ac:dyDescent="0.2">
      <c r="A232" s="31" t="e">
        <f>MATCH(C232,'[1]Slot Managers Split'!G:G,0)</f>
        <v>#N/A</v>
      </c>
      <c r="C232" s="31" t="s">
        <v>799</v>
      </c>
      <c r="D232" s="31" t="s">
        <v>800</v>
      </c>
      <c r="E232" s="31" t="s">
        <v>368</v>
      </c>
      <c r="F232" s="31" t="s">
        <v>31</v>
      </c>
      <c r="G232" s="31" t="s">
        <v>32</v>
      </c>
      <c r="H232" s="32">
        <v>1250</v>
      </c>
      <c r="I232" s="32">
        <v>0</v>
      </c>
      <c r="J232" s="32">
        <v>0</v>
      </c>
      <c r="K232" s="32">
        <v>0</v>
      </c>
      <c r="L232" s="31" t="s">
        <v>34</v>
      </c>
      <c r="M232" s="31" t="s">
        <v>34</v>
      </c>
      <c r="N232" s="32">
        <v>50000</v>
      </c>
      <c r="O232" s="32">
        <v>0</v>
      </c>
      <c r="P232" s="32">
        <v>0</v>
      </c>
      <c r="Q232" s="32">
        <v>9</v>
      </c>
      <c r="R232" s="32">
        <v>0</v>
      </c>
      <c r="S232" s="32">
        <v>1620</v>
      </c>
      <c r="T232" s="32">
        <v>422</v>
      </c>
      <c r="U232" s="31" t="s">
        <v>33</v>
      </c>
      <c r="V232" s="31" t="s">
        <v>33</v>
      </c>
      <c r="W232" s="31" t="s">
        <v>103</v>
      </c>
      <c r="X232" s="31" t="s">
        <v>59</v>
      </c>
    </row>
    <row r="233" spans="1:24" s="20" customFormat="1" hidden="1" x14ac:dyDescent="0.2">
      <c r="A233" s="20">
        <f>MATCH(C233,'[1]Slot Managers Split'!G:G,0)</f>
        <v>338</v>
      </c>
      <c r="C233" s="35" t="s">
        <v>980</v>
      </c>
      <c r="D233" s="20" t="s">
        <v>981</v>
      </c>
      <c r="E233" s="20" t="s">
        <v>70</v>
      </c>
      <c r="F233" s="20" t="s">
        <v>31</v>
      </c>
      <c r="G233" s="20" t="s">
        <v>32</v>
      </c>
      <c r="H233" s="21">
        <v>1250</v>
      </c>
      <c r="I233" s="21">
        <v>28</v>
      </c>
      <c r="J233" s="21">
        <v>0</v>
      </c>
      <c r="K233" s="21">
        <v>0</v>
      </c>
      <c r="L233" s="20" t="s">
        <v>33</v>
      </c>
      <c r="M233" s="20" t="s">
        <v>33</v>
      </c>
      <c r="N233" s="21">
        <v>33000</v>
      </c>
      <c r="O233" s="21">
        <v>5000</v>
      </c>
      <c r="P233" s="21">
        <v>183</v>
      </c>
      <c r="Q233" s="21">
        <v>6</v>
      </c>
      <c r="R233" s="21">
        <v>1</v>
      </c>
      <c r="S233" s="21">
        <v>1369</v>
      </c>
      <c r="T233" s="21">
        <v>750</v>
      </c>
      <c r="U233" s="20" t="s">
        <v>34</v>
      </c>
      <c r="V233" s="20" t="s">
        <v>34</v>
      </c>
      <c r="W233" s="20" t="s">
        <v>35</v>
      </c>
      <c r="X233" s="20" t="s">
        <v>982</v>
      </c>
    </row>
    <row r="234" spans="1:24" x14ac:dyDescent="0.2">
      <c r="A234" s="22" t="e">
        <f>MATCH(C234,'[1]Slot Managers Split'!G:G,0)</f>
        <v>#N/A</v>
      </c>
      <c r="B234" s="22"/>
      <c r="C234" s="22" t="s">
        <v>668</v>
      </c>
      <c r="D234" s="22" t="s">
        <v>274</v>
      </c>
      <c r="E234" s="22" t="s">
        <v>0</v>
      </c>
      <c r="F234" s="22" t="s">
        <v>275</v>
      </c>
      <c r="G234" s="22" t="s">
        <v>32</v>
      </c>
      <c r="H234" s="27">
        <v>1233</v>
      </c>
      <c r="I234" s="27">
        <v>250</v>
      </c>
      <c r="J234" s="27">
        <v>0</v>
      </c>
      <c r="K234" s="27">
        <v>0</v>
      </c>
      <c r="L234" s="22" t="s">
        <v>33</v>
      </c>
      <c r="M234" s="22" t="s">
        <v>33</v>
      </c>
      <c r="N234" s="27">
        <v>500000</v>
      </c>
      <c r="O234" s="27">
        <v>0</v>
      </c>
      <c r="P234" s="27">
        <v>1600</v>
      </c>
      <c r="Q234" s="27">
        <v>21</v>
      </c>
      <c r="R234" s="27">
        <v>0</v>
      </c>
      <c r="S234" s="27">
        <v>0</v>
      </c>
      <c r="T234" s="27">
        <v>0</v>
      </c>
      <c r="U234" s="22" t="s">
        <v>33</v>
      </c>
      <c r="V234" s="22" t="s">
        <v>33</v>
      </c>
      <c r="W234" s="22" t="s">
        <v>35</v>
      </c>
      <c r="X234" s="22" t="s">
        <v>277</v>
      </c>
    </row>
    <row r="235" spans="1:24" s="20" customFormat="1" hidden="1" x14ac:dyDescent="0.2">
      <c r="A235" s="20">
        <f>MATCH(C235,'[1]Slot Managers Split'!G:G,0)</f>
        <v>177</v>
      </c>
      <c r="C235" s="20" t="s">
        <v>54</v>
      </c>
      <c r="D235" s="20" t="s">
        <v>55</v>
      </c>
      <c r="E235" s="20" t="s">
        <v>56</v>
      </c>
      <c r="F235" s="20" t="s">
        <v>31</v>
      </c>
      <c r="G235" s="20" t="s">
        <v>32</v>
      </c>
      <c r="H235" s="21">
        <v>1232</v>
      </c>
      <c r="I235" s="21">
        <v>28</v>
      </c>
      <c r="J235" s="21">
        <v>0</v>
      </c>
      <c r="K235" s="21">
        <v>0</v>
      </c>
      <c r="L235" s="20" t="s">
        <v>34</v>
      </c>
      <c r="M235" s="20" t="s">
        <v>33</v>
      </c>
      <c r="N235" s="21">
        <v>38500</v>
      </c>
      <c r="O235" s="21">
        <v>5000</v>
      </c>
      <c r="P235" s="21">
        <v>160</v>
      </c>
      <c r="Q235" s="21">
        <v>7</v>
      </c>
      <c r="R235" s="21">
        <v>3</v>
      </c>
      <c r="S235" s="21">
        <v>2752</v>
      </c>
      <c r="T235" s="21">
        <v>753</v>
      </c>
      <c r="U235" s="20" t="s">
        <v>33</v>
      </c>
      <c r="V235" s="20" t="s">
        <v>33</v>
      </c>
      <c r="W235" s="20" t="s">
        <v>57</v>
      </c>
      <c r="X235" s="20" t="s">
        <v>59</v>
      </c>
    </row>
    <row r="236" spans="1:24" s="20" customFormat="1" hidden="1" x14ac:dyDescent="0.2">
      <c r="A236" s="20">
        <f>MATCH(C236,'[1]Slot Managers Split'!G:G,0)</f>
        <v>63</v>
      </c>
      <c r="C236" s="20" t="s">
        <v>892</v>
      </c>
      <c r="D236" s="20" t="s">
        <v>893</v>
      </c>
      <c r="E236" s="20" t="s">
        <v>47</v>
      </c>
      <c r="F236" s="20" t="s">
        <v>31</v>
      </c>
      <c r="G236" s="20" t="s">
        <v>32</v>
      </c>
      <c r="H236" s="21">
        <v>1227</v>
      </c>
      <c r="I236" s="21">
        <v>0</v>
      </c>
      <c r="J236" s="21">
        <v>0</v>
      </c>
      <c r="K236" s="21">
        <v>0</v>
      </c>
      <c r="L236" s="20" t="s">
        <v>33</v>
      </c>
      <c r="M236" s="20" t="s">
        <v>34</v>
      </c>
      <c r="N236" s="21">
        <v>55000</v>
      </c>
      <c r="O236" s="21">
        <v>0</v>
      </c>
      <c r="P236" s="21">
        <v>117</v>
      </c>
      <c r="Q236" s="21">
        <v>6</v>
      </c>
      <c r="R236" s="21">
        <v>3</v>
      </c>
      <c r="S236" s="21">
        <v>0</v>
      </c>
      <c r="T236" s="21">
        <v>630</v>
      </c>
      <c r="U236" s="20" t="s">
        <v>33</v>
      </c>
      <c r="V236" s="20" t="s">
        <v>33</v>
      </c>
      <c r="W236" s="20" t="s">
        <v>103</v>
      </c>
      <c r="X236" s="20" t="s">
        <v>895</v>
      </c>
    </row>
    <row r="237" spans="1:24" s="33" customFormat="1" hidden="1" x14ac:dyDescent="0.2">
      <c r="A237" s="33" t="e">
        <f>MATCH(C237,'[1]Slot Managers Split'!G:G,0)</f>
        <v>#N/A</v>
      </c>
      <c r="C237" s="33" t="s">
        <v>523</v>
      </c>
      <c r="D237" s="33" t="s">
        <v>524</v>
      </c>
      <c r="E237" s="33" t="s">
        <v>185</v>
      </c>
      <c r="F237" s="33" t="s">
        <v>31</v>
      </c>
      <c r="G237" s="33" t="s">
        <v>32</v>
      </c>
      <c r="H237" s="34">
        <v>1220</v>
      </c>
      <c r="I237" s="34">
        <v>0</v>
      </c>
      <c r="J237" s="34">
        <v>38</v>
      </c>
      <c r="K237" s="34">
        <v>0</v>
      </c>
      <c r="L237" s="33" t="s">
        <v>33</v>
      </c>
      <c r="M237" s="33" t="s">
        <v>34</v>
      </c>
      <c r="N237" s="34">
        <v>54800</v>
      </c>
      <c r="O237" s="34">
        <v>0</v>
      </c>
      <c r="P237" s="34">
        <v>0</v>
      </c>
      <c r="Q237" s="34">
        <v>7</v>
      </c>
      <c r="R237" s="34">
        <v>2</v>
      </c>
      <c r="S237" s="34">
        <v>3500</v>
      </c>
      <c r="T237" s="34">
        <v>650</v>
      </c>
      <c r="U237" s="33" t="s">
        <v>33</v>
      </c>
      <c r="V237" s="33" t="s">
        <v>33</v>
      </c>
      <c r="W237" s="33" t="s">
        <v>103</v>
      </c>
      <c r="X237" s="33" t="s">
        <v>267</v>
      </c>
    </row>
    <row r="238" spans="1:24" s="20" customFormat="1" hidden="1" x14ac:dyDescent="0.2">
      <c r="A238" s="20">
        <f>MATCH(C238,'[1]Slot Managers Split'!G:G,0)</f>
        <v>339</v>
      </c>
      <c r="C238" s="20" t="s">
        <v>127</v>
      </c>
      <c r="D238" s="20" t="s">
        <v>128</v>
      </c>
      <c r="E238" s="20" t="s">
        <v>129</v>
      </c>
      <c r="F238" s="20" t="s">
        <v>31</v>
      </c>
      <c r="G238" s="20" t="s">
        <v>32</v>
      </c>
      <c r="H238" s="21">
        <v>1215</v>
      </c>
      <c r="I238" s="21">
        <v>79</v>
      </c>
      <c r="J238" s="21">
        <v>12</v>
      </c>
      <c r="K238" s="21">
        <v>0</v>
      </c>
      <c r="L238" s="20" t="s">
        <v>34</v>
      </c>
      <c r="M238" s="20" t="s">
        <v>33</v>
      </c>
      <c r="N238" s="21">
        <v>84858</v>
      </c>
      <c r="O238" s="21">
        <v>50000</v>
      </c>
      <c r="P238" s="21">
        <v>1740</v>
      </c>
      <c r="Q238" s="21">
        <v>14</v>
      </c>
      <c r="R238" s="21">
        <v>8</v>
      </c>
      <c r="S238" s="21">
        <v>3320</v>
      </c>
      <c r="T238" s="21">
        <v>2800</v>
      </c>
      <c r="U238" s="20" t="s">
        <v>33</v>
      </c>
      <c r="V238" s="20" t="s">
        <v>33</v>
      </c>
      <c r="W238" s="20" t="s">
        <v>35</v>
      </c>
      <c r="X238" s="20" t="s">
        <v>130</v>
      </c>
    </row>
    <row r="239" spans="1:24" s="20" customFormat="1" hidden="1" x14ac:dyDescent="0.2">
      <c r="A239" s="20">
        <f>MATCH(C239,'[1]Slot Managers Split'!G:G,0)</f>
        <v>161</v>
      </c>
      <c r="C239" s="35" t="s">
        <v>450</v>
      </c>
      <c r="D239" s="20" t="s">
        <v>84</v>
      </c>
      <c r="E239" s="20" t="s">
        <v>51</v>
      </c>
      <c r="F239" s="20" t="s">
        <v>31</v>
      </c>
      <c r="G239" s="20" t="s">
        <v>32</v>
      </c>
      <c r="H239" s="21">
        <v>1215</v>
      </c>
      <c r="I239" s="21">
        <v>45</v>
      </c>
      <c r="J239" s="21">
        <v>7</v>
      </c>
      <c r="K239" s="21">
        <v>0</v>
      </c>
      <c r="L239" s="20" t="s">
        <v>34</v>
      </c>
      <c r="M239" s="20" t="s">
        <v>34</v>
      </c>
      <c r="N239" s="21">
        <v>99722</v>
      </c>
      <c r="O239" s="21">
        <v>200000</v>
      </c>
      <c r="P239" s="21">
        <v>1900</v>
      </c>
      <c r="Q239" s="21">
        <v>23</v>
      </c>
      <c r="R239" s="21">
        <v>5</v>
      </c>
      <c r="S239" s="21">
        <v>5200</v>
      </c>
      <c r="T239" s="21">
        <v>1500</v>
      </c>
      <c r="U239" s="20" t="s">
        <v>33</v>
      </c>
      <c r="V239" s="20" t="s">
        <v>33</v>
      </c>
      <c r="W239" s="20" t="s">
        <v>35</v>
      </c>
      <c r="X239" s="20" t="s">
        <v>452</v>
      </c>
    </row>
    <row r="240" spans="1:24" x14ac:dyDescent="0.2">
      <c r="A240" s="22" t="e">
        <f>MATCH(C240,'[1]Slot Managers Split'!G:G,0)</f>
        <v>#N/A</v>
      </c>
      <c r="B240" s="22"/>
      <c r="C240" s="22" t="s">
        <v>916</v>
      </c>
      <c r="D240" s="22" t="s">
        <v>917</v>
      </c>
      <c r="E240" s="22" t="s">
        <v>0</v>
      </c>
      <c r="F240" s="22" t="s">
        <v>190</v>
      </c>
      <c r="G240" s="22" t="s">
        <v>32</v>
      </c>
      <c r="H240" s="27">
        <v>1214</v>
      </c>
      <c r="I240" s="27">
        <v>42</v>
      </c>
      <c r="J240" s="27">
        <v>7</v>
      </c>
      <c r="K240" s="27">
        <v>80</v>
      </c>
      <c r="L240" s="22" t="s">
        <v>33</v>
      </c>
      <c r="M240" s="22" t="s">
        <v>33</v>
      </c>
      <c r="N240" s="27">
        <v>0</v>
      </c>
      <c r="O240" s="27">
        <v>25530</v>
      </c>
      <c r="P240" s="27">
        <v>154</v>
      </c>
      <c r="Q240" s="27">
        <v>10</v>
      </c>
      <c r="R240" s="27">
        <v>3</v>
      </c>
      <c r="S240" s="27">
        <v>2200</v>
      </c>
      <c r="T240" s="27">
        <v>1300</v>
      </c>
      <c r="U240" s="22" t="s">
        <v>33</v>
      </c>
      <c r="V240" s="22" t="s">
        <v>33</v>
      </c>
      <c r="W240" s="22" t="s">
        <v>35</v>
      </c>
      <c r="X240" s="22" t="s">
        <v>192</v>
      </c>
    </row>
    <row r="241" spans="1:24" s="20" customFormat="1" hidden="1" x14ac:dyDescent="0.2">
      <c r="A241" s="20">
        <f>MATCH(C241,'[1]Slot Managers Split'!G:G,0)</f>
        <v>340</v>
      </c>
      <c r="C241" s="20" t="s">
        <v>838</v>
      </c>
      <c r="D241" s="20" t="s">
        <v>839</v>
      </c>
      <c r="E241" s="20" t="s">
        <v>47</v>
      </c>
      <c r="F241" s="20" t="s">
        <v>31</v>
      </c>
      <c r="G241" s="20" t="s">
        <v>32</v>
      </c>
      <c r="H241" s="21">
        <v>1213</v>
      </c>
      <c r="I241" s="21">
        <v>0</v>
      </c>
      <c r="J241" s="21">
        <v>0</v>
      </c>
      <c r="K241" s="21">
        <v>0</v>
      </c>
      <c r="L241" s="20" t="s">
        <v>34</v>
      </c>
      <c r="M241" s="20" t="s">
        <v>33</v>
      </c>
      <c r="N241" s="21">
        <v>60000</v>
      </c>
      <c r="O241" s="21">
        <v>0</v>
      </c>
      <c r="P241" s="21">
        <v>0</v>
      </c>
      <c r="Q241" s="21">
        <v>1</v>
      </c>
      <c r="R241" s="21">
        <v>0</v>
      </c>
      <c r="S241" s="21">
        <v>0</v>
      </c>
      <c r="T241" s="21">
        <v>250</v>
      </c>
      <c r="U241" s="20" t="s">
        <v>33</v>
      </c>
      <c r="V241" s="20" t="s">
        <v>33</v>
      </c>
      <c r="W241" s="20" t="s">
        <v>35</v>
      </c>
      <c r="X241" s="20" t="s">
        <v>832</v>
      </c>
    </row>
    <row r="242" spans="1:24" s="20" customFormat="1" hidden="1" x14ac:dyDescent="0.2">
      <c r="A242" s="20">
        <f>MATCH(C242,'[1]Slot Managers Split'!G:G,0)</f>
        <v>341</v>
      </c>
      <c r="C242" s="35" t="s">
        <v>83</v>
      </c>
      <c r="D242" s="20" t="s">
        <v>84</v>
      </c>
      <c r="E242" s="20" t="s">
        <v>51</v>
      </c>
      <c r="F242" s="20" t="s">
        <v>31</v>
      </c>
      <c r="G242" s="20" t="s">
        <v>32</v>
      </c>
      <c r="H242" s="21">
        <v>1210</v>
      </c>
      <c r="I242" s="21">
        <v>30</v>
      </c>
      <c r="J242" s="21">
        <v>8</v>
      </c>
      <c r="K242" s="21">
        <v>0</v>
      </c>
      <c r="L242" s="20" t="s">
        <v>34</v>
      </c>
      <c r="M242" s="20" t="s">
        <v>34</v>
      </c>
      <c r="N242" s="21">
        <v>61000</v>
      </c>
      <c r="O242" s="21">
        <v>50000</v>
      </c>
      <c r="P242" s="21">
        <v>824</v>
      </c>
      <c r="Q242" s="21">
        <v>10</v>
      </c>
      <c r="R242" s="21">
        <v>3</v>
      </c>
      <c r="S242" s="21">
        <v>3000</v>
      </c>
      <c r="T242" s="21">
        <v>1800</v>
      </c>
      <c r="U242" s="20" t="s">
        <v>33</v>
      </c>
      <c r="V242" s="20" t="s">
        <v>33</v>
      </c>
      <c r="W242" s="20" t="s">
        <v>35</v>
      </c>
      <c r="X242" s="20" t="s">
        <v>85</v>
      </c>
    </row>
    <row r="243" spans="1:24" s="31" customFormat="1" hidden="1" x14ac:dyDescent="0.2">
      <c r="A243" s="31" t="e">
        <f>MATCH(C243,'[1]Slot Managers Split'!G:G,0)</f>
        <v>#N/A</v>
      </c>
      <c r="C243" s="31" t="s">
        <v>284</v>
      </c>
      <c r="D243" s="31" t="s">
        <v>285</v>
      </c>
      <c r="E243" s="31" t="s">
        <v>286</v>
      </c>
      <c r="F243" s="31" t="s">
        <v>180</v>
      </c>
      <c r="G243" s="31" t="s">
        <v>32</v>
      </c>
      <c r="H243" s="32">
        <v>1200</v>
      </c>
      <c r="I243" s="32">
        <v>32</v>
      </c>
      <c r="J243" s="32">
        <v>12</v>
      </c>
      <c r="K243" s="32">
        <v>464</v>
      </c>
      <c r="L243" s="31" t="s">
        <v>33</v>
      </c>
      <c r="M243" s="31" t="s">
        <v>33</v>
      </c>
      <c r="N243" s="32">
        <v>182328</v>
      </c>
      <c r="O243" s="32">
        <v>3300</v>
      </c>
      <c r="P243" s="32">
        <v>146</v>
      </c>
      <c r="Q243" s="32">
        <v>4</v>
      </c>
      <c r="R243" s="32">
        <v>2</v>
      </c>
      <c r="S243" s="32">
        <v>2657</v>
      </c>
      <c r="T243" s="32">
        <v>1800</v>
      </c>
      <c r="U243" s="31" t="s">
        <v>33</v>
      </c>
      <c r="V243" s="31" t="s">
        <v>33</v>
      </c>
      <c r="W243" s="31" t="s">
        <v>35</v>
      </c>
      <c r="X243" s="31" t="s">
        <v>288</v>
      </c>
    </row>
    <row r="244" spans="1:24" s="31" customFormat="1" hidden="1" x14ac:dyDescent="0.2">
      <c r="A244" s="31" t="e">
        <f>MATCH(C244,'[1]Slot Managers Split'!G:G,0)</f>
        <v>#N/A</v>
      </c>
      <c r="C244" s="31" t="s">
        <v>453</v>
      </c>
      <c r="D244" s="31" t="s">
        <v>454</v>
      </c>
      <c r="E244" s="31" t="s">
        <v>455</v>
      </c>
      <c r="F244" s="31" t="s">
        <v>180</v>
      </c>
      <c r="G244" s="31" t="s">
        <v>32</v>
      </c>
      <c r="H244" s="32">
        <v>1200</v>
      </c>
      <c r="I244" s="32">
        <v>64</v>
      </c>
      <c r="J244" s="32">
        <v>11</v>
      </c>
      <c r="K244" s="32">
        <v>0</v>
      </c>
      <c r="L244" s="31" t="s">
        <v>33</v>
      </c>
      <c r="M244" s="31" t="s">
        <v>33</v>
      </c>
      <c r="N244" s="32">
        <v>40000</v>
      </c>
      <c r="O244" s="32">
        <v>12000</v>
      </c>
      <c r="P244" s="32">
        <v>200</v>
      </c>
      <c r="Q244" s="32">
        <v>8</v>
      </c>
      <c r="R244" s="32">
        <v>1</v>
      </c>
      <c r="S244" s="32">
        <v>420</v>
      </c>
      <c r="T244" s="32">
        <v>915</v>
      </c>
      <c r="U244" s="31" t="s">
        <v>33</v>
      </c>
      <c r="V244" s="31" t="s">
        <v>33</v>
      </c>
      <c r="W244" s="31" t="s">
        <v>35</v>
      </c>
      <c r="X244" s="31" t="s">
        <v>457</v>
      </c>
    </row>
    <row r="245" spans="1:24" s="31" customFormat="1" hidden="1" x14ac:dyDescent="0.2">
      <c r="A245" s="31" t="e">
        <f>MATCH(C245,'[1]Slot Managers Split'!G:G,0)</f>
        <v>#N/A</v>
      </c>
      <c r="C245" s="31" t="s">
        <v>677</v>
      </c>
      <c r="D245" s="31" t="s">
        <v>285</v>
      </c>
      <c r="E245" s="31" t="s">
        <v>286</v>
      </c>
      <c r="F245" s="31" t="s">
        <v>180</v>
      </c>
      <c r="G245" s="31" t="s">
        <v>32</v>
      </c>
      <c r="H245" s="32">
        <v>1200</v>
      </c>
      <c r="I245" s="32">
        <v>39</v>
      </c>
      <c r="J245" s="32">
        <v>5</v>
      </c>
      <c r="K245" s="32">
        <v>480</v>
      </c>
      <c r="L245" s="31" t="s">
        <v>33</v>
      </c>
      <c r="M245" s="31" t="s">
        <v>33</v>
      </c>
      <c r="N245" s="32">
        <v>174000</v>
      </c>
      <c r="O245" s="32">
        <v>3900</v>
      </c>
      <c r="P245" s="32">
        <v>0</v>
      </c>
      <c r="Q245" s="32">
        <v>2</v>
      </c>
      <c r="R245" s="32">
        <v>1</v>
      </c>
      <c r="S245" s="32">
        <v>2800</v>
      </c>
      <c r="T245" s="32">
        <v>600</v>
      </c>
      <c r="U245" s="31" t="s">
        <v>33</v>
      </c>
      <c r="V245" s="31" t="s">
        <v>33</v>
      </c>
      <c r="W245" s="31" t="s">
        <v>35</v>
      </c>
      <c r="X245" s="31" t="s">
        <v>288</v>
      </c>
    </row>
    <row r="246" spans="1:24" x14ac:dyDescent="0.2">
      <c r="A246" s="22" t="e">
        <f>MATCH(C246,'[1]Slot Managers Split'!G:G,0)</f>
        <v>#N/A</v>
      </c>
      <c r="B246" s="22"/>
      <c r="C246" s="22" t="s">
        <v>230</v>
      </c>
      <c r="D246" s="22" t="s">
        <v>231</v>
      </c>
      <c r="E246" s="22" t="s">
        <v>0</v>
      </c>
      <c r="F246" s="22" t="s">
        <v>232</v>
      </c>
      <c r="G246" s="22" t="s">
        <v>32</v>
      </c>
      <c r="H246" s="27">
        <v>1200</v>
      </c>
      <c r="I246" s="27">
        <v>87</v>
      </c>
      <c r="J246" s="27">
        <v>0</v>
      </c>
      <c r="K246" s="27">
        <v>0</v>
      </c>
      <c r="L246" s="22" t="s">
        <v>33</v>
      </c>
      <c r="M246" s="22" t="s">
        <v>33</v>
      </c>
      <c r="N246" s="27">
        <v>0</v>
      </c>
      <c r="O246" s="27">
        <v>0</v>
      </c>
      <c r="P246" s="27">
        <v>0</v>
      </c>
      <c r="Q246" s="27">
        <v>4</v>
      </c>
      <c r="R246" s="27">
        <v>1</v>
      </c>
      <c r="S246" s="27">
        <v>0</v>
      </c>
      <c r="T246" s="27">
        <v>0</v>
      </c>
      <c r="U246" s="22" t="s">
        <v>33</v>
      </c>
      <c r="V246" s="22" t="s">
        <v>33</v>
      </c>
      <c r="W246" s="22" t="s">
        <v>35</v>
      </c>
      <c r="X246" s="22" t="s">
        <v>233</v>
      </c>
    </row>
    <row r="247" spans="1:24" x14ac:dyDescent="0.2">
      <c r="A247" s="22" t="e">
        <f>MATCH(C247,'[1]Slot Managers Split'!G:G,0)</f>
        <v>#N/A</v>
      </c>
      <c r="B247" s="22"/>
      <c r="C247" s="22" t="s">
        <v>448</v>
      </c>
      <c r="D247" s="22" t="s">
        <v>275</v>
      </c>
      <c r="E247" s="22" t="s">
        <v>0</v>
      </c>
      <c r="F247" s="22" t="s">
        <v>275</v>
      </c>
      <c r="G247" s="22" t="s">
        <v>32</v>
      </c>
      <c r="H247" s="27">
        <v>1200</v>
      </c>
      <c r="I247" s="27">
        <v>700</v>
      </c>
      <c r="J247" s="27">
        <v>0</v>
      </c>
      <c r="K247" s="27">
        <v>0</v>
      </c>
      <c r="L247" s="22" t="s">
        <v>33</v>
      </c>
      <c r="M247" s="22" t="s">
        <v>33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2" t="s">
        <v>33</v>
      </c>
      <c r="V247" s="22" t="s">
        <v>33</v>
      </c>
      <c r="W247" s="22" t="s">
        <v>35</v>
      </c>
      <c r="X247" s="22" t="s">
        <v>449</v>
      </c>
    </row>
    <row r="248" spans="1:24" x14ac:dyDescent="0.2">
      <c r="A248" s="22" t="e">
        <f>MATCH(C248,'[1]Slot Managers Split'!G:G,0)</f>
        <v>#N/A</v>
      </c>
      <c r="B248" s="22"/>
      <c r="C248" s="22" t="s">
        <v>950</v>
      </c>
      <c r="D248" s="22" t="s">
        <v>279</v>
      </c>
      <c r="E248" s="22" t="s">
        <v>0</v>
      </c>
      <c r="F248" s="22" t="s">
        <v>280</v>
      </c>
      <c r="G248" s="22" t="s">
        <v>32</v>
      </c>
      <c r="H248" s="27">
        <v>1200</v>
      </c>
      <c r="I248" s="27">
        <v>295</v>
      </c>
      <c r="J248" s="27">
        <v>0</v>
      </c>
      <c r="K248" s="27">
        <v>0</v>
      </c>
      <c r="L248" s="22" t="s">
        <v>33</v>
      </c>
      <c r="M248" s="22" t="s">
        <v>33</v>
      </c>
      <c r="N248" s="27">
        <v>27500</v>
      </c>
      <c r="O248" s="27">
        <v>0</v>
      </c>
      <c r="P248" s="27">
        <v>800</v>
      </c>
      <c r="Q248" s="27">
        <v>4</v>
      </c>
      <c r="R248" s="27">
        <v>0</v>
      </c>
      <c r="S248" s="27">
        <v>3000</v>
      </c>
      <c r="T248" s="27">
        <v>5000</v>
      </c>
      <c r="U248" s="22" t="s">
        <v>33</v>
      </c>
      <c r="V248" s="22" t="s">
        <v>33</v>
      </c>
      <c r="W248" s="22" t="s">
        <v>35</v>
      </c>
      <c r="X248" s="22" t="s">
        <v>951</v>
      </c>
    </row>
    <row r="249" spans="1:24" s="20" customFormat="1" hidden="1" x14ac:dyDescent="0.2">
      <c r="A249" s="20">
        <f>MATCH(C249,'[1]Slot Managers Split'!G:G,0)</f>
        <v>185</v>
      </c>
      <c r="C249" s="20" t="s">
        <v>45</v>
      </c>
      <c r="D249" s="20" t="s">
        <v>46</v>
      </c>
      <c r="E249" s="20" t="s">
        <v>47</v>
      </c>
      <c r="F249" s="20" t="s">
        <v>31</v>
      </c>
      <c r="G249" s="20" t="s">
        <v>32</v>
      </c>
      <c r="H249" s="21">
        <v>1200</v>
      </c>
      <c r="I249" s="21">
        <v>28</v>
      </c>
      <c r="J249" s="21">
        <v>0</v>
      </c>
      <c r="K249" s="21">
        <v>450</v>
      </c>
      <c r="L249" s="20" t="s">
        <v>34</v>
      </c>
      <c r="M249" s="20" t="s">
        <v>33</v>
      </c>
      <c r="N249" s="21">
        <v>52500</v>
      </c>
      <c r="O249" s="21">
        <v>0</v>
      </c>
      <c r="P249" s="21">
        <v>150</v>
      </c>
      <c r="Q249" s="21">
        <v>7</v>
      </c>
      <c r="R249" s="21">
        <v>0</v>
      </c>
      <c r="S249" s="21">
        <v>1500</v>
      </c>
      <c r="T249" s="21">
        <v>700</v>
      </c>
      <c r="U249" s="20" t="s">
        <v>34</v>
      </c>
      <c r="V249" s="20" t="s">
        <v>34</v>
      </c>
      <c r="W249" s="20" t="s">
        <v>35</v>
      </c>
      <c r="X249" s="20" t="s">
        <v>48</v>
      </c>
    </row>
    <row r="250" spans="1:24" s="20" customFormat="1" hidden="1" x14ac:dyDescent="0.2">
      <c r="A250" s="20">
        <f>MATCH(C250,'[1]Slot Managers Split'!G:G,0)</f>
        <v>342</v>
      </c>
      <c r="C250" s="20" t="s">
        <v>104</v>
      </c>
      <c r="D250" s="20" t="s">
        <v>105</v>
      </c>
      <c r="E250" s="20" t="s">
        <v>106</v>
      </c>
      <c r="F250" s="20" t="s">
        <v>31</v>
      </c>
      <c r="G250" s="20" t="s">
        <v>32</v>
      </c>
      <c r="H250" s="21">
        <v>1200</v>
      </c>
      <c r="I250" s="21">
        <v>38</v>
      </c>
      <c r="J250" s="21">
        <v>12</v>
      </c>
      <c r="K250" s="21">
        <v>0</v>
      </c>
      <c r="L250" s="20" t="s">
        <v>33</v>
      </c>
      <c r="M250" s="20" t="s">
        <v>33</v>
      </c>
      <c r="N250" s="21">
        <v>28190</v>
      </c>
      <c r="O250" s="21">
        <v>6240</v>
      </c>
      <c r="P250" s="21">
        <v>403</v>
      </c>
      <c r="Q250" s="21">
        <v>4</v>
      </c>
      <c r="R250" s="21">
        <v>1</v>
      </c>
      <c r="S250" s="21">
        <v>1943</v>
      </c>
      <c r="T250" s="21">
        <v>1009</v>
      </c>
      <c r="U250" s="20" t="s">
        <v>33</v>
      </c>
      <c r="V250" s="20" t="s">
        <v>33</v>
      </c>
      <c r="W250" s="20" t="s">
        <v>57</v>
      </c>
      <c r="X250" s="20" t="s">
        <v>99</v>
      </c>
    </row>
    <row r="251" spans="1:24" s="31" customFormat="1" hidden="1" x14ac:dyDescent="0.2">
      <c r="A251" s="31" t="e">
        <f>MATCH(C251,'[1]Slot Managers Split'!G:G,0)</f>
        <v>#N/A</v>
      </c>
      <c r="C251" s="31" t="s">
        <v>156</v>
      </c>
      <c r="D251" s="31" t="s">
        <v>157</v>
      </c>
      <c r="E251" s="31" t="s">
        <v>158</v>
      </c>
      <c r="F251" s="31" t="s">
        <v>31</v>
      </c>
      <c r="G251" s="31" t="s">
        <v>32</v>
      </c>
      <c r="H251" s="32">
        <v>1200</v>
      </c>
      <c r="I251" s="32">
        <v>11</v>
      </c>
      <c r="J251" s="32">
        <v>6</v>
      </c>
      <c r="K251" s="32">
        <v>0</v>
      </c>
      <c r="L251" s="31" t="s">
        <v>34</v>
      </c>
      <c r="M251" s="31" t="s">
        <v>34</v>
      </c>
      <c r="N251" s="32">
        <v>61000</v>
      </c>
      <c r="O251" s="32">
        <v>72000</v>
      </c>
      <c r="P251" s="32">
        <v>393</v>
      </c>
      <c r="Q251" s="32">
        <v>4</v>
      </c>
      <c r="R251" s="32">
        <v>1</v>
      </c>
      <c r="S251" s="32">
        <v>0</v>
      </c>
      <c r="T251" s="32">
        <v>0</v>
      </c>
      <c r="U251" s="31" t="s">
        <v>34</v>
      </c>
      <c r="V251" s="31" t="s">
        <v>34</v>
      </c>
      <c r="W251" s="31" t="s">
        <v>35</v>
      </c>
      <c r="X251" s="31" t="s">
        <v>160</v>
      </c>
    </row>
    <row r="252" spans="1:24" hidden="1" x14ac:dyDescent="0.2">
      <c r="A252" s="33" t="e">
        <f>MATCH(C252,'[1]Slot Managers Split'!G:G,0)</f>
        <v>#N/A</v>
      </c>
      <c r="B252" s="33"/>
      <c r="C252" s="33" t="s">
        <v>252</v>
      </c>
      <c r="D252" s="33" t="s">
        <v>253</v>
      </c>
      <c r="E252" s="33" t="s">
        <v>30</v>
      </c>
      <c r="F252" s="33" t="s">
        <v>31</v>
      </c>
      <c r="G252" s="33" t="s">
        <v>32</v>
      </c>
      <c r="H252" s="34">
        <v>1200</v>
      </c>
      <c r="I252" s="34">
        <v>11</v>
      </c>
      <c r="J252" s="34">
        <v>0</v>
      </c>
      <c r="K252" s="34">
        <v>0</v>
      </c>
      <c r="L252" s="33" t="s">
        <v>33</v>
      </c>
      <c r="M252" s="33" t="s">
        <v>33</v>
      </c>
      <c r="N252" s="34">
        <v>68235</v>
      </c>
      <c r="O252" s="34">
        <v>15000</v>
      </c>
      <c r="P252" s="34">
        <v>156</v>
      </c>
      <c r="Q252" s="34">
        <v>4</v>
      </c>
      <c r="R252" s="34">
        <v>1</v>
      </c>
      <c r="S252" s="34">
        <v>1100</v>
      </c>
      <c r="T252" s="34">
        <v>387</v>
      </c>
      <c r="U252" s="33" t="s">
        <v>34</v>
      </c>
      <c r="V252" s="33" t="s">
        <v>34</v>
      </c>
      <c r="W252" s="33" t="s">
        <v>35</v>
      </c>
      <c r="X252" s="33" t="s">
        <v>251</v>
      </c>
    </row>
    <row r="253" spans="1:24" s="20" customFormat="1" hidden="1" x14ac:dyDescent="0.2">
      <c r="A253" s="20">
        <f>MATCH(C253,'[1]Slot Managers Split'!G:G,0)</f>
        <v>344</v>
      </c>
      <c r="C253" s="20" t="s">
        <v>289</v>
      </c>
      <c r="D253" s="20" t="s">
        <v>290</v>
      </c>
      <c r="E253" s="20" t="s">
        <v>291</v>
      </c>
      <c r="F253" s="20" t="s">
        <v>31</v>
      </c>
      <c r="G253" s="20" t="s">
        <v>32</v>
      </c>
      <c r="H253" s="21">
        <v>1200</v>
      </c>
      <c r="I253" s="21">
        <v>0</v>
      </c>
      <c r="J253" s="21">
        <v>0</v>
      </c>
      <c r="K253" s="21">
        <v>800</v>
      </c>
      <c r="L253" s="20" t="s">
        <v>33</v>
      </c>
      <c r="M253" s="20" t="s">
        <v>34</v>
      </c>
      <c r="N253" s="21">
        <v>100000</v>
      </c>
      <c r="O253" s="21">
        <v>76000</v>
      </c>
      <c r="P253" s="21">
        <v>300</v>
      </c>
      <c r="Q253" s="21">
        <v>7</v>
      </c>
      <c r="R253" s="21">
        <v>1</v>
      </c>
      <c r="S253" s="21">
        <v>3282</v>
      </c>
      <c r="T253" s="21">
        <v>1100</v>
      </c>
      <c r="U253" s="20" t="s">
        <v>34</v>
      </c>
      <c r="V253" s="20" t="s">
        <v>34</v>
      </c>
      <c r="W253" s="20" t="s">
        <v>35</v>
      </c>
      <c r="X253" s="20" t="s">
        <v>294</v>
      </c>
    </row>
    <row r="254" spans="1:24" s="20" customFormat="1" hidden="1" x14ac:dyDescent="0.2">
      <c r="A254" s="20">
        <f>MATCH(C254,'[1]Slot Managers Split'!G:G,0)</f>
        <v>345</v>
      </c>
      <c r="C254" s="20" t="s">
        <v>295</v>
      </c>
      <c r="D254" s="20" t="s">
        <v>296</v>
      </c>
      <c r="E254" s="20" t="s">
        <v>39</v>
      </c>
      <c r="F254" s="20" t="s">
        <v>31</v>
      </c>
      <c r="G254" s="20" t="s">
        <v>32</v>
      </c>
      <c r="H254" s="21">
        <v>1200</v>
      </c>
      <c r="I254" s="21">
        <v>9</v>
      </c>
      <c r="J254" s="21">
        <v>0</v>
      </c>
      <c r="K254" s="21">
        <v>700</v>
      </c>
      <c r="L254" s="20" t="s">
        <v>33</v>
      </c>
      <c r="M254" s="20" t="s">
        <v>33</v>
      </c>
      <c r="N254" s="21">
        <v>66000</v>
      </c>
      <c r="O254" s="21">
        <v>0</v>
      </c>
      <c r="P254" s="21">
        <v>55</v>
      </c>
      <c r="Q254" s="21">
        <v>5</v>
      </c>
      <c r="R254" s="21">
        <v>1</v>
      </c>
      <c r="S254" s="21">
        <v>900</v>
      </c>
      <c r="T254" s="21">
        <v>400</v>
      </c>
      <c r="U254" s="20" t="s">
        <v>34</v>
      </c>
      <c r="V254" s="20" t="s">
        <v>34</v>
      </c>
      <c r="W254" s="20" t="s">
        <v>35</v>
      </c>
      <c r="X254" s="20" t="s">
        <v>298</v>
      </c>
    </row>
    <row r="255" spans="1:24" s="31" customFormat="1" hidden="1" x14ac:dyDescent="0.2">
      <c r="A255" s="31" t="e">
        <f>MATCH(C255,'[1]Slot Managers Split'!G:G,0)</f>
        <v>#N/A</v>
      </c>
      <c r="C255" s="31" t="s">
        <v>417</v>
      </c>
      <c r="D255" s="31" t="s">
        <v>418</v>
      </c>
      <c r="E255" s="31" t="s">
        <v>325</v>
      </c>
      <c r="F255" s="31" t="s">
        <v>31</v>
      </c>
      <c r="G255" s="31" t="s">
        <v>32</v>
      </c>
      <c r="H255" s="32">
        <v>1200</v>
      </c>
      <c r="I255" s="32">
        <v>17</v>
      </c>
      <c r="J255" s="32">
        <v>30</v>
      </c>
      <c r="K255" s="32">
        <v>750</v>
      </c>
      <c r="L255" s="31" t="s">
        <v>33</v>
      </c>
      <c r="M255" s="31" t="s">
        <v>33</v>
      </c>
      <c r="N255" s="32">
        <v>120000</v>
      </c>
      <c r="O255" s="32">
        <v>12000</v>
      </c>
      <c r="P255" s="32">
        <v>0</v>
      </c>
      <c r="Q255" s="32">
        <v>6</v>
      </c>
      <c r="R255" s="32">
        <v>0</v>
      </c>
      <c r="S255" s="32">
        <v>0</v>
      </c>
      <c r="T255" s="32">
        <v>350</v>
      </c>
      <c r="U255" s="31" t="s">
        <v>34</v>
      </c>
      <c r="V255" s="31" t="s">
        <v>34</v>
      </c>
      <c r="W255" s="31" t="s">
        <v>35</v>
      </c>
      <c r="X255" s="31" t="s">
        <v>419</v>
      </c>
    </row>
    <row r="256" spans="1:24" s="20" customFormat="1" hidden="1" x14ac:dyDescent="0.2">
      <c r="A256" s="20">
        <f>MATCH(C256,'[1]Slot Managers Split'!G:G,0)</f>
        <v>347</v>
      </c>
      <c r="C256" s="20" t="s">
        <v>598</v>
      </c>
      <c r="D256" s="20" t="s">
        <v>599</v>
      </c>
      <c r="E256" s="20" t="s">
        <v>135</v>
      </c>
      <c r="F256" s="20" t="s">
        <v>31</v>
      </c>
      <c r="G256" s="20" t="s">
        <v>32</v>
      </c>
      <c r="H256" s="21">
        <v>1200</v>
      </c>
      <c r="I256" s="21">
        <v>99</v>
      </c>
      <c r="J256" s="21">
        <v>26</v>
      </c>
      <c r="K256" s="21">
        <v>0</v>
      </c>
      <c r="L256" s="20" t="s">
        <v>34</v>
      </c>
      <c r="M256" s="20" t="s">
        <v>33</v>
      </c>
      <c r="N256" s="21">
        <v>96000</v>
      </c>
      <c r="O256" s="21">
        <v>0</v>
      </c>
      <c r="P256" s="21">
        <v>0</v>
      </c>
      <c r="Q256" s="21">
        <v>4</v>
      </c>
      <c r="R256" s="21">
        <v>4</v>
      </c>
      <c r="S256" s="21">
        <v>0</v>
      </c>
      <c r="T256" s="21">
        <v>1297</v>
      </c>
      <c r="U256" s="20" t="s">
        <v>33</v>
      </c>
      <c r="V256" s="20" t="s">
        <v>33</v>
      </c>
      <c r="W256" s="20" t="s">
        <v>35</v>
      </c>
      <c r="X256" s="35" t="s">
        <v>600</v>
      </c>
    </row>
    <row r="257" spans="1:24" s="20" customFormat="1" hidden="1" x14ac:dyDescent="0.2">
      <c r="A257" s="20">
        <f>MATCH(C257,'[1]Slot Managers Split'!G:G,0)</f>
        <v>348</v>
      </c>
      <c r="C257" s="20" t="s">
        <v>603</v>
      </c>
      <c r="D257" s="20" t="s">
        <v>604</v>
      </c>
      <c r="E257" s="20" t="s">
        <v>139</v>
      </c>
      <c r="F257" s="20" t="s">
        <v>31</v>
      </c>
      <c r="G257" s="20" t="s">
        <v>32</v>
      </c>
      <c r="H257" s="21">
        <v>1200</v>
      </c>
      <c r="I257" s="21">
        <v>24</v>
      </c>
      <c r="J257" s="21">
        <v>1</v>
      </c>
      <c r="K257" s="21">
        <v>225</v>
      </c>
      <c r="L257" s="20" t="s">
        <v>33</v>
      </c>
      <c r="M257" s="20" t="s">
        <v>33</v>
      </c>
      <c r="N257" s="21">
        <v>46520</v>
      </c>
      <c r="O257" s="21">
        <v>38000</v>
      </c>
      <c r="P257" s="21">
        <v>367</v>
      </c>
      <c r="Q257" s="21">
        <v>7</v>
      </c>
      <c r="R257" s="21">
        <v>1</v>
      </c>
      <c r="S257" s="21">
        <v>1100</v>
      </c>
      <c r="T257" s="21">
        <v>859</v>
      </c>
      <c r="U257" s="20" t="s">
        <v>34</v>
      </c>
      <c r="V257" s="20" t="s">
        <v>34</v>
      </c>
      <c r="W257" s="20" t="s">
        <v>35</v>
      </c>
      <c r="X257" s="20" t="s">
        <v>605</v>
      </c>
    </row>
    <row r="258" spans="1:24" s="20" customFormat="1" hidden="1" x14ac:dyDescent="0.2">
      <c r="A258" s="20">
        <f>MATCH(C258,'[1]Slot Managers Split'!G:G,0)</f>
        <v>349</v>
      </c>
      <c r="C258" s="20" t="s">
        <v>673</v>
      </c>
      <c r="D258" s="20" t="s">
        <v>575</v>
      </c>
      <c r="E258" s="20" t="s">
        <v>106</v>
      </c>
      <c r="F258" s="20" t="s">
        <v>31</v>
      </c>
      <c r="G258" s="20" t="s">
        <v>32</v>
      </c>
      <c r="H258" s="21">
        <v>1200</v>
      </c>
      <c r="I258" s="21">
        <v>50</v>
      </c>
      <c r="J258" s="21">
        <v>0</v>
      </c>
      <c r="K258" s="21">
        <v>0</v>
      </c>
      <c r="L258" s="20" t="s">
        <v>34</v>
      </c>
      <c r="M258" s="20" t="s">
        <v>33</v>
      </c>
      <c r="N258" s="21">
        <v>30000</v>
      </c>
      <c r="O258" s="21">
        <v>7300</v>
      </c>
      <c r="P258" s="21">
        <v>395</v>
      </c>
      <c r="Q258" s="21">
        <v>9</v>
      </c>
      <c r="R258" s="21">
        <v>1</v>
      </c>
      <c r="S258" s="21">
        <v>0</v>
      </c>
      <c r="T258" s="21">
        <v>963</v>
      </c>
      <c r="U258" s="20" t="s">
        <v>33</v>
      </c>
      <c r="V258" s="20" t="s">
        <v>33</v>
      </c>
      <c r="W258" s="20" t="s">
        <v>35</v>
      </c>
      <c r="X258" s="20" t="s">
        <v>558</v>
      </c>
    </row>
    <row r="259" spans="1:24" s="31" customFormat="1" hidden="1" x14ac:dyDescent="0.2">
      <c r="A259" s="31" t="e">
        <f>MATCH(C259,'[1]Slot Managers Split'!G:G,0)</f>
        <v>#N/A</v>
      </c>
      <c r="C259" s="31" t="s">
        <v>750</v>
      </c>
      <c r="D259" s="31" t="s">
        <v>751</v>
      </c>
      <c r="E259" s="31" t="s">
        <v>478</v>
      </c>
      <c r="F259" s="31" t="s">
        <v>31</v>
      </c>
      <c r="G259" s="31" t="s">
        <v>32</v>
      </c>
      <c r="H259" s="32">
        <v>1200</v>
      </c>
      <c r="I259" s="32">
        <v>14</v>
      </c>
      <c r="J259" s="32">
        <v>0</v>
      </c>
      <c r="K259" s="32">
        <v>360</v>
      </c>
      <c r="L259" s="31" t="s">
        <v>33</v>
      </c>
      <c r="M259" s="31" t="s">
        <v>33</v>
      </c>
      <c r="N259" s="32">
        <v>70100</v>
      </c>
      <c r="O259" s="32">
        <v>0</v>
      </c>
      <c r="P259" s="32">
        <v>129</v>
      </c>
      <c r="Q259" s="32">
        <v>3</v>
      </c>
      <c r="R259" s="32">
        <v>1</v>
      </c>
      <c r="S259" s="32">
        <v>1586</v>
      </c>
      <c r="T259" s="32">
        <v>444</v>
      </c>
      <c r="U259" s="31" t="s">
        <v>34</v>
      </c>
      <c r="V259" s="31" t="s">
        <v>34</v>
      </c>
      <c r="W259" s="31" t="s">
        <v>35</v>
      </c>
      <c r="X259" s="31" t="s">
        <v>753</v>
      </c>
    </row>
    <row r="260" spans="1:24" s="20" customFormat="1" hidden="1" x14ac:dyDescent="0.2">
      <c r="A260" s="20" t="e">
        <f>MATCH(C260,'[1]Slot Managers Split'!G:G,0)</f>
        <v>#N/A</v>
      </c>
      <c r="C260" s="20" t="s">
        <v>853</v>
      </c>
      <c r="D260" s="20" t="s">
        <v>854</v>
      </c>
      <c r="E260" s="20" t="s">
        <v>39</v>
      </c>
      <c r="F260" s="20" t="s">
        <v>31</v>
      </c>
      <c r="G260" s="20" t="s">
        <v>32</v>
      </c>
      <c r="H260" s="21">
        <v>1200</v>
      </c>
      <c r="I260" s="21">
        <v>18</v>
      </c>
      <c r="J260" s="21">
        <v>0</v>
      </c>
      <c r="K260" s="21">
        <v>130</v>
      </c>
      <c r="L260" s="20" t="s">
        <v>33</v>
      </c>
      <c r="M260" s="20" t="s">
        <v>33</v>
      </c>
      <c r="N260" s="21">
        <v>60000</v>
      </c>
      <c r="O260" s="21">
        <v>0</v>
      </c>
      <c r="P260" s="21">
        <v>0</v>
      </c>
      <c r="Q260" s="21">
        <v>3</v>
      </c>
      <c r="R260" s="21">
        <v>0</v>
      </c>
      <c r="S260" s="21">
        <v>1360</v>
      </c>
      <c r="T260" s="21">
        <v>250</v>
      </c>
      <c r="U260" s="20" t="s">
        <v>34</v>
      </c>
      <c r="V260" s="20" t="s">
        <v>34</v>
      </c>
      <c r="W260" s="20" t="s">
        <v>35</v>
      </c>
      <c r="X260" s="20" t="s">
        <v>855</v>
      </c>
    </row>
    <row r="261" spans="1:24" s="20" customFormat="1" hidden="1" x14ac:dyDescent="0.2">
      <c r="A261" s="20">
        <f>MATCH(C261,'[1]Slot Managers Split'!G:G,0)</f>
        <v>350</v>
      </c>
      <c r="C261" s="20" t="s">
        <v>924</v>
      </c>
      <c r="D261" s="20" t="s">
        <v>81</v>
      </c>
      <c r="E261" s="20" t="s">
        <v>51</v>
      </c>
      <c r="F261" s="20" t="s">
        <v>31</v>
      </c>
      <c r="G261" s="20" t="s">
        <v>32</v>
      </c>
      <c r="H261" s="21">
        <v>1200</v>
      </c>
      <c r="I261" s="21">
        <v>25</v>
      </c>
      <c r="J261" s="21">
        <v>0</v>
      </c>
      <c r="K261" s="21">
        <v>0</v>
      </c>
      <c r="L261" s="20" t="s">
        <v>34</v>
      </c>
      <c r="M261" s="20" t="s">
        <v>34</v>
      </c>
      <c r="N261" s="21">
        <v>65556</v>
      </c>
      <c r="O261" s="21">
        <v>0</v>
      </c>
      <c r="P261" s="21">
        <v>288</v>
      </c>
      <c r="Q261" s="21">
        <v>10</v>
      </c>
      <c r="R261" s="21">
        <v>1</v>
      </c>
      <c r="S261" s="21">
        <v>4000</v>
      </c>
      <c r="T261" s="21">
        <v>800</v>
      </c>
      <c r="U261" s="20" t="s">
        <v>33</v>
      </c>
      <c r="V261" s="20" t="s">
        <v>33</v>
      </c>
      <c r="W261" s="20" t="s">
        <v>35</v>
      </c>
      <c r="X261" s="20" t="s">
        <v>930</v>
      </c>
    </row>
    <row r="262" spans="1:24" s="31" customFormat="1" hidden="1" x14ac:dyDescent="0.2">
      <c r="A262" s="31" t="e">
        <f>MATCH(C262,'[1]Slot Managers Split'!G:G,0)</f>
        <v>#N/A</v>
      </c>
      <c r="C262" s="31" t="s">
        <v>1052</v>
      </c>
      <c r="D262" s="31" t="s">
        <v>1053</v>
      </c>
      <c r="E262" s="31" t="s">
        <v>246</v>
      </c>
      <c r="F262" s="31" t="s">
        <v>31</v>
      </c>
      <c r="G262" s="31" t="s">
        <v>32</v>
      </c>
      <c r="H262" s="32">
        <v>1200</v>
      </c>
      <c r="I262" s="32">
        <v>14</v>
      </c>
      <c r="J262" s="32">
        <v>4</v>
      </c>
      <c r="K262" s="32">
        <v>400</v>
      </c>
      <c r="L262" s="31" t="s">
        <v>33</v>
      </c>
      <c r="M262" s="31" t="s">
        <v>33</v>
      </c>
      <c r="N262" s="32">
        <v>113000</v>
      </c>
      <c r="O262" s="32">
        <v>14500</v>
      </c>
      <c r="P262" s="32">
        <v>300</v>
      </c>
      <c r="Q262" s="32">
        <v>11</v>
      </c>
      <c r="R262" s="32">
        <v>0</v>
      </c>
      <c r="S262" s="32">
        <v>700</v>
      </c>
      <c r="T262" s="32">
        <v>850</v>
      </c>
      <c r="U262" s="31" t="s">
        <v>34</v>
      </c>
      <c r="V262" s="31" t="s">
        <v>34</v>
      </c>
      <c r="W262" s="31" t="s">
        <v>35</v>
      </c>
      <c r="X262" s="31" t="s">
        <v>1054</v>
      </c>
    </row>
    <row r="263" spans="1:24" s="20" customFormat="1" hidden="1" x14ac:dyDescent="0.2">
      <c r="A263" s="20">
        <f>MATCH(C263,'[1]Slot Managers Split'!G:G,0)</f>
        <v>320</v>
      </c>
      <c r="C263" s="20" t="s">
        <v>805</v>
      </c>
      <c r="D263" s="20" t="s">
        <v>806</v>
      </c>
      <c r="E263" s="20" t="s">
        <v>427</v>
      </c>
      <c r="F263" s="20" t="s">
        <v>31</v>
      </c>
      <c r="G263" s="20" t="s">
        <v>32</v>
      </c>
      <c r="H263" s="21">
        <v>1194</v>
      </c>
      <c r="I263" s="21">
        <v>25</v>
      </c>
      <c r="J263" s="21">
        <v>0</v>
      </c>
      <c r="K263" s="21">
        <v>400</v>
      </c>
      <c r="L263" s="20" t="s">
        <v>34</v>
      </c>
      <c r="M263" s="20" t="s">
        <v>33</v>
      </c>
      <c r="N263" s="21">
        <v>35000</v>
      </c>
      <c r="O263" s="21">
        <v>12000</v>
      </c>
      <c r="P263" s="21">
        <v>371</v>
      </c>
      <c r="Q263" s="21">
        <v>6</v>
      </c>
      <c r="R263" s="21">
        <v>0</v>
      </c>
      <c r="S263" s="21">
        <v>1092</v>
      </c>
      <c r="T263" s="21">
        <v>721</v>
      </c>
      <c r="U263" s="20" t="s">
        <v>34</v>
      </c>
      <c r="V263" s="20" t="s">
        <v>34</v>
      </c>
      <c r="W263" s="20" t="s">
        <v>35</v>
      </c>
      <c r="X263" s="20" t="s">
        <v>807</v>
      </c>
    </row>
    <row r="264" spans="1:24" s="20" customFormat="1" hidden="1" x14ac:dyDescent="0.2">
      <c r="A264" s="20">
        <f>MATCH(C264,'[1]Slot Managers Split'!G:G,0)</f>
        <v>307</v>
      </c>
      <c r="C264" s="20" t="s">
        <v>808</v>
      </c>
      <c r="D264" s="20" t="s">
        <v>809</v>
      </c>
      <c r="E264" s="20" t="s">
        <v>56</v>
      </c>
      <c r="F264" s="20" t="s">
        <v>31</v>
      </c>
      <c r="G264" s="20" t="s">
        <v>32</v>
      </c>
      <c r="H264" s="21">
        <v>1193</v>
      </c>
      <c r="I264" s="21">
        <v>40</v>
      </c>
      <c r="J264" s="21">
        <v>7</v>
      </c>
      <c r="K264" s="21">
        <v>0</v>
      </c>
      <c r="L264" s="20" t="s">
        <v>34</v>
      </c>
      <c r="M264" s="20" t="s">
        <v>34</v>
      </c>
      <c r="N264" s="21">
        <v>82283</v>
      </c>
      <c r="O264" s="21">
        <v>34775</v>
      </c>
      <c r="P264" s="21">
        <v>168</v>
      </c>
      <c r="Q264" s="21">
        <v>7</v>
      </c>
      <c r="R264" s="21">
        <v>3</v>
      </c>
      <c r="S264" s="21">
        <v>3649</v>
      </c>
      <c r="T264" s="21">
        <v>1326</v>
      </c>
      <c r="U264" s="20" t="s">
        <v>33</v>
      </c>
      <c r="V264" s="20" t="s">
        <v>33</v>
      </c>
      <c r="W264" s="20" t="s">
        <v>103</v>
      </c>
      <c r="X264" s="20" t="s">
        <v>810</v>
      </c>
    </row>
    <row r="265" spans="1:24" s="33" customFormat="1" hidden="1" x14ac:dyDescent="0.2">
      <c r="A265" s="33" t="e">
        <f>MATCH(C265,'[1]Slot Managers Split'!G:G,0)</f>
        <v>#N/A</v>
      </c>
      <c r="C265" s="37" t="s">
        <v>999</v>
      </c>
      <c r="D265" s="33" t="s">
        <v>81</v>
      </c>
      <c r="E265" s="33" t="s">
        <v>51</v>
      </c>
      <c r="F265" s="33" t="s">
        <v>31</v>
      </c>
      <c r="G265" s="33" t="s">
        <v>32</v>
      </c>
      <c r="H265" s="34">
        <v>1190</v>
      </c>
      <c r="I265" s="34">
        <v>108</v>
      </c>
      <c r="J265" s="34">
        <v>0</v>
      </c>
      <c r="K265" s="34">
        <v>0</v>
      </c>
      <c r="L265" s="33" t="s">
        <v>34</v>
      </c>
      <c r="M265" s="33" t="s">
        <v>34</v>
      </c>
      <c r="N265" s="34">
        <v>73915</v>
      </c>
      <c r="O265" s="34">
        <v>200000</v>
      </c>
      <c r="P265" s="34">
        <v>3000</v>
      </c>
      <c r="Q265" s="34">
        <v>20</v>
      </c>
      <c r="R265" s="34">
        <v>2</v>
      </c>
      <c r="S265" s="34">
        <v>3500</v>
      </c>
      <c r="T265" s="34">
        <v>5040</v>
      </c>
      <c r="U265" s="33" t="s">
        <v>33</v>
      </c>
      <c r="V265" s="33" t="s">
        <v>33</v>
      </c>
      <c r="W265" s="33" t="s">
        <v>35</v>
      </c>
      <c r="X265" s="33" t="s">
        <v>1000</v>
      </c>
    </row>
    <row r="266" spans="1:24" s="31" customFormat="1" hidden="1" x14ac:dyDescent="0.2">
      <c r="A266" s="31" t="e">
        <f>MATCH(C266,'[1]Slot Managers Split'!G:G,0)</f>
        <v>#N/A</v>
      </c>
      <c r="C266" s="36" t="s">
        <v>515</v>
      </c>
      <c r="D266" s="31" t="s">
        <v>441</v>
      </c>
      <c r="E266" s="31" t="s">
        <v>146</v>
      </c>
      <c r="F266" s="31" t="s">
        <v>31</v>
      </c>
      <c r="G266" s="31" t="s">
        <v>32</v>
      </c>
      <c r="H266" s="32">
        <v>1189</v>
      </c>
      <c r="I266" s="32">
        <v>40</v>
      </c>
      <c r="J266" s="32">
        <v>0</v>
      </c>
      <c r="K266" s="32">
        <v>0</v>
      </c>
      <c r="L266" s="31" t="s">
        <v>34</v>
      </c>
      <c r="M266" s="31" t="s">
        <v>34</v>
      </c>
      <c r="N266" s="32">
        <v>54000</v>
      </c>
      <c r="O266" s="32">
        <v>0</v>
      </c>
      <c r="P266" s="32">
        <v>0</v>
      </c>
      <c r="Q266" s="32">
        <v>8</v>
      </c>
      <c r="R266" s="32">
        <v>2</v>
      </c>
      <c r="S266" s="32">
        <v>2500</v>
      </c>
      <c r="T266" s="32">
        <v>795</v>
      </c>
      <c r="U266" s="31" t="s">
        <v>33</v>
      </c>
      <c r="V266" s="31" t="s">
        <v>33</v>
      </c>
      <c r="W266" s="31" t="s">
        <v>103</v>
      </c>
      <c r="X266" s="31" t="s">
        <v>267</v>
      </c>
    </row>
    <row r="267" spans="1:24" s="20" customFormat="1" hidden="1" x14ac:dyDescent="0.2">
      <c r="A267" s="20">
        <f>MATCH(C267,'[1]Slot Managers Split'!G:G,0)</f>
        <v>311</v>
      </c>
      <c r="C267" s="20" t="s">
        <v>660</v>
      </c>
      <c r="D267" s="20" t="s">
        <v>661</v>
      </c>
      <c r="E267" s="20" t="s">
        <v>70</v>
      </c>
      <c r="F267" s="20" t="s">
        <v>31</v>
      </c>
      <c r="G267" s="20" t="s">
        <v>32</v>
      </c>
      <c r="H267" s="21">
        <v>1186</v>
      </c>
      <c r="I267" s="21">
        <v>15</v>
      </c>
      <c r="J267" s="21">
        <v>0</v>
      </c>
      <c r="K267" s="21">
        <v>600</v>
      </c>
      <c r="L267" s="20" t="s">
        <v>34</v>
      </c>
      <c r="M267" s="20" t="s">
        <v>33</v>
      </c>
      <c r="N267" s="21">
        <v>30000</v>
      </c>
      <c r="O267" s="21">
        <v>12000</v>
      </c>
      <c r="P267" s="21">
        <v>170</v>
      </c>
      <c r="Q267" s="21">
        <v>6</v>
      </c>
      <c r="R267" s="21">
        <v>1</v>
      </c>
      <c r="S267" s="21">
        <v>1000</v>
      </c>
      <c r="T267" s="21">
        <v>770</v>
      </c>
      <c r="U267" s="20" t="s">
        <v>34</v>
      </c>
      <c r="V267" s="20" t="s">
        <v>34</v>
      </c>
      <c r="W267" s="20" t="s">
        <v>35</v>
      </c>
      <c r="X267" s="20" t="s">
        <v>662</v>
      </c>
    </row>
    <row r="268" spans="1:24" s="31" customFormat="1" hidden="1" x14ac:dyDescent="0.2">
      <c r="A268" s="31" t="e">
        <f>MATCH(C268,'[1]Slot Managers Split'!G:G,0)</f>
        <v>#N/A</v>
      </c>
      <c r="C268" s="36" t="s">
        <v>187</v>
      </c>
      <c r="D268" s="31" t="s">
        <v>50</v>
      </c>
      <c r="E268" s="31" t="s">
        <v>51</v>
      </c>
      <c r="F268" s="31" t="s">
        <v>31</v>
      </c>
      <c r="G268" s="31" t="s">
        <v>32</v>
      </c>
      <c r="H268" s="32">
        <v>1180</v>
      </c>
      <c r="I268" s="32">
        <v>21</v>
      </c>
      <c r="J268" s="32">
        <v>0</v>
      </c>
      <c r="K268" s="32">
        <v>200</v>
      </c>
      <c r="L268" s="31" t="s">
        <v>34</v>
      </c>
      <c r="M268" s="31" t="s">
        <v>34</v>
      </c>
      <c r="N268" s="32">
        <v>72000</v>
      </c>
      <c r="O268" s="32">
        <v>7500</v>
      </c>
      <c r="P268" s="32">
        <v>207</v>
      </c>
      <c r="Q268" s="32">
        <v>7</v>
      </c>
      <c r="R268" s="32">
        <v>1</v>
      </c>
      <c r="S268" s="32">
        <v>0</v>
      </c>
      <c r="T268" s="32">
        <v>959</v>
      </c>
      <c r="U268" s="31" t="s">
        <v>33</v>
      </c>
      <c r="V268" s="31" t="s">
        <v>33</v>
      </c>
      <c r="W268" s="31" t="s">
        <v>35</v>
      </c>
      <c r="X268" s="31" t="s">
        <v>53</v>
      </c>
    </row>
    <row r="269" spans="1:24" s="31" customFormat="1" hidden="1" x14ac:dyDescent="0.2">
      <c r="A269" s="31" t="e">
        <f>MATCH(C269,'[1]Slot Managers Split'!G:G,0)</f>
        <v>#N/A</v>
      </c>
      <c r="C269" s="31" t="s">
        <v>381</v>
      </c>
      <c r="D269" s="31" t="s">
        <v>382</v>
      </c>
      <c r="E269" s="31" t="s">
        <v>47</v>
      </c>
      <c r="F269" s="31" t="s">
        <v>31</v>
      </c>
      <c r="G269" s="31" t="s">
        <v>32</v>
      </c>
      <c r="H269" s="32">
        <v>1175</v>
      </c>
      <c r="I269" s="32">
        <v>0</v>
      </c>
      <c r="J269" s="32">
        <v>0</v>
      </c>
      <c r="K269" s="32">
        <v>0</v>
      </c>
      <c r="L269" s="31" t="s">
        <v>33</v>
      </c>
      <c r="M269" s="31" t="s">
        <v>34</v>
      </c>
      <c r="N269" s="32">
        <v>0</v>
      </c>
      <c r="O269" s="32">
        <v>26200</v>
      </c>
      <c r="P269" s="32">
        <v>0</v>
      </c>
      <c r="Q269" s="32">
        <v>5</v>
      </c>
      <c r="R269" s="32">
        <v>0</v>
      </c>
      <c r="S269" s="32">
        <v>4000</v>
      </c>
      <c r="T269" s="32">
        <v>453</v>
      </c>
      <c r="U269" s="31" t="s">
        <v>33</v>
      </c>
      <c r="V269" s="31" t="s">
        <v>33</v>
      </c>
      <c r="W269" s="31" t="s">
        <v>103</v>
      </c>
      <c r="X269" s="31" t="s">
        <v>384</v>
      </c>
    </row>
    <row r="270" spans="1:24" s="20" customFormat="1" hidden="1" x14ac:dyDescent="0.2">
      <c r="A270" s="20">
        <f>MATCH(C270,'[1]Slot Managers Split'!G:G,0)</f>
        <v>189</v>
      </c>
      <c r="C270" s="20" t="s">
        <v>344</v>
      </c>
      <c r="D270" s="20" t="s">
        <v>81</v>
      </c>
      <c r="E270" s="20" t="s">
        <v>51</v>
      </c>
      <c r="F270" s="20" t="s">
        <v>31</v>
      </c>
      <c r="G270" s="20" t="s">
        <v>32</v>
      </c>
      <c r="H270" s="21">
        <v>1161</v>
      </c>
      <c r="I270" s="21">
        <v>30</v>
      </c>
      <c r="J270" s="21">
        <v>0</v>
      </c>
      <c r="K270" s="21">
        <v>0</v>
      </c>
      <c r="L270" s="20" t="s">
        <v>34</v>
      </c>
      <c r="M270" s="20" t="s">
        <v>34</v>
      </c>
      <c r="N270" s="21">
        <v>41842</v>
      </c>
      <c r="O270" s="21">
        <v>2000</v>
      </c>
      <c r="P270" s="21">
        <v>361</v>
      </c>
      <c r="Q270" s="21">
        <v>8</v>
      </c>
      <c r="R270" s="21">
        <v>0</v>
      </c>
      <c r="S270" s="21">
        <v>850</v>
      </c>
      <c r="T270" s="21">
        <v>700</v>
      </c>
      <c r="U270" s="20" t="s">
        <v>33</v>
      </c>
      <c r="V270" s="20" t="s">
        <v>33</v>
      </c>
      <c r="W270" s="20" t="s">
        <v>35</v>
      </c>
      <c r="X270" s="20" t="s">
        <v>0</v>
      </c>
    </row>
    <row r="271" spans="1:24" s="31" customFormat="1" hidden="1" x14ac:dyDescent="0.2">
      <c r="A271" s="31" t="e">
        <f>MATCH(C271,'[1]Slot Managers Split'!G:G,0)</f>
        <v>#N/A</v>
      </c>
      <c r="C271" s="36" t="s">
        <v>28</v>
      </c>
      <c r="D271" s="31" t="s">
        <v>29</v>
      </c>
      <c r="E271" s="31" t="s">
        <v>30</v>
      </c>
      <c r="F271" s="31" t="s">
        <v>31</v>
      </c>
      <c r="G271" s="31" t="s">
        <v>32</v>
      </c>
      <c r="H271" s="32">
        <v>1160</v>
      </c>
      <c r="I271" s="32">
        <v>11</v>
      </c>
      <c r="J271" s="32">
        <v>0</v>
      </c>
      <c r="K271" s="32">
        <v>0</v>
      </c>
      <c r="L271" s="31" t="s">
        <v>33</v>
      </c>
      <c r="M271" s="31" t="s">
        <v>33</v>
      </c>
      <c r="N271" s="32">
        <v>0</v>
      </c>
      <c r="O271" s="32">
        <v>0</v>
      </c>
      <c r="P271" s="32">
        <v>86</v>
      </c>
      <c r="Q271" s="32">
        <v>6</v>
      </c>
      <c r="R271" s="32">
        <v>1</v>
      </c>
      <c r="S271" s="32">
        <v>0</v>
      </c>
      <c r="T271" s="32">
        <v>0</v>
      </c>
      <c r="U271" s="31" t="s">
        <v>34</v>
      </c>
      <c r="V271" s="31" t="s">
        <v>34</v>
      </c>
      <c r="W271" s="31" t="s">
        <v>35</v>
      </c>
      <c r="X271" s="31" t="s">
        <v>36</v>
      </c>
    </row>
    <row r="272" spans="1:24" s="31" customFormat="1" hidden="1" x14ac:dyDescent="0.2">
      <c r="A272" s="31" t="e">
        <f>MATCH(C272,'[1]Slot Managers Split'!G:G,0)</f>
        <v>#N/A</v>
      </c>
      <c r="C272" s="31" t="s">
        <v>576</v>
      </c>
      <c r="D272" s="31" t="s">
        <v>55</v>
      </c>
      <c r="E272" s="31" t="s">
        <v>56</v>
      </c>
      <c r="F272" s="31" t="s">
        <v>31</v>
      </c>
      <c r="G272" s="31" t="s">
        <v>32</v>
      </c>
      <c r="H272" s="32">
        <v>1159</v>
      </c>
      <c r="I272" s="32">
        <v>53</v>
      </c>
      <c r="J272" s="32">
        <v>17</v>
      </c>
      <c r="K272" s="32">
        <v>0</v>
      </c>
      <c r="L272" s="31" t="s">
        <v>34</v>
      </c>
      <c r="M272" s="31" t="s">
        <v>33</v>
      </c>
      <c r="N272" s="32">
        <v>55100</v>
      </c>
      <c r="O272" s="32">
        <v>0</v>
      </c>
      <c r="P272" s="32">
        <v>0</v>
      </c>
      <c r="Q272" s="32">
        <v>3</v>
      </c>
      <c r="R272" s="32">
        <v>2</v>
      </c>
      <c r="S272" s="32">
        <v>3100</v>
      </c>
      <c r="T272" s="32">
        <v>1312</v>
      </c>
      <c r="U272" s="31" t="s">
        <v>33</v>
      </c>
      <c r="V272" s="31" t="s">
        <v>33</v>
      </c>
      <c r="W272" s="31" t="s">
        <v>428</v>
      </c>
      <c r="X272" s="31" t="s">
        <v>167</v>
      </c>
    </row>
    <row r="273" spans="1:24" s="20" customFormat="1" hidden="1" x14ac:dyDescent="0.2">
      <c r="A273" s="20">
        <f>MATCH(C273,'[1]Slot Managers Split'!G:G,0)</f>
        <v>352</v>
      </c>
      <c r="C273" s="20" t="s">
        <v>147</v>
      </c>
      <c r="D273" s="20" t="s">
        <v>148</v>
      </c>
      <c r="E273" s="20" t="s">
        <v>106</v>
      </c>
      <c r="F273" s="20" t="s">
        <v>31</v>
      </c>
      <c r="G273" s="20" t="s">
        <v>32</v>
      </c>
      <c r="H273" s="21">
        <v>1156</v>
      </c>
      <c r="I273" s="21">
        <v>31</v>
      </c>
      <c r="J273" s="21">
        <v>7</v>
      </c>
      <c r="K273" s="21">
        <v>0</v>
      </c>
      <c r="L273" s="20" t="s">
        <v>33</v>
      </c>
      <c r="M273" s="20" t="s">
        <v>33</v>
      </c>
      <c r="N273" s="21">
        <v>30000</v>
      </c>
      <c r="O273" s="21">
        <v>5000</v>
      </c>
      <c r="P273" s="21">
        <v>150</v>
      </c>
      <c r="Q273" s="21">
        <v>4</v>
      </c>
      <c r="R273" s="21">
        <v>2</v>
      </c>
      <c r="S273" s="21">
        <v>1300</v>
      </c>
      <c r="T273" s="21">
        <v>635</v>
      </c>
      <c r="U273" s="20" t="s">
        <v>33</v>
      </c>
      <c r="V273" s="20" t="s">
        <v>33</v>
      </c>
      <c r="W273" s="20" t="s">
        <v>57</v>
      </c>
      <c r="X273" s="20" t="s">
        <v>59</v>
      </c>
    </row>
    <row r="274" spans="1:24" hidden="1" x14ac:dyDescent="0.2">
      <c r="A274" s="33" t="e">
        <f>MATCH(C274,'[1]Slot Managers Split'!G:G,0)</f>
        <v>#N/A</v>
      </c>
      <c r="B274" s="33"/>
      <c r="C274" s="33" t="s">
        <v>431</v>
      </c>
      <c r="D274" s="33" t="s">
        <v>432</v>
      </c>
      <c r="E274" s="33" t="s">
        <v>129</v>
      </c>
      <c r="F274" s="33" t="s">
        <v>31</v>
      </c>
      <c r="G274" s="33" t="s">
        <v>32</v>
      </c>
      <c r="H274" s="34">
        <v>1150</v>
      </c>
      <c r="I274" s="34">
        <v>25</v>
      </c>
      <c r="J274" s="34">
        <v>14</v>
      </c>
      <c r="K274" s="34">
        <v>0</v>
      </c>
      <c r="L274" s="33" t="s">
        <v>34</v>
      </c>
      <c r="M274" s="33" t="s">
        <v>33</v>
      </c>
      <c r="N274" s="34">
        <v>70000</v>
      </c>
      <c r="O274" s="34">
        <v>11000</v>
      </c>
      <c r="P274" s="34">
        <v>595</v>
      </c>
      <c r="Q274" s="34">
        <v>9</v>
      </c>
      <c r="R274" s="34">
        <v>1</v>
      </c>
      <c r="S274" s="34">
        <v>3500</v>
      </c>
      <c r="T274" s="34">
        <v>1900</v>
      </c>
      <c r="U274" s="33" t="s">
        <v>34</v>
      </c>
      <c r="V274" s="33" t="s">
        <v>34</v>
      </c>
      <c r="W274" s="33" t="s">
        <v>35</v>
      </c>
      <c r="X274" s="33" t="s">
        <v>434</v>
      </c>
    </row>
    <row r="275" spans="1:24" hidden="1" x14ac:dyDescent="0.2">
      <c r="A275">
        <f>MATCH(C275,'[1]Slot Managers Split'!G:G,0)</f>
        <v>178</v>
      </c>
      <c r="C275" t="s">
        <v>505</v>
      </c>
      <c r="D275" t="s">
        <v>506</v>
      </c>
      <c r="E275" t="s">
        <v>325</v>
      </c>
      <c r="F275" t="s">
        <v>31</v>
      </c>
      <c r="G275" t="s">
        <v>32</v>
      </c>
      <c r="H275" s="1">
        <v>1150</v>
      </c>
      <c r="I275" s="1">
        <v>30</v>
      </c>
      <c r="J275" s="1">
        <v>15</v>
      </c>
      <c r="K275" s="1">
        <v>470</v>
      </c>
      <c r="L275" t="s">
        <v>34</v>
      </c>
      <c r="M275" t="s">
        <v>33</v>
      </c>
      <c r="N275" s="1">
        <v>65200</v>
      </c>
      <c r="O275" s="1">
        <v>5000</v>
      </c>
      <c r="P275" s="1">
        <v>530</v>
      </c>
      <c r="Q275" s="1">
        <v>7</v>
      </c>
      <c r="R275" s="1">
        <v>0</v>
      </c>
      <c r="S275" s="1">
        <v>1200</v>
      </c>
      <c r="T275" s="1">
        <v>1000</v>
      </c>
      <c r="U275" t="s">
        <v>34</v>
      </c>
      <c r="V275" t="s">
        <v>34</v>
      </c>
      <c r="W275" t="s">
        <v>35</v>
      </c>
      <c r="X275" s="6" t="s">
        <v>508</v>
      </c>
    </row>
    <row r="276" spans="1:24" s="31" customFormat="1" hidden="1" x14ac:dyDescent="0.2">
      <c r="A276" s="31" t="e">
        <f>MATCH(C276,'[1]Slot Managers Split'!G:G,0)</f>
        <v>#N/A</v>
      </c>
      <c r="C276" s="31" t="s">
        <v>700</v>
      </c>
      <c r="D276" s="31" t="s">
        <v>81</v>
      </c>
      <c r="E276" s="31" t="s">
        <v>51</v>
      </c>
      <c r="F276" s="31" t="s">
        <v>31</v>
      </c>
      <c r="G276" s="31" t="s">
        <v>32</v>
      </c>
      <c r="H276" s="32">
        <v>1150</v>
      </c>
      <c r="I276" s="32">
        <v>0</v>
      </c>
      <c r="J276" s="32">
        <v>0</v>
      </c>
      <c r="K276" s="32">
        <v>0</v>
      </c>
      <c r="L276" s="31" t="s">
        <v>33</v>
      </c>
      <c r="M276" s="31" t="s">
        <v>33</v>
      </c>
      <c r="N276" s="32">
        <v>16968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187</v>
      </c>
      <c r="U276" s="31" t="s">
        <v>33</v>
      </c>
      <c r="V276" s="31" t="s">
        <v>33</v>
      </c>
      <c r="W276" s="31" t="s">
        <v>35</v>
      </c>
      <c r="X276" s="31" t="s">
        <v>0</v>
      </c>
    </row>
    <row r="277" spans="1:24" x14ac:dyDescent="0.2">
      <c r="A277" s="22" t="e">
        <f>MATCH(C277,'[1]Slot Managers Split'!G:G,0)</f>
        <v>#N/A</v>
      </c>
      <c r="B277" s="22"/>
      <c r="C277" s="22" t="s">
        <v>1073</v>
      </c>
      <c r="D277" s="22" t="s">
        <v>274</v>
      </c>
      <c r="E277" s="22" t="s">
        <v>0</v>
      </c>
      <c r="F277" s="22" t="s">
        <v>275</v>
      </c>
      <c r="G277" s="22" t="s">
        <v>32</v>
      </c>
      <c r="H277" s="27">
        <v>1145</v>
      </c>
      <c r="I277" s="27">
        <v>350</v>
      </c>
      <c r="J277" s="27">
        <v>0</v>
      </c>
      <c r="K277" s="27">
        <v>0</v>
      </c>
      <c r="L277" s="22" t="s">
        <v>33</v>
      </c>
      <c r="M277" s="22" t="s">
        <v>33</v>
      </c>
      <c r="N277" s="27">
        <v>0</v>
      </c>
      <c r="O277" s="27">
        <v>0</v>
      </c>
      <c r="P277" s="27">
        <v>1706</v>
      </c>
      <c r="Q277" s="27">
        <v>0</v>
      </c>
      <c r="R277" s="27">
        <v>0</v>
      </c>
      <c r="S277" s="27">
        <v>0</v>
      </c>
      <c r="T277" s="27">
        <v>0</v>
      </c>
      <c r="U277" s="22" t="s">
        <v>33</v>
      </c>
      <c r="V277" s="22" t="s">
        <v>33</v>
      </c>
      <c r="W277" s="22" t="s">
        <v>35</v>
      </c>
      <c r="X277" s="22" t="s">
        <v>371</v>
      </c>
    </row>
    <row r="278" spans="1:24" s="20" customFormat="1" hidden="1" x14ac:dyDescent="0.2">
      <c r="A278" s="20">
        <f>MATCH(C278,'[1]Slot Managers Split'!G:G,0)</f>
        <v>322</v>
      </c>
      <c r="C278" s="20" t="s">
        <v>172</v>
      </c>
      <c r="D278" s="20" t="s">
        <v>173</v>
      </c>
      <c r="E278" s="20" t="s">
        <v>174</v>
      </c>
      <c r="F278" s="20" t="s">
        <v>31</v>
      </c>
      <c r="G278" s="20" t="s">
        <v>32</v>
      </c>
      <c r="H278" s="21">
        <v>1145</v>
      </c>
      <c r="I278" s="21">
        <v>116</v>
      </c>
      <c r="J278" s="21">
        <v>21</v>
      </c>
      <c r="K278" s="21">
        <v>0</v>
      </c>
      <c r="L278" s="20" t="s">
        <v>34</v>
      </c>
      <c r="M278" s="20" t="s">
        <v>33</v>
      </c>
      <c r="N278" s="21">
        <v>90000</v>
      </c>
      <c r="O278" s="21">
        <v>50000</v>
      </c>
      <c r="P278" s="21">
        <v>320</v>
      </c>
      <c r="Q278" s="21">
        <v>0</v>
      </c>
      <c r="R278" s="21">
        <v>0</v>
      </c>
      <c r="S278" s="21">
        <v>1500</v>
      </c>
      <c r="T278" s="21">
        <v>0</v>
      </c>
      <c r="U278" s="20" t="s">
        <v>34</v>
      </c>
      <c r="V278" s="20" t="s">
        <v>33</v>
      </c>
      <c r="W278" s="20" t="s">
        <v>35</v>
      </c>
      <c r="X278" s="20" t="s">
        <v>176</v>
      </c>
    </row>
    <row r="279" spans="1:24" s="20" customFormat="1" hidden="1" x14ac:dyDescent="0.2">
      <c r="A279" s="20">
        <f>MATCH(C279,'[1]Slot Managers Split'!G:G,0)</f>
        <v>354</v>
      </c>
      <c r="C279" s="20" t="s">
        <v>589</v>
      </c>
      <c r="D279" s="20" t="s">
        <v>590</v>
      </c>
      <c r="E279" s="20" t="s">
        <v>387</v>
      </c>
      <c r="F279" s="20" t="s">
        <v>31</v>
      </c>
      <c r="G279" s="20" t="s">
        <v>32</v>
      </c>
      <c r="H279" s="21">
        <v>1145</v>
      </c>
      <c r="I279" s="21">
        <v>13</v>
      </c>
      <c r="J279" s="21">
        <v>8</v>
      </c>
      <c r="K279" s="21">
        <v>200</v>
      </c>
      <c r="L279" s="20" t="s">
        <v>33</v>
      </c>
      <c r="M279" s="20" t="s">
        <v>33</v>
      </c>
      <c r="N279" s="21">
        <v>50000</v>
      </c>
      <c r="O279" s="21">
        <v>13000</v>
      </c>
      <c r="P279" s="21">
        <v>326</v>
      </c>
      <c r="Q279" s="21">
        <v>7</v>
      </c>
      <c r="R279" s="21">
        <v>2</v>
      </c>
      <c r="S279" s="21">
        <v>1000</v>
      </c>
      <c r="T279" s="21">
        <v>650</v>
      </c>
      <c r="U279" s="20" t="s">
        <v>34</v>
      </c>
      <c r="V279" s="20" t="s">
        <v>34</v>
      </c>
      <c r="W279" s="20" t="s">
        <v>35</v>
      </c>
      <c r="X279" s="20" t="s">
        <v>591</v>
      </c>
    </row>
    <row r="280" spans="1:24" s="31" customFormat="1" hidden="1" x14ac:dyDescent="0.2">
      <c r="A280" s="31" t="e">
        <f>MATCH(C280,'[1]Slot Managers Split'!G:G,0)</f>
        <v>#N/A</v>
      </c>
      <c r="C280" s="31" t="s">
        <v>588</v>
      </c>
      <c r="D280" s="31" t="s">
        <v>128</v>
      </c>
      <c r="E280" s="31" t="s">
        <v>129</v>
      </c>
      <c r="F280" s="31" t="s">
        <v>31</v>
      </c>
      <c r="G280" s="31" t="s">
        <v>32</v>
      </c>
      <c r="H280" s="32">
        <v>1142</v>
      </c>
      <c r="I280" s="32">
        <v>45</v>
      </c>
      <c r="J280" s="32">
        <v>6</v>
      </c>
      <c r="K280" s="32">
        <v>0</v>
      </c>
      <c r="L280" s="31" t="s">
        <v>34</v>
      </c>
      <c r="M280" s="31" t="s">
        <v>33</v>
      </c>
      <c r="N280" s="32">
        <v>85340</v>
      </c>
      <c r="O280" s="32">
        <v>65000</v>
      </c>
      <c r="P280" s="32">
        <v>1088</v>
      </c>
      <c r="Q280" s="32">
        <v>7</v>
      </c>
      <c r="R280" s="32">
        <v>4</v>
      </c>
      <c r="S280" s="32">
        <v>3400</v>
      </c>
      <c r="T280" s="32">
        <v>1159</v>
      </c>
      <c r="U280" s="31" t="s">
        <v>33</v>
      </c>
      <c r="V280" s="31" t="s">
        <v>33</v>
      </c>
      <c r="W280" s="31" t="s">
        <v>35</v>
      </c>
      <c r="X280" s="31" t="s">
        <v>53</v>
      </c>
    </row>
    <row r="281" spans="1:24" x14ac:dyDescent="0.2">
      <c r="A281" s="22" t="e">
        <f>MATCH(C281,'[1]Slot Managers Split'!G:G,0)</f>
        <v>#N/A</v>
      </c>
      <c r="B281" s="22"/>
      <c r="C281" s="22" t="s">
        <v>994</v>
      </c>
      <c r="D281" s="22" t="s">
        <v>995</v>
      </c>
      <c r="E281" s="22" t="s">
        <v>996</v>
      </c>
      <c r="F281" s="22" t="s">
        <v>997</v>
      </c>
      <c r="G281" s="22" t="s">
        <v>32</v>
      </c>
      <c r="H281" s="27">
        <v>1140</v>
      </c>
      <c r="I281" s="27">
        <v>119</v>
      </c>
      <c r="J281" s="27">
        <v>0</v>
      </c>
      <c r="K281" s="27">
        <v>0</v>
      </c>
      <c r="L281" s="22" t="s">
        <v>33</v>
      </c>
      <c r="M281" s="22" t="s">
        <v>33</v>
      </c>
      <c r="N281" s="27">
        <v>100000</v>
      </c>
      <c r="O281" s="27">
        <v>200000</v>
      </c>
      <c r="P281" s="27">
        <v>0</v>
      </c>
      <c r="Q281" s="27">
        <v>18</v>
      </c>
      <c r="R281" s="27">
        <v>0</v>
      </c>
      <c r="S281" s="27">
        <v>0</v>
      </c>
      <c r="T281" s="27">
        <v>0</v>
      </c>
      <c r="U281" s="22" t="s">
        <v>33</v>
      </c>
      <c r="V281" s="22" t="s">
        <v>33</v>
      </c>
      <c r="W281" s="22" t="s">
        <v>35</v>
      </c>
      <c r="X281" s="22" t="s">
        <v>998</v>
      </c>
    </row>
    <row r="282" spans="1:24" s="31" customFormat="1" hidden="1" x14ac:dyDescent="0.2">
      <c r="A282" s="31" t="e">
        <f>MATCH(C282,'[1]Slot Managers Split'!G:G,0)</f>
        <v>#N/A</v>
      </c>
      <c r="C282" s="31" t="s">
        <v>193</v>
      </c>
      <c r="D282" s="31" t="s">
        <v>194</v>
      </c>
      <c r="E282" s="31" t="s">
        <v>51</v>
      </c>
      <c r="F282" s="31" t="s">
        <v>31</v>
      </c>
      <c r="G282" s="31" t="s">
        <v>32</v>
      </c>
      <c r="H282" s="32">
        <v>1140</v>
      </c>
      <c r="I282" s="32">
        <v>16</v>
      </c>
      <c r="J282" s="32">
        <v>0</v>
      </c>
      <c r="K282" s="32">
        <v>0</v>
      </c>
      <c r="L282" s="31" t="s">
        <v>34</v>
      </c>
      <c r="M282" s="31" t="s">
        <v>34</v>
      </c>
      <c r="N282" s="32">
        <v>27000</v>
      </c>
      <c r="O282" s="32">
        <v>10000</v>
      </c>
      <c r="P282" s="32">
        <v>618</v>
      </c>
      <c r="Q282" s="32">
        <v>5</v>
      </c>
      <c r="R282" s="32">
        <v>3</v>
      </c>
      <c r="S282" s="32">
        <v>1750</v>
      </c>
      <c r="T282" s="32">
        <v>986</v>
      </c>
      <c r="U282" s="31" t="s">
        <v>33</v>
      </c>
      <c r="V282" s="31" t="s">
        <v>33</v>
      </c>
      <c r="W282" s="31" t="s">
        <v>35</v>
      </c>
      <c r="X282" s="31" t="s">
        <v>195</v>
      </c>
    </row>
    <row r="283" spans="1:24" s="31" customFormat="1" hidden="1" x14ac:dyDescent="0.2">
      <c r="A283" s="31" t="e">
        <f>MATCH(C283,'[1]Slot Managers Split'!G:G,0)</f>
        <v>#N/A</v>
      </c>
      <c r="C283" s="31" t="s">
        <v>873</v>
      </c>
      <c r="D283" s="31" t="s">
        <v>596</v>
      </c>
      <c r="E283" s="31" t="s">
        <v>158</v>
      </c>
      <c r="F283" s="31" t="s">
        <v>31</v>
      </c>
      <c r="G283" s="31" t="s">
        <v>32</v>
      </c>
      <c r="H283" s="32">
        <v>1124</v>
      </c>
      <c r="I283" s="32">
        <v>24</v>
      </c>
      <c r="J283" s="32">
        <v>0</v>
      </c>
      <c r="K283" s="32">
        <v>244</v>
      </c>
      <c r="L283" s="31" t="s">
        <v>34</v>
      </c>
      <c r="M283" s="31" t="s">
        <v>33</v>
      </c>
      <c r="N283" s="32">
        <v>50000</v>
      </c>
      <c r="O283" s="32">
        <v>8000</v>
      </c>
      <c r="P283" s="32">
        <v>154</v>
      </c>
      <c r="Q283" s="32">
        <v>8</v>
      </c>
      <c r="R283" s="32">
        <v>1</v>
      </c>
      <c r="S283" s="32">
        <v>2900</v>
      </c>
      <c r="T283" s="32">
        <v>800</v>
      </c>
      <c r="U283" s="31" t="s">
        <v>34</v>
      </c>
      <c r="V283" s="31" t="s">
        <v>34</v>
      </c>
      <c r="W283" s="31" t="s">
        <v>35</v>
      </c>
      <c r="X283" s="31" t="s">
        <v>874</v>
      </c>
    </row>
    <row r="284" spans="1:24" s="31" customFormat="1" hidden="1" x14ac:dyDescent="0.2">
      <c r="A284" s="31" t="e">
        <f>MATCH(C284,'[1]Slot Managers Split'!G:G,0)</f>
        <v>#N/A</v>
      </c>
      <c r="C284" s="31" t="s">
        <v>86</v>
      </c>
      <c r="D284" s="31" t="s">
        <v>87</v>
      </c>
      <c r="E284" s="31" t="s">
        <v>88</v>
      </c>
      <c r="F284" s="31" t="s">
        <v>31</v>
      </c>
      <c r="G284" s="31" t="s">
        <v>32</v>
      </c>
      <c r="H284" s="32">
        <v>1122</v>
      </c>
      <c r="I284" s="32">
        <v>82</v>
      </c>
      <c r="J284" s="32">
        <v>0</v>
      </c>
      <c r="K284" s="32">
        <v>0</v>
      </c>
      <c r="L284" s="31" t="s">
        <v>34</v>
      </c>
      <c r="M284" s="31" t="s">
        <v>34</v>
      </c>
      <c r="N284" s="32">
        <v>127247</v>
      </c>
      <c r="O284" s="32">
        <v>225340</v>
      </c>
      <c r="P284" s="32">
        <v>1214</v>
      </c>
      <c r="Q284" s="32">
        <v>15</v>
      </c>
      <c r="R284" s="32">
        <v>6</v>
      </c>
      <c r="S284" s="32">
        <v>3478</v>
      </c>
      <c r="T284" s="32">
        <v>2298</v>
      </c>
      <c r="U284" s="31" t="s">
        <v>33</v>
      </c>
      <c r="V284" s="31" t="s">
        <v>33</v>
      </c>
      <c r="W284" s="31" t="s">
        <v>35</v>
      </c>
      <c r="X284" s="31" t="s">
        <v>94</v>
      </c>
    </row>
    <row r="285" spans="1:24" s="20" customFormat="1" hidden="1" x14ac:dyDescent="0.2">
      <c r="A285" s="20">
        <f>MATCH(C285,'[1]Slot Managers Split'!G:G,0)</f>
        <v>151</v>
      </c>
      <c r="C285" s="20" t="s">
        <v>1037</v>
      </c>
      <c r="D285" s="20" t="s">
        <v>1038</v>
      </c>
      <c r="E285" s="20" t="s">
        <v>387</v>
      </c>
      <c r="F285" s="20" t="s">
        <v>31</v>
      </c>
      <c r="G285" s="20" t="s">
        <v>32</v>
      </c>
      <c r="H285" s="21">
        <v>1112</v>
      </c>
      <c r="I285" s="21">
        <v>24</v>
      </c>
      <c r="J285" s="21">
        <v>5</v>
      </c>
      <c r="K285" s="21">
        <v>0</v>
      </c>
      <c r="L285" s="20" t="s">
        <v>34</v>
      </c>
      <c r="M285" s="20" t="s">
        <v>33</v>
      </c>
      <c r="N285" s="21">
        <v>56000</v>
      </c>
      <c r="O285" s="21">
        <v>72000</v>
      </c>
      <c r="P285" s="21">
        <v>137</v>
      </c>
      <c r="Q285" s="21">
        <v>7</v>
      </c>
      <c r="R285" s="21">
        <v>0</v>
      </c>
      <c r="S285" s="21">
        <v>1484</v>
      </c>
      <c r="T285" s="21">
        <v>900</v>
      </c>
      <c r="U285" s="20" t="s">
        <v>34</v>
      </c>
      <c r="V285" s="20" t="s">
        <v>34</v>
      </c>
      <c r="W285" s="20" t="s">
        <v>35</v>
      </c>
      <c r="X285" s="20" t="s">
        <v>1039</v>
      </c>
    </row>
    <row r="286" spans="1:24" s="20" customFormat="1" hidden="1" x14ac:dyDescent="0.2">
      <c r="A286" s="20">
        <f>MATCH(C286,'[1]Slot Managers Split'!G:G,0)</f>
        <v>180</v>
      </c>
      <c r="C286" s="20" t="s">
        <v>856</v>
      </c>
      <c r="D286" s="20" t="s">
        <v>857</v>
      </c>
      <c r="E286" s="20" t="s">
        <v>455</v>
      </c>
      <c r="F286" s="20" t="s">
        <v>180</v>
      </c>
      <c r="G286" s="20" t="s">
        <v>32</v>
      </c>
      <c r="H286" s="21">
        <v>1100</v>
      </c>
      <c r="I286" s="21">
        <v>0</v>
      </c>
      <c r="J286" s="21">
        <v>10</v>
      </c>
      <c r="K286" s="21">
        <v>0</v>
      </c>
      <c r="L286" s="20" t="s">
        <v>33</v>
      </c>
      <c r="M286" s="20" t="s">
        <v>34</v>
      </c>
      <c r="N286" s="21">
        <v>70000</v>
      </c>
      <c r="O286" s="21">
        <v>13000</v>
      </c>
      <c r="P286" s="21">
        <v>390</v>
      </c>
      <c r="Q286" s="21">
        <v>4</v>
      </c>
      <c r="R286" s="21">
        <v>3</v>
      </c>
      <c r="S286" s="21">
        <v>1500</v>
      </c>
      <c r="T286" s="21">
        <v>1000</v>
      </c>
      <c r="U286" s="20" t="s">
        <v>33</v>
      </c>
      <c r="V286" s="20" t="s">
        <v>33</v>
      </c>
      <c r="W286" s="20" t="s">
        <v>35</v>
      </c>
      <c r="X286" s="20" t="s">
        <v>350</v>
      </c>
    </row>
    <row r="287" spans="1:24" s="31" customFormat="1" hidden="1" x14ac:dyDescent="0.2">
      <c r="A287" s="31" t="e">
        <f>MATCH(C287,'[1]Slot Managers Split'!G:G,0)</f>
        <v>#N/A</v>
      </c>
      <c r="C287" s="31" t="s">
        <v>133</v>
      </c>
      <c r="D287" s="31" t="s">
        <v>134</v>
      </c>
      <c r="E287" s="31" t="s">
        <v>135</v>
      </c>
      <c r="F287" s="31" t="s">
        <v>31</v>
      </c>
      <c r="G287" s="31" t="s">
        <v>32</v>
      </c>
      <c r="H287" s="32">
        <v>1100</v>
      </c>
      <c r="I287" s="32">
        <v>0</v>
      </c>
      <c r="J287" s="32">
        <v>0</v>
      </c>
      <c r="K287" s="32">
        <v>0</v>
      </c>
      <c r="L287" s="31" t="s">
        <v>34</v>
      </c>
      <c r="M287" s="31" t="s">
        <v>34</v>
      </c>
      <c r="N287" s="32">
        <v>0</v>
      </c>
      <c r="O287" s="32">
        <v>0</v>
      </c>
      <c r="P287" s="32">
        <v>0</v>
      </c>
      <c r="Q287" s="32">
        <v>6</v>
      </c>
      <c r="R287" s="32">
        <v>1</v>
      </c>
      <c r="S287" s="32">
        <v>1374</v>
      </c>
      <c r="T287" s="32">
        <v>650</v>
      </c>
      <c r="U287" s="31" t="s">
        <v>33</v>
      </c>
      <c r="V287" s="31" t="s">
        <v>33</v>
      </c>
      <c r="W287" s="31" t="s">
        <v>103</v>
      </c>
      <c r="X287" s="31" t="s">
        <v>64</v>
      </c>
    </row>
    <row r="288" spans="1:24" hidden="1" x14ac:dyDescent="0.2">
      <c r="A288">
        <f>MATCH(C288,'[1]Slot Managers Split'!G:G,0)</f>
        <v>356</v>
      </c>
      <c r="C288" t="s">
        <v>141</v>
      </c>
      <c r="D288" t="s">
        <v>142</v>
      </c>
      <c r="E288" t="s">
        <v>39</v>
      </c>
      <c r="F288" t="s">
        <v>31</v>
      </c>
      <c r="G288" t="s">
        <v>32</v>
      </c>
      <c r="H288" s="1">
        <v>1100</v>
      </c>
      <c r="I288" s="1">
        <v>22</v>
      </c>
      <c r="J288" s="1">
        <v>6</v>
      </c>
      <c r="K288" s="1">
        <v>0</v>
      </c>
      <c r="L288" t="s">
        <v>33</v>
      </c>
      <c r="M288" t="s">
        <v>33</v>
      </c>
      <c r="N288" s="1">
        <v>65000</v>
      </c>
      <c r="O288" s="1">
        <v>6000</v>
      </c>
      <c r="P288" s="1">
        <v>148</v>
      </c>
      <c r="Q288" s="1">
        <v>7</v>
      </c>
      <c r="R288" s="1">
        <v>1</v>
      </c>
      <c r="S288" s="1">
        <v>1000</v>
      </c>
      <c r="T288" s="1">
        <v>902</v>
      </c>
      <c r="U288" t="s">
        <v>34</v>
      </c>
      <c r="V288" t="s">
        <v>34</v>
      </c>
      <c r="W288" t="s">
        <v>35</v>
      </c>
      <c r="X288" t="s">
        <v>143</v>
      </c>
    </row>
    <row r="289" spans="1:24" s="31" customFormat="1" hidden="1" x14ac:dyDescent="0.2">
      <c r="A289" s="31" t="e">
        <f>MATCH(C289,'[1]Slot Managers Split'!G:G,0)</f>
        <v>#N/A</v>
      </c>
      <c r="C289" s="31" t="s">
        <v>374</v>
      </c>
      <c r="D289" s="31" t="s">
        <v>375</v>
      </c>
      <c r="E289" s="31" t="s">
        <v>106</v>
      </c>
      <c r="F289" s="31" t="s">
        <v>31</v>
      </c>
      <c r="G289" s="31" t="s">
        <v>32</v>
      </c>
      <c r="H289" s="32">
        <v>1100</v>
      </c>
      <c r="I289" s="32">
        <v>0</v>
      </c>
      <c r="J289" s="32">
        <v>0</v>
      </c>
      <c r="K289" s="32">
        <v>0</v>
      </c>
      <c r="L289" s="31" t="s">
        <v>34</v>
      </c>
      <c r="M289" s="31" t="s">
        <v>34</v>
      </c>
      <c r="N289" s="32">
        <v>13975</v>
      </c>
      <c r="O289" s="32">
        <v>15000</v>
      </c>
      <c r="P289" s="32">
        <v>117</v>
      </c>
      <c r="Q289" s="32">
        <v>7</v>
      </c>
      <c r="R289" s="32">
        <v>3</v>
      </c>
      <c r="S289" s="32">
        <v>2500</v>
      </c>
      <c r="T289" s="32">
        <v>421</v>
      </c>
      <c r="U289" s="31" t="s">
        <v>33</v>
      </c>
      <c r="V289" s="31" t="s">
        <v>33</v>
      </c>
      <c r="W289" s="31" t="s">
        <v>103</v>
      </c>
      <c r="X289" s="31" t="s">
        <v>53</v>
      </c>
    </row>
    <row r="290" spans="1:24" s="20" customFormat="1" hidden="1" x14ac:dyDescent="0.2">
      <c r="A290" s="20">
        <f>MATCH(C290,'[1]Slot Managers Split'!G:G,0)</f>
        <v>183</v>
      </c>
      <c r="C290" s="20" t="s">
        <v>568</v>
      </c>
      <c r="D290" s="20" t="s">
        <v>569</v>
      </c>
      <c r="E290" s="20" t="s">
        <v>135</v>
      </c>
      <c r="F290" s="20" t="s">
        <v>31</v>
      </c>
      <c r="G290" s="20" t="s">
        <v>32</v>
      </c>
      <c r="H290" s="21">
        <v>1100</v>
      </c>
      <c r="I290" s="21">
        <v>0</v>
      </c>
      <c r="J290" s="21">
        <v>0</v>
      </c>
      <c r="K290" s="21">
        <v>0</v>
      </c>
      <c r="L290" s="20" t="s">
        <v>33</v>
      </c>
      <c r="M290" s="20" t="s">
        <v>33</v>
      </c>
      <c r="N290" s="21">
        <v>50000</v>
      </c>
      <c r="O290" s="21">
        <v>0</v>
      </c>
      <c r="P290" s="21">
        <v>0</v>
      </c>
      <c r="Q290" s="21">
        <v>7</v>
      </c>
      <c r="R290" s="21">
        <v>0</v>
      </c>
      <c r="S290" s="21">
        <v>0</v>
      </c>
      <c r="T290" s="21">
        <v>496</v>
      </c>
      <c r="U290" s="20" t="s">
        <v>33</v>
      </c>
      <c r="V290" s="20" t="s">
        <v>33</v>
      </c>
      <c r="W290" s="20" t="s">
        <v>103</v>
      </c>
      <c r="X290" s="20" t="s">
        <v>59</v>
      </c>
    </row>
    <row r="291" spans="1:24" s="31" customFormat="1" hidden="1" x14ac:dyDescent="0.2">
      <c r="A291" s="31" t="e">
        <f>MATCH(C291,'[1]Slot Managers Split'!G:G,0)</f>
        <v>#N/A</v>
      </c>
      <c r="C291" s="36" t="s">
        <v>763</v>
      </c>
      <c r="D291" s="31" t="s">
        <v>764</v>
      </c>
      <c r="E291" s="31" t="s">
        <v>387</v>
      </c>
      <c r="F291" s="31" t="s">
        <v>31</v>
      </c>
      <c r="G291" s="31" t="s">
        <v>32</v>
      </c>
      <c r="H291" s="32">
        <v>1100</v>
      </c>
      <c r="I291" s="32">
        <v>23</v>
      </c>
      <c r="J291" s="32">
        <v>4</v>
      </c>
      <c r="K291" s="32">
        <v>0</v>
      </c>
      <c r="L291" s="31" t="s">
        <v>33</v>
      </c>
      <c r="M291" s="31" t="s">
        <v>33</v>
      </c>
      <c r="N291" s="32">
        <v>33000</v>
      </c>
      <c r="O291" s="32">
        <v>2700</v>
      </c>
      <c r="P291" s="32">
        <v>137</v>
      </c>
      <c r="Q291" s="32">
        <v>6</v>
      </c>
      <c r="R291" s="32">
        <v>1</v>
      </c>
      <c r="S291" s="32">
        <v>800</v>
      </c>
      <c r="T291" s="32">
        <v>1000</v>
      </c>
      <c r="U291" s="31" t="s">
        <v>34</v>
      </c>
      <c r="V291" s="31" t="s">
        <v>34</v>
      </c>
      <c r="W291" s="31" t="s">
        <v>35</v>
      </c>
      <c r="X291" s="31" t="s">
        <v>765</v>
      </c>
    </row>
    <row r="292" spans="1:24" hidden="1" x14ac:dyDescent="0.2">
      <c r="A292" t="e">
        <f>MATCH(C292,'[1]Slot Managers Split'!G:G,0)</f>
        <v>#N/A</v>
      </c>
      <c r="C292" t="s">
        <v>1040</v>
      </c>
      <c r="D292" t="s">
        <v>1041</v>
      </c>
      <c r="E292" t="s">
        <v>325</v>
      </c>
      <c r="F292" t="s">
        <v>31</v>
      </c>
      <c r="G292" t="s">
        <v>32</v>
      </c>
      <c r="H292" s="1">
        <v>1097</v>
      </c>
      <c r="I292" s="1">
        <v>10</v>
      </c>
      <c r="J292" s="1">
        <v>0</v>
      </c>
      <c r="K292" s="1">
        <v>100</v>
      </c>
      <c r="L292" t="s">
        <v>33</v>
      </c>
      <c r="M292" t="s">
        <v>33</v>
      </c>
      <c r="N292" s="1">
        <v>36000</v>
      </c>
      <c r="O292" s="1">
        <v>16000</v>
      </c>
      <c r="P292" s="1">
        <v>200</v>
      </c>
      <c r="Q292" s="1">
        <v>6</v>
      </c>
      <c r="R292" s="1">
        <v>1</v>
      </c>
      <c r="S292" s="1">
        <v>0</v>
      </c>
      <c r="T292" s="1">
        <v>600</v>
      </c>
      <c r="U292" t="s">
        <v>34</v>
      </c>
      <c r="V292" t="s">
        <v>34</v>
      </c>
      <c r="W292" t="s">
        <v>35</v>
      </c>
      <c r="X292" t="s">
        <v>1042</v>
      </c>
    </row>
    <row r="293" spans="1:24" hidden="1" x14ac:dyDescent="0.2">
      <c r="A293">
        <f>MATCH(C293,'[1]Slot Managers Split'!G:G,0)</f>
        <v>312</v>
      </c>
      <c r="C293" t="s">
        <v>783</v>
      </c>
      <c r="D293" t="s">
        <v>784</v>
      </c>
      <c r="E293" t="s">
        <v>106</v>
      </c>
      <c r="F293" t="s">
        <v>31</v>
      </c>
      <c r="G293" t="s">
        <v>32</v>
      </c>
      <c r="H293" s="1">
        <v>1095</v>
      </c>
      <c r="I293" s="1">
        <v>32</v>
      </c>
      <c r="J293" s="1">
        <v>7</v>
      </c>
      <c r="K293" s="1">
        <v>0</v>
      </c>
      <c r="L293" t="s">
        <v>33</v>
      </c>
      <c r="M293" t="s">
        <v>34</v>
      </c>
      <c r="N293" s="1">
        <v>72120</v>
      </c>
      <c r="O293" s="1">
        <v>25000</v>
      </c>
      <c r="P293" s="1">
        <v>531</v>
      </c>
      <c r="Q293" s="1">
        <v>10</v>
      </c>
      <c r="R293" s="1">
        <v>1</v>
      </c>
      <c r="S293" s="1">
        <v>2500</v>
      </c>
      <c r="T293" s="1">
        <v>1600</v>
      </c>
      <c r="U293" t="s">
        <v>34</v>
      </c>
      <c r="V293" t="s">
        <v>34</v>
      </c>
      <c r="W293" t="s">
        <v>35</v>
      </c>
      <c r="X293" t="s">
        <v>785</v>
      </c>
    </row>
    <row r="294" spans="1:24" hidden="1" x14ac:dyDescent="0.2">
      <c r="A294" t="e">
        <f>MATCH(C294,'[1]Slot Managers Split'!G:G,0)</f>
        <v>#N/A</v>
      </c>
      <c r="C294" t="s">
        <v>921</v>
      </c>
      <c r="D294" t="s">
        <v>922</v>
      </c>
      <c r="E294" t="s">
        <v>70</v>
      </c>
      <c r="F294" t="s">
        <v>31</v>
      </c>
      <c r="G294" t="s">
        <v>32</v>
      </c>
      <c r="H294" s="1">
        <v>1094</v>
      </c>
      <c r="I294" s="1">
        <v>16</v>
      </c>
      <c r="J294" s="1">
        <v>0</v>
      </c>
      <c r="K294" s="1">
        <v>0</v>
      </c>
      <c r="L294" t="s">
        <v>33</v>
      </c>
      <c r="M294" t="s">
        <v>33</v>
      </c>
      <c r="N294" s="1">
        <v>50000</v>
      </c>
      <c r="O294" s="1">
        <v>25000</v>
      </c>
      <c r="P294" s="1">
        <v>206</v>
      </c>
      <c r="Q294" s="1">
        <v>9</v>
      </c>
      <c r="R294" s="1">
        <v>2</v>
      </c>
      <c r="S294" s="1">
        <v>1184</v>
      </c>
      <c r="T294" s="1">
        <v>683</v>
      </c>
      <c r="U294" t="s">
        <v>34</v>
      </c>
      <c r="V294" t="s">
        <v>34</v>
      </c>
      <c r="W294" t="s">
        <v>35</v>
      </c>
      <c r="X294" t="s">
        <v>923</v>
      </c>
    </row>
    <row r="295" spans="1:24" hidden="1" x14ac:dyDescent="0.2">
      <c r="A295" t="e">
        <f>MATCH(C295,'[1]Slot Managers Split'!G:G,0)</f>
        <v>#N/A</v>
      </c>
      <c r="C295" t="s">
        <v>518</v>
      </c>
      <c r="D295" t="s">
        <v>81</v>
      </c>
      <c r="E295" t="s">
        <v>51</v>
      </c>
      <c r="F295" t="s">
        <v>31</v>
      </c>
      <c r="G295" t="s">
        <v>32</v>
      </c>
      <c r="H295" s="1">
        <v>1090</v>
      </c>
      <c r="I295" s="1">
        <v>64</v>
      </c>
      <c r="J295" s="1">
        <v>0</v>
      </c>
      <c r="K295" s="1">
        <v>0</v>
      </c>
      <c r="L295" t="s">
        <v>34</v>
      </c>
      <c r="M295" t="s">
        <v>34</v>
      </c>
      <c r="N295" s="1">
        <v>88800</v>
      </c>
      <c r="O295" s="1">
        <v>25000</v>
      </c>
      <c r="P295" s="1">
        <v>2540</v>
      </c>
      <c r="Q295" s="1">
        <v>11</v>
      </c>
      <c r="R295" s="1">
        <v>8</v>
      </c>
      <c r="S295" s="1">
        <v>2720</v>
      </c>
      <c r="T295" s="1">
        <v>1381</v>
      </c>
      <c r="U295" t="s">
        <v>33</v>
      </c>
      <c r="V295" t="s">
        <v>33</v>
      </c>
      <c r="W295" t="s">
        <v>35</v>
      </c>
      <c r="X295" t="s">
        <v>167</v>
      </c>
    </row>
    <row r="296" spans="1:24" hidden="1" x14ac:dyDescent="0.2">
      <c r="A296" t="e">
        <f>MATCH(C296,'[1]Slot Managers Split'!G:G,0)</f>
        <v>#N/A</v>
      </c>
      <c r="C296" t="s">
        <v>328</v>
      </c>
      <c r="D296" t="s">
        <v>329</v>
      </c>
      <c r="E296" t="s">
        <v>325</v>
      </c>
      <c r="F296" t="s">
        <v>31</v>
      </c>
      <c r="G296" t="s">
        <v>32</v>
      </c>
      <c r="H296" s="1">
        <v>1089</v>
      </c>
      <c r="I296" s="1">
        <v>52</v>
      </c>
      <c r="J296" s="1">
        <v>0</v>
      </c>
      <c r="K296" s="1">
        <v>0</v>
      </c>
      <c r="L296" t="s">
        <v>33</v>
      </c>
      <c r="M296" t="s">
        <v>33</v>
      </c>
      <c r="N296" s="1">
        <v>75000</v>
      </c>
      <c r="O296" s="1">
        <v>180000</v>
      </c>
      <c r="P296" s="1">
        <v>0</v>
      </c>
      <c r="Q296" s="1">
        <v>6</v>
      </c>
      <c r="R296" s="1">
        <v>0</v>
      </c>
      <c r="S296" s="1">
        <v>0</v>
      </c>
      <c r="T296" s="1">
        <v>500</v>
      </c>
      <c r="U296" t="s">
        <v>34</v>
      </c>
      <c r="V296" t="s">
        <v>34</v>
      </c>
      <c r="W296" t="s">
        <v>35</v>
      </c>
      <c r="X296" t="s">
        <v>327</v>
      </c>
    </row>
    <row r="297" spans="1:24" hidden="1" x14ac:dyDescent="0.2">
      <c r="A297" t="e">
        <f>MATCH(C297,'[1]Slot Managers Split'!G:G,0)</f>
        <v>#N/A</v>
      </c>
      <c r="C297" t="s">
        <v>965</v>
      </c>
      <c r="D297" t="s">
        <v>966</v>
      </c>
      <c r="E297" t="s">
        <v>478</v>
      </c>
      <c r="F297" t="s">
        <v>31</v>
      </c>
      <c r="G297" t="s">
        <v>32</v>
      </c>
      <c r="H297" s="1">
        <v>1083</v>
      </c>
      <c r="I297" s="1">
        <v>18</v>
      </c>
      <c r="J297" s="1">
        <v>6</v>
      </c>
      <c r="K297" s="1">
        <v>0</v>
      </c>
      <c r="L297" t="s">
        <v>34</v>
      </c>
      <c r="M297" t="s">
        <v>33</v>
      </c>
      <c r="N297" s="1">
        <v>95000</v>
      </c>
      <c r="O297" s="1">
        <v>14000</v>
      </c>
      <c r="P297" s="1">
        <v>161</v>
      </c>
      <c r="Q297" s="1">
        <v>3</v>
      </c>
      <c r="R297" s="1">
        <v>0</v>
      </c>
      <c r="S297" s="1">
        <v>912</v>
      </c>
      <c r="T297" s="1">
        <v>900</v>
      </c>
      <c r="U297" t="s">
        <v>34</v>
      </c>
      <c r="V297" t="s">
        <v>34</v>
      </c>
      <c r="W297" t="s">
        <v>35</v>
      </c>
      <c r="X297" t="s">
        <v>968</v>
      </c>
    </row>
    <row r="298" spans="1:24" hidden="1" x14ac:dyDescent="0.2">
      <c r="A298" t="e">
        <f>MATCH(C298,'[1]Slot Managers Split'!G:G,0)</f>
        <v>#N/A</v>
      </c>
      <c r="C298" t="s">
        <v>244</v>
      </c>
      <c r="D298" t="s">
        <v>245</v>
      </c>
      <c r="E298" t="s">
        <v>246</v>
      </c>
      <c r="F298" t="s">
        <v>31</v>
      </c>
      <c r="G298" t="s">
        <v>32</v>
      </c>
      <c r="H298" s="1">
        <v>1080</v>
      </c>
      <c r="I298" s="1">
        <v>19</v>
      </c>
      <c r="J298" s="1">
        <v>8</v>
      </c>
      <c r="K298" s="1">
        <v>400</v>
      </c>
      <c r="L298" t="s">
        <v>34</v>
      </c>
      <c r="M298" t="s">
        <v>33</v>
      </c>
      <c r="N298" s="1">
        <v>30000</v>
      </c>
      <c r="O298" s="1">
        <v>35000</v>
      </c>
      <c r="P298" s="1">
        <v>243</v>
      </c>
      <c r="Q298" s="1">
        <v>8</v>
      </c>
      <c r="R298" s="1">
        <v>1</v>
      </c>
      <c r="S298" s="1">
        <v>1550</v>
      </c>
      <c r="T298" s="1">
        <v>884</v>
      </c>
      <c r="U298" t="s">
        <v>34</v>
      </c>
      <c r="V298" t="s">
        <v>34</v>
      </c>
      <c r="W298" t="s">
        <v>35</v>
      </c>
      <c r="X298" t="s">
        <v>247</v>
      </c>
    </row>
    <row r="299" spans="1:24" hidden="1" x14ac:dyDescent="0.2">
      <c r="A299" t="e">
        <f>MATCH(C299,'[1]Slot Managers Split'!G:G,0)</f>
        <v>#N/A</v>
      </c>
      <c r="C299" t="s">
        <v>1049</v>
      </c>
      <c r="D299" t="s">
        <v>194</v>
      </c>
      <c r="E299" t="s">
        <v>51</v>
      </c>
      <c r="F299" t="s">
        <v>31</v>
      </c>
      <c r="G299" t="s">
        <v>32</v>
      </c>
      <c r="H299" s="1">
        <v>1080</v>
      </c>
      <c r="I299" s="1">
        <v>16</v>
      </c>
      <c r="J299" s="1">
        <v>0</v>
      </c>
      <c r="K299" s="1">
        <v>0</v>
      </c>
      <c r="L299" t="s">
        <v>34</v>
      </c>
      <c r="M299" t="s">
        <v>34</v>
      </c>
      <c r="N299" s="1">
        <v>37000</v>
      </c>
      <c r="O299" s="1">
        <v>3000</v>
      </c>
      <c r="P299" s="1">
        <v>792</v>
      </c>
      <c r="Q299" s="1">
        <v>3</v>
      </c>
      <c r="R299" s="1">
        <v>1</v>
      </c>
      <c r="S299" s="1">
        <v>1600</v>
      </c>
      <c r="T299" s="1">
        <v>774</v>
      </c>
      <c r="U299" t="s">
        <v>33</v>
      </c>
      <c r="V299" t="s">
        <v>33</v>
      </c>
      <c r="W299" t="s">
        <v>35</v>
      </c>
      <c r="X299" t="s">
        <v>195</v>
      </c>
    </row>
    <row r="300" spans="1:24" hidden="1" x14ac:dyDescent="0.2">
      <c r="A300" t="e">
        <f>MATCH(C300,'[1]Slot Managers Split'!G:G,0)</f>
        <v>#N/A</v>
      </c>
      <c r="C300" t="s">
        <v>78</v>
      </c>
      <c r="D300" t="s">
        <v>79</v>
      </c>
      <c r="E300" t="s">
        <v>62</v>
      </c>
      <c r="F300" t="s">
        <v>31</v>
      </c>
      <c r="G300" t="s">
        <v>32</v>
      </c>
      <c r="H300" s="1">
        <v>1079</v>
      </c>
      <c r="I300" s="1">
        <v>37</v>
      </c>
      <c r="J300" s="1">
        <v>0</v>
      </c>
      <c r="K300" s="1">
        <v>0</v>
      </c>
      <c r="L300" t="s">
        <v>33</v>
      </c>
      <c r="M300" t="s">
        <v>33</v>
      </c>
      <c r="N300" s="1">
        <v>56000</v>
      </c>
      <c r="O300" s="1">
        <v>19000</v>
      </c>
      <c r="P300" s="1">
        <v>248</v>
      </c>
      <c r="Q300" s="1">
        <v>5</v>
      </c>
      <c r="R300" s="1">
        <v>3</v>
      </c>
      <c r="S300" s="1">
        <v>2510</v>
      </c>
      <c r="T300" s="1">
        <v>757</v>
      </c>
      <c r="U300" t="s">
        <v>33</v>
      </c>
      <c r="V300" t="s">
        <v>33</v>
      </c>
      <c r="W300" t="s">
        <v>35</v>
      </c>
      <c r="X300" t="s">
        <v>59</v>
      </c>
    </row>
    <row r="301" spans="1:24" hidden="1" x14ac:dyDescent="0.2">
      <c r="A301">
        <f>MATCH(C301,'[1]Slot Managers Split'!G:G,0)</f>
        <v>184</v>
      </c>
      <c r="C301" t="s">
        <v>566</v>
      </c>
      <c r="D301" t="s">
        <v>567</v>
      </c>
      <c r="E301" t="s">
        <v>135</v>
      </c>
      <c r="F301" t="s">
        <v>31</v>
      </c>
      <c r="G301" t="s">
        <v>32</v>
      </c>
      <c r="H301" s="1">
        <v>1077</v>
      </c>
      <c r="I301" s="1">
        <v>0</v>
      </c>
      <c r="J301" s="1">
        <v>0</v>
      </c>
      <c r="K301" s="1">
        <v>0</v>
      </c>
      <c r="L301" t="s">
        <v>33</v>
      </c>
      <c r="M301" t="s">
        <v>34</v>
      </c>
      <c r="N301" s="1">
        <v>30000</v>
      </c>
      <c r="O301" s="1">
        <v>92000</v>
      </c>
      <c r="P301" s="1">
        <v>0</v>
      </c>
      <c r="Q301" s="1">
        <v>4</v>
      </c>
      <c r="R301" s="1">
        <v>0</v>
      </c>
      <c r="S301" s="1">
        <v>1800</v>
      </c>
      <c r="T301" s="1">
        <v>465</v>
      </c>
      <c r="U301" t="s">
        <v>33</v>
      </c>
      <c r="V301" t="s">
        <v>33</v>
      </c>
      <c r="W301" t="s">
        <v>103</v>
      </c>
      <c r="X301" t="s">
        <v>59</v>
      </c>
    </row>
    <row r="302" spans="1:24" hidden="1" x14ac:dyDescent="0.2">
      <c r="A302" t="e">
        <f>MATCH(C302,'[1]Slot Managers Split'!G:G,0)</f>
        <v>#N/A</v>
      </c>
      <c r="C302" t="s">
        <v>268</v>
      </c>
      <c r="D302" t="s">
        <v>81</v>
      </c>
      <c r="E302" t="s">
        <v>51</v>
      </c>
      <c r="F302" t="s">
        <v>31</v>
      </c>
      <c r="G302" t="s">
        <v>32</v>
      </c>
      <c r="H302" s="1">
        <v>1060</v>
      </c>
      <c r="I302" s="1">
        <v>25</v>
      </c>
      <c r="J302" s="1">
        <v>0</v>
      </c>
      <c r="K302" s="1">
        <v>0</v>
      </c>
      <c r="L302" t="s">
        <v>34</v>
      </c>
      <c r="M302" t="s">
        <v>34</v>
      </c>
      <c r="N302" s="1">
        <v>123928</v>
      </c>
      <c r="O302" s="1">
        <v>21400</v>
      </c>
      <c r="P302" s="1">
        <v>3763</v>
      </c>
      <c r="Q302" s="1">
        <v>15</v>
      </c>
      <c r="R302" s="1">
        <v>1</v>
      </c>
      <c r="S302" s="1">
        <v>5719</v>
      </c>
      <c r="T302" s="1">
        <v>1634</v>
      </c>
      <c r="U302" t="s">
        <v>33</v>
      </c>
      <c r="V302" t="s">
        <v>33</v>
      </c>
      <c r="W302" t="s">
        <v>35</v>
      </c>
      <c r="X302" t="s">
        <v>269</v>
      </c>
    </row>
    <row r="303" spans="1:24" hidden="1" x14ac:dyDescent="0.2">
      <c r="A303" t="e">
        <f>MATCH(C303,'[1]Slot Managers Split'!G:G,0)</f>
        <v>#N/A</v>
      </c>
      <c r="C303" t="s">
        <v>574</v>
      </c>
      <c r="D303" t="s">
        <v>575</v>
      </c>
      <c r="E303" t="s">
        <v>106</v>
      </c>
      <c r="F303" t="s">
        <v>31</v>
      </c>
      <c r="G303" t="s">
        <v>32</v>
      </c>
      <c r="H303" s="1">
        <v>1060</v>
      </c>
      <c r="I303" s="1">
        <v>60</v>
      </c>
      <c r="J303" s="1">
        <v>0</v>
      </c>
      <c r="K303" s="1">
        <v>0</v>
      </c>
      <c r="L303" t="s">
        <v>34</v>
      </c>
      <c r="M303" t="s">
        <v>33</v>
      </c>
      <c r="N303" s="1">
        <v>28300</v>
      </c>
      <c r="O303" s="1">
        <v>2500</v>
      </c>
      <c r="P303" s="1">
        <v>600</v>
      </c>
      <c r="Q303" s="1">
        <v>5</v>
      </c>
      <c r="R303" s="1">
        <v>2</v>
      </c>
      <c r="S303" s="1">
        <v>3282</v>
      </c>
      <c r="T303" s="1">
        <v>1096</v>
      </c>
      <c r="U303" t="s">
        <v>33</v>
      </c>
      <c r="V303" t="s">
        <v>33</v>
      </c>
      <c r="W303" t="s">
        <v>57</v>
      </c>
      <c r="X303" t="s">
        <v>167</v>
      </c>
    </row>
    <row r="304" spans="1:24" hidden="1" x14ac:dyDescent="0.2">
      <c r="A304" t="e">
        <f>MATCH(C304,'[1]Slot Managers Split'!G:G,0)</f>
        <v>#N/A</v>
      </c>
      <c r="C304" t="s">
        <v>183</v>
      </c>
      <c r="D304" t="s">
        <v>184</v>
      </c>
      <c r="E304" t="s">
        <v>185</v>
      </c>
      <c r="F304" t="s">
        <v>31</v>
      </c>
      <c r="G304" t="s">
        <v>32</v>
      </c>
      <c r="H304" s="1">
        <v>1053</v>
      </c>
      <c r="I304" s="1">
        <v>0</v>
      </c>
      <c r="J304" s="1">
        <v>0</v>
      </c>
      <c r="K304" s="1">
        <v>0</v>
      </c>
      <c r="L304" t="s">
        <v>33</v>
      </c>
      <c r="M304" t="s">
        <v>34</v>
      </c>
      <c r="N304" s="1">
        <v>100000</v>
      </c>
      <c r="O304" s="1">
        <v>0</v>
      </c>
      <c r="P304" s="1">
        <v>0</v>
      </c>
      <c r="Q304" s="1">
        <v>3</v>
      </c>
      <c r="R304" s="1">
        <v>0</v>
      </c>
      <c r="S304" s="1">
        <v>0</v>
      </c>
      <c r="T304" s="1">
        <v>300</v>
      </c>
      <c r="U304" t="s">
        <v>33</v>
      </c>
      <c r="V304" t="s">
        <v>33</v>
      </c>
      <c r="W304" t="s">
        <v>103</v>
      </c>
      <c r="X304" t="s">
        <v>186</v>
      </c>
    </row>
    <row r="305" spans="1:24" hidden="1" x14ac:dyDescent="0.2">
      <c r="A305" t="e">
        <f>MATCH(C305,'[1]Slot Managers Split'!G:G,0)</f>
        <v>#N/A</v>
      </c>
      <c r="C305" t="s">
        <v>706</v>
      </c>
      <c r="D305" t="s">
        <v>707</v>
      </c>
      <c r="E305" t="s">
        <v>708</v>
      </c>
      <c r="F305" t="s">
        <v>31</v>
      </c>
      <c r="G305" t="s">
        <v>32</v>
      </c>
      <c r="H305" s="1">
        <v>1053</v>
      </c>
      <c r="I305" s="1">
        <v>43</v>
      </c>
      <c r="J305" s="1">
        <v>16</v>
      </c>
      <c r="K305" s="1">
        <v>0</v>
      </c>
      <c r="L305" t="s">
        <v>33</v>
      </c>
      <c r="M305" t="s">
        <v>33</v>
      </c>
      <c r="N305" s="1">
        <v>32000</v>
      </c>
      <c r="O305" s="1">
        <v>0</v>
      </c>
      <c r="P305" s="1">
        <v>0</v>
      </c>
      <c r="Q305" s="1">
        <v>2</v>
      </c>
      <c r="R305" s="1">
        <v>1</v>
      </c>
      <c r="S305" s="1">
        <v>500</v>
      </c>
      <c r="T305" s="1">
        <v>250</v>
      </c>
      <c r="U305" t="s">
        <v>33</v>
      </c>
      <c r="V305" t="s">
        <v>33</v>
      </c>
      <c r="W305" t="s">
        <v>35</v>
      </c>
      <c r="X305" t="s">
        <v>85</v>
      </c>
    </row>
    <row r="306" spans="1:24" hidden="1" x14ac:dyDescent="0.2">
      <c r="A306">
        <f>MATCH(C306,'[1]Slot Managers Split'!G:G,0)</f>
        <v>17</v>
      </c>
      <c r="C306" t="s">
        <v>860</v>
      </c>
      <c r="D306" t="s">
        <v>861</v>
      </c>
      <c r="E306" t="s">
        <v>47</v>
      </c>
      <c r="F306" t="s">
        <v>31</v>
      </c>
      <c r="G306" t="s">
        <v>32</v>
      </c>
      <c r="H306" s="1">
        <v>1051</v>
      </c>
      <c r="I306" s="1">
        <v>62</v>
      </c>
      <c r="J306" s="1">
        <v>16</v>
      </c>
      <c r="K306" s="1">
        <v>0</v>
      </c>
      <c r="L306" t="s">
        <v>34</v>
      </c>
      <c r="M306" t="s">
        <v>34</v>
      </c>
      <c r="N306" s="1">
        <v>50000</v>
      </c>
      <c r="O306" s="1">
        <v>13000</v>
      </c>
      <c r="P306" s="1">
        <v>185</v>
      </c>
      <c r="Q306" s="1">
        <v>6</v>
      </c>
      <c r="R306" s="1">
        <v>0</v>
      </c>
      <c r="S306" s="1">
        <v>0</v>
      </c>
      <c r="T306" s="1">
        <v>834</v>
      </c>
      <c r="U306" t="s">
        <v>33</v>
      </c>
      <c r="V306" t="s">
        <v>33</v>
      </c>
      <c r="W306" t="s">
        <v>35</v>
      </c>
      <c r="X306" t="s">
        <v>862</v>
      </c>
    </row>
    <row r="307" spans="1:24" hidden="1" x14ac:dyDescent="0.2">
      <c r="A307" t="e">
        <f>MATCH(C307,'[1]Slot Managers Split'!G:G,0)</f>
        <v>#N/A</v>
      </c>
      <c r="C307" t="s">
        <v>74</v>
      </c>
      <c r="D307" t="s">
        <v>75</v>
      </c>
      <c r="E307" t="s">
        <v>51</v>
      </c>
      <c r="F307" t="s">
        <v>31</v>
      </c>
      <c r="G307" t="s">
        <v>32</v>
      </c>
      <c r="H307" s="1">
        <v>1050</v>
      </c>
      <c r="I307" s="1">
        <v>29</v>
      </c>
      <c r="J307" s="1">
        <v>0</v>
      </c>
      <c r="K307" s="1">
        <v>0</v>
      </c>
      <c r="L307" t="s">
        <v>34</v>
      </c>
      <c r="M307" t="s">
        <v>34</v>
      </c>
      <c r="N307" s="1">
        <v>71720</v>
      </c>
      <c r="O307" s="1">
        <v>35000</v>
      </c>
      <c r="P307" s="1">
        <v>1906</v>
      </c>
      <c r="Q307" s="1">
        <v>11</v>
      </c>
      <c r="R307" s="1">
        <v>3</v>
      </c>
      <c r="S307" s="1">
        <v>3000</v>
      </c>
      <c r="T307" s="1">
        <v>1635</v>
      </c>
      <c r="U307" t="s">
        <v>33</v>
      </c>
      <c r="V307" t="s">
        <v>33</v>
      </c>
      <c r="W307" t="s">
        <v>35</v>
      </c>
      <c r="X307" t="s">
        <v>77</v>
      </c>
    </row>
    <row r="308" spans="1:24" hidden="1" x14ac:dyDescent="0.2">
      <c r="A308">
        <f>MATCH(C308,'[1]Slot Managers Split'!G:G,0)</f>
        <v>68</v>
      </c>
      <c r="C308" t="s">
        <v>992</v>
      </c>
      <c r="D308" t="s">
        <v>993</v>
      </c>
      <c r="E308" t="s">
        <v>146</v>
      </c>
      <c r="F308" t="s">
        <v>31</v>
      </c>
      <c r="G308" t="s">
        <v>32</v>
      </c>
      <c r="H308" s="1">
        <v>1042</v>
      </c>
      <c r="I308" s="1">
        <v>36</v>
      </c>
      <c r="J308" s="1">
        <v>6</v>
      </c>
      <c r="K308" s="1">
        <v>0</v>
      </c>
      <c r="L308" t="s">
        <v>34</v>
      </c>
      <c r="M308" t="s">
        <v>33</v>
      </c>
      <c r="N308" s="1">
        <v>46000</v>
      </c>
      <c r="O308" s="1">
        <v>0</v>
      </c>
      <c r="P308" s="1">
        <v>122</v>
      </c>
      <c r="Q308" s="1">
        <v>7</v>
      </c>
      <c r="R308" s="1">
        <v>0</v>
      </c>
      <c r="S308" s="1">
        <v>0</v>
      </c>
      <c r="T308" s="1">
        <v>0</v>
      </c>
      <c r="U308" t="s">
        <v>33</v>
      </c>
      <c r="V308" t="s">
        <v>33</v>
      </c>
      <c r="W308" t="s">
        <v>35</v>
      </c>
      <c r="X308" t="s">
        <v>186</v>
      </c>
    </row>
    <row r="309" spans="1:24" hidden="1" x14ac:dyDescent="0.2">
      <c r="A309">
        <f>MATCH(C309,'[1]Slot Managers Split'!G:G,0)</f>
        <v>331</v>
      </c>
      <c r="C309" t="s">
        <v>220</v>
      </c>
      <c r="D309" t="s">
        <v>221</v>
      </c>
      <c r="E309" t="s">
        <v>39</v>
      </c>
      <c r="F309" t="s">
        <v>31</v>
      </c>
      <c r="G309" t="s">
        <v>32</v>
      </c>
      <c r="H309" s="1">
        <v>1039</v>
      </c>
      <c r="I309" s="1">
        <v>18</v>
      </c>
      <c r="J309" s="1">
        <v>5</v>
      </c>
      <c r="K309" s="1">
        <v>0</v>
      </c>
      <c r="L309" t="s">
        <v>33</v>
      </c>
      <c r="M309" t="s">
        <v>33</v>
      </c>
      <c r="N309" s="1">
        <v>42500</v>
      </c>
      <c r="O309" s="1">
        <v>0</v>
      </c>
      <c r="P309" s="1">
        <v>0</v>
      </c>
      <c r="Q309" s="1">
        <v>5</v>
      </c>
      <c r="R309" s="1">
        <v>1</v>
      </c>
      <c r="S309" s="1">
        <v>1100</v>
      </c>
      <c r="T309" s="1">
        <v>437</v>
      </c>
      <c r="U309" t="s">
        <v>34</v>
      </c>
      <c r="V309" t="s">
        <v>34</v>
      </c>
      <c r="W309" t="s">
        <v>35</v>
      </c>
      <c r="X309" t="s">
        <v>223</v>
      </c>
    </row>
    <row r="310" spans="1:24" hidden="1" x14ac:dyDescent="0.2">
      <c r="A310" t="e">
        <f>MATCH(C310,'[1]Slot Managers Split'!G:G,0)</f>
        <v>#N/A</v>
      </c>
      <c r="C310" t="s">
        <v>435</v>
      </c>
      <c r="D310" t="s">
        <v>87</v>
      </c>
      <c r="E310" t="s">
        <v>88</v>
      </c>
      <c r="F310" t="s">
        <v>31</v>
      </c>
      <c r="G310" t="s">
        <v>32</v>
      </c>
      <c r="H310" s="1">
        <v>1037</v>
      </c>
      <c r="I310" s="1">
        <v>78</v>
      </c>
      <c r="J310" s="1">
        <v>0</v>
      </c>
      <c r="K310" s="1">
        <v>0</v>
      </c>
      <c r="L310" t="s">
        <v>34</v>
      </c>
      <c r="M310" t="s">
        <v>33</v>
      </c>
      <c r="N310" s="1">
        <v>80000</v>
      </c>
      <c r="O310" s="1">
        <v>30500</v>
      </c>
      <c r="P310" s="1">
        <v>717</v>
      </c>
      <c r="Q310" s="1">
        <v>12</v>
      </c>
      <c r="R310" s="1">
        <v>4</v>
      </c>
      <c r="S310" s="1">
        <v>3015</v>
      </c>
      <c r="T310" s="1">
        <v>2201</v>
      </c>
      <c r="U310" t="s">
        <v>33</v>
      </c>
      <c r="V310" t="s">
        <v>33</v>
      </c>
      <c r="W310" t="s">
        <v>35</v>
      </c>
      <c r="X310" t="s">
        <v>436</v>
      </c>
    </row>
    <row r="311" spans="1:24" hidden="1" x14ac:dyDescent="0.2">
      <c r="A311" t="e">
        <f>MATCH(C311,'[1]Slot Managers Split'!G:G,0)</f>
        <v>#N/A</v>
      </c>
      <c r="C311" t="s">
        <v>657</v>
      </c>
      <c r="D311" t="s">
        <v>575</v>
      </c>
      <c r="E311" t="s">
        <v>106</v>
      </c>
      <c r="F311" t="s">
        <v>31</v>
      </c>
      <c r="G311" t="s">
        <v>32</v>
      </c>
      <c r="H311" s="1">
        <v>1036</v>
      </c>
      <c r="I311" s="1">
        <v>0</v>
      </c>
      <c r="J311" s="1">
        <v>0</v>
      </c>
      <c r="K311" s="1">
        <v>0</v>
      </c>
      <c r="L311" t="s">
        <v>34</v>
      </c>
      <c r="M311" t="s">
        <v>34</v>
      </c>
      <c r="N311" s="1">
        <v>11976</v>
      </c>
      <c r="O311" s="1">
        <v>0</v>
      </c>
      <c r="P311" s="1">
        <v>0</v>
      </c>
      <c r="Q311" s="1">
        <v>5</v>
      </c>
      <c r="R311" s="1">
        <v>0</v>
      </c>
      <c r="S311" s="1">
        <v>0</v>
      </c>
      <c r="T311" s="1">
        <v>196</v>
      </c>
      <c r="U311" t="s">
        <v>33</v>
      </c>
      <c r="V311" t="s">
        <v>33</v>
      </c>
      <c r="W311" t="s">
        <v>103</v>
      </c>
      <c r="X311" t="s">
        <v>659</v>
      </c>
    </row>
    <row r="312" spans="1:24" hidden="1" x14ac:dyDescent="0.2">
      <c r="A312" t="e">
        <f>MATCH(C312,'[1]Slot Managers Split'!G:G,0)</f>
        <v>#N/A</v>
      </c>
      <c r="C312" t="s">
        <v>641</v>
      </c>
      <c r="D312" t="s">
        <v>642</v>
      </c>
      <c r="E312" t="s">
        <v>70</v>
      </c>
      <c r="F312" t="s">
        <v>31</v>
      </c>
      <c r="G312" t="s">
        <v>32</v>
      </c>
      <c r="H312" s="1">
        <v>1025</v>
      </c>
      <c r="I312" s="1">
        <v>16</v>
      </c>
      <c r="J312" s="1">
        <v>5</v>
      </c>
      <c r="K312" s="1">
        <v>300</v>
      </c>
      <c r="L312" t="s">
        <v>34</v>
      </c>
      <c r="M312" t="s">
        <v>34</v>
      </c>
      <c r="N312" s="1">
        <v>21000</v>
      </c>
      <c r="O312" s="1">
        <v>33000</v>
      </c>
      <c r="P312" s="1">
        <v>198</v>
      </c>
      <c r="Q312" s="1">
        <v>8</v>
      </c>
      <c r="R312" s="1">
        <v>1</v>
      </c>
      <c r="S312" s="1">
        <v>1250</v>
      </c>
      <c r="T312" s="1">
        <v>773</v>
      </c>
      <c r="U312" t="s">
        <v>34</v>
      </c>
      <c r="V312" t="s">
        <v>34</v>
      </c>
      <c r="W312" t="s">
        <v>35</v>
      </c>
      <c r="X312" t="s">
        <v>643</v>
      </c>
    </row>
    <row r="313" spans="1:24" hidden="1" x14ac:dyDescent="0.2">
      <c r="A313">
        <f>MATCH(C313,'[1]Slot Managers Split'!G:G,0)</f>
        <v>187</v>
      </c>
      <c r="C313" t="s">
        <v>669</v>
      </c>
      <c r="D313" t="s">
        <v>670</v>
      </c>
      <c r="E313" t="s">
        <v>185</v>
      </c>
      <c r="F313" t="s">
        <v>31</v>
      </c>
      <c r="G313" t="s">
        <v>32</v>
      </c>
      <c r="H313" s="1">
        <v>1022</v>
      </c>
      <c r="I313" s="1">
        <v>0</v>
      </c>
      <c r="J313" s="1">
        <v>19</v>
      </c>
      <c r="K313" s="1">
        <v>0</v>
      </c>
      <c r="L313" t="s">
        <v>33</v>
      </c>
      <c r="M313" t="s">
        <v>34</v>
      </c>
      <c r="N313" s="1">
        <v>40000</v>
      </c>
      <c r="O313" s="1">
        <v>0</v>
      </c>
      <c r="P313" s="1">
        <v>0</v>
      </c>
      <c r="Q313" s="1">
        <v>3</v>
      </c>
      <c r="R313" s="1">
        <v>1</v>
      </c>
      <c r="S313" s="1">
        <v>2000</v>
      </c>
      <c r="T313" s="1">
        <v>500</v>
      </c>
      <c r="U313" t="s">
        <v>34</v>
      </c>
      <c r="V313" t="s">
        <v>33</v>
      </c>
      <c r="W313" t="s">
        <v>428</v>
      </c>
      <c r="X313" t="s">
        <v>672</v>
      </c>
    </row>
    <row r="314" spans="1:24" hidden="1" x14ac:dyDescent="0.2">
      <c r="A314" t="e">
        <f>MATCH(C314,'[1]Slot Managers Split'!G:G,0)</f>
        <v>#N/A</v>
      </c>
      <c r="C314" t="s">
        <v>323</v>
      </c>
      <c r="D314" t="s">
        <v>324</v>
      </c>
      <c r="E314" t="s">
        <v>325</v>
      </c>
      <c r="F314" t="s">
        <v>31</v>
      </c>
      <c r="G314" t="s">
        <v>32</v>
      </c>
      <c r="H314" s="1">
        <v>1016</v>
      </c>
      <c r="I314" s="1">
        <v>19</v>
      </c>
      <c r="J314" s="1">
        <v>13</v>
      </c>
      <c r="K314" s="1">
        <v>300</v>
      </c>
      <c r="L314" t="s">
        <v>33</v>
      </c>
      <c r="M314" t="s">
        <v>33</v>
      </c>
      <c r="N314" s="1">
        <v>55000</v>
      </c>
      <c r="O314" s="1">
        <v>8000</v>
      </c>
      <c r="P314" s="1">
        <v>148</v>
      </c>
      <c r="Q314" s="1">
        <v>6</v>
      </c>
      <c r="R314" s="1">
        <v>0</v>
      </c>
      <c r="S314" s="1">
        <v>0</v>
      </c>
      <c r="T314" s="1">
        <v>1300</v>
      </c>
      <c r="U314" t="s">
        <v>34</v>
      </c>
      <c r="V314" t="s">
        <v>34</v>
      </c>
      <c r="W314" t="s">
        <v>35</v>
      </c>
      <c r="X314" t="s">
        <v>327</v>
      </c>
    </row>
    <row r="315" spans="1:24" hidden="1" x14ac:dyDescent="0.2">
      <c r="A315" t="e">
        <f>MATCH(C315,'[1]Slot Managers Split'!G:G,0)</f>
        <v>#N/A</v>
      </c>
      <c r="C315" t="s">
        <v>811</v>
      </c>
      <c r="D315" t="s">
        <v>812</v>
      </c>
      <c r="E315" t="s">
        <v>139</v>
      </c>
      <c r="F315" t="s">
        <v>31</v>
      </c>
      <c r="G315" t="s">
        <v>32</v>
      </c>
      <c r="H315" s="1">
        <v>1014</v>
      </c>
      <c r="I315" s="1">
        <v>8</v>
      </c>
      <c r="J315" s="1">
        <v>0</v>
      </c>
      <c r="K315" s="1">
        <v>0</v>
      </c>
      <c r="L315" t="s">
        <v>33</v>
      </c>
      <c r="M315" t="s">
        <v>33</v>
      </c>
      <c r="N315" s="1">
        <v>52000</v>
      </c>
      <c r="O315" s="1">
        <v>15000</v>
      </c>
      <c r="P315" s="1">
        <v>166</v>
      </c>
      <c r="Q315" s="1">
        <v>3</v>
      </c>
      <c r="R315" s="1">
        <v>2</v>
      </c>
      <c r="S315" s="1">
        <v>0</v>
      </c>
      <c r="T315" s="1">
        <v>370</v>
      </c>
      <c r="U315" t="s">
        <v>34</v>
      </c>
      <c r="V315" t="s">
        <v>34</v>
      </c>
      <c r="W315" t="s">
        <v>35</v>
      </c>
      <c r="X315" t="s">
        <v>813</v>
      </c>
    </row>
    <row r="316" spans="1:24" hidden="1" x14ac:dyDescent="0.2">
      <c r="A316" t="e">
        <f>MATCH(C316,'[1]Slot Managers Split'!G:G,0)</f>
        <v>#N/A</v>
      </c>
      <c r="C316" t="s">
        <v>1026</v>
      </c>
      <c r="D316" t="s">
        <v>81</v>
      </c>
      <c r="E316" t="s">
        <v>51</v>
      </c>
      <c r="F316" t="s">
        <v>31</v>
      </c>
      <c r="G316" t="s">
        <v>32</v>
      </c>
      <c r="H316" s="1">
        <v>1013</v>
      </c>
      <c r="I316" s="1">
        <v>47</v>
      </c>
      <c r="J316" s="1">
        <v>0</v>
      </c>
      <c r="K316" s="1">
        <v>0</v>
      </c>
      <c r="L316" t="s">
        <v>34</v>
      </c>
      <c r="M316" t="s">
        <v>34</v>
      </c>
      <c r="N316" s="1">
        <v>47927</v>
      </c>
      <c r="O316" s="1">
        <v>18000</v>
      </c>
      <c r="P316" s="1">
        <v>2884</v>
      </c>
      <c r="Q316" s="1">
        <v>11</v>
      </c>
      <c r="R316" s="1">
        <v>4</v>
      </c>
      <c r="S316" s="1">
        <v>5799</v>
      </c>
      <c r="T316" s="1">
        <v>3300</v>
      </c>
      <c r="U316" t="s">
        <v>33</v>
      </c>
      <c r="V316" t="s">
        <v>33</v>
      </c>
      <c r="W316" t="s">
        <v>35</v>
      </c>
      <c r="X316" t="s">
        <v>269</v>
      </c>
    </row>
    <row r="317" spans="1:24" hidden="1" x14ac:dyDescent="0.2">
      <c r="A317" t="e">
        <f>MATCH(C317,'[1]Slot Managers Split'!G:G,0)</f>
        <v>#N/A</v>
      </c>
      <c r="C317" t="s">
        <v>331</v>
      </c>
      <c r="D317" t="s">
        <v>75</v>
      </c>
      <c r="E317" t="s">
        <v>51</v>
      </c>
      <c r="F317" t="s">
        <v>31</v>
      </c>
      <c r="G317" t="s">
        <v>32</v>
      </c>
      <c r="H317" s="1">
        <v>1005</v>
      </c>
      <c r="I317" s="1">
        <v>24</v>
      </c>
      <c r="J317" s="1">
        <v>9</v>
      </c>
      <c r="K317" s="1">
        <v>300</v>
      </c>
      <c r="L317" t="s">
        <v>34</v>
      </c>
      <c r="M317" t="s">
        <v>34</v>
      </c>
      <c r="N317" s="1">
        <v>89106</v>
      </c>
      <c r="O317" s="1">
        <v>13852</v>
      </c>
      <c r="P317" s="1">
        <v>1404</v>
      </c>
      <c r="Q317" s="1">
        <v>10</v>
      </c>
      <c r="R317" s="1">
        <v>4</v>
      </c>
      <c r="S317" s="1">
        <v>2872</v>
      </c>
      <c r="T317" s="1">
        <v>2000</v>
      </c>
      <c r="U317" t="s">
        <v>33</v>
      </c>
      <c r="V317" t="s">
        <v>33</v>
      </c>
      <c r="W317" t="s">
        <v>35</v>
      </c>
      <c r="X317" t="s">
        <v>0</v>
      </c>
    </row>
    <row r="318" spans="1:24" hidden="1" x14ac:dyDescent="0.2">
      <c r="A318" t="e">
        <f>MATCH(C318,'[1]Slot Managers Split'!G:G,0)</f>
        <v>#N/A</v>
      </c>
      <c r="C318" t="s">
        <v>1007</v>
      </c>
      <c r="D318" t="s">
        <v>81</v>
      </c>
      <c r="E318" t="s">
        <v>51</v>
      </c>
      <c r="F318" t="s">
        <v>31</v>
      </c>
      <c r="G318" t="s">
        <v>32</v>
      </c>
      <c r="H318" s="1">
        <v>1002</v>
      </c>
      <c r="I318" s="1">
        <v>132</v>
      </c>
      <c r="J318" s="1">
        <v>0</v>
      </c>
      <c r="K318" s="1">
        <v>0</v>
      </c>
      <c r="L318" t="s">
        <v>34</v>
      </c>
      <c r="M318" t="s">
        <v>34</v>
      </c>
      <c r="N318" s="1">
        <v>66127</v>
      </c>
      <c r="O318" s="1">
        <v>850000</v>
      </c>
      <c r="P318" s="1">
        <v>3075</v>
      </c>
      <c r="Q318" s="1">
        <v>15</v>
      </c>
      <c r="R318" s="1">
        <v>1</v>
      </c>
      <c r="S318" s="1">
        <v>4000</v>
      </c>
      <c r="T318" s="1">
        <v>0</v>
      </c>
      <c r="U318" t="s">
        <v>33</v>
      </c>
      <c r="V318" t="s">
        <v>33</v>
      </c>
      <c r="W318" t="s">
        <v>35</v>
      </c>
      <c r="X318" t="s">
        <v>1008</v>
      </c>
    </row>
    <row r="319" spans="1:24" x14ac:dyDescent="0.2">
      <c r="A319" s="22" t="e">
        <f>MATCH(C319,'[1]Slot Managers Split'!G:G,0)</f>
        <v>#N/A</v>
      </c>
      <c r="B319" s="22"/>
      <c r="C319" s="22" t="s">
        <v>778</v>
      </c>
      <c r="D319" s="22" t="s">
        <v>779</v>
      </c>
      <c r="E319" s="22" t="s">
        <v>780</v>
      </c>
      <c r="F319" s="22" t="s">
        <v>311</v>
      </c>
      <c r="G319" s="22" t="s">
        <v>32</v>
      </c>
      <c r="H319" s="27">
        <v>1000</v>
      </c>
      <c r="I319" s="27">
        <v>0</v>
      </c>
      <c r="J319" s="27">
        <v>0</v>
      </c>
      <c r="K319" s="27">
        <v>0</v>
      </c>
      <c r="L319" s="22" t="s">
        <v>33</v>
      </c>
      <c r="M319" s="22" t="s">
        <v>33</v>
      </c>
      <c r="N319" s="27">
        <v>0</v>
      </c>
      <c r="O319" s="27">
        <v>21528</v>
      </c>
      <c r="P319" s="27">
        <v>216</v>
      </c>
      <c r="Q319" s="27">
        <v>6</v>
      </c>
      <c r="R319" s="27">
        <v>5</v>
      </c>
      <c r="S319" s="27">
        <v>0</v>
      </c>
      <c r="T319" s="27">
        <v>0</v>
      </c>
      <c r="U319" s="22" t="s">
        <v>33</v>
      </c>
      <c r="V319" s="22" t="s">
        <v>33</v>
      </c>
      <c r="W319" s="22" t="s">
        <v>35</v>
      </c>
      <c r="X319" s="22" t="s">
        <v>782</v>
      </c>
    </row>
    <row r="320" spans="1:24" x14ac:dyDescent="0.2">
      <c r="A320" s="22" t="e">
        <f>MATCH(C320,'[1]Slot Managers Split'!G:G,0)</f>
        <v>#N/A</v>
      </c>
      <c r="B320" s="22"/>
      <c r="C320" s="22" t="s">
        <v>936</v>
      </c>
      <c r="D320" s="22" t="s">
        <v>937</v>
      </c>
      <c r="E320" s="22" t="s">
        <v>938</v>
      </c>
      <c r="F320" s="22" t="s">
        <v>311</v>
      </c>
      <c r="G320" s="22" t="s">
        <v>32</v>
      </c>
      <c r="H320" s="27">
        <v>1000</v>
      </c>
      <c r="I320" s="27">
        <v>90</v>
      </c>
      <c r="J320" s="27">
        <v>9</v>
      </c>
      <c r="K320" s="27">
        <v>0</v>
      </c>
      <c r="L320" s="22" t="s">
        <v>33</v>
      </c>
      <c r="M320" s="22" t="s">
        <v>34</v>
      </c>
      <c r="N320" s="27">
        <v>129000</v>
      </c>
      <c r="O320" s="27">
        <v>0</v>
      </c>
      <c r="P320" s="27">
        <v>0</v>
      </c>
      <c r="Q320" s="27">
        <v>8</v>
      </c>
      <c r="R320" s="27">
        <v>2</v>
      </c>
      <c r="S320" s="27">
        <v>0</v>
      </c>
      <c r="T320" s="27">
        <v>1200</v>
      </c>
      <c r="U320" s="22" t="s">
        <v>33</v>
      </c>
      <c r="V320" s="22" t="s">
        <v>33</v>
      </c>
      <c r="W320" s="22" t="s">
        <v>35</v>
      </c>
      <c r="X320" s="22" t="s">
        <v>940</v>
      </c>
    </row>
    <row r="321" spans="1:24" x14ac:dyDescent="0.2">
      <c r="A321" s="22" t="e">
        <f>MATCH(C321,'[1]Slot Managers Split'!G:G,0)</f>
        <v>#N/A</v>
      </c>
      <c r="B321" s="22"/>
      <c r="C321" s="22" t="s">
        <v>732</v>
      </c>
      <c r="D321" s="22" t="s">
        <v>733</v>
      </c>
      <c r="E321" s="22" t="s">
        <v>0</v>
      </c>
      <c r="F321" s="22" t="s">
        <v>734</v>
      </c>
      <c r="G321" s="22" t="s">
        <v>32</v>
      </c>
      <c r="H321" s="27">
        <v>1000</v>
      </c>
      <c r="I321" s="27">
        <v>176</v>
      </c>
      <c r="J321" s="27">
        <v>0</v>
      </c>
      <c r="K321" s="27">
        <v>0</v>
      </c>
      <c r="L321" s="22" t="s">
        <v>33</v>
      </c>
      <c r="M321" s="22" t="s">
        <v>33</v>
      </c>
      <c r="N321" s="27">
        <v>262700</v>
      </c>
      <c r="O321" s="27">
        <v>0</v>
      </c>
      <c r="P321" s="27">
        <v>1658</v>
      </c>
      <c r="Q321" s="27">
        <v>0</v>
      </c>
      <c r="R321" s="27">
        <v>0</v>
      </c>
      <c r="S321" s="27">
        <v>0</v>
      </c>
      <c r="T321" s="27">
        <v>0</v>
      </c>
      <c r="U321" s="22" t="s">
        <v>33</v>
      </c>
      <c r="V321" s="22" t="s">
        <v>33</v>
      </c>
      <c r="W321" s="22" t="s">
        <v>35</v>
      </c>
      <c r="X321" s="22" t="s">
        <v>735</v>
      </c>
    </row>
    <row r="322" spans="1:24" hidden="1" x14ac:dyDescent="0.2">
      <c r="A322" t="e">
        <f>MATCH(C322,'[1]Slot Managers Split'!G:G,0)</f>
        <v>#N/A</v>
      </c>
      <c r="C322" t="s">
        <v>348</v>
      </c>
      <c r="D322" t="s">
        <v>349</v>
      </c>
      <c r="E322" t="s">
        <v>179</v>
      </c>
      <c r="F322" t="s">
        <v>180</v>
      </c>
      <c r="G322" t="s">
        <v>32</v>
      </c>
      <c r="H322" s="1">
        <v>1000</v>
      </c>
      <c r="I322" s="1">
        <v>12</v>
      </c>
      <c r="J322" s="1">
        <v>0</v>
      </c>
      <c r="K322" s="1">
        <v>0</v>
      </c>
      <c r="L322" t="s">
        <v>33</v>
      </c>
      <c r="M322" t="s">
        <v>34</v>
      </c>
      <c r="N322" s="1">
        <v>0</v>
      </c>
      <c r="O322" s="1">
        <v>0</v>
      </c>
      <c r="P322" s="1">
        <v>0</v>
      </c>
      <c r="Q322" s="1">
        <v>2</v>
      </c>
      <c r="R322" s="1">
        <v>0</v>
      </c>
      <c r="S322" s="1">
        <v>5000</v>
      </c>
      <c r="T322" s="1">
        <v>500</v>
      </c>
      <c r="U322" t="s">
        <v>33</v>
      </c>
      <c r="V322" t="s">
        <v>33</v>
      </c>
      <c r="W322" t="s">
        <v>103</v>
      </c>
      <c r="X322" t="s">
        <v>350</v>
      </c>
    </row>
    <row r="323" spans="1:24" hidden="1" x14ac:dyDescent="0.2">
      <c r="A323" t="e">
        <f>MATCH(C323,'[1]Slot Managers Split'!G:G,0)</f>
        <v>#N/A</v>
      </c>
      <c r="C323" t="s">
        <v>413</v>
      </c>
      <c r="D323" t="s">
        <v>414</v>
      </c>
      <c r="E323" t="s">
        <v>179</v>
      </c>
      <c r="F323" t="s">
        <v>180</v>
      </c>
      <c r="G323" t="s">
        <v>32</v>
      </c>
      <c r="H323" s="1">
        <v>1000</v>
      </c>
      <c r="I323" s="1">
        <v>0</v>
      </c>
      <c r="J323" s="1">
        <v>0</v>
      </c>
      <c r="K323" s="1">
        <v>0</v>
      </c>
      <c r="L323" t="s">
        <v>33</v>
      </c>
      <c r="M323" t="s">
        <v>34</v>
      </c>
      <c r="N323" s="1">
        <v>0</v>
      </c>
      <c r="O323" s="1">
        <v>5925</v>
      </c>
      <c r="P323" s="1">
        <v>0</v>
      </c>
      <c r="Q323" s="1">
        <v>4</v>
      </c>
      <c r="R323" s="1">
        <v>0</v>
      </c>
      <c r="S323" s="1">
        <v>1000</v>
      </c>
      <c r="T323" s="1">
        <v>400</v>
      </c>
      <c r="U323" t="s">
        <v>33</v>
      </c>
      <c r="V323" t="s">
        <v>33</v>
      </c>
      <c r="W323" t="s">
        <v>103</v>
      </c>
      <c r="X323" t="s">
        <v>416</v>
      </c>
    </row>
    <row r="324" spans="1:24" x14ac:dyDescent="0.2">
      <c r="A324" s="22" t="e">
        <f>MATCH(C324,'[1]Slot Managers Split'!G:G,0)</f>
        <v>#N/A</v>
      </c>
      <c r="B324" s="22"/>
      <c r="C324" s="22" t="s">
        <v>882</v>
      </c>
      <c r="D324" s="22" t="s">
        <v>275</v>
      </c>
      <c r="E324" s="22" t="s">
        <v>0</v>
      </c>
      <c r="F324" s="22" t="s">
        <v>275</v>
      </c>
      <c r="G324" s="22" t="s">
        <v>32</v>
      </c>
      <c r="H324" s="27">
        <v>1000</v>
      </c>
      <c r="I324" s="27">
        <v>200</v>
      </c>
      <c r="J324" s="27">
        <v>0</v>
      </c>
      <c r="K324" s="27">
        <v>0</v>
      </c>
      <c r="L324" s="22" t="s">
        <v>33</v>
      </c>
      <c r="M324" s="22" t="s">
        <v>33</v>
      </c>
      <c r="N324" s="27">
        <v>216000</v>
      </c>
      <c r="O324" s="27">
        <v>16000</v>
      </c>
      <c r="P324" s="27">
        <v>289</v>
      </c>
      <c r="Q324" s="27">
        <v>10</v>
      </c>
      <c r="R324" s="27">
        <v>2</v>
      </c>
      <c r="S324" s="27">
        <v>0</v>
      </c>
      <c r="T324" s="27">
        <v>5700</v>
      </c>
      <c r="U324" s="22" t="s">
        <v>33</v>
      </c>
      <c r="V324" s="22" t="s">
        <v>33</v>
      </c>
      <c r="W324" s="22" t="s">
        <v>35</v>
      </c>
      <c r="X324" s="22" t="s">
        <v>883</v>
      </c>
    </row>
    <row r="325" spans="1:24" x14ac:dyDescent="0.2">
      <c r="A325" s="22" t="e">
        <f>MATCH(C325,'[1]Slot Managers Split'!G:G,0)</f>
        <v>#N/A</v>
      </c>
      <c r="B325" s="22"/>
      <c r="C325" s="22" t="s">
        <v>209</v>
      </c>
      <c r="D325" s="22" t="s">
        <v>210</v>
      </c>
      <c r="E325" s="22" t="s">
        <v>0</v>
      </c>
      <c r="F325" s="22" t="s">
        <v>211</v>
      </c>
      <c r="G325" s="22" t="s">
        <v>32</v>
      </c>
      <c r="H325" s="27">
        <v>1000</v>
      </c>
      <c r="I325" s="27">
        <v>31</v>
      </c>
      <c r="J325" s="27">
        <v>0</v>
      </c>
      <c r="K325" s="27">
        <v>0</v>
      </c>
      <c r="L325" s="22" t="s">
        <v>33</v>
      </c>
      <c r="M325" s="22" t="s">
        <v>33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300</v>
      </c>
      <c r="U325" s="22" t="s">
        <v>33</v>
      </c>
      <c r="V325" s="22" t="s">
        <v>33</v>
      </c>
      <c r="W325" s="22" t="s">
        <v>35</v>
      </c>
      <c r="X325" s="22" t="s">
        <v>212</v>
      </c>
    </row>
    <row r="326" spans="1:24" x14ac:dyDescent="0.2">
      <c r="A326" s="22" t="e">
        <f>MATCH(C326,'[1]Slot Managers Split'!G:G,0)</f>
        <v>#N/A</v>
      </c>
      <c r="B326" s="22"/>
      <c r="C326" s="22" t="s">
        <v>238</v>
      </c>
      <c r="D326" s="22" t="s">
        <v>239</v>
      </c>
      <c r="E326" s="22" t="s">
        <v>0</v>
      </c>
      <c r="F326" s="22" t="s">
        <v>211</v>
      </c>
      <c r="G326" s="22" t="s">
        <v>32</v>
      </c>
      <c r="H326" s="27">
        <v>1000</v>
      </c>
      <c r="I326" s="27">
        <v>34</v>
      </c>
      <c r="J326" s="27">
        <v>20</v>
      </c>
      <c r="K326" s="27">
        <v>0</v>
      </c>
      <c r="L326" s="22" t="s">
        <v>34</v>
      </c>
      <c r="M326" s="22" t="s">
        <v>34</v>
      </c>
      <c r="N326" s="27">
        <v>30000</v>
      </c>
      <c r="O326" s="27">
        <v>7000</v>
      </c>
      <c r="P326" s="27">
        <v>0</v>
      </c>
      <c r="Q326" s="27">
        <v>3</v>
      </c>
      <c r="R326" s="27">
        <v>2</v>
      </c>
      <c r="S326" s="27">
        <v>300</v>
      </c>
      <c r="T326" s="27">
        <v>800</v>
      </c>
      <c r="U326" s="22" t="s">
        <v>33</v>
      </c>
      <c r="V326" s="22" t="s">
        <v>33</v>
      </c>
      <c r="W326" s="22" t="s">
        <v>35</v>
      </c>
      <c r="X326" s="22" t="s">
        <v>0</v>
      </c>
    </row>
    <row r="327" spans="1:24" x14ac:dyDescent="0.2">
      <c r="A327" s="22" t="e">
        <f>MATCH(C327,'[1]Slot Managers Split'!G:G,0)</f>
        <v>#N/A</v>
      </c>
      <c r="B327" s="22"/>
      <c r="C327" s="22" t="s">
        <v>213</v>
      </c>
      <c r="D327" s="22" t="s">
        <v>214</v>
      </c>
      <c r="E327" s="22" t="s">
        <v>0</v>
      </c>
      <c r="F327" s="22" t="s">
        <v>215</v>
      </c>
      <c r="G327" s="22" t="s">
        <v>32</v>
      </c>
      <c r="H327" s="27">
        <v>1000</v>
      </c>
      <c r="I327" s="27">
        <v>25</v>
      </c>
      <c r="J327" s="27">
        <v>1</v>
      </c>
      <c r="K327" s="27">
        <v>0</v>
      </c>
      <c r="L327" s="22" t="s">
        <v>33</v>
      </c>
      <c r="M327" s="22" t="s">
        <v>33</v>
      </c>
      <c r="N327" s="27">
        <v>165000</v>
      </c>
      <c r="O327" s="27">
        <v>0</v>
      </c>
      <c r="P327" s="27">
        <v>0</v>
      </c>
      <c r="Q327" s="27">
        <v>7</v>
      </c>
      <c r="R327" s="27">
        <v>3</v>
      </c>
      <c r="S327" s="27">
        <v>600</v>
      </c>
      <c r="T327" s="27">
        <v>500</v>
      </c>
      <c r="U327" s="22" t="s">
        <v>33</v>
      </c>
      <c r="V327" s="22" t="s">
        <v>33</v>
      </c>
      <c r="W327" s="22" t="s">
        <v>35</v>
      </c>
      <c r="X327" s="22" t="s">
        <v>216</v>
      </c>
    </row>
    <row r="328" spans="1:24" hidden="1" x14ac:dyDescent="0.2">
      <c r="A328" t="e">
        <f>MATCH(C328,'[1]Slot Managers Split'!G:G,0)</f>
        <v>#N/A</v>
      </c>
      <c r="C328" t="s">
        <v>111</v>
      </c>
      <c r="D328" t="s">
        <v>112</v>
      </c>
      <c r="E328" t="s">
        <v>113</v>
      </c>
      <c r="F328" t="s">
        <v>31</v>
      </c>
      <c r="G328" t="s">
        <v>32</v>
      </c>
      <c r="H328" s="1">
        <v>1000</v>
      </c>
      <c r="I328" s="1">
        <v>32</v>
      </c>
      <c r="J328" s="1">
        <v>0</v>
      </c>
      <c r="K328" s="1">
        <v>0</v>
      </c>
      <c r="L328" t="s">
        <v>34</v>
      </c>
      <c r="M328" t="s">
        <v>34</v>
      </c>
      <c r="N328" s="1">
        <v>33600</v>
      </c>
      <c r="O328" s="1">
        <v>0</v>
      </c>
      <c r="P328" s="1">
        <v>84</v>
      </c>
      <c r="Q328" s="1">
        <v>7</v>
      </c>
      <c r="R328" s="1">
        <v>0</v>
      </c>
      <c r="S328" s="1">
        <v>0</v>
      </c>
      <c r="T328" s="1">
        <v>579</v>
      </c>
      <c r="U328" t="s">
        <v>33</v>
      </c>
      <c r="V328" t="s">
        <v>33</v>
      </c>
      <c r="W328" t="s">
        <v>35</v>
      </c>
      <c r="X328" t="s">
        <v>99</v>
      </c>
    </row>
    <row r="329" spans="1:24" hidden="1" x14ac:dyDescent="0.2">
      <c r="A329">
        <f>MATCH(C329,'[1]Slot Managers Split'!G:G,0)</f>
        <v>297</v>
      </c>
      <c r="C329" t="s">
        <v>299</v>
      </c>
      <c r="D329" t="s">
        <v>300</v>
      </c>
      <c r="E329" t="s">
        <v>30</v>
      </c>
      <c r="F329" t="s">
        <v>31</v>
      </c>
      <c r="G329" t="s">
        <v>32</v>
      </c>
      <c r="H329" s="1">
        <v>1000</v>
      </c>
      <c r="I329" s="1">
        <v>6</v>
      </c>
      <c r="J329" s="1">
        <v>3</v>
      </c>
      <c r="K329" s="1">
        <v>0</v>
      </c>
      <c r="L329" t="s">
        <v>33</v>
      </c>
      <c r="M329" t="s">
        <v>33</v>
      </c>
      <c r="N329" s="1">
        <v>52500</v>
      </c>
      <c r="O329" s="1">
        <v>0</v>
      </c>
      <c r="P329" s="1">
        <v>87</v>
      </c>
      <c r="Q329" s="1">
        <v>2</v>
      </c>
      <c r="R329" s="1">
        <v>0</v>
      </c>
      <c r="S329" s="1">
        <v>2000</v>
      </c>
      <c r="T329" s="1">
        <v>410</v>
      </c>
      <c r="U329" t="s">
        <v>34</v>
      </c>
      <c r="V329" t="s">
        <v>34</v>
      </c>
      <c r="W329" t="s">
        <v>35</v>
      </c>
      <c r="X329" t="s">
        <v>301</v>
      </c>
    </row>
    <row r="330" spans="1:24" hidden="1" x14ac:dyDescent="0.2">
      <c r="A330" t="e">
        <f>MATCH(C330,'[1]Slot Managers Split'!G:G,0)</f>
        <v>#N/A</v>
      </c>
      <c r="C330" t="s">
        <v>345</v>
      </c>
      <c r="D330" t="s">
        <v>84</v>
      </c>
      <c r="E330" t="s">
        <v>51</v>
      </c>
      <c r="F330" t="s">
        <v>31</v>
      </c>
      <c r="G330" t="s">
        <v>32</v>
      </c>
      <c r="H330" s="1">
        <v>1000</v>
      </c>
      <c r="I330" s="1">
        <v>36</v>
      </c>
      <c r="J330" s="1">
        <v>0</v>
      </c>
      <c r="K330" s="1">
        <v>0</v>
      </c>
      <c r="L330" t="s">
        <v>34</v>
      </c>
      <c r="M330" t="s">
        <v>34</v>
      </c>
      <c r="N330" s="1">
        <v>70000</v>
      </c>
      <c r="O330" s="1">
        <v>10175</v>
      </c>
      <c r="P330" s="1">
        <v>900</v>
      </c>
      <c r="Q330" s="1">
        <v>10</v>
      </c>
      <c r="R330" s="1">
        <v>7</v>
      </c>
      <c r="S330" s="1">
        <v>1190</v>
      </c>
      <c r="T330" s="1">
        <v>856</v>
      </c>
      <c r="U330" t="s">
        <v>33</v>
      </c>
      <c r="V330" t="s">
        <v>33</v>
      </c>
      <c r="W330" t="s">
        <v>35</v>
      </c>
      <c r="X330" t="s">
        <v>267</v>
      </c>
    </row>
    <row r="331" spans="1:24" hidden="1" x14ac:dyDescent="0.2">
      <c r="A331" t="e">
        <f>MATCH(C331,'[1]Slot Managers Split'!G:G,0)</f>
        <v>#N/A</v>
      </c>
      <c r="C331" t="s">
        <v>370</v>
      </c>
      <c r="D331" t="s">
        <v>81</v>
      </c>
      <c r="E331" t="s">
        <v>51</v>
      </c>
      <c r="F331" t="s">
        <v>31</v>
      </c>
      <c r="G331" t="s">
        <v>32</v>
      </c>
      <c r="H331" s="1">
        <v>1000</v>
      </c>
      <c r="I331" s="1">
        <v>128</v>
      </c>
      <c r="J331" s="1">
        <v>0</v>
      </c>
      <c r="K331" s="1">
        <v>0</v>
      </c>
      <c r="L331" t="s">
        <v>34</v>
      </c>
      <c r="M331" t="s">
        <v>34</v>
      </c>
      <c r="N331" s="1">
        <v>96943</v>
      </c>
      <c r="O331" s="1">
        <v>60000</v>
      </c>
      <c r="P331" s="1">
        <v>2034</v>
      </c>
      <c r="Q331" s="1">
        <v>5</v>
      </c>
      <c r="R331" s="1">
        <v>4</v>
      </c>
      <c r="S331" s="1">
        <v>0</v>
      </c>
      <c r="T331" s="1">
        <v>5000</v>
      </c>
      <c r="U331" t="s">
        <v>33</v>
      </c>
      <c r="V331" t="s">
        <v>33</v>
      </c>
      <c r="W331" t="s">
        <v>35</v>
      </c>
      <c r="X331" t="s">
        <v>371</v>
      </c>
    </row>
    <row r="332" spans="1:24" hidden="1" x14ac:dyDescent="0.2">
      <c r="A332" t="e">
        <f>MATCH(C332,'[1]Slot Managers Split'!G:G,0)</f>
        <v>#N/A</v>
      </c>
      <c r="C332" t="s">
        <v>609</v>
      </c>
      <c r="D332" t="s">
        <v>610</v>
      </c>
      <c r="E332" t="s">
        <v>47</v>
      </c>
      <c r="F332" t="s">
        <v>31</v>
      </c>
      <c r="G332" t="s">
        <v>32</v>
      </c>
      <c r="H332" s="1">
        <v>1000</v>
      </c>
      <c r="I332" s="1">
        <v>0</v>
      </c>
      <c r="J332" s="1">
        <v>0</v>
      </c>
      <c r="K332" s="1">
        <v>0</v>
      </c>
      <c r="L332" t="s">
        <v>33</v>
      </c>
      <c r="M332" t="s">
        <v>34</v>
      </c>
      <c r="N332" s="1">
        <v>64142</v>
      </c>
      <c r="O332" s="1">
        <v>0</v>
      </c>
      <c r="P332" s="1">
        <v>228</v>
      </c>
      <c r="Q332" s="1">
        <v>1</v>
      </c>
      <c r="R332" s="1">
        <v>0</v>
      </c>
      <c r="S332" s="1">
        <v>0</v>
      </c>
      <c r="T332" s="1">
        <v>667</v>
      </c>
      <c r="U332" t="s">
        <v>33</v>
      </c>
      <c r="V332" t="s">
        <v>33</v>
      </c>
      <c r="W332" t="s">
        <v>35</v>
      </c>
      <c r="X332" t="s">
        <v>611</v>
      </c>
    </row>
    <row r="333" spans="1:24" hidden="1" x14ac:dyDescent="0.2">
      <c r="A333" t="e">
        <f>MATCH(C333,'[1]Slot Managers Split'!G:G,0)</f>
        <v>#N/A</v>
      </c>
      <c r="C333" t="s">
        <v>631</v>
      </c>
      <c r="D333" t="s">
        <v>632</v>
      </c>
      <c r="E333" t="s">
        <v>30</v>
      </c>
      <c r="F333" t="s">
        <v>31</v>
      </c>
      <c r="G333" t="s">
        <v>32</v>
      </c>
      <c r="H333" s="1">
        <v>1000</v>
      </c>
      <c r="I333" s="1">
        <v>8</v>
      </c>
      <c r="J333" s="1">
        <v>0</v>
      </c>
      <c r="K333" s="1">
        <v>0</v>
      </c>
      <c r="L333" t="s">
        <v>33</v>
      </c>
      <c r="M333" t="s">
        <v>33</v>
      </c>
      <c r="N333" s="1">
        <v>70000</v>
      </c>
      <c r="O333" s="1">
        <v>0</v>
      </c>
      <c r="P333" s="1">
        <v>87</v>
      </c>
      <c r="Q333" s="1">
        <v>3</v>
      </c>
      <c r="R333" s="1">
        <v>0</v>
      </c>
      <c r="S333" s="1">
        <v>0</v>
      </c>
      <c r="T333" s="1">
        <v>200</v>
      </c>
      <c r="U333" t="s">
        <v>34</v>
      </c>
      <c r="V333" t="s">
        <v>34</v>
      </c>
      <c r="W333" t="s">
        <v>35</v>
      </c>
      <c r="X333" t="s">
        <v>633</v>
      </c>
    </row>
    <row r="334" spans="1:24" hidden="1" x14ac:dyDescent="0.2">
      <c r="A334" t="e">
        <f>MATCH(C334,'[1]Slot Managers Split'!G:G,0)</f>
        <v>#N/A</v>
      </c>
      <c r="C334" t="s">
        <v>647</v>
      </c>
      <c r="D334" t="s">
        <v>575</v>
      </c>
      <c r="E334" t="s">
        <v>106</v>
      </c>
      <c r="F334" t="s">
        <v>31</v>
      </c>
      <c r="G334" t="s">
        <v>32</v>
      </c>
      <c r="H334" s="1">
        <v>1000</v>
      </c>
      <c r="I334" s="1">
        <v>40</v>
      </c>
      <c r="J334" s="1">
        <v>0</v>
      </c>
      <c r="K334" s="1">
        <v>0</v>
      </c>
      <c r="L334" t="s">
        <v>34</v>
      </c>
      <c r="M334" t="s">
        <v>33</v>
      </c>
      <c r="N334" s="1">
        <v>47000</v>
      </c>
      <c r="O334" s="1">
        <v>0</v>
      </c>
      <c r="P334" s="1">
        <v>580</v>
      </c>
      <c r="Q334" s="1">
        <v>7</v>
      </c>
      <c r="R334" s="1">
        <v>0</v>
      </c>
      <c r="S334" s="1">
        <v>0</v>
      </c>
      <c r="T334" s="1">
        <v>800</v>
      </c>
      <c r="U334" t="s">
        <v>33</v>
      </c>
      <c r="V334" t="s">
        <v>33</v>
      </c>
      <c r="W334" t="s">
        <v>35</v>
      </c>
      <c r="X334" t="s">
        <v>648</v>
      </c>
    </row>
    <row r="335" spans="1:24" hidden="1" x14ac:dyDescent="0.2">
      <c r="A335">
        <f>MATCH(C335,'[1]Slot Managers Split'!G:G,0)</f>
        <v>176</v>
      </c>
      <c r="C335" t="s">
        <v>900</v>
      </c>
      <c r="D335" t="s">
        <v>901</v>
      </c>
      <c r="E335" t="s">
        <v>185</v>
      </c>
      <c r="F335" t="s">
        <v>31</v>
      </c>
      <c r="G335" t="s">
        <v>32</v>
      </c>
      <c r="H335" s="1">
        <v>1000</v>
      </c>
      <c r="I335" s="1">
        <v>38</v>
      </c>
      <c r="J335" s="1">
        <v>0</v>
      </c>
      <c r="K335" s="1">
        <v>298</v>
      </c>
      <c r="L335" t="s">
        <v>34</v>
      </c>
      <c r="M335" t="s">
        <v>33</v>
      </c>
      <c r="N335" s="1">
        <v>50000</v>
      </c>
      <c r="O335" s="1">
        <v>0</v>
      </c>
      <c r="P335" s="1">
        <v>0</v>
      </c>
      <c r="Q335" s="1">
        <v>3</v>
      </c>
      <c r="R335" s="1">
        <v>0</v>
      </c>
      <c r="S335" s="1">
        <v>900</v>
      </c>
      <c r="T335" s="1">
        <v>550</v>
      </c>
      <c r="U335" t="s">
        <v>34</v>
      </c>
      <c r="V335" t="s">
        <v>34</v>
      </c>
      <c r="W335" t="s">
        <v>35</v>
      </c>
      <c r="X335" t="s">
        <v>482</v>
      </c>
    </row>
    <row r="336" spans="1:24" hidden="1" x14ac:dyDescent="0.2">
      <c r="A336">
        <f>MATCH(C336,'[1]Slot Managers Split'!G:G,0)</f>
        <v>120</v>
      </c>
      <c r="C336" t="s">
        <v>910</v>
      </c>
      <c r="D336" t="s">
        <v>911</v>
      </c>
      <c r="E336" t="s">
        <v>47</v>
      </c>
      <c r="F336" t="s">
        <v>31</v>
      </c>
      <c r="G336" t="s">
        <v>32</v>
      </c>
      <c r="H336" s="1">
        <v>1000</v>
      </c>
      <c r="I336" s="1">
        <v>30</v>
      </c>
      <c r="J336" s="1">
        <v>0</v>
      </c>
      <c r="K336" s="1">
        <v>0</v>
      </c>
      <c r="L336" t="s">
        <v>34</v>
      </c>
      <c r="M336" t="s">
        <v>33</v>
      </c>
      <c r="N336" s="1">
        <v>67000</v>
      </c>
      <c r="O336" s="1">
        <v>0</v>
      </c>
      <c r="P336" s="1">
        <v>0</v>
      </c>
      <c r="Q336" s="1">
        <v>5</v>
      </c>
      <c r="R336" s="1">
        <v>0</v>
      </c>
      <c r="S336" s="1">
        <v>1085</v>
      </c>
      <c r="T336" s="1">
        <v>500</v>
      </c>
      <c r="U336" t="s">
        <v>34</v>
      </c>
      <c r="V336" t="s">
        <v>34</v>
      </c>
      <c r="W336" t="s">
        <v>35</v>
      </c>
      <c r="X336" t="s">
        <v>909</v>
      </c>
    </row>
    <row r="337" spans="1:24" hidden="1" x14ac:dyDescent="0.2">
      <c r="A337" t="e">
        <f>MATCH(C337,'[1]Slot Managers Split'!G:G,0)</f>
        <v>#N/A</v>
      </c>
      <c r="C337" t="s">
        <v>920</v>
      </c>
      <c r="D337" t="s">
        <v>84</v>
      </c>
      <c r="E337" t="s">
        <v>51</v>
      </c>
      <c r="F337" t="s">
        <v>31</v>
      </c>
      <c r="G337" t="s">
        <v>32</v>
      </c>
      <c r="H337" s="1">
        <v>1000</v>
      </c>
      <c r="I337" s="1">
        <v>48</v>
      </c>
      <c r="J337" s="1">
        <v>0</v>
      </c>
      <c r="K337" s="1">
        <v>0</v>
      </c>
      <c r="L337" t="s">
        <v>34</v>
      </c>
      <c r="M337" t="s">
        <v>34</v>
      </c>
      <c r="N337" s="1">
        <v>90100</v>
      </c>
      <c r="O337" s="1">
        <v>90000</v>
      </c>
      <c r="P337" s="1">
        <v>1680</v>
      </c>
      <c r="Q337" s="1">
        <v>12</v>
      </c>
      <c r="R337" s="1">
        <v>6</v>
      </c>
      <c r="S337" s="1">
        <v>2100</v>
      </c>
      <c r="T337" s="1">
        <v>1029</v>
      </c>
      <c r="U337" t="s">
        <v>33</v>
      </c>
      <c r="V337" t="s">
        <v>33</v>
      </c>
      <c r="W337" t="s">
        <v>35</v>
      </c>
      <c r="X337" t="s">
        <v>267</v>
      </c>
    </row>
    <row r="338" spans="1:24" hidden="1" x14ac:dyDescent="0.2">
      <c r="A338" t="e">
        <f>MATCH(C338,'[1]Slot Managers Split'!G:G,0)</f>
        <v>#N/A</v>
      </c>
      <c r="C338" t="s">
        <v>1043</v>
      </c>
      <c r="D338" t="s">
        <v>235</v>
      </c>
      <c r="E338" t="s">
        <v>236</v>
      </c>
      <c r="F338" t="s">
        <v>31</v>
      </c>
      <c r="G338" t="s">
        <v>32</v>
      </c>
      <c r="H338" s="1">
        <v>1000</v>
      </c>
      <c r="I338" s="1">
        <v>0</v>
      </c>
      <c r="J338" s="1">
        <v>0</v>
      </c>
      <c r="K338" s="1">
        <v>0</v>
      </c>
      <c r="L338" t="s">
        <v>34</v>
      </c>
      <c r="M338" t="s">
        <v>33</v>
      </c>
      <c r="N338" s="1">
        <v>14700</v>
      </c>
      <c r="O338" s="1">
        <v>0</v>
      </c>
      <c r="P338" s="1">
        <v>0</v>
      </c>
      <c r="Q338" s="1">
        <v>0</v>
      </c>
      <c r="R338" s="1">
        <v>0</v>
      </c>
      <c r="S338" s="1">
        <v>649</v>
      </c>
      <c r="T338" s="1">
        <v>250</v>
      </c>
      <c r="U338" t="s">
        <v>34</v>
      </c>
      <c r="V338" t="s">
        <v>34</v>
      </c>
      <c r="W338" t="s">
        <v>35</v>
      </c>
      <c r="X338" t="s">
        <v>237</v>
      </c>
    </row>
    <row r="339" spans="1:24" x14ac:dyDescent="0.2">
      <c r="A339" s="28" t="e">
        <f>MATCH(C339,'[1]Slot Managers Split'!G:G,0)</f>
        <v>#N/A</v>
      </c>
      <c r="B339" s="22"/>
      <c r="C339" s="22" t="s">
        <v>302</v>
      </c>
      <c r="D339" s="22" t="s">
        <v>303</v>
      </c>
      <c r="E339" s="22" t="s">
        <v>0</v>
      </c>
      <c r="F339" s="22" t="s">
        <v>304</v>
      </c>
      <c r="G339" s="22" t="s">
        <v>32</v>
      </c>
      <c r="H339" s="27">
        <v>1000</v>
      </c>
      <c r="I339" s="27">
        <v>100</v>
      </c>
      <c r="J339" s="27">
        <v>0</v>
      </c>
      <c r="K339" s="27">
        <v>0</v>
      </c>
      <c r="L339" s="22" t="s">
        <v>33</v>
      </c>
      <c r="M339" s="22" t="s">
        <v>33</v>
      </c>
      <c r="N339" s="27">
        <v>18800</v>
      </c>
      <c r="O339" s="27">
        <v>0</v>
      </c>
      <c r="P339" s="27">
        <v>4000</v>
      </c>
      <c r="Q339" s="27">
        <v>0</v>
      </c>
      <c r="R339" s="27">
        <v>0</v>
      </c>
      <c r="S339" s="27">
        <v>0</v>
      </c>
      <c r="T339" s="27">
        <v>0</v>
      </c>
      <c r="U339" s="22" t="s">
        <v>33</v>
      </c>
      <c r="V339" s="22" t="s">
        <v>33</v>
      </c>
      <c r="W339" s="22" t="s">
        <v>35</v>
      </c>
      <c r="X339" s="22" t="s">
        <v>0</v>
      </c>
    </row>
    <row r="340" spans="1:24" hidden="1" x14ac:dyDescent="0.2">
      <c r="A340" s="23" t="e">
        <f>MATCH(C340,'[1]Slot Managers Split'!G:G,0)</f>
        <v>#N/A</v>
      </c>
      <c r="B340" s="23"/>
      <c r="C340" s="23" t="s">
        <v>913</v>
      </c>
      <c r="D340" s="23" t="s">
        <v>914</v>
      </c>
      <c r="E340" s="23" t="s">
        <v>39</v>
      </c>
      <c r="F340" s="23" t="s">
        <v>31</v>
      </c>
      <c r="G340" s="23" t="s">
        <v>124</v>
      </c>
      <c r="H340" s="24">
        <v>2500</v>
      </c>
      <c r="I340" s="24">
        <v>0</v>
      </c>
      <c r="J340" s="24">
        <v>0</v>
      </c>
      <c r="K340" s="24">
        <v>0</v>
      </c>
      <c r="L340" s="23" t="s">
        <v>33</v>
      </c>
      <c r="M340" s="23" t="s">
        <v>33</v>
      </c>
      <c r="N340" s="24">
        <v>0</v>
      </c>
      <c r="O340" s="24">
        <v>0</v>
      </c>
      <c r="P340" s="24">
        <v>400</v>
      </c>
      <c r="Q340" s="24">
        <v>0</v>
      </c>
      <c r="R340" s="24">
        <v>0</v>
      </c>
      <c r="S340" s="24">
        <v>0</v>
      </c>
      <c r="T340" s="24">
        <v>0</v>
      </c>
      <c r="U340" s="23" t="s">
        <v>33</v>
      </c>
      <c r="V340" s="23" t="s">
        <v>33</v>
      </c>
      <c r="W340" s="23" t="s">
        <v>35</v>
      </c>
      <c r="X340" s="23" t="s">
        <v>915</v>
      </c>
    </row>
    <row r="341" spans="1:24" hidden="1" x14ac:dyDescent="0.2">
      <c r="A341" s="25" t="e">
        <f>MATCH(C341,'[1]Slot Managers Split'!G:G,0)</f>
        <v>#N/A</v>
      </c>
      <c r="B341" s="25"/>
      <c r="C341" s="25" t="s">
        <v>281</v>
      </c>
      <c r="D341" s="25" t="s">
        <v>282</v>
      </c>
      <c r="E341" s="25" t="s">
        <v>39</v>
      </c>
      <c r="F341" s="25" t="s">
        <v>31</v>
      </c>
      <c r="G341" s="25" t="s">
        <v>124</v>
      </c>
      <c r="H341" s="26">
        <v>2000</v>
      </c>
      <c r="I341" s="26">
        <v>45</v>
      </c>
      <c r="J341" s="26">
        <v>0</v>
      </c>
      <c r="K341" s="26">
        <v>0</v>
      </c>
      <c r="L341" s="25" t="s">
        <v>33</v>
      </c>
      <c r="M341" s="25" t="s">
        <v>33</v>
      </c>
      <c r="N341" s="26">
        <v>0</v>
      </c>
      <c r="O341" s="26">
        <v>0</v>
      </c>
      <c r="P341" s="26">
        <v>0</v>
      </c>
      <c r="Q341" s="26">
        <v>0</v>
      </c>
      <c r="R341" s="26">
        <v>0</v>
      </c>
      <c r="S341" s="26">
        <v>3400</v>
      </c>
      <c r="T341" s="26">
        <v>0</v>
      </c>
      <c r="U341" s="25" t="s">
        <v>34</v>
      </c>
      <c r="V341" s="25" t="s">
        <v>34</v>
      </c>
      <c r="W341" s="25" t="s">
        <v>35</v>
      </c>
      <c r="X341" s="25" t="s">
        <v>283</v>
      </c>
    </row>
    <row r="342" spans="1:24" hidden="1" x14ac:dyDescent="0.2">
      <c r="A342" s="25" t="e">
        <f>MATCH(C342,'[1]Slot Managers Split'!G:G,0)</f>
        <v>#N/A</v>
      </c>
      <c r="B342" s="25"/>
      <c r="C342" s="25" t="s">
        <v>723</v>
      </c>
      <c r="D342" s="25" t="s">
        <v>724</v>
      </c>
      <c r="E342" s="25" t="s">
        <v>291</v>
      </c>
      <c r="F342" s="25" t="s">
        <v>31</v>
      </c>
      <c r="G342" s="25" t="s">
        <v>124</v>
      </c>
      <c r="H342" s="26">
        <v>2000</v>
      </c>
      <c r="I342" s="26">
        <v>0</v>
      </c>
      <c r="J342" s="26">
        <v>0</v>
      </c>
      <c r="K342" s="26">
        <v>0</v>
      </c>
      <c r="L342" s="25" t="s">
        <v>33</v>
      </c>
      <c r="M342" s="25" t="s">
        <v>33</v>
      </c>
      <c r="N342" s="26">
        <v>0</v>
      </c>
      <c r="O342" s="26">
        <v>0</v>
      </c>
      <c r="P342" s="26">
        <v>250</v>
      </c>
      <c r="Q342" s="26">
        <v>0</v>
      </c>
      <c r="R342" s="26">
        <v>0</v>
      </c>
      <c r="S342" s="26">
        <v>0</v>
      </c>
      <c r="T342" s="26">
        <v>0</v>
      </c>
      <c r="U342" s="25" t="s">
        <v>34</v>
      </c>
      <c r="V342" s="25" t="s">
        <v>34</v>
      </c>
      <c r="W342" s="25" t="s">
        <v>35</v>
      </c>
      <c r="X342" s="25" t="s">
        <v>725</v>
      </c>
    </row>
    <row r="343" spans="1:24" hidden="1" x14ac:dyDescent="0.2">
      <c r="A343" s="25" t="e">
        <f>MATCH(C343,'[1]Slot Managers Split'!G:G,0)</f>
        <v>#N/A</v>
      </c>
      <c r="B343" s="25"/>
      <c r="C343" s="25" t="s">
        <v>918</v>
      </c>
      <c r="D343" s="25" t="s">
        <v>919</v>
      </c>
      <c r="E343" s="25" t="s">
        <v>246</v>
      </c>
      <c r="F343" s="25" t="s">
        <v>31</v>
      </c>
      <c r="G343" s="25" t="s">
        <v>124</v>
      </c>
      <c r="H343" s="26">
        <v>2000</v>
      </c>
      <c r="I343" s="26">
        <v>45</v>
      </c>
      <c r="J343" s="26">
        <v>0</v>
      </c>
      <c r="K343" s="26">
        <v>0</v>
      </c>
      <c r="L343" s="25" t="s">
        <v>33</v>
      </c>
      <c r="M343" s="25" t="s">
        <v>33</v>
      </c>
      <c r="N343" s="26">
        <v>180000</v>
      </c>
      <c r="O343" s="26">
        <v>0</v>
      </c>
      <c r="P343" s="26">
        <v>0</v>
      </c>
      <c r="Q343" s="26">
        <v>0</v>
      </c>
      <c r="R343" s="26">
        <v>0</v>
      </c>
      <c r="S343" s="26">
        <v>0</v>
      </c>
      <c r="T343" s="26">
        <v>0</v>
      </c>
      <c r="U343" s="25" t="s">
        <v>34</v>
      </c>
      <c r="V343" s="25" t="s">
        <v>34</v>
      </c>
      <c r="W343" s="25" t="s">
        <v>35</v>
      </c>
      <c r="X343" s="25" t="s">
        <v>247</v>
      </c>
    </row>
    <row r="344" spans="1:24" hidden="1" x14ac:dyDescent="0.2">
      <c r="A344" s="25" t="e">
        <f>MATCH(C344,'[1]Slot Managers Split'!G:G,0)</f>
        <v>#N/A</v>
      </c>
      <c r="B344" s="25"/>
      <c r="C344" s="25" t="s">
        <v>390</v>
      </c>
      <c r="D344" s="25" t="s">
        <v>391</v>
      </c>
      <c r="E344" s="25" t="s">
        <v>368</v>
      </c>
      <c r="F344" s="25" t="s">
        <v>31</v>
      </c>
      <c r="G344" s="25" t="s">
        <v>124</v>
      </c>
      <c r="H344" s="26">
        <v>1900</v>
      </c>
      <c r="I344" s="26">
        <v>60</v>
      </c>
      <c r="J344" s="26">
        <v>0</v>
      </c>
      <c r="K344" s="26">
        <v>0</v>
      </c>
      <c r="L344" s="25" t="s">
        <v>33</v>
      </c>
      <c r="M344" s="25" t="s">
        <v>33</v>
      </c>
      <c r="N344" s="26">
        <v>200000</v>
      </c>
      <c r="O344" s="26">
        <v>46000</v>
      </c>
      <c r="P344" s="26">
        <v>900</v>
      </c>
      <c r="Q344" s="26">
        <v>0</v>
      </c>
      <c r="R344" s="26">
        <v>0</v>
      </c>
      <c r="S344" s="26">
        <v>4640</v>
      </c>
      <c r="T344" s="26">
        <v>2600</v>
      </c>
      <c r="U344" s="25" t="s">
        <v>34</v>
      </c>
      <c r="V344" s="25" t="s">
        <v>34</v>
      </c>
      <c r="W344" s="25" t="s">
        <v>35</v>
      </c>
      <c r="X344" s="25" t="s">
        <v>392</v>
      </c>
    </row>
    <row r="345" spans="1:24" hidden="1" x14ac:dyDescent="0.2">
      <c r="A345" s="25" t="e">
        <f>MATCH(C345,'[1]Slot Managers Split'!G:G,0)</f>
        <v>#N/A</v>
      </c>
      <c r="B345" s="25"/>
      <c r="C345" s="25" t="s">
        <v>476</v>
      </c>
      <c r="D345" s="25" t="s">
        <v>477</v>
      </c>
      <c r="E345" s="25" t="s">
        <v>478</v>
      </c>
      <c r="F345" s="25" t="s">
        <v>31</v>
      </c>
      <c r="G345" s="25" t="s">
        <v>124</v>
      </c>
      <c r="H345" s="26">
        <v>1500</v>
      </c>
      <c r="I345" s="26">
        <v>50</v>
      </c>
      <c r="J345" s="26">
        <v>0</v>
      </c>
      <c r="K345" s="26">
        <v>0</v>
      </c>
      <c r="L345" s="25" t="s">
        <v>34</v>
      </c>
      <c r="M345" s="25" t="s">
        <v>33</v>
      </c>
      <c r="N345" s="26">
        <v>0</v>
      </c>
      <c r="O345" s="26">
        <v>0</v>
      </c>
      <c r="P345" s="26">
        <v>150</v>
      </c>
      <c r="Q345" s="26">
        <v>0</v>
      </c>
      <c r="R345" s="26">
        <v>0</v>
      </c>
      <c r="S345" s="26">
        <v>10000</v>
      </c>
      <c r="T345" s="26">
        <v>0</v>
      </c>
      <c r="U345" s="25" t="s">
        <v>34</v>
      </c>
      <c r="V345" s="25" t="s">
        <v>34</v>
      </c>
      <c r="W345" s="25" t="s">
        <v>35</v>
      </c>
      <c r="X345" s="25" t="s">
        <v>479</v>
      </c>
    </row>
    <row r="346" spans="1:24" hidden="1" x14ac:dyDescent="0.2">
      <c r="A346" s="25" t="e">
        <f>MATCH(C346,'[1]Slot Managers Split'!G:G,0)</f>
        <v>#N/A</v>
      </c>
      <c r="B346" s="25"/>
      <c r="C346" s="25" t="s">
        <v>405</v>
      </c>
      <c r="D346" s="25" t="s">
        <v>128</v>
      </c>
      <c r="E346" s="25" t="s">
        <v>129</v>
      </c>
      <c r="F346" s="25" t="s">
        <v>31</v>
      </c>
      <c r="G346" s="25" t="s">
        <v>124</v>
      </c>
      <c r="H346" s="26">
        <v>1380</v>
      </c>
      <c r="I346" s="26">
        <v>45</v>
      </c>
      <c r="J346" s="26">
        <v>7</v>
      </c>
      <c r="K346" s="26">
        <v>0</v>
      </c>
      <c r="L346" s="25" t="s">
        <v>33</v>
      </c>
      <c r="M346" s="25" t="s">
        <v>33</v>
      </c>
      <c r="N346" s="26">
        <v>50000</v>
      </c>
      <c r="O346" s="26">
        <v>71000</v>
      </c>
      <c r="P346" s="26">
        <v>497</v>
      </c>
      <c r="Q346" s="26">
        <v>0</v>
      </c>
      <c r="R346" s="26">
        <v>0</v>
      </c>
      <c r="S346" s="26">
        <v>0</v>
      </c>
      <c r="T346" s="26">
        <v>0</v>
      </c>
      <c r="U346" s="25" t="s">
        <v>34</v>
      </c>
      <c r="V346" s="25" t="s">
        <v>33</v>
      </c>
      <c r="W346" s="25" t="s">
        <v>35</v>
      </c>
      <c r="X346" s="25" t="s">
        <v>404</v>
      </c>
    </row>
    <row r="347" spans="1:24" hidden="1" x14ac:dyDescent="0.2">
      <c r="A347" s="25" t="e">
        <f>MATCH(C347,'[1]Slot Managers Split'!G:G,0)</f>
        <v>#N/A</v>
      </c>
      <c r="B347" s="25"/>
      <c r="C347" s="25" t="s">
        <v>122</v>
      </c>
      <c r="D347" s="25" t="s">
        <v>123</v>
      </c>
      <c r="E347" s="25" t="s">
        <v>39</v>
      </c>
      <c r="F347" s="25" t="s">
        <v>31</v>
      </c>
      <c r="G347" s="25" t="s">
        <v>124</v>
      </c>
      <c r="H347" s="26">
        <v>1325</v>
      </c>
      <c r="I347" s="26">
        <v>57</v>
      </c>
      <c r="J347" s="26">
        <v>0</v>
      </c>
      <c r="K347" s="26">
        <v>0</v>
      </c>
      <c r="L347" s="25" t="s">
        <v>33</v>
      </c>
      <c r="M347" s="25" t="s">
        <v>33</v>
      </c>
      <c r="N347" s="26">
        <v>57000</v>
      </c>
      <c r="O347" s="26">
        <v>0</v>
      </c>
      <c r="P347" s="26">
        <v>100</v>
      </c>
      <c r="Q347" s="26">
        <v>0</v>
      </c>
      <c r="R347" s="26">
        <v>0</v>
      </c>
      <c r="S347" s="26">
        <v>0</v>
      </c>
      <c r="T347" s="26">
        <v>823</v>
      </c>
      <c r="U347" s="25" t="s">
        <v>34</v>
      </c>
      <c r="V347" s="25" t="s">
        <v>34</v>
      </c>
      <c r="W347" s="25" t="s">
        <v>35</v>
      </c>
      <c r="X347" s="25" t="s">
        <v>126</v>
      </c>
    </row>
    <row r="348" spans="1:24" hidden="1" x14ac:dyDescent="0.2">
      <c r="A348" s="25" t="e">
        <f>MATCH(C348,'[1]Slot Managers Split'!G:G,0)</f>
        <v>#N/A</v>
      </c>
      <c r="B348" s="25"/>
      <c r="C348" s="25" t="s">
        <v>1067</v>
      </c>
      <c r="D348" s="25" t="s">
        <v>1068</v>
      </c>
      <c r="E348" s="25" t="s">
        <v>39</v>
      </c>
      <c r="F348" s="25" t="s">
        <v>31</v>
      </c>
      <c r="G348" s="25" t="s">
        <v>124</v>
      </c>
      <c r="H348" s="26">
        <v>1200</v>
      </c>
      <c r="I348" s="26">
        <v>36</v>
      </c>
      <c r="J348" s="26">
        <v>7</v>
      </c>
      <c r="K348" s="26">
        <v>300</v>
      </c>
      <c r="L348" s="25" t="s">
        <v>33</v>
      </c>
      <c r="M348" s="25" t="s">
        <v>33</v>
      </c>
      <c r="N348" s="26">
        <v>69000</v>
      </c>
      <c r="O348" s="26">
        <v>0</v>
      </c>
      <c r="P348" s="26">
        <v>250</v>
      </c>
      <c r="Q348" s="26">
        <v>0</v>
      </c>
      <c r="R348" s="26">
        <v>0</v>
      </c>
      <c r="S348" s="26">
        <v>0</v>
      </c>
      <c r="T348" s="26">
        <v>0</v>
      </c>
      <c r="U348" s="25" t="s">
        <v>34</v>
      </c>
      <c r="V348" s="25" t="s">
        <v>34</v>
      </c>
      <c r="W348" s="25" t="s">
        <v>35</v>
      </c>
      <c r="X348" s="25" t="s">
        <v>1069</v>
      </c>
    </row>
    <row r="349" spans="1:24" hidden="1" x14ac:dyDescent="0.2">
      <c r="A349" s="25" t="e">
        <f>MATCH(C349,'[1]Slot Managers Split'!G:G,0)</f>
        <v>#N/A</v>
      </c>
      <c r="B349" s="25"/>
      <c r="C349" s="25" t="s">
        <v>931</v>
      </c>
      <c r="D349" s="25" t="s">
        <v>932</v>
      </c>
      <c r="E349" s="25" t="s">
        <v>51</v>
      </c>
      <c r="F349" s="25" t="s">
        <v>31</v>
      </c>
      <c r="G349" s="25" t="s">
        <v>124</v>
      </c>
      <c r="H349" s="26">
        <v>1100</v>
      </c>
      <c r="I349" s="26">
        <v>26</v>
      </c>
      <c r="J349" s="26">
        <v>0</v>
      </c>
      <c r="K349" s="26">
        <v>0</v>
      </c>
      <c r="L349" s="25" t="s">
        <v>34</v>
      </c>
      <c r="M349" s="25" t="s">
        <v>34</v>
      </c>
      <c r="N349" s="26">
        <v>0</v>
      </c>
      <c r="O349" s="26">
        <v>0</v>
      </c>
      <c r="P349" s="26">
        <v>0</v>
      </c>
      <c r="Q349" s="26">
        <v>0</v>
      </c>
      <c r="R349" s="26">
        <v>0</v>
      </c>
      <c r="S349" s="26">
        <v>0</v>
      </c>
      <c r="T349" s="26">
        <v>0</v>
      </c>
      <c r="U349" s="25" t="s">
        <v>33</v>
      </c>
      <c r="V349" s="25" t="s">
        <v>33</v>
      </c>
      <c r="W349" s="25" t="s">
        <v>35</v>
      </c>
      <c r="X349" s="25" t="s">
        <v>930</v>
      </c>
    </row>
    <row r="350" spans="1:24" x14ac:dyDescent="0.2">
      <c r="A350" s="22" t="e">
        <f>MATCH(C350,'[1]Slot Managers Split'!G:G,0)</f>
        <v>#N/A</v>
      </c>
      <c r="B350" s="22"/>
      <c r="C350" s="22" t="s">
        <v>1001</v>
      </c>
      <c r="D350" s="22" t="s">
        <v>1002</v>
      </c>
      <c r="E350" s="22" t="s">
        <v>0</v>
      </c>
      <c r="F350" s="22" t="s">
        <v>1003</v>
      </c>
      <c r="G350" s="22" t="s">
        <v>124</v>
      </c>
      <c r="H350" s="27">
        <v>1000</v>
      </c>
      <c r="I350" s="27">
        <v>0</v>
      </c>
      <c r="J350" s="27">
        <v>0</v>
      </c>
      <c r="K350" s="27">
        <v>0</v>
      </c>
      <c r="L350" s="22" t="s">
        <v>33</v>
      </c>
      <c r="M350" s="22" t="s">
        <v>33</v>
      </c>
      <c r="N350" s="27">
        <v>60000</v>
      </c>
      <c r="O350" s="27">
        <v>0</v>
      </c>
      <c r="P350" s="27">
        <v>176</v>
      </c>
      <c r="Q350" s="27">
        <v>0</v>
      </c>
      <c r="R350" s="27">
        <v>0</v>
      </c>
      <c r="S350" s="27">
        <v>0</v>
      </c>
      <c r="T350" s="27">
        <v>0</v>
      </c>
      <c r="U350" s="22" t="s">
        <v>33</v>
      </c>
      <c r="V350" s="22" t="s">
        <v>33</v>
      </c>
      <c r="W350" s="22" t="s">
        <v>35</v>
      </c>
      <c r="X350" s="22" t="s">
        <v>1004</v>
      </c>
    </row>
    <row r="351" spans="1:24" hidden="1" x14ac:dyDescent="0.2">
      <c r="A351" s="25" t="e">
        <f>MATCH(C351,'[1]Slot Managers Split'!G:G,0)</f>
        <v>#N/A</v>
      </c>
      <c r="B351" s="25"/>
      <c r="C351" s="25" t="s">
        <v>342</v>
      </c>
      <c r="D351" s="25" t="s">
        <v>81</v>
      </c>
      <c r="E351" s="25" t="s">
        <v>51</v>
      </c>
      <c r="F351" s="25" t="s">
        <v>31</v>
      </c>
      <c r="G351" s="25" t="s">
        <v>343</v>
      </c>
      <c r="H351" s="26">
        <v>1510</v>
      </c>
      <c r="I351" s="26">
        <v>18</v>
      </c>
      <c r="J351" s="26">
        <v>0</v>
      </c>
      <c r="K351" s="26">
        <v>450</v>
      </c>
      <c r="L351" s="25" t="s">
        <v>34</v>
      </c>
      <c r="M351" s="25" t="s">
        <v>34</v>
      </c>
      <c r="N351" s="26">
        <v>63879</v>
      </c>
      <c r="O351" s="26">
        <v>20000</v>
      </c>
      <c r="P351" s="26">
        <v>306</v>
      </c>
      <c r="Q351" s="26">
        <v>6</v>
      </c>
      <c r="R351" s="26">
        <v>2</v>
      </c>
      <c r="S351" s="26">
        <v>1690</v>
      </c>
      <c r="T351" s="26">
        <v>874</v>
      </c>
      <c r="U351" s="25" t="s">
        <v>33</v>
      </c>
      <c r="V351" s="25" t="s">
        <v>33</v>
      </c>
      <c r="W351" s="25" t="s">
        <v>35</v>
      </c>
      <c r="X351" s="25" t="s">
        <v>53</v>
      </c>
    </row>
    <row r="352" spans="1:24" hidden="1" x14ac:dyDescent="0.2">
      <c r="A352" s="25" t="e">
        <f>MATCH(C352,'[1]Slot Managers Split'!G:G,0)</f>
        <v>#N/A</v>
      </c>
      <c r="B352" s="25"/>
      <c r="C352" s="25" t="s">
        <v>234</v>
      </c>
      <c r="D352" s="25" t="s">
        <v>235</v>
      </c>
      <c r="E352" s="25" t="s">
        <v>236</v>
      </c>
      <c r="F352" s="25" t="s">
        <v>31</v>
      </c>
      <c r="G352" s="25" t="s">
        <v>40</v>
      </c>
      <c r="H352" s="26">
        <v>4300</v>
      </c>
      <c r="I352" s="26">
        <v>100</v>
      </c>
      <c r="J352" s="26">
        <v>0</v>
      </c>
      <c r="K352" s="26">
        <v>0</v>
      </c>
      <c r="L352" s="25" t="s">
        <v>33</v>
      </c>
      <c r="M352" s="25" t="s">
        <v>33</v>
      </c>
      <c r="N352" s="26">
        <v>0</v>
      </c>
      <c r="O352" s="26">
        <v>0</v>
      </c>
      <c r="P352" s="26">
        <v>400</v>
      </c>
      <c r="Q352" s="26">
        <v>0</v>
      </c>
      <c r="R352" s="26">
        <v>0</v>
      </c>
      <c r="S352" s="26">
        <v>0</v>
      </c>
      <c r="T352" s="26">
        <v>2600</v>
      </c>
      <c r="U352" s="25" t="s">
        <v>34</v>
      </c>
      <c r="V352" s="25" t="s">
        <v>34</v>
      </c>
      <c r="W352" s="25" t="s">
        <v>35</v>
      </c>
      <c r="X352" s="25" t="s">
        <v>237</v>
      </c>
    </row>
    <row r="353" spans="1:24" hidden="1" x14ac:dyDescent="0.2">
      <c r="A353" s="20">
        <f>MATCH(C353,'[1]Slot Managers Split'!G:G,0)</f>
        <v>231</v>
      </c>
      <c r="B353" s="20"/>
      <c r="C353" s="20" t="s">
        <v>95</v>
      </c>
      <c r="D353" s="20" t="s">
        <v>96</v>
      </c>
      <c r="E353" s="20" t="s">
        <v>97</v>
      </c>
      <c r="F353" s="20" t="s">
        <v>31</v>
      </c>
      <c r="G353" s="20" t="s">
        <v>40</v>
      </c>
      <c r="H353" s="21">
        <v>3300</v>
      </c>
      <c r="I353" s="21">
        <v>173</v>
      </c>
      <c r="J353" s="21">
        <v>0</v>
      </c>
      <c r="K353" s="21">
        <v>0</v>
      </c>
      <c r="L353" s="20" t="s">
        <v>33</v>
      </c>
      <c r="M353" s="20" t="s">
        <v>33</v>
      </c>
      <c r="N353" s="21">
        <v>0</v>
      </c>
      <c r="O353" s="21">
        <v>70000</v>
      </c>
      <c r="P353" s="21">
        <v>500</v>
      </c>
      <c r="Q353" s="21">
        <v>0</v>
      </c>
      <c r="R353" s="21">
        <v>0</v>
      </c>
      <c r="S353" s="21">
        <v>2000</v>
      </c>
      <c r="T353" s="21">
        <v>3000</v>
      </c>
      <c r="U353" s="20" t="s">
        <v>33</v>
      </c>
      <c r="V353" s="20" t="s">
        <v>33</v>
      </c>
      <c r="W353" s="20" t="s">
        <v>35</v>
      </c>
      <c r="X353" s="20" t="s">
        <v>99</v>
      </c>
    </row>
    <row r="354" spans="1:24" hidden="1" x14ac:dyDescent="0.2">
      <c r="A354" s="25" t="e">
        <f>MATCH(C354,'[1]Slot Managers Split'!G:G,0)</f>
        <v>#N/A</v>
      </c>
      <c r="B354" s="25"/>
      <c r="C354" s="25" t="s">
        <v>502</v>
      </c>
      <c r="D354" s="25" t="s">
        <v>503</v>
      </c>
      <c r="E354" s="25" t="s">
        <v>39</v>
      </c>
      <c r="F354" s="25" t="s">
        <v>31</v>
      </c>
      <c r="G354" s="25" t="s">
        <v>40</v>
      </c>
      <c r="H354" s="26">
        <v>3000</v>
      </c>
      <c r="I354" s="26">
        <v>0</v>
      </c>
      <c r="J354" s="26">
        <v>0</v>
      </c>
      <c r="K354" s="26">
        <v>0</v>
      </c>
      <c r="L354" s="25" t="s">
        <v>33</v>
      </c>
      <c r="M354" s="25" t="s">
        <v>33</v>
      </c>
      <c r="N354" s="26">
        <v>165500</v>
      </c>
      <c r="O354" s="26">
        <v>0</v>
      </c>
      <c r="P354" s="26">
        <v>400</v>
      </c>
      <c r="Q354" s="26">
        <v>0</v>
      </c>
      <c r="R354" s="26">
        <v>0</v>
      </c>
      <c r="S354" s="26">
        <v>0</v>
      </c>
      <c r="T354" s="26">
        <v>3300</v>
      </c>
      <c r="U354" s="25" t="s">
        <v>34</v>
      </c>
      <c r="V354" s="25" t="s">
        <v>34</v>
      </c>
      <c r="W354" s="25" t="s">
        <v>35</v>
      </c>
      <c r="X354" s="25" t="s">
        <v>504</v>
      </c>
    </row>
    <row r="355" spans="1:24" hidden="1" x14ac:dyDescent="0.2">
      <c r="A355" s="25" t="e">
        <f>MATCH(C355,'[1]Slot Managers Split'!G:G,0)</f>
        <v>#N/A</v>
      </c>
      <c r="B355" s="25"/>
      <c r="C355" s="25" t="s">
        <v>746</v>
      </c>
      <c r="D355" s="25" t="s">
        <v>747</v>
      </c>
      <c r="E355" s="25" t="s">
        <v>39</v>
      </c>
      <c r="F355" s="25" t="s">
        <v>31</v>
      </c>
      <c r="G355" s="25" t="s">
        <v>40</v>
      </c>
      <c r="H355" s="26">
        <v>2000</v>
      </c>
      <c r="I355" s="26">
        <v>40</v>
      </c>
      <c r="J355" s="26">
        <v>0</v>
      </c>
      <c r="K355" s="26">
        <v>0</v>
      </c>
      <c r="L355" s="25" t="s">
        <v>33</v>
      </c>
      <c r="M355" s="25" t="s">
        <v>33</v>
      </c>
      <c r="N355" s="26">
        <v>68150</v>
      </c>
      <c r="O355" s="26">
        <v>0</v>
      </c>
      <c r="P355" s="26">
        <v>0</v>
      </c>
      <c r="Q355" s="26">
        <v>0</v>
      </c>
      <c r="R355" s="26">
        <v>0</v>
      </c>
      <c r="S355" s="26">
        <v>3000</v>
      </c>
      <c r="T355" s="26">
        <v>0</v>
      </c>
      <c r="U355" s="25" t="s">
        <v>34</v>
      </c>
      <c r="V355" s="25" t="s">
        <v>34</v>
      </c>
      <c r="W355" s="25" t="s">
        <v>35</v>
      </c>
      <c r="X355" s="25" t="s">
        <v>749</v>
      </c>
    </row>
    <row r="356" spans="1:24" x14ac:dyDescent="0.2">
      <c r="A356" s="22" t="e">
        <f>MATCH(C356,'[1]Slot Managers Split'!G:G,0)</f>
        <v>#N/A</v>
      </c>
      <c r="B356" s="22"/>
      <c r="C356" s="22" t="s">
        <v>972</v>
      </c>
      <c r="D356" s="22" t="s">
        <v>973</v>
      </c>
      <c r="E356" s="22" t="s">
        <v>0</v>
      </c>
      <c r="F356" s="22" t="s">
        <v>974</v>
      </c>
      <c r="G356" s="22" t="s">
        <v>40</v>
      </c>
      <c r="H356" s="27">
        <v>1800</v>
      </c>
      <c r="I356" s="27">
        <v>375</v>
      </c>
      <c r="J356" s="27">
        <v>0</v>
      </c>
      <c r="K356" s="27">
        <v>0</v>
      </c>
      <c r="L356" s="22" t="s">
        <v>33</v>
      </c>
      <c r="M356" s="22" t="s">
        <v>33</v>
      </c>
      <c r="N356" s="27">
        <v>0</v>
      </c>
      <c r="O356" s="27">
        <v>0</v>
      </c>
      <c r="P356" s="27">
        <v>900</v>
      </c>
      <c r="Q356" s="27">
        <v>0</v>
      </c>
      <c r="R356" s="27">
        <v>0</v>
      </c>
      <c r="S356" s="27">
        <v>0</v>
      </c>
      <c r="T356" s="27">
        <v>0</v>
      </c>
      <c r="U356" s="22" t="s">
        <v>33</v>
      </c>
      <c r="V356" s="22" t="s">
        <v>33</v>
      </c>
      <c r="W356" s="22" t="s">
        <v>35</v>
      </c>
      <c r="X356" s="22" t="s">
        <v>975</v>
      </c>
    </row>
    <row r="357" spans="1:24" hidden="1" x14ac:dyDescent="0.2">
      <c r="A357" s="25" t="e">
        <f>MATCH(C357,'[1]Slot Managers Split'!G:G,0)</f>
        <v>#N/A</v>
      </c>
      <c r="B357" s="25"/>
      <c r="C357" s="25" t="s">
        <v>538</v>
      </c>
      <c r="D357" s="25" t="s">
        <v>539</v>
      </c>
      <c r="E357" s="25" t="s">
        <v>478</v>
      </c>
      <c r="F357" s="25" t="s">
        <v>31</v>
      </c>
      <c r="G357" s="25" t="s">
        <v>40</v>
      </c>
      <c r="H357" s="26">
        <v>1800</v>
      </c>
      <c r="I357" s="26">
        <v>44</v>
      </c>
      <c r="J357" s="26">
        <v>0</v>
      </c>
      <c r="K357" s="26">
        <v>0</v>
      </c>
      <c r="L357" s="25" t="s">
        <v>34</v>
      </c>
      <c r="M357" s="25" t="s">
        <v>33</v>
      </c>
      <c r="N357" s="26">
        <v>45000</v>
      </c>
      <c r="O357" s="26">
        <v>0</v>
      </c>
      <c r="P357" s="26">
        <v>312</v>
      </c>
      <c r="Q357" s="26">
        <v>0</v>
      </c>
      <c r="R357" s="26">
        <v>0</v>
      </c>
      <c r="S357" s="26">
        <v>0</v>
      </c>
      <c r="T357" s="26">
        <v>1500</v>
      </c>
      <c r="U357" s="25" t="s">
        <v>34</v>
      </c>
      <c r="V357" s="25" t="s">
        <v>34</v>
      </c>
      <c r="W357" s="25" t="s">
        <v>35</v>
      </c>
      <c r="X357" s="25" t="s">
        <v>540</v>
      </c>
    </row>
    <row r="358" spans="1:24" hidden="1" x14ac:dyDescent="0.2">
      <c r="A358" s="25" t="e">
        <f>MATCH(C358,'[1]Slot Managers Split'!G:G,0)</f>
        <v>#N/A</v>
      </c>
      <c r="B358" s="25"/>
      <c r="C358" s="25" t="s">
        <v>499</v>
      </c>
      <c r="D358" s="25" t="s">
        <v>500</v>
      </c>
      <c r="E358" s="25" t="s">
        <v>179</v>
      </c>
      <c r="F358" s="25" t="s">
        <v>180</v>
      </c>
      <c r="G358" s="25" t="s">
        <v>40</v>
      </c>
      <c r="H358" s="26">
        <v>1600</v>
      </c>
      <c r="I358" s="26">
        <v>50</v>
      </c>
      <c r="J358" s="26">
        <v>0</v>
      </c>
      <c r="K358" s="26">
        <v>0</v>
      </c>
      <c r="L358" s="25" t="s">
        <v>34</v>
      </c>
      <c r="M358" s="25" t="s">
        <v>34</v>
      </c>
      <c r="N358" s="26">
        <v>51150</v>
      </c>
      <c r="O358" s="26">
        <v>0</v>
      </c>
      <c r="P358" s="26">
        <v>150</v>
      </c>
      <c r="Q358" s="26">
        <v>3</v>
      </c>
      <c r="R358" s="26">
        <v>0</v>
      </c>
      <c r="S358" s="26">
        <v>0</v>
      </c>
      <c r="T358" s="26">
        <v>0</v>
      </c>
      <c r="U358" s="25" t="s">
        <v>34</v>
      </c>
      <c r="V358" s="25" t="s">
        <v>33</v>
      </c>
      <c r="W358" s="25" t="s">
        <v>103</v>
      </c>
      <c r="X358" s="25" t="s">
        <v>501</v>
      </c>
    </row>
    <row r="359" spans="1:24" hidden="1" x14ac:dyDescent="0.2">
      <c r="A359" s="25" t="e">
        <f>MATCH(C359,'[1]Slot Managers Split'!G:G,0)</f>
        <v>#N/A</v>
      </c>
      <c r="B359" s="25"/>
      <c r="C359" s="25" t="s">
        <v>655</v>
      </c>
      <c r="D359" s="25" t="s">
        <v>656</v>
      </c>
      <c r="E359" s="25" t="s">
        <v>174</v>
      </c>
      <c r="F359" s="25" t="s">
        <v>31</v>
      </c>
      <c r="G359" s="25" t="s">
        <v>40</v>
      </c>
      <c r="H359" s="26">
        <v>1600</v>
      </c>
      <c r="I359" s="26">
        <v>43</v>
      </c>
      <c r="J359" s="26">
        <v>22</v>
      </c>
      <c r="K359" s="26">
        <v>0</v>
      </c>
      <c r="L359" s="25" t="s">
        <v>34</v>
      </c>
      <c r="M359" s="25" t="s">
        <v>33</v>
      </c>
      <c r="N359" s="26">
        <v>450000</v>
      </c>
      <c r="O359" s="26">
        <v>7500</v>
      </c>
      <c r="P359" s="26">
        <v>200</v>
      </c>
      <c r="Q359" s="26">
        <v>0</v>
      </c>
      <c r="R359" s="26">
        <v>0</v>
      </c>
      <c r="S359" s="26">
        <v>0</v>
      </c>
      <c r="T359" s="26">
        <v>0</v>
      </c>
      <c r="U359" s="25" t="s">
        <v>33</v>
      </c>
      <c r="V359" s="25" t="s">
        <v>33</v>
      </c>
      <c r="W359" s="25" t="s">
        <v>35</v>
      </c>
      <c r="X359" s="25" t="s">
        <v>648</v>
      </c>
    </row>
    <row r="360" spans="1:24" x14ac:dyDescent="0.2">
      <c r="A360" s="22" t="e">
        <f>MATCH(C360,'[1]Slot Managers Split'!G:G,0)</f>
        <v>#N/A</v>
      </c>
      <c r="B360" s="22"/>
      <c r="C360" s="22" t="s">
        <v>492</v>
      </c>
      <c r="D360" s="22" t="s">
        <v>493</v>
      </c>
      <c r="E360" s="22" t="s">
        <v>0</v>
      </c>
      <c r="F360" s="22" t="s">
        <v>494</v>
      </c>
      <c r="G360" s="22" t="s">
        <v>40</v>
      </c>
      <c r="H360" s="27">
        <v>1500</v>
      </c>
      <c r="I360" s="27">
        <v>180</v>
      </c>
      <c r="J360" s="27">
        <v>0</v>
      </c>
      <c r="K360" s="27">
        <v>0</v>
      </c>
      <c r="L360" s="22" t="s">
        <v>33</v>
      </c>
      <c r="M360" s="22" t="s">
        <v>33</v>
      </c>
      <c r="N360" s="27">
        <v>0</v>
      </c>
      <c r="O360" s="27">
        <v>0</v>
      </c>
      <c r="P360" s="27">
        <v>1100</v>
      </c>
      <c r="Q360" s="27">
        <v>0</v>
      </c>
      <c r="R360" s="27">
        <v>0</v>
      </c>
      <c r="S360" s="27">
        <v>0</v>
      </c>
      <c r="T360" s="27">
        <v>0</v>
      </c>
      <c r="U360" s="22" t="s">
        <v>34</v>
      </c>
      <c r="V360" s="22" t="s">
        <v>33</v>
      </c>
      <c r="W360" s="22" t="s">
        <v>35</v>
      </c>
      <c r="X360" s="22" t="s">
        <v>495</v>
      </c>
    </row>
    <row r="361" spans="1:24" x14ac:dyDescent="0.2">
      <c r="A361" s="22" t="e">
        <f>MATCH(C361,'[1]Slot Managers Split'!G:G,0)</f>
        <v>#N/A</v>
      </c>
      <c r="B361" s="22"/>
      <c r="C361" s="22" t="s">
        <v>1050</v>
      </c>
      <c r="D361" s="22" t="s">
        <v>279</v>
      </c>
      <c r="E361" s="22" t="s">
        <v>0</v>
      </c>
      <c r="F361" s="22" t="s">
        <v>280</v>
      </c>
      <c r="G361" s="22" t="s">
        <v>40</v>
      </c>
      <c r="H361" s="27">
        <v>1200</v>
      </c>
      <c r="I361" s="27">
        <v>400</v>
      </c>
      <c r="J361" s="27">
        <v>0</v>
      </c>
      <c r="K361" s="27">
        <v>0</v>
      </c>
      <c r="L361" s="22" t="s">
        <v>33</v>
      </c>
      <c r="M361" s="22" t="s">
        <v>33</v>
      </c>
      <c r="N361" s="27">
        <v>0</v>
      </c>
      <c r="O361" s="27">
        <v>0</v>
      </c>
      <c r="P361" s="27">
        <v>475</v>
      </c>
      <c r="Q361" s="27">
        <v>0</v>
      </c>
      <c r="R361" s="27">
        <v>0</v>
      </c>
      <c r="S361" s="27">
        <v>1000</v>
      </c>
      <c r="T361" s="27">
        <v>0</v>
      </c>
      <c r="U361" s="22" t="s">
        <v>33</v>
      </c>
      <c r="V361" s="22" t="s">
        <v>33</v>
      </c>
      <c r="W361" s="22" t="s">
        <v>35</v>
      </c>
      <c r="X361" s="22" t="s">
        <v>1051</v>
      </c>
    </row>
    <row r="362" spans="1:24" hidden="1" x14ac:dyDescent="0.2">
      <c r="A362" s="25" t="e">
        <f>MATCH(C362,'[1]Slot Managers Split'!G:G,0)</f>
        <v>#N/A</v>
      </c>
      <c r="B362" s="25"/>
      <c r="C362" s="25" t="s">
        <v>37</v>
      </c>
      <c r="D362" s="25" t="s">
        <v>38</v>
      </c>
      <c r="E362" s="25" t="s">
        <v>39</v>
      </c>
      <c r="F362" s="25" t="s">
        <v>31</v>
      </c>
      <c r="G362" s="25" t="s">
        <v>40</v>
      </c>
      <c r="H362" s="26">
        <v>1200</v>
      </c>
      <c r="I362" s="26">
        <v>0</v>
      </c>
      <c r="J362" s="26">
        <v>0</v>
      </c>
      <c r="K362" s="26">
        <v>0</v>
      </c>
      <c r="L362" s="25" t="s">
        <v>33</v>
      </c>
      <c r="M362" s="25" t="s">
        <v>33</v>
      </c>
      <c r="N362" s="26">
        <v>65000</v>
      </c>
      <c r="O362" s="26">
        <v>0</v>
      </c>
      <c r="P362" s="26">
        <v>0</v>
      </c>
      <c r="Q362" s="26">
        <v>0</v>
      </c>
      <c r="R362" s="26">
        <v>0</v>
      </c>
      <c r="S362" s="26">
        <v>1500</v>
      </c>
      <c r="T362" s="26">
        <v>0</v>
      </c>
      <c r="U362" s="25" t="s">
        <v>34</v>
      </c>
      <c r="V362" s="25" t="s">
        <v>34</v>
      </c>
      <c r="W362" s="25" t="s">
        <v>35</v>
      </c>
      <c r="X362" s="25" t="s">
        <v>41</v>
      </c>
    </row>
    <row r="363" spans="1:24" hidden="1" x14ac:dyDescent="0.2">
      <c r="A363" s="25" t="e">
        <f>MATCH(C363,'[1]Slot Managers Split'!G:G,0)</f>
        <v>#N/A</v>
      </c>
      <c r="B363" s="25"/>
      <c r="C363" s="25" t="s">
        <v>164</v>
      </c>
      <c r="D363" s="25" t="s">
        <v>165</v>
      </c>
      <c r="E363" s="25" t="s">
        <v>51</v>
      </c>
      <c r="F363" s="25" t="s">
        <v>31</v>
      </c>
      <c r="G363" s="25" t="s">
        <v>40</v>
      </c>
      <c r="H363" s="26">
        <v>1200</v>
      </c>
      <c r="I363" s="26">
        <v>12</v>
      </c>
      <c r="J363" s="26">
        <v>0</v>
      </c>
      <c r="K363" s="26">
        <v>0</v>
      </c>
      <c r="L363" s="25" t="s">
        <v>33</v>
      </c>
      <c r="M363" s="25" t="s">
        <v>33</v>
      </c>
      <c r="N363" s="26">
        <v>70000</v>
      </c>
      <c r="O363" s="26">
        <v>0</v>
      </c>
      <c r="P363" s="26">
        <v>0</v>
      </c>
      <c r="Q363" s="26">
        <v>0</v>
      </c>
      <c r="R363" s="26">
        <v>0</v>
      </c>
      <c r="S363" s="26">
        <v>0</v>
      </c>
      <c r="T363" s="26">
        <v>0</v>
      </c>
      <c r="U363" s="25" t="s">
        <v>33</v>
      </c>
      <c r="V363" s="25" t="s">
        <v>33</v>
      </c>
      <c r="W363" s="25" t="s">
        <v>35</v>
      </c>
      <c r="X363" s="25" t="s">
        <v>53</v>
      </c>
    </row>
    <row r="364" spans="1:24" hidden="1" x14ac:dyDescent="0.2">
      <c r="A364" s="25" t="e">
        <f>MATCH(C364,'[1]Slot Managers Split'!G:G,0)</f>
        <v>#N/A</v>
      </c>
      <c r="B364" s="25"/>
      <c r="C364" s="25" t="s">
        <v>425</v>
      </c>
      <c r="D364" s="25" t="s">
        <v>426</v>
      </c>
      <c r="E364" s="25" t="s">
        <v>427</v>
      </c>
      <c r="F364" s="25" t="s">
        <v>31</v>
      </c>
      <c r="G364" s="25" t="s">
        <v>40</v>
      </c>
      <c r="H364" s="26">
        <v>1000</v>
      </c>
      <c r="I364" s="26">
        <v>0</v>
      </c>
      <c r="J364" s="26">
        <v>0</v>
      </c>
      <c r="K364" s="26">
        <v>0</v>
      </c>
      <c r="L364" s="25" t="s">
        <v>33</v>
      </c>
      <c r="M364" s="25" t="s">
        <v>33</v>
      </c>
      <c r="N364" s="26">
        <v>0</v>
      </c>
      <c r="O364" s="26">
        <v>0</v>
      </c>
      <c r="P364" s="26">
        <v>100</v>
      </c>
      <c r="Q364" s="26">
        <v>3</v>
      </c>
      <c r="R364" s="26">
        <v>1</v>
      </c>
      <c r="S364" s="26">
        <v>0</v>
      </c>
      <c r="T364" s="26">
        <v>250</v>
      </c>
      <c r="U364" s="25" t="s">
        <v>33</v>
      </c>
      <c r="V364" s="25" t="s">
        <v>33</v>
      </c>
      <c r="W364" s="25" t="s">
        <v>428</v>
      </c>
      <c r="X364" s="25" t="s">
        <v>269</v>
      </c>
    </row>
    <row r="365" spans="1:24" hidden="1" x14ac:dyDescent="0.2">
      <c r="A365" s="25" t="e">
        <f>MATCH(C365,'[1]Slot Managers Split'!G:G,0)</f>
        <v>#N/A</v>
      </c>
      <c r="B365" s="25"/>
      <c r="C365" s="25" t="s">
        <v>516</v>
      </c>
      <c r="D365" s="25" t="s">
        <v>418</v>
      </c>
      <c r="E365" s="25" t="s">
        <v>30</v>
      </c>
      <c r="F365" s="25" t="s">
        <v>31</v>
      </c>
      <c r="G365" s="25" t="s">
        <v>40</v>
      </c>
      <c r="H365" s="26">
        <v>1000</v>
      </c>
      <c r="I365" s="26">
        <v>12</v>
      </c>
      <c r="J365" s="26">
        <v>0</v>
      </c>
      <c r="K365" s="26">
        <v>0</v>
      </c>
      <c r="L365" s="25" t="s">
        <v>33</v>
      </c>
      <c r="M365" s="25" t="s">
        <v>33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5" t="s">
        <v>34</v>
      </c>
      <c r="V365" s="25" t="s">
        <v>34</v>
      </c>
      <c r="W365" s="25" t="s">
        <v>35</v>
      </c>
      <c r="X365" s="25" t="s">
        <v>517</v>
      </c>
    </row>
  </sheetData>
  <autoFilter ref="A1:X365" xr:uid="{EB928CD2-9A05-4555-953C-0CA41177C070}">
    <filterColumn colId="5">
      <filters>
        <filter val="Argentina"/>
        <filter val="Australia"/>
        <filter val="Bahamas"/>
        <filter val="Cambodia"/>
        <filter val="Chile"/>
        <filter val="Greece"/>
        <filter val="India"/>
        <filter val="Korea, Republic of"/>
        <filter val="Macau"/>
        <filter val="Malaysia"/>
        <filter val="Peru"/>
        <filter val="Philippines"/>
        <filter val="Portugal"/>
        <filter val="Russian Federation"/>
        <filter val="Singapore"/>
        <filter val="South Africa"/>
        <filter val="Uruguay"/>
        <filter val="Vietnam"/>
      </filters>
    </filterColumn>
    <sortState xmlns:xlrd2="http://schemas.microsoft.com/office/spreadsheetml/2017/richdata2" ref="A2:X365">
      <sortCondition ref="G1"/>
    </sortState>
  </autoFilter>
  <pageMargins left="0.75" right="0.75" top="1" bottom="1" header="0.5" footer="0.5"/>
  <pageSetup orientation="portrait" horizontalDpi="300" verticalDpi="30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CA5C-0A19-49B5-9A16-9A4713258F96}">
  <dimension ref="B1:AC352"/>
  <sheetViews>
    <sheetView zoomScale="80" zoomScaleNormal="80" workbookViewId="0">
      <selection activeCell="U18" sqref="U18"/>
    </sheetView>
  </sheetViews>
  <sheetFormatPr defaultRowHeight="12.75" outlineLevelCol="1" x14ac:dyDescent="0.2"/>
  <cols>
    <col min="1" max="1" width="2.7109375" style="3" customWidth="1"/>
    <col min="2" max="2" width="49.7109375" style="3" bestFit="1" customWidth="1"/>
    <col min="3" max="3" width="16.140625" style="3" bestFit="1" customWidth="1"/>
    <col min="4" max="4" width="5.7109375" style="3" customWidth="1"/>
    <col min="5" max="5" width="19.28515625" style="3" hidden="1" customWidth="1" outlineLevel="1"/>
    <col min="6" max="6" width="18.140625" style="3" hidden="1" customWidth="1" outlineLevel="1"/>
    <col min="7" max="7" width="8.7109375" style="3" customWidth="1" collapsed="1"/>
    <col min="8" max="12" width="8.7109375" style="3" hidden="1" customWidth="1" outlineLevel="1"/>
    <col min="13" max="18" width="10.7109375" style="3" hidden="1" customWidth="1" outlineLevel="1"/>
    <col min="19" max="19" width="10.7109375" style="3" customWidth="1" collapsed="1"/>
    <col min="20" max="21" width="10.7109375" style="3" customWidth="1"/>
    <col min="22" max="22" width="17.5703125" style="3" bestFit="1" customWidth="1"/>
    <col min="23" max="23" width="14.140625" style="3" bestFit="1" customWidth="1"/>
    <col min="24" max="24" width="16.140625" style="3" bestFit="1" customWidth="1"/>
    <col min="25" max="25" width="16.140625" style="3" customWidth="1"/>
    <col min="26" max="26" width="28.7109375" style="3" bestFit="1" customWidth="1"/>
    <col min="27" max="27" width="40.5703125" style="3" hidden="1" customWidth="1" outlineLevel="1"/>
    <col min="28" max="28" width="36.140625" style="3" bestFit="1" customWidth="1" collapsed="1"/>
    <col min="29" max="29" width="112.85546875" style="3" bestFit="1" customWidth="1"/>
    <col min="30" max="16384" width="9.140625" style="3"/>
  </cols>
  <sheetData>
    <row r="1" spans="2:29" ht="38.25" x14ac:dyDescent="0.2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 t="s">
        <v>24</v>
      </c>
      <c r="AA1" s="5" t="s">
        <v>25</v>
      </c>
      <c r="AB1" s="5" t="s">
        <v>26</v>
      </c>
      <c r="AC1" s="5" t="s">
        <v>27</v>
      </c>
    </row>
    <row r="2" spans="2:29" s="16" customFormat="1" x14ac:dyDescent="0.2">
      <c r="B2" s="16" t="s">
        <v>1074</v>
      </c>
      <c r="C2" s="16" t="s">
        <v>1075</v>
      </c>
      <c r="D2" s="16" t="s">
        <v>39</v>
      </c>
      <c r="E2" s="16" t="s">
        <v>31</v>
      </c>
      <c r="F2" s="16" t="s">
        <v>32</v>
      </c>
      <c r="G2" s="17">
        <v>7200</v>
      </c>
      <c r="H2" s="17">
        <v>130</v>
      </c>
      <c r="I2" s="17">
        <v>38</v>
      </c>
      <c r="J2" s="17">
        <v>0</v>
      </c>
      <c r="K2" s="16" t="s">
        <v>33</v>
      </c>
      <c r="L2" s="16" t="s">
        <v>33</v>
      </c>
      <c r="M2" s="17">
        <v>120000</v>
      </c>
      <c r="N2" s="17">
        <v>150000</v>
      </c>
      <c r="O2" s="17">
        <v>0</v>
      </c>
      <c r="P2" s="17">
        <v>10</v>
      </c>
      <c r="Q2" s="17">
        <v>2</v>
      </c>
      <c r="R2" s="17">
        <v>2200</v>
      </c>
      <c r="S2" s="17">
        <v>3000</v>
      </c>
      <c r="T2" s="16" t="s">
        <v>34</v>
      </c>
      <c r="U2" s="16" t="s">
        <v>34</v>
      </c>
      <c r="V2" s="16" t="s">
        <v>35</v>
      </c>
      <c r="W2" s="16" t="s">
        <v>1374</v>
      </c>
      <c r="X2" s="16" t="s">
        <v>1373</v>
      </c>
      <c r="Y2" s="16" t="str">
        <f>W2&amp;" "&amp;X2</f>
        <v>Rodney Villhard</v>
      </c>
      <c r="Z2" s="16" t="s">
        <v>624</v>
      </c>
      <c r="AA2" s="17" t="s">
        <v>625</v>
      </c>
      <c r="AB2" s="17" t="s">
        <v>93</v>
      </c>
      <c r="AC2" s="17" t="s">
        <v>777</v>
      </c>
    </row>
    <row r="3" spans="2:29" s="7" customFormat="1" x14ac:dyDescent="0.2">
      <c r="B3" s="7" t="s">
        <v>1074</v>
      </c>
      <c r="C3" s="7" t="s">
        <v>1075</v>
      </c>
      <c r="D3" s="7" t="s">
        <v>39</v>
      </c>
      <c r="E3" s="7" t="s">
        <v>31</v>
      </c>
      <c r="F3" s="7" t="s">
        <v>32</v>
      </c>
      <c r="G3" s="8">
        <v>7200</v>
      </c>
      <c r="H3" s="8">
        <v>130</v>
      </c>
      <c r="I3" s="8">
        <v>38</v>
      </c>
      <c r="J3" s="8">
        <v>0</v>
      </c>
      <c r="K3" s="7" t="s">
        <v>33</v>
      </c>
      <c r="L3" s="7" t="s">
        <v>33</v>
      </c>
      <c r="M3" s="8">
        <v>120000</v>
      </c>
      <c r="N3" s="8">
        <v>150000</v>
      </c>
      <c r="O3" s="8">
        <v>0</v>
      </c>
      <c r="P3" s="8">
        <v>10</v>
      </c>
      <c r="Q3" s="8">
        <v>2</v>
      </c>
      <c r="R3" s="8">
        <v>2200</v>
      </c>
      <c r="S3" s="8">
        <v>3000</v>
      </c>
      <c r="T3" s="7" t="s">
        <v>34</v>
      </c>
      <c r="U3" s="7" t="s">
        <v>34</v>
      </c>
      <c r="V3" s="7" t="s">
        <v>35</v>
      </c>
      <c r="W3" s="7" t="s">
        <v>770</v>
      </c>
      <c r="X3" s="7" t="s">
        <v>1093</v>
      </c>
      <c r="Y3" s="7" t="str">
        <f t="shared" ref="Y3:Y63" si="0">W3&amp;" "&amp;X3</f>
        <v>Allen Schultz</v>
      </c>
      <c r="Z3" s="7" t="s">
        <v>1092</v>
      </c>
      <c r="AA3" s="8" t="s">
        <v>1092</v>
      </c>
      <c r="AB3" s="8" t="s">
        <v>6</v>
      </c>
      <c r="AC3" s="8" t="s">
        <v>777</v>
      </c>
    </row>
    <row r="4" spans="2:29" s="7" customFormat="1" x14ac:dyDescent="0.2">
      <c r="B4" s="7" t="s">
        <v>1074</v>
      </c>
      <c r="C4" s="7" t="s">
        <v>1075</v>
      </c>
      <c r="D4" s="7" t="s">
        <v>39</v>
      </c>
      <c r="E4" s="7" t="s">
        <v>31</v>
      </c>
      <c r="F4" s="7" t="s">
        <v>32</v>
      </c>
      <c r="G4" s="8">
        <v>7200</v>
      </c>
      <c r="H4" s="8">
        <v>130</v>
      </c>
      <c r="I4" s="8">
        <v>38</v>
      </c>
      <c r="J4" s="8">
        <v>0</v>
      </c>
      <c r="K4" s="7" t="s">
        <v>33</v>
      </c>
      <c r="L4" s="7" t="s">
        <v>33</v>
      </c>
      <c r="M4" s="8">
        <v>120000</v>
      </c>
      <c r="N4" s="8">
        <v>150000</v>
      </c>
      <c r="O4" s="8">
        <v>0</v>
      </c>
      <c r="P4" s="8">
        <v>10</v>
      </c>
      <c r="Q4" s="8">
        <v>2</v>
      </c>
      <c r="R4" s="8">
        <v>2200</v>
      </c>
      <c r="S4" s="8">
        <v>3000</v>
      </c>
      <c r="T4" s="7" t="s">
        <v>34</v>
      </c>
      <c r="U4" s="7" t="s">
        <v>34</v>
      </c>
      <c r="V4" s="7" t="s">
        <v>35</v>
      </c>
      <c r="W4" s="7" t="s">
        <v>334</v>
      </c>
      <c r="X4" s="7" t="s">
        <v>1091</v>
      </c>
      <c r="Y4" s="7" t="str">
        <f t="shared" si="0"/>
        <v>Todd DiMillo</v>
      </c>
      <c r="Z4" s="7" t="s">
        <v>889</v>
      </c>
      <c r="AA4" s="8" t="s">
        <v>889</v>
      </c>
      <c r="AB4" s="8" t="s">
        <v>6</v>
      </c>
      <c r="AC4" s="8" t="s">
        <v>777</v>
      </c>
    </row>
    <row r="5" spans="2:29" s="9" customFormat="1" x14ac:dyDescent="0.2">
      <c r="B5" s="9" t="s">
        <v>1074</v>
      </c>
      <c r="C5" s="9" t="s">
        <v>1075</v>
      </c>
      <c r="D5" s="9" t="s">
        <v>39</v>
      </c>
      <c r="E5" s="9" t="s">
        <v>31</v>
      </c>
      <c r="F5" s="9" t="s">
        <v>32</v>
      </c>
      <c r="G5" s="10">
        <v>7200</v>
      </c>
      <c r="H5" s="10">
        <v>130</v>
      </c>
      <c r="I5" s="10">
        <v>38</v>
      </c>
      <c r="J5" s="10">
        <v>0</v>
      </c>
      <c r="K5" s="9" t="s">
        <v>33</v>
      </c>
      <c r="L5" s="9" t="s">
        <v>33</v>
      </c>
      <c r="M5" s="10">
        <v>120000</v>
      </c>
      <c r="N5" s="10">
        <v>150000</v>
      </c>
      <c r="O5" s="10">
        <v>0</v>
      </c>
      <c r="P5" s="10">
        <v>10</v>
      </c>
      <c r="Q5" s="10">
        <v>2</v>
      </c>
      <c r="R5" s="10">
        <v>2200</v>
      </c>
      <c r="S5" s="10">
        <v>3000</v>
      </c>
      <c r="T5" s="9" t="s">
        <v>34</v>
      </c>
      <c r="U5" s="9" t="s">
        <v>34</v>
      </c>
      <c r="V5" s="9" t="s">
        <v>35</v>
      </c>
      <c r="W5" s="9" t="s">
        <v>570</v>
      </c>
      <c r="X5" s="9" t="s">
        <v>1090</v>
      </c>
      <c r="Y5" s="9" t="str">
        <f t="shared" si="0"/>
        <v>Kevin Tolliver</v>
      </c>
      <c r="Z5" s="9" t="s">
        <v>1089</v>
      </c>
      <c r="AA5" s="10" t="s">
        <v>1088</v>
      </c>
      <c r="AB5" s="10" t="s">
        <v>6</v>
      </c>
      <c r="AC5" s="10" t="s">
        <v>777</v>
      </c>
    </row>
    <row r="6" spans="2:29" s="9" customFormat="1" x14ac:dyDescent="0.2">
      <c r="B6" s="9" t="s">
        <v>790</v>
      </c>
      <c r="C6" s="9" t="s">
        <v>791</v>
      </c>
      <c r="D6" s="9" t="s">
        <v>39</v>
      </c>
      <c r="E6" s="9" t="s">
        <v>31</v>
      </c>
      <c r="F6" s="9" t="s">
        <v>32</v>
      </c>
      <c r="G6" s="10">
        <v>5500</v>
      </c>
      <c r="H6" s="10">
        <v>161</v>
      </c>
      <c r="I6" s="10">
        <v>37</v>
      </c>
      <c r="J6" s="10">
        <v>700</v>
      </c>
      <c r="K6" s="9" t="s">
        <v>33</v>
      </c>
      <c r="L6" s="9" t="s">
        <v>34</v>
      </c>
      <c r="M6" s="10">
        <v>300000</v>
      </c>
      <c r="N6" s="10">
        <v>274500</v>
      </c>
      <c r="O6" s="10">
        <v>1090</v>
      </c>
      <c r="P6" s="10">
        <v>17</v>
      </c>
      <c r="Q6" s="10">
        <v>4</v>
      </c>
      <c r="R6" s="10">
        <v>7000</v>
      </c>
      <c r="S6" s="10">
        <v>4750</v>
      </c>
      <c r="T6" s="9" t="s">
        <v>34</v>
      </c>
      <c r="U6" s="9" t="s">
        <v>34</v>
      </c>
      <c r="V6" s="9" t="s">
        <v>35</v>
      </c>
      <c r="W6" s="9" t="s">
        <v>1151</v>
      </c>
      <c r="X6" s="9" t="s">
        <v>629</v>
      </c>
      <c r="Y6" s="9" t="str">
        <f t="shared" si="0"/>
        <v>Alex Rodriguez</v>
      </c>
      <c r="Z6" s="9" t="s">
        <v>1102</v>
      </c>
      <c r="AA6" s="10" t="s">
        <v>1102</v>
      </c>
      <c r="AB6" s="10" t="s">
        <v>6</v>
      </c>
      <c r="AC6" s="10" t="s">
        <v>792</v>
      </c>
    </row>
    <row r="7" spans="2:29" s="9" customFormat="1" x14ac:dyDescent="0.2">
      <c r="B7" s="9" t="s">
        <v>790</v>
      </c>
      <c r="C7" s="9" t="s">
        <v>791</v>
      </c>
      <c r="D7" s="9" t="s">
        <v>39</v>
      </c>
      <c r="E7" s="9" t="s">
        <v>31</v>
      </c>
      <c r="F7" s="9" t="s">
        <v>32</v>
      </c>
      <c r="G7" s="10">
        <v>5500</v>
      </c>
      <c r="H7" s="10">
        <v>161</v>
      </c>
      <c r="I7" s="10">
        <v>37</v>
      </c>
      <c r="J7" s="10">
        <v>700</v>
      </c>
      <c r="K7" s="9" t="s">
        <v>33</v>
      </c>
      <c r="L7" s="9" t="s">
        <v>34</v>
      </c>
      <c r="M7" s="10">
        <v>300000</v>
      </c>
      <c r="N7" s="10">
        <v>274500</v>
      </c>
      <c r="O7" s="10">
        <v>1090</v>
      </c>
      <c r="P7" s="10">
        <v>17</v>
      </c>
      <c r="Q7" s="10">
        <v>4</v>
      </c>
      <c r="R7" s="10">
        <v>7000</v>
      </c>
      <c r="S7" s="10">
        <v>4750</v>
      </c>
      <c r="T7" s="9" t="s">
        <v>34</v>
      </c>
      <c r="U7" s="9" t="s">
        <v>34</v>
      </c>
      <c r="V7" s="9" t="s">
        <v>35</v>
      </c>
      <c r="W7" s="9" t="s">
        <v>902</v>
      </c>
      <c r="X7" s="9" t="s">
        <v>1150</v>
      </c>
      <c r="Y7" s="9" t="str">
        <f t="shared" si="0"/>
        <v>Anthony Zamora</v>
      </c>
      <c r="Z7" s="9" t="s">
        <v>1094</v>
      </c>
      <c r="AA7" s="10" t="s">
        <v>1094</v>
      </c>
      <c r="AB7" s="10" t="s">
        <v>6</v>
      </c>
      <c r="AC7" s="10" t="s">
        <v>792</v>
      </c>
    </row>
    <row r="8" spans="2:29" s="13" customFormat="1" x14ac:dyDescent="0.2">
      <c r="B8" s="13" t="s">
        <v>905</v>
      </c>
      <c r="C8" s="13" t="s">
        <v>906</v>
      </c>
      <c r="D8" s="13" t="s">
        <v>185</v>
      </c>
      <c r="E8" s="13" t="s">
        <v>31</v>
      </c>
      <c r="F8" s="13" t="s">
        <v>32</v>
      </c>
      <c r="G8" s="14">
        <v>4868</v>
      </c>
      <c r="H8" s="14">
        <v>179</v>
      </c>
      <c r="I8" s="14">
        <v>46</v>
      </c>
      <c r="J8" s="14">
        <v>0</v>
      </c>
      <c r="K8" s="13" t="s">
        <v>33</v>
      </c>
      <c r="L8" s="13" t="s">
        <v>33</v>
      </c>
      <c r="M8" s="14">
        <v>245000</v>
      </c>
      <c r="N8" s="14">
        <v>10000</v>
      </c>
      <c r="O8" s="14">
        <v>1124</v>
      </c>
      <c r="P8" s="14">
        <v>17</v>
      </c>
      <c r="Q8" s="14">
        <v>6</v>
      </c>
      <c r="R8" s="14">
        <v>5000</v>
      </c>
      <c r="S8" s="14">
        <v>3300</v>
      </c>
      <c r="T8" s="13" t="s">
        <v>34</v>
      </c>
      <c r="U8" s="13" t="s">
        <v>34</v>
      </c>
      <c r="V8" s="13" t="s">
        <v>35</v>
      </c>
      <c r="W8" s="13" t="s">
        <v>1324</v>
      </c>
      <c r="X8" s="13" t="s">
        <v>1323</v>
      </c>
      <c r="Y8" s="13" t="str">
        <f t="shared" si="0"/>
        <v>Albert Geldres</v>
      </c>
      <c r="Z8" s="13" t="s">
        <v>1089</v>
      </c>
      <c r="AA8" s="14" t="s">
        <v>1088</v>
      </c>
      <c r="AB8" s="14" t="s">
        <v>340</v>
      </c>
      <c r="AC8" s="14" t="s">
        <v>482</v>
      </c>
    </row>
    <row r="9" spans="2:29" s="9" customFormat="1" x14ac:dyDescent="0.2">
      <c r="B9" s="9" t="s">
        <v>905</v>
      </c>
      <c r="C9" s="9" t="s">
        <v>906</v>
      </c>
      <c r="D9" s="9" t="s">
        <v>185</v>
      </c>
      <c r="E9" s="9" t="s">
        <v>31</v>
      </c>
      <c r="F9" s="9" t="s">
        <v>32</v>
      </c>
      <c r="G9" s="10">
        <v>4868</v>
      </c>
      <c r="H9" s="10">
        <v>179</v>
      </c>
      <c r="I9" s="10">
        <v>46</v>
      </c>
      <c r="J9" s="10">
        <v>0</v>
      </c>
      <c r="K9" s="9" t="s">
        <v>33</v>
      </c>
      <c r="L9" s="9" t="s">
        <v>33</v>
      </c>
      <c r="M9" s="10">
        <v>245000</v>
      </c>
      <c r="N9" s="10">
        <v>10000</v>
      </c>
      <c r="O9" s="10">
        <v>1124</v>
      </c>
      <c r="P9" s="10">
        <v>17</v>
      </c>
      <c r="Q9" s="10">
        <v>6</v>
      </c>
      <c r="R9" s="10">
        <v>5000</v>
      </c>
      <c r="S9" s="10">
        <v>3300</v>
      </c>
      <c r="T9" s="9" t="s">
        <v>34</v>
      </c>
      <c r="U9" s="9" t="s">
        <v>34</v>
      </c>
      <c r="V9" s="9" t="s">
        <v>35</v>
      </c>
      <c r="W9" s="9" t="s">
        <v>1130</v>
      </c>
      <c r="X9" s="9" t="s">
        <v>1129</v>
      </c>
      <c r="Y9" s="9" t="str">
        <f t="shared" si="0"/>
        <v>Shannon Semenuk</v>
      </c>
      <c r="Z9" s="9" t="s">
        <v>889</v>
      </c>
      <c r="AA9" s="10" t="s">
        <v>889</v>
      </c>
      <c r="AB9" s="10" t="s">
        <v>6</v>
      </c>
      <c r="AC9" s="10" t="s">
        <v>482</v>
      </c>
    </row>
    <row r="10" spans="2:29" s="16" customFormat="1" x14ac:dyDescent="0.2">
      <c r="B10" s="16" t="s">
        <v>830</v>
      </c>
      <c r="C10" s="16" t="s">
        <v>831</v>
      </c>
      <c r="D10" s="16" t="s">
        <v>47</v>
      </c>
      <c r="E10" s="16" t="s">
        <v>31</v>
      </c>
      <c r="F10" s="16" t="s">
        <v>32</v>
      </c>
      <c r="G10" s="17">
        <v>4807</v>
      </c>
      <c r="H10" s="17">
        <v>0</v>
      </c>
      <c r="I10" s="17">
        <v>0</v>
      </c>
      <c r="J10" s="17">
        <v>0</v>
      </c>
      <c r="K10" s="16" t="s">
        <v>33</v>
      </c>
      <c r="L10" s="16" t="s">
        <v>33</v>
      </c>
      <c r="M10" s="17">
        <v>225000</v>
      </c>
      <c r="N10" s="17">
        <v>70000</v>
      </c>
      <c r="O10" s="17">
        <v>400</v>
      </c>
      <c r="P10" s="17">
        <v>3</v>
      </c>
      <c r="Q10" s="17">
        <v>2</v>
      </c>
      <c r="R10" s="17">
        <v>6400</v>
      </c>
      <c r="S10" s="17">
        <v>1700</v>
      </c>
      <c r="T10" s="16" t="s">
        <v>33</v>
      </c>
      <c r="U10" s="16" t="s">
        <v>33</v>
      </c>
      <c r="V10" s="16" t="s">
        <v>35</v>
      </c>
      <c r="W10" s="16" t="s">
        <v>58</v>
      </c>
      <c r="X10" s="16" t="s">
        <v>1406</v>
      </c>
      <c r="Y10" s="16" t="str">
        <f t="shared" si="0"/>
        <v>Brian Reynolds</v>
      </c>
      <c r="Z10" s="16" t="s">
        <v>1383</v>
      </c>
      <c r="AA10" s="17" t="s">
        <v>1382</v>
      </c>
      <c r="AB10" s="17" t="s">
        <v>93</v>
      </c>
      <c r="AC10" s="17" t="s">
        <v>832</v>
      </c>
    </row>
    <row r="11" spans="2:29" s="9" customFormat="1" x14ac:dyDescent="0.2">
      <c r="B11" s="9" t="s">
        <v>830</v>
      </c>
      <c r="C11" s="9" t="s">
        <v>831</v>
      </c>
      <c r="D11" s="9" t="s">
        <v>47</v>
      </c>
      <c r="E11" s="9" t="s">
        <v>31</v>
      </c>
      <c r="F11" s="9" t="s">
        <v>32</v>
      </c>
      <c r="G11" s="10">
        <v>4807</v>
      </c>
      <c r="H11" s="10">
        <v>0</v>
      </c>
      <c r="I11" s="10">
        <v>0</v>
      </c>
      <c r="J11" s="10">
        <v>0</v>
      </c>
      <c r="K11" s="9" t="s">
        <v>33</v>
      </c>
      <c r="L11" s="9" t="s">
        <v>33</v>
      </c>
      <c r="M11" s="10">
        <v>225000</v>
      </c>
      <c r="N11" s="10">
        <v>70000</v>
      </c>
      <c r="O11" s="10">
        <v>400</v>
      </c>
      <c r="P11" s="10">
        <v>3</v>
      </c>
      <c r="Q11" s="10">
        <v>2</v>
      </c>
      <c r="R11" s="10">
        <v>6400</v>
      </c>
      <c r="S11" s="10">
        <v>1700</v>
      </c>
      <c r="T11" s="9" t="s">
        <v>33</v>
      </c>
      <c r="U11" s="9" t="s">
        <v>33</v>
      </c>
      <c r="V11" s="9" t="s">
        <v>35</v>
      </c>
      <c r="W11" s="9" t="s">
        <v>360</v>
      </c>
      <c r="X11" s="9" t="s">
        <v>1405</v>
      </c>
      <c r="Y11" s="9" t="str">
        <f t="shared" si="0"/>
        <v>Dan Finken</v>
      </c>
      <c r="Z11" s="9" t="s">
        <v>91</v>
      </c>
      <c r="AA11" s="10" t="s">
        <v>92</v>
      </c>
      <c r="AB11" s="10" t="s">
        <v>93</v>
      </c>
      <c r="AC11" s="10" t="s">
        <v>832</v>
      </c>
    </row>
    <row r="12" spans="2:29" s="9" customFormat="1" x14ac:dyDescent="0.2">
      <c r="B12" s="9" t="s">
        <v>364</v>
      </c>
      <c r="C12" s="9" t="s">
        <v>365</v>
      </c>
      <c r="D12" s="9" t="s">
        <v>47</v>
      </c>
      <c r="E12" s="9" t="s">
        <v>31</v>
      </c>
      <c r="F12" s="9" t="s">
        <v>32</v>
      </c>
      <c r="G12" s="10">
        <v>4448</v>
      </c>
      <c r="H12" s="10">
        <v>0</v>
      </c>
      <c r="I12" s="10">
        <v>0</v>
      </c>
      <c r="J12" s="10">
        <v>0</v>
      </c>
      <c r="K12" s="9" t="s">
        <v>33</v>
      </c>
      <c r="L12" s="9" t="s">
        <v>34</v>
      </c>
      <c r="M12" s="10">
        <v>290000</v>
      </c>
      <c r="N12" s="10">
        <v>0</v>
      </c>
      <c r="O12" s="10">
        <v>0</v>
      </c>
      <c r="P12" s="10">
        <v>5</v>
      </c>
      <c r="Q12" s="10">
        <v>1</v>
      </c>
      <c r="R12" s="10">
        <v>0</v>
      </c>
      <c r="S12" s="10">
        <v>1300</v>
      </c>
      <c r="T12" s="9" t="s">
        <v>33</v>
      </c>
      <c r="U12" s="9" t="s">
        <v>33</v>
      </c>
      <c r="V12" s="9" t="s">
        <v>103</v>
      </c>
      <c r="W12" s="9" t="s">
        <v>651</v>
      </c>
      <c r="X12" s="9" t="s">
        <v>1225</v>
      </c>
      <c r="Y12" s="9" t="str">
        <f t="shared" si="0"/>
        <v>Ryan Munroe</v>
      </c>
      <c r="Z12" s="9" t="s">
        <v>1211</v>
      </c>
      <c r="AA12" s="10" t="s">
        <v>1210</v>
      </c>
      <c r="AB12" s="10" t="s">
        <v>6</v>
      </c>
      <c r="AC12" s="10" t="s">
        <v>130</v>
      </c>
    </row>
    <row r="13" spans="2:29" s="9" customFormat="1" x14ac:dyDescent="0.2">
      <c r="B13" s="9" t="s">
        <v>715</v>
      </c>
      <c r="C13" s="9" t="s">
        <v>716</v>
      </c>
      <c r="D13" s="9" t="s">
        <v>39</v>
      </c>
      <c r="E13" s="9" t="s">
        <v>31</v>
      </c>
      <c r="F13" s="9" t="s">
        <v>32</v>
      </c>
      <c r="G13" s="10">
        <v>4000</v>
      </c>
      <c r="H13" s="10">
        <v>80</v>
      </c>
      <c r="I13" s="10">
        <v>31</v>
      </c>
      <c r="J13" s="10">
        <v>0</v>
      </c>
      <c r="K13" s="9" t="s">
        <v>33</v>
      </c>
      <c r="L13" s="9" t="s">
        <v>33</v>
      </c>
      <c r="M13" s="10">
        <v>150000</v>
      </c>
      <c r="N13" s="10">
        <v>39000</v>
      </c>
      <c r="O13" s="10">
        <v>310</v>
      </c>
      <c r="P13" s="10">
        <v>7</v>
      </c>
      <c r="Q13" s="10">
        <v>1</v>
      </c>
      <c r="R13" s="10">
        <v>4500</v>
      </c>
      <c r="S13" s="10">
        <v>1850</v>
      </c>
      <c r="T13" s="9" t="s">
        <v>34</v>
      </c>
      <c r="U13" s="9" t="s">
        <v>34</v>
      </c>
      <c r="V13" s="9" t="s">
        <v>35</v>
      </c>
      <c r="W13" s="9" t="s">
        <v>1161</v>
      </c>
      <c r="X13" s="9" t="s">
        <v>1160</v>
      </c>
      <c r="Y13" s="9" t="str">
        <f t="shared" si="0"/>
        <v>Marcus Lucero</v>
      </c>
      <c r="Z13" s="9" t="s">
        <v>889</v>
      </c>
      <c r="AA13" s="10" t="s">
        <v>889</v>
      </c>
      <c r="AB13" s="10" t="s">
        <v>6</v>
      </c>
      <c r="AC13" s="10" t="s">
        <v>717</v>
      </c>
    </row>
    <row r="14" spans="2:29" s="11" customFormat="1" x14ac:dyDescent="0.2">
      <c r="B14" s="11" t="s">
        <v>115</v>
      </c>
      <c r="C14" s="11" t="s">
        <v>116</v>
      </c>
      <c r="D14" s="11" t="s">
        <v>113</v>
      </c>
      <c r="E14" s="11" t="s">
        <v>31</v>
      </c>
      <c r="F14" s="11" t="s">
        <v>32</v>
      </c>
      <c r="G14" s="12">
        <v>3898</v>
      </c>
      <c r="H14" s="12">
        <v>110</v>
      </c>
      <c r="I14" s="12">
        <v>8</v>
      </c>
      <c r="J14" s="12">
        <v>0</v>
      </c>
      <c r="K14" s="11" t="s">
        <v>34</v>
      </c>
      <c r="L14" s="11" t="s">
        <v>34</v>
      </c>
      <c r="M14" s="12">
        <v>162000</v>
      </c>
      <c r="N14" s="12">
        <v>29000</v>
      </c>
      <c r="O14" s="12">
        <v>136</v>
      </c>
      <c r="P14" s="12">
        <v>9</v>
      </c>
      <c r="Q14" s="12">
        <v>7</v>
      </c>
      <c r="R14" s="12">
        <v>6000</v>
      </c>
      <c r="S14" s="12">
        <v>1900</v>
      </c>
      <c r="T14" s="11" t="s">
        <v>33</v>
      </c>
      <c r="U14" s="11" t="s">
        <v>33</v>
      </c>
      <c r="V14" s="11" t="s">
        <v>35</v>
      </c>
      <c r="W14" s="11" t="s">
        <v>481</v>
      </c>
      <c r="X14" s="11" t="s">
        <v>1261</v>
      </c>
      <c r="Y14" s="11" t="str">
        <f t="shared" si="0"/>
        <v>Gary Liberatore</v>
      </c>
      <c r="Z14" s="11" t="s">
        <v>1260</v>
      </c>
      <c r="AA14" s="12" t="s">
        <v>1260</v>
      </c>
      <c r="AB14" s="12" t="s">
        <v>6</v>
      </c>
      <c r="AC14" s="12" t="s">
        <v>94</v>
      </c>
    </row>
    <row r="15" spans="2:29" s="13" customFormat="1" x14ac:dyDescent="0.2">
      <c r="B15" s="13" t="s">
        <v>649</v>
      </c>
      <c r="C15" s="13" t="s">
        <v>650</v>
      </c>
      <c r="D15" s="13" t="s">
        <v>573</v>
      </c>
      <c r="E15" s="13" t="s">
        <v>31</v>
      </c>
      <c r="F15" s="13" t="s">
        <v>32</v>
      </c>
      <c r="G15" s="14">
        <v>3800</v>
      </c>
      <c r="H15" s="14">
        <v>179</v>
      </c>
      <c r="I15" s="14">
        <v>50</v>
      </c>
      <c r="J15" s="14">
        <v>0</v>
      </c>
      <c r="K15" s="13" t="s">
        <v>34</v>
      </c>
      <c r="L15" s="13" t="s">
        <v>33</v>
      </c>
      <c r="M15" s="14">
        <v>160000</v>
      </c>
      <c r="N15" s="14">
        <v>0</v>
      </c>
      <c r="O15" s="14">
        <v>310</v>
      </c>
      <c r="P15" s="14">
        <v>9</v>
      </c>
      <c r="Q15" s="14">
        <v>1</v>
      </c>
      <c r="R15" s="14">
        <v>5000</v>
      </c>
      <c r="S15" s="14">
        <v>3000</v>
      </c>
      <c r="T15" s="13" t="s">
        <v>33</v>
      </c>
      <c r="U15" s="13" t="s">
        <v>33</v>
      </c>
      <c r="V15" s="13" t="s">
        <v>35</v>
      </c>
      <c r="W15" s="13" t="s">
        <v>1348</v>
      </c>
      <c r="X15" s="13" t="s">
        <v>1347</v>
      </c>
      <c r="Y15" s="13" t="str">
        <f t="shared" si="0"/>
        <v>Neal Sloane</v>
      </c>
      <c r="Z15" s="13" t="s">
        <v>1299</v>
      </c>
      <c r="AA15" s="14" t="s">
        <v>1298</v>
      </c>
      <c r="AB15" s="14" t="s">
        <v>929</v>
      </c>
      <c r="AC15" s="14" t="s">
        <v>652</v>
      </c>
    </row>
    <row r="16" spans="2:29" s="9" customFormat="1" x14ac:dyDescent="0.2">
      <c r="B16" s="9" t="s">
        <v>1021</v>
      </c>
      <c r="C16" s="9" t="s">
        <v>116</v>
      </c>
      <c r="D16" s="9" t="s">
        <v>39</v>
      </c>
      <c r="E16" s="9" t="s">
        <v>31</v>
      </c>
      <c r="F16" s="9" t="s">
        <v>32</v>
      </c>
      <c r="G16" s="10">
        <v>3700</v>
      </c>
      <c r="H16" s="10">
        <v>106</v>
      </c>
      <c r="I16" s="10">
        <v>28</v>
      </c>
      <c r="J16" s="10">
        <v>800</v>
      </c>
      <c r="K16" s="9" t="s">
        <v>33</v>
      </c>
      <c r="L16" s="9" t="s">
        <v>33</v>
      </c>
      <c r="M16" s="10">
        <v>156000</v>
      </c>
      <c r="N16" s="10">
        <v>10000</v>
      </c>
      <c r="O16" s="10">
        <v>401</v>
      </c>
      <c r="P16" s="10">
        <v>10</v>
      </c>
      <c r="Q16" s="10">
        <v>3</v>
      </c>
      <c r="R16" s="10">
        <v>3700</v>
      </c>
      <c r="S16" s="10">
        <v>2500</v>
      </c>
      <c r="T16" s="9" t="s">
        <v>34</v>
      </c>
      <c r="U16" s="9" t="s">
        <v>34</v>
      </c>
      <c r="V16" s="9" t="s">
        <v>35</v>
      </c>
      <c r="W16" s="9" t="s">
        <v>1322</v>
      </c>
      <c r="X16" s="9" t="s">
        <v>1321</v>
      </c>
      <c r="Y16" s="9" t="str">
        <f t="shared" si="0"/>
        <v>Russ Christianson</v>
      </c>
      <c r="Z16" s="9" t="s">
        <v>91</v>
      </c>
      <c r="AA16" s="10" t="s">
        <v>92</v>
      </c>
      <c r="AB16" s="10" t="s">
        <v>340</v>
      </c>
      <c r="AC16" s="10" t="s">
        <v>1022</v>
      </c>
    </row>
    <row r="17" spans="2:29" s="9" customFormat="1" x14ac:dyDescent="0.2">
      <c r="B17" s="9" t="s">
        <v>1021</v>
      </c>
      <c r="C17" s="9" t="s">
        <v>116</v>
      </c>
      <c r="D17" s="9" t="s">
        <v>39</v>
      </c>
      <c r="E17" s="9" t="s">
        <v>31</v>
      </c>
      <c r="F17" s="9" t="s">
        <v>32</v>
      </c>
      <c r="G17" s="10">
        <v>3700</v>
      </c>
      <c r="H17" s="10">
        <v>106</v>
      </c>
      <c r="I17" s="10">
        <v>28</v>
      </c>
      <c r="J17" s="10">
        <v>800</v>
      </c>
      <c r="K17" s="9" t="s">
        <v>33</v>
      </c>
      <c r="L17" s="9" t="s">
        <v>33</v>
      </c>
      <c r="M17" s="10">
        <v>156000</v>
      </c>
      <c r="N17" s="10">
        <v>10000</v>
      </c>
      <c r="O17" s="10">
        <v>401</v>
      </c>
      <c r="P17" s="10">
        <v>10</v>
      </c>
      <c r="Q17" s="10">
        <v>3</v>
      </c>
      <c r="R17" s="10">
        <v>3700</v>
      </c>
      <c r="S17" s="10">
        <v>2500</v>
      </c>
      <c r="T17" s="9" t="s">
        <v>34</v>
      </c>
      <c r="U17" s="9" t="s">
        <v>34</v>
      </c>
      <c r="V17" s="9" t="s">
        <v>35</v>
      </c>
      <c r="W17" s="9" t="s">
        <v>1107</v>
      </c>
      <c r="X17" s="9" t="s">
        <v>1106</v>
      </c>
      <c r="Y17" s="9" t="str">
        <f t="shared" si="0"/>
        <v>Larry Halvorsen</v>
      </c>
      <c r="Z17" s="9" t="s">
        <v>1094</v>
      </c>
      <c r="AA17" s="10" t="s">
        <v>1094</v>
      </c>
      <c r="AB17" s="10" t="s">
        <v>6</v>
      </c>
      <c r="AC17" s="10" t="s">
        <v>1022</v>
      </c>
    </row>
    <row r="18" spans="2:29" s="9" customFormat="1" x14ac:dyDescent="0.2">
      <c r="B18" s="9" t="s">
        <v>726</v>
      </c>
      <c r="C18" s="9" t="s">
        <v>727</v>
      </c>
      <c r="D18" s="9" t="s">
        <v>70</v>
      </c>
      <c r="E18" s="9" t="s">
        <v>31</v>
      </c>
      <c r="F18" s="9" t="s">
        <v>32</v>
      </c>
      <c r="G18" s="10">
        <v>3500</v>
      </c>
      <c r="H18" s="10">
        <v>54</v>
      </c>
      <c r="I18" s="10">
        <v>0</v>
      </c>
      <c r="J18" s="10">
        <v>0</v>
      </c>
      <c r="K18" s="9" t="s">
        <v>34</v>
      </c>
      <c r="L18" s="9" t="s">
        <v>33</v>
      </c>
      <c r="M18" s="10">
        <v>137000</v>
      </c>
      <c r="N18" s="10">
        <v>8000</v>
      </c>
      <c r="O18" s="10">
        <v>421</v>
      </c>
      <c r="P18" s="10">
        <v>15</v>
      </c>
      <c r="Q18" s="10">
        <v>3</v>
      </c>
      <c r="R18" s="10">
        <v>4000</v>
      </c>
      <c r="S18" s="10">
        <v>1500</v>
      </c>
      <c r="T18" s="9" t="s">
        <v>34</v>
      </c>
      <c r="U18" s="9" t="s">
        <v>34</v>
      </c>
      <c r="V18" s="9" t="s">
        <v>35</v>
      </c>
      <c r="W18" s="9" t="s">
        <v>466</v>
      </c>
      <c r="X18" s="9" t="s">
        <v>1416</v>
      </c>
      <c r="Y18" s="9" t="str">
        <f t="shared" si="0"/>
        <v>Jeff Berns</v>
      </c>
      <c r="Z18" s="9" t="s">
        <v>1415</v>
      </c>
      <c r="AA18" s="10" t="s">
        <v>1414</v>
      </c>
      <c r="AB18" s="10" t="s">
        <v>93</v>
      </c>
      <c r="AC18" s="10" t="s">
        <v>728</v>
      </c>
    </row>
    <row r="19" spans="2:29" s="9" customFormat="1" x14ac:dyDescent="0.2">
      <c r="B19" s="9" t="s">
        <v>401</v>
      </c>
      <c r="C19" s="9" t="s">
        <v>402</v>
      </c>
      <c r="D19" s="9" t="s">
        <v>403</v>
      </c>
      <c r="E19" s="9" t="s">
        <v>31</v>
      </c>
      <c r="F19" s="9" t="s">
        <v>32</v>
      </c>
      <c r="G19" s="10">
        <v>3400</v>
      </c>
      <c r="H19" s="10">
        <v>249</v>
      </c>
      <c r="I19" s="10">
        <v>54</v>
      </c>
      <c r="J19" s="10">
        <v>2200</v>
      </c>
      <c r="K19" s="9" t="s">
        <v>33</v>
      </c>
      <c r="L19" s="9" t="s">
        <v>34</v>
      </c>
      <c r="M19" s="10">
        <v>340000</v>
      </c>
      <c r="N19" s="10">
        <v>150000</v>
      </c>
      <c r="O19" s="10">
        <v>1950</v>
      </c>
      <c r="P19" s="10">
        <v>42</v>
      </c>
      <c r="Q19" s="10">
        <v>5</v>
      </c>
      <c r="R19" s="10">
        <v>10750</v>
      </c>
      <c r="S19" s="10">
        <v>6000</v>
      </c>
      <c r="T19" s="9" t="s">
        <v>34</v>
      </c>
      <c r="U19" s="9" t="s">
        <v>34</v>
      </c>
      <c r="V19" s="9" t="s">
        <v>35</v>
      </c>
      <c r="W19" s="9" t="s">
        <v>925</v>
      </c>
      <c r="X19" s="9" t="s">
        <v>1353</v>
      </c>
      <c r="Y19" s="9" t="str">
        <f t="shared" si="0"/>
        <v>Bryan Hayes</v>
      </c>
      <c r="Z19" s="9" t="s">
        <v>1352</v>
      </c>
      <c r="AA19" s="10" t="s">
        <v>1351</v>
      </c>
      <c r="AB19" s="10" t="s">
        <v>929</v>
      </c>
      <c r="AC19" s="10" t="s">
        <v>404</v>
      </c>
    </row>
    <row r="20" spans="2:29" s="9" customFormat="1" x14ac:dyDescent="0.2">
      <c r="B20" s="9" t="s">
        <v>401</v>
      </c>
      <c r="C20" s="9" t="s">
        <v>402</v>
      </c>
      <c r="D20" s="9" t="s">
        <v>403</v>
      </c>
      <c r="E20" s="9" t="s">
        <v>31</v>
      </c>
      <c r="F20" s="9" t="s">
        <v>32</v>
      </c>
      <c r="G20" s="10">
        <v>3400</v>
      </c>
      <c r="H20" s="10">
        <v>249</v>
      </c>
      <c r="I20" s="10">
        <v>54</v>
      </c>
      <c r="J20" s="10">
        <v>2200</v>
      </c>
      <c r="K20" s="9" t="s">
        <v>33</v>
      </c>
      <c r="L20" s="9" t="s">
        <v>34</v>
      </c>
      <c r="M20" s="10">
        <v>340000</v>
      </c>
      <c r="N20" s="10">
        <v>150000</v>
      </c>
      <c r="O20" s="10">
        <v>1950</v>
      </c>
      <c r="P20" s="10">
        <v>42</v>
      </c>
      <c r="Q20" s="10">
        <v>5</v>
      </c>
      <c r="R20" s="10">
        <v>10750</v>
      </c>
      <c r="S20" s="10">
        <v>6000</v>
      </c>
      <c r="T20" s="9" t="s">
        <v>34</v>
      </c>
      <c r="U20" s="9" t="s">
        <v>34</v>
      </c>
      <c r="V20" s="9" t="s">
        <v>35</v>
      </c>
      <c r="W20" s="9" t="s">
        <v>1213</v>
      </c>
      <c r="X20" s="9" t="s">
        <v>1212</v>
      </c>
      <c r="Y20" s="9" t="str">
        <f t="shared" si="0"/>
        <v>Angelo Avallone</v>
      </c>
      <c r="Z20" s="9" t="s">
        <v>1211</v>
      </c>
      <c r="AA20" s="10" t="s">
        <v>1210</v>
      </c>
      <c r="AB20" s="10" t="s">
        <v>6</v>
      </c>
      <c r="AC20" s="10" t="s">
        <v>404</v>
      </c>
    </row>
    <row r="21" spans="2:29" s="13" customFormat="1" x14ac:dyDescent="0.2">
      <c r="B21" s="13" t="s">
        <v>704</v>
      </c>
      <c r="C21" s="13" t="s">
        <v>705</v>
      </c>
      <c r="D21" s="13" t="s">
        <v>403</v>
      </c>
      <c r="E21" s="13" t="s">
        <v>31</v>
      </c>
      <c r="F21" s="13" t="s">
        <v>32</v>
      </c>
      <c r="G21" s="14">
        <v>3383</v>
      </c>
      <c r="H21" s="14">
        <v>300</v>
      </c>
      <c r="I21" s="14">
        <v>33</v>
      </c>
      <c r="J21" s="14">
        <v>0</v>
      </c>
      <c r="K21" s="13" t="s">
        <v>33</v>
      </c>
      <c r="L21" s="13" t="s">
        <v>34</v>
      </c>
      <c r="M21" s="14">
        <v>310000</v>
      </c>
      <c r="N21" s="14">
        <v>225000</v>
      </c>
      <c r="O21" s="14">
        <v>1600</v>
      </c>
      <c r="P21" s="14">
        <v>45</v>
      </c>
      <c r="Q21" s="14">
        <v>9</v>
      </c>
      <c r="R21" s="14">
        <v>13000</v>
      </c>
      <c r="S21" s="14">
        <v>8400</v>
      </c>
      <c r="T21" s="13" t="s">
        <v>34</v>
      </c>
      <c r="U21" s="13" t="s">
        <v>34</v>
      </c>
      <c r="V21" s="13" t="s">
        <v>35</v>
      </c>
      <c r="W21" s="13" t="s">
        <v>1171</v>
      </c>
      <c r="X21" s="13" t="s">
        <v>1345</v>
      </c>
      <c r="Y21" s="13" t="str">
        <f t="shared" si="0"/>
        <v>Doug Vogelei</v>
      </c>
      <c r="Z21" s="13" t="s">
        <v>1282</v>
      </c>
      <c r="AA21" s="14" t="s">
        <v>1282</v>
      </c>
      <c r="AB21" s="14" t="s">
        <v>929</v>
      </c>
      <c r="AC21" s="14" t="s">
        <v>703</v>
      </c>
    </row>
    <row r="22" spans="2:29" s="9" customFormat="1" x14ac:dyDescent="0.2">
      <c r="B22" s="9" t="s">
        <v>704</v>
      </c>
      <c r="C22" s="9" t="s">
        <v>705</v>
      </c>
      <c r="D22" s="9" t="s">
        <v>403</v>
      </c>
      <c r="E22" s="9" t="s">
        <v>31</v>
      </c>
      <c r="F22" s="9" t="s">
        <v>32</v>
      </c>
      <c r="G22" s="10">
        <v>3383</v>
      </c>
      <c r="H22" s="10">
        <v>300</v>
      </c>
      <c r="I22" s="10">
        <v>33</v>
      </c>
      <c r="J22" s="10">
        <v>0</v>
      </c>
      <c r="K22" s="9" t="s">
        <v>33</v>
      </c>
      <c r="L22" s="9" t="s">
        <v>34</v>
      </c>
      <c r="M22" s="10">
        <v>310000</v>
      </c>
      <c r="N22" s="10">
        <v>225000</v>
      </c>
      <c r="O22" s="10">
        <v>1600</v>
      </c>
      <c r="P22" s="10">
        <v>45</v>
      </c>
      <c r="Q22" s="10">
        <v>9</v>
      </c>
      <c r="R22" s="10">
        <v>13000</v>
      </c>
      <c r="S22" s="10">
        <v>8400</v>
      </c>
      <c r="T22" s="9" t="s">
        <v>34</v>
      </c>
      <c r="U22" s="9" t="s">
        <v>34</v>
      </c>
      <c r="V22" s="9" t="s">
        <v>35</v>
      </c>
      <c r="W22" s="9" t="s">
        <v>925</v>
      </c>
      <c r="X22" s="9" t="s">
        <v>1164</v>
      </c>
      <c r="Y22" s="9" t="str">
        <f t="shared" si="0"/>
        <v>Bryan Miner</v>
      </c>
      <c r="Z22" s="9" t="s">
        <v>889</v>
      </c>
      <c r="AA22" s="10" t="s">
        <v>889</v>
      </c>
      <c r="AB22" s="10" t="s">
        <v>6</v>
      </c>
      <c r="AC22" s="10" t="s">
        <v>703</v>
      </c>
    </row>
    <row r="23" spans="2:29" s="16" customFormat="1" x14ac:dyDescent="0.2">
      <c r="B23" s="16" t="s">
        <v>377</v>
      </c>
      <c r="C23" s="16" t="s">
        <v>218</v>
      </c>
      <c r="D23" s="16" t="s">
        <v>179</v>
      </c>
      <c r="E23" s="16" t="s">
        <v>180</v>
      </c>
      <c r="F23" s="16" t="s">
        <v>32</v>
      </c>
      <c r="G23" s="17">
        <v>3300</v>
      </c>
      <c r="H23" s="17">
        <v>130</v>
      </c>
      <c r="I23" s="17">
        <v>0</v>
      </c>
      <c r="J23" s="17">
        <v>0</v>
      </c>
      <c r="K23" s="16" t="s">
        <v>34</v>
      </c>
      <c r="L23" s="16" t="s">
        <v>33</v>
      </c>
      <c r="M23" s="17">
        <v>200000</v>
      </c>
      <c r="N23" s="17">
        <v>36000</v>
      </c>
      <c r="O23" s="17">
        <v>374</v>
      </c>
      <c r="P23" s="17">
        <v>24</v>
      </c>
      <c r="Q23" s="17">
        <v>2</v>
      </c>
      <c r="R23" s="17">
        <v>3000</v>
      </c>
      <c r="S23" s="17">
        <v>3500</v>
      </c>
      <c r="T23" s="16" t="s">
        <v>34</v>
      </c>
      <c r="U23" s="16" t="s">
        <v>33</v>
      </c>
      <c r="V23" s="16" t="s">
        <v>35</v>
      </c>
      <c r="W23" s="16" t="s">
        <v>1123</v>
      </c>
      <c r="X23" s="16" t="s">
        <v>1305</v>
      </c>
      <c r="Y23" s="16" t="str">
        <f t="shared" si="0"/>
        <v>Steve Weel</v>
      </c>
      <c r="Z23" s="16" t="s">
        <v>1299</v>
      </c>
      <c r="AA23" s="17" t="s">
        <v>1298</v>
      </c>
      <c r="AB23" s="17" t="s">
        <v>1304</v>
      </c>
      <c r="AC23" s="17" t="s">
        <v>219</v>
      </c>
    </row>
    <row r="24" spans="2:29" s="13" customFormat="1" x14ac:dyDescent="0.2">
      <c r="B24" s="13" t="s">
        <v>377</v>
      </c>
      <c r="C24" s="13" t="s">
        <v>218</v>
      </c>
      <c r="D24" s="13" t="s">
        <v>179</v>
      </c>
      <c r="E24" s="13" t="s">
        <v>180</v>
      </c>
      <c r="F24" s="13" t="s">
        <v>32</v>
      </c>
      <c r="G24" s="14">
        <v>3300</v>
      </c>
      <c r="H24" s="14">
        <v>130</v>
      </c>
      <c r="I24" s="14">
        <v>0</v>
      </c>
      <c r="J24" s="14">
        <v>0</v>
      </c>
      <c r="K24" s="13" t="s">
        <v>34</v>
      </c>
      <c r="L24" s="13" t="s">
        <v>33</v>
      </c>
      <c r="M24" s="14">
        <v>200000</v>
      </c>
      <c r="N24" s="14">
        <v>36000</v>
      </c>
      <c r="O24" s="14">
        <v>374</v>
      </c>
      <c r="P24" s="14">
        <v>24</v>
      </c>
      <c r="Q24" s="14">
        <v>2</v>
      </c>
      <c r="R24" s="14">
        <v>3000</v>
      </c>
      <c r="S24" s="14">
        <v>3500</v>
      </c>
      <c r="T24" s="13" t="s">
        <v>34</v>
      </c>
      <c r="U24" s="13" t="s">
        <v>33</v>
      </c>
      <c r="V24" s="13" t="s">
        <v>35</v>
      </c>
      <c r="W24" s="13" t="s">
        <v>654</v>
      </c>
      <c r="X24" s="13" t="s">
        <v>1223</v>
      </c>
      <c r="Y24" s="13" t="str">
        <f t="shared" si="0"/>
        <v>Bill French</v>
      </c>
      <c r="Z24" s="13" t="s">
        <v>889</v>
      </c>
      <c r="AA24" s="14" t="s">
        <v>889</v>
      </c>
      <c r="AB24" s="14" t="s">
        <v>6</v>
      </c>
      <c r="AC24" s="14" t="s">
        <v>219</v>
      </c>
    </row>
    <row r="25" spans="2:29" s="13" customFormat="1" x14ac:dyDescent="0.2">
      <c r="B25" s="13" t="s">
        <v>95</v>
      </c>
      <c r="C25" s="13" t="s">
        <v>96</v>
      </c>
      <c r="D25" s="13" t="s">
        <v>97</v>
      </c>
      <c r="E25" s="13" t="s">
        <v>31</v>
      </c>
      <c r="F25" s="13" t="s">
        <v>40</v>
      </c>
      <c r="G25" s="14">
        <v>3300</v>
      </c>
      <c r="H25" s="14">
        <v>173</v>
      </c>
      <c r="I25" s="14">
        <v>0</v>
      </c>
      <c r="J25" s="14">
        <v>0</v>
      </c>
      <c r="K25" s="13" t="s">
        <v>33</v>
      </c>
      <c r="L25" s="13" t="s">
        <v>33</v>
      </c>
      <c r="M25" s="14">
        <v>0</v>
      </c>
      <c r="N25" s="14">
        <v>70000</v>
      </c>
      <c r="O25" s="14">
        <v>500</v>
      </c>
      <c r="P25" s="14">
        <v>0</v>
      </c>
      <c r="Q25" s="14">
        <v>0</v>
      </c>
      <c r="R25" s="14">
        <v>2000</v>
      </c>
      <c r="S25" s="14">
        <v>3000</v>
      </c>
      <c r="T25" s="13" t="s">
        <v>33</v>
      </c>
      <c r="U25" s="13" t="s">
        <v>33</v>
      </c>
      <c r="V25" s="13" t="s">
        <v>35</v>
      </c>
      <c r="W25" s="13" t="s">
        <v>388</v>
      </c>
      <c r="X25" s="13" t="s">
        <v>1372</v>
      </c>
      <c r="Y25" s="13" t="str">
        <f t="shared" si="0"/>
        <v>Rebecca Gorgas</v>
      </c>
      <c r="Z25" s="13" t="s">
        <v>1299</v>
      </c>
      <c r="AA25" s="14" t="s">
        <v>1298</v>
      </c>
      <c r="AB25" s="14" t="s">
        <v>356</v>
      </c>
      <c r="AC25" s="14" t="s">
        <v>99</v>
      </c>
    </row>
    <row r="26" spans="2:29" s="16" customFormat="1" x14ac:dyDescent="0.2">
      <c r="B26" s="16" t="s">
        <v>95</v>
      </c>
      <c r="C26" s="16" t="s">
        <v>96</v>
      </c>
      <c r="D26" s="16" t="s">
        <v>97</v>
      </c>
      <c r="E26" s="16" t="s">
        <v>31</v>
      </c>
      <c r="F26" s="16" t="s">
        <v>40</v>
      </c>
      <c r="G26" s="17">
        <v>3300</v>
      </c>
      <c r="H26" s="17">
        <v>173</v>
      </c>
      <c r="I26" s="17">
        <v>0</v>
      </c>
      <c r="J26" s="17">
        <v>0</v>
      </c>
      <c r="K26" s="16" t="s">
        <v>33</v>
      </c>
      <c r="L26" s="16" t="s">
        <v>33</v>
      </c>
      <c r="M26" s="17">
        <v>0</v>
      </c>
      <c r="N26" s="17">
        <v>70000</v>
      </c>
      <c r="O26" s="17">
        <v>500</v>
      </c>
      <c r="P26" s="17">
        <v>0</v>
      </c>
      <c r="Q26" s="17">
        <v>0</v>
      </c>
      <c r="R26" s="17">
        <v>2000</v>
      </c>
      <c r="S26" s="17">
        <v>3000</v>
      </c>
      <c r="T26" s="16" t="s">
        <v>33</v>
      </c>
      <c r="U26" s="16" t="s">
        <v>33</v>
      </c>
      <c r="V26" s="16" t="s">
        <v>35</v>
      </c>
      <c r="W26" s="16" t="s">
        <v>1097</v>
      </c>
      <c r="X26" s="16" t="s">
        <v>1263</v>
      </c>
      <c r="Y26" s="16" t="str">
        <f t="shared" si="0"/>
        <v>Jeremy Nixon</v>
      </c>
      <c r="Z26" s="16" t="s">
        <v>889</v>
      </c>
      <c r="AA26" s="17" t="s">
        <v>889</v>
      </c>
      <c r="AB26" s="17" t="s">
        <v>6</v>
      </c>
      <c r="AC26" s="17" t="s">
        <v>99</v>
      </c>
    </row>
    <row r="27" spans="2:29" s="13" customFormat="1" x14ac:dyDescent="0.2">
      <c r="B27" s="13" t="s">
        <v>203</v>
      </c>
      <c r="C27" s="13" t="s">
        <v>204</v>
      </c>
      <c r="D27" s="13" t="s">
        <v>205</v>
      </c>
      <c r="E27" s="13" t="s">
        <v>180</v>
      </c>
      <c r="F27" s="13" t="s">
        <v>32</v>
      </c>
      <c r="G27" s="14">
        <v>3000</v>
      </c>
      <c r="H27" s="14">
        <v>94</v>
      </c>
      <c r="I27" s="14">
        <v>12</v>
      </c>
      <c r="J27" s="14">
        <v>0</v>
      </c>
      <c r="K27" s="13" t="s">
        <v>33</v>
      </c>
      <c r="L27" s="13" t="s">
        <v>33</v>
      </c>
      <c r="M27" s="14">
        <v>526488</v>
      </c>
      <c r="N27" s="14">
        <v>2076</v>
      </c>
      <c r="O27" s="14">
        <v>0</v>
      </c>
      <c r="P27" s="14">
        <v>8</v>
      </c>
      <c r="Q27" s="14">
        <v>0</v>
      </c>
      <c r="R27" s="14">
        <v>3381</v>
      </c>
      <c r="S27" s="14">
        <v>2700</v>
      </c>
      <c r="T27" s="13" t="s">
        <v>33</v>
      </c>
      <c r="U27" s="13" t="s">
        <v>33</v>
      </c>
      <c r="V27" s="13" t="s">
        <v>35</v>
      </c>
      <c r="W27" s="13" t="s">
        <v>1293</v>
      </c>
      <c r="X27" s="13" t="s">
        <v>1292</v>
      </c>
      <c r="Y27" s="13" t="str">
        <f t="shared" si="0"/>
        <v>Nick Gomatos</v>
      </c>
      <c r="Z27" s="13" t="s">
        <v>1289</v>
      </c>
      <c r="AA27" s="14" t="s">
        <v>1289</v>
      </c>
      <c r="AB27" s="14" t="s">
        <v>1291</v>
      </c>
      <c r="AC27" s="14" t="s">
        <v>206</v>
      </c>
    </row>
    <row r="28" spans="2:29" s="9" customFormat="1" x14ac:dyDescent="0.2">
      <c r="B28" s="9" t="s">
        <v>802</v>
      </c>
      <c r="C28" s="9" t="s">
        <v>803</v>
      </c>
      <c r="D28" s="9" t="s">
        <v>478</v>
      </c>
      <c r="E28" s="9" t="s">
        <v>31</v>
      </c>
      <c r="F28" s="9" t="s">
        <v>32</v>
      </c>
      <c r="G28" s="10">
        <v>3000</v>
      </c>
      <c r="H28" s="10">
        <v>98</v>
      </c>
      <c r="I28" s="10">
        <v>15</v>
      </c>
      <c r="J28" s="10">
        <v>640</v>
      </c>
      <c r="K28" s="9" t="s">
        <v>34</v>
      </c>
      <c r="L28" s="9" t="s">
        <v>33</v>
      </c>
      <c r="M28" s="10">
        <v>150000</v>
      </c>
      <c r="N28" s="10">
        <v>10000</v>
      </c>
      <c r="O28" s="10">
        <v>500</v>
      </c>
      <c r="P28" s="10">
        <v>10</v>
      </c>
      <c r="Q28" s="10">
        <v>1</v>
      </c>
      <c r="R28" s="10">
        <v>3000</v>
      </c>
      <c r="S28" s="10">
        <v>2700</v>
      </c>
      <c r="T28" s="9" t="s">
        <v>34</v>
      </c>
      <c r="U28" s="9" t="s">
        <v>34</v>
      </c>
      <c r="V28" s="9" t="s">
        <v>35</v>
      </c>
      <c r="W28" s="9" t="s">
        <v>752</v>
      </c>
      <c r="X28" s="9" t="s">
        <v>1149</v>
      </c>
      <c r="Y28" s="9" t="str">
        <f t="shared" si="0"/>
        <v>Paul Cornish</v>
      </c>
      <c r="Z28" s="9" t="s">
        <v>1098</v>
      </c>
      <c r="AA28" s="10" t="s">
        <v>1098</v>
      </c>
      <c r="AB28" s="10" t="s">
        <v>6</v>
      </c>
      <c r="AC28" s="10" t="s">
        <v>804</v>
      </c>
    </row>
    <row r="29" spans="2:29" s="13" customFormat="1" x14ac:dyDescent="0.2">
      <c r="B29" s="13" t="s">
        <v>510</v>
      </c>
      <c r="C29" s="13" t="s">
        <v>511</v>
      </c>
      <c r="D29" s="13" t="s">
        <v>236</v>
      </c>
      <c r="E29" s="13" t="s">
        <v>31</v>
      </c>
      <c r="F29" s="13" t="s">
        <v>32</v>
      </c>
      <c r="G29" s="14">
        <v>3000</v>
      </c>
      <c r="H29" s="14">
        <v>160</v>
      </c>
      <c r="I29" s="14">
        <v>32</v>
      </c>
      <c r="J29" s="14">
        <v>0</v>
      </c>
      <c r="K29" s="13" t="s">
        <v>34</v>
      </c>
      <c r="L29" s="13" t="s">
        <v>33</v>
      </c>
      <c r="M29" s="14">
        <v>211800</v>
      </c>
      <c r="N29" s="14">
        <v>37815</v>
      </c>
      <c r="O29" s="14">
        <v>1830</v>
      </c>
      <c r="P29" s="14">
        <v>10</v>
      </c>
      <c r="Q29" s="14">
        <v>2</v>
      </c>
      <c r="R29" s="14">
        <v>6086</v>
      </c>
      <c r="S29" s="14">
        <v>2627</v>
      </c>
      <c r="T29" s="13" t="s">
        <v>34</v>
      </c>
      <c r="U29" s="13" t="s">
        <v>34</v>
      </c>
      <c r="V29" s="13" t="s">
        <v>35</v>
      </c>
      <c r="W29" s="13" t="s">
        <v>1330</v>
      </c>
      <c r="X29" s="13" t="s">
        <v>1329</v>
      </c>
      <c r="Y29" s="13" t="str">
        <f t="shared" si="0"/>
        <v>Missy Crowe</v>
      </c>
      <c r="Z29" s="13" t="s">
        <v>109</v>
      </c>
      <c r="AA29" s="14" t="s">
        <v>109</v>
      </c>
      <c r="AB29" s="14" t="s">
        <v>340</v>
      </c>
      <c r="AC29" s="14" t="s">
        <v>513</v>
      </c>
    </row>
    <row r="30" spans="2:29" s="9" customFormat="1" x14ac:dyDescent="0.2">
      <c r="B30" s="9" t="s">
        <v>944</v>
      </c>
      <c r="C30" s="9" t="s">
        <v>945</v>
      </c>
      <c r="D30" s="9" t="s">
        <v>387</v>
      </c>
      <c r="E30" s="9" t="s">
        <v>31</v>
      </c>
      <c r="F30" s="9" t="s">
        <v>32</v>
      </c>
      <c r="G30" s="10">
        <v>3000</v>
      </c>
      <c r="H30" s="10">
        <v>50</v>
      </c>
      <c r="I30" s="10">
        <v>14</v>
      </c>
      <c r="J30" s="10">
        <v>500</v>
      </c>
      <c r="K30" s="9" t="s">
        <v>34</v>
      </c>
      <c r="L30" s="9" t="s">
        <v>33</v>
      </c>
      <c r="M30" s="10">
        <v>210000</v>
      </c>
      <c r="N30" s="10">
        <v>60000</v>
      </c>
      <c r="O30" s="10">
        <v>759</v>
      </c>
      <c r="P30" s="10">
        <v>9</v>
      </c>
      <c r="Q30" s="10">
        <v>1</v>
      </c>
      <c r="R30" s="10">
        <v>5500</v>
      </c>
      <c r="S30" s="10">
        <v>1990</v>
      </c>
      <c r="T30" s="9" t="s">
        <v>34</v>
      </c>
      <c r="U30" s="9" t="s">
        <v>34</v>
      </c>
      <c r="V30" s="9" t="s">
        <v>35</v>
      </c>
      <c r="W30" s="9" t="s">
        <v>507</v>
      </c>
      <c r="X30" s="9" t="s">
        <v>1124</v>
      </c>
      <c r="Y30" s="9" t="str">
        <f t="shared" si="0"/>
        <v>Kirk Walraven</v>
      </c>
      <c r="Z30" s="9" t="s">
        <v>889</v>
      </c>
      <c r="AA30" s="10" t="s">
        <v>889</v>
      </c>
      <c r="AB30" s="10" t="s">
        <v>6</v>
      </c>
      <c r="AC30" s="10" t="s">
        <v>946</v>
      </c>
    </row>
    <row r="31" spans="2:29" s="9" customFormat="1" x14ac:dyDescent="0.2">
      <c r="B31" s="9" t="s">
        <v>581</v>
      </c>
      <c r="C31" s="9" t="s">
        <v>582</v>
      </c>
      <c r="D31" s="9" t="s">
        <v>70</v>
      </c>
      <c r="E31" s="9" t="s">
        <v>31</v>
      </c>
      <c r="F31" s="9" t="s">
        <v>32</v>
      </c>
      <c r="G31" s="10">
        <v>3000</v>
      </c>
      <c r="H31" s="10">
        <v>75</v>
      </c>
      <c r="I31" s="10">
        <v>0</v>
      </c>
      <c r="J31" s="10">
        <v>0</v>
      </c>
      <c r="K31" s="9" t="s">
        <v>34</v>
      </c>
      <c r="L31" s="9" t="s">
        <v>33</v>
      </c>
      <c r="M31" s="10">
        <v>100000</v>
      </c>
      <c r="N31" s="10">
        <v>268000</v>
      </c>
      <c r="O31" s="10">
        <v>0</v>
      </c>
      <c r="P31" s="10">
        <v>12</v>
      </c>
      <c r="Q31" s="10">
        <v>1</v>
      </c>
      <c r="R31" s="10">
        <v>7250</v>
      </c>
      <c r="S31" s="10">
        <v>1000</v>
      </c>
      <c r="T31" s="9" t="s">
        <v>34</v>
      </c>
      <c r="U31" s="9" t="s">
        <v>34</v>
      </c>
      <c r="V31" s="9" t="s">
        <v>35</v>
      </c>
      <c r="W31" s="9" t="s">
        <v>824</v>
      </c>
      <c r="X31" s="9" t="s">
        <v>1181</v>
      </c>
      <c r="Y31" s="9" t="str">
        <f t="shared" si="0"/>
        <v>Joe Cooper</v>
      </c>
      <c r="Z31" s="9" t="s">
        <v>889</v>
      </c>
      <c r="AA31" s="10" t="s">
        <v>889</v>
      </c>
      <c r="AB31" s="10" t="s">
        <v>6</v>
      </c>
      <c r="AC31" s="10" t="s">
        <v>583</v>
      </c>
    </row>
    <row r="32" spans="2:29" s="9" customFormat="1" x14ac:dyDescent="0.2">
      <c r="B32" s="9" t="s">
        <v>786</v>
      </c>
      <c r="C32" s="9" t="s">
        <v>787</v>
      </c>
      <c r="D32" s="9" t="s">
        <v>521</v>
      </c>
      <c r="E32" s="9" t="s">
        <v>31</v>
      </c>
      <c r="F32" s="9" t="s">
        <v>32</v>
      </c>
      <c r="G32" s="10">
        <v>2987</v>
      </c>
      <c r="H32" s="10">
        <v>135</v>
      </c>
      <c r="I32" s="10">
        <v>48</v>
      </c>
      <c r="J32" s="10">
        <v>0</v>
      </c>
      <c r="K32" s="9" t="s">
        <v>34</v>
      </c>
      <c r="L32" s="9" t="s">
        <v>34</v>
      </c>
      <c r="M32" s="10">
        <v>176592</v>
      </c>
      <c r="N32" s="10">
        <v>0</v>
      </c>
      <c r="O32" s="10">
        <v>0</v>
      </c>
      <c r="P32" s="10">
        <v>8</v>
      </c>
      <c r="Q32" s="10">
        <v>0</v>
      </c>
      <c r="R32" s="10">
        <v>0</v>
      </c>
      <c r="S32" s="10">
        <v>2200</v>
      </c>
      <c r="T32" s="9" t="s">
        <v>33</v>
      </c>
      <c r="U32" s="9" t="s">
        <v>33</v>
      </c>
      <c r="V32" s="9" t="s">
        <v>103</v>
      </c>
      <c r="W32" s="9" t="s">
        <v>1153</v>
      </c>
      <c r="X32" s="9" t="s">
        <v>1152</v>
      </c>
      <c r="Y32" s="9" t="str">
        <f t="shared" si="0"/>
        <v>Duncan Shestack</v>
      </c>
      <c r="Z32" s="9" t="s">
        <v>889</v>
      </c>
      <c r="AA32" s="10" t="s">
        <v>889</v>
      </c>
      <c r="AB32" s="10" t="s">
        <v>6</v>
      </c>
      <c r="AC32" s="10" t="s">
        <v>789</v>
      </c>
    </row>
    <row r="33" spans="2:29" s="9" customFormat="1" x14ac:dyDescent="0.2">
      <c r="B33" s="9" t="s">
        <v>385</v>
      </c>
      <c r="C33" s="9" t="s">
        <v>386</v>
      </c>
      <c r="D33" s="9" t="s">
        <v>387</v>
      </c>
      <c r="E33" s="9" t="s">
        <v>31</v>
      </c>
      <c r="F33" s="9" t="s">
        <v>32</v>
      </c>
      <c r="G33" s="10">
        <v>2900</v>
      </c>
      <c r="H33" s="10">
        <v>70</v>
      </c>
      <c r="I33" s="10">
        <v>26</v>
      </c>
      <c r="J33" s="10">
        <v>250</v>
      </c>
      <c r="K33" s="9" t="s">
        <v>34</v>
      </c>
      <c r="L33" s="9" t="s">
        <v>33</v>
      </c>
      <c r="M33" s="10">
        <v>107000</v>
      </c>
      <c r="N33" s="10">
        <v>0</v>
      </c>
      <c r="O33" s="10">
        <v>243</v>
      </c>
      <c r="P33" s="10">
        <v>10</v>
      </c>
      <c r="Q33" s="10">
        <v>1</v>
      </c>
      <c r="R33" s="10">
        <v>2078</v>
      </c>
      <c r="S33" s="10">
        <v>1500</v>
      </c>
      <c r="T33" s="9" t="s">
        <v>34</v>
      </c>
      <c r="U33" s="9" t="s">
        <v>34</v>
      </c>
      <c r="V33" s="9" t="s">
        <v>35</v>
      </c>
      <c r="W33" s="9" t="s">
        <v>330</v>
      </c>
      <c r="X33" s="9" t="s">
        <v>1220</v>
      </c>
      <c r="Y33" s="9" t="str">
        <f t="shared" si="0"/>
        <v>David Teno</v>
      </c>
      <c r="Z33" s="9" t="s">
        <v>1094</v>
      </c>
      <c r="AA33" s="10" t="s">
        <v>1094</v>
      </c>
      <c r="AB33" s="10" t="s">
        <v>6</v>
      </c>
      <c r="AC33" s="10" t="s">
        <v>389</v>
      </c>
    </row>
    <row r="34" spans="2:29" s="9" customFormat="1" x14ac:dyDescent="0.2">
      <c r="B34" s="9" t="s">
        <v>385</v>
      </c>
      <c r="C34" s="9" t="s">
        <v>386</v>
      </c>
      <c r="D34" s="9" t="s">
        <v>387</v>
      </c>
      <c r="E34" s="9" t="s">
        <v>31</v>
      </c>
      <c r="F34" s="9" t="s">
        <v>32</v>
      </c>
      <c r="G34" s="10">
        <v>2900</v>
      </c>
      <c r="H34" s="10">
        <v>70</v>
      </c>
      <c r="I34" s="10">
        <v>26</v>
      </c>
      <c r="J34" s="10">
        <v>250</v>
      </c>
      <c r="K34" s="9" t="s">
        <v>34</v>
      </c>
      <c r="L34" s="9" t="s">
        <v>33</v>
      </c>
      <c r="M34" s="10">
        <v>107000</v>
      </c>
      <c r="N34" s="10">
        <v>0</v>
      </c>
      <c r="O34" s="10">
        <v>243</v>
      </c>
      <c r="P34" s="10">
        <v>10</v>
      </c>
      <c r="Q34" s="10">
        <v>1</v>
      </c>
      <c r="R34" s="10">
        <v>2078</v>
      </c>
      <c r="S34" s="10">
        <v>1500</v>
      </c>
      <c r="T34" s="9" t="s">
        <v>34</v>
      </c>
      <c r="U34" s="9" t="s">
        <v>34</v>
      </c>
      <c r="V34" s="9" t="s">
        <v>35</v>
      </c>
      <c r="W34" s="9" t="s">
        <v>481</v>
      </c>
      <c r="X34" s="9" t="s">
        <v>1219</v>
      </c>
      <c r="Y34" s="9" t="str">
        <f t="shared" si="0"/>
        <v>Gary Fagone</v>
      </c>
      <c r="Z34" s="9" t="s">
        <v>1092</v>
      </c>
      <c r="AA34" s="10" t="s">
        <v>1092</v>
      </c>
      <c r="AB34" s="10" t="s">
        <v>6</v>
      </c>
      <c r="AC34" s="10" t="s">
        <v>389</v>
      </c>
    </row>
    <row r="35" spans="2:29" s="11" customFormat="1" x14ac:dyDescent="0.2">
      <c r="B35" s="11" t="s">
        <v>385</v>
      </c>
      <c r="C35" s="11" t="s">
        <v>386</v>
      </c>
      <c r="D35" s="11" t="s">
        <v>387</v>
      </c>
      <c r="E35" s="11" t="s">
        <v>31</v>
      </c>
      <c r="F35" s="11" t="s">
        <v>32</v>
      </c>
      <c r="G35" s="12">
        <v>2900</v>
      </c>
      <c r="H35" s="12">
        <v>70</v>
      </c>
      <c r="I35" s="12">
        <v>26</v>
      </c>
      <c r="J35" s="12">
        <v>250</v>
      </c>
      <c r="K35" s="11" t="s">
        <v>34</v>
      </c>
      <c r="L35" s="11" t="s">
        <v>33</v>
      </c>
      <c r="M35" s="12">
        <v>107000</v>
      </c>
      <c r="N35" s="12">
        <v>0</v>
      </c>
      <c r="O35" s="12">
        <v>243</v>
      </c>
      <c r="P35" s="12">
        <v>10</v>
      </c>
      <c r="Q35" s="12">
        <v>1</v>
      </c>
      <c r="R35" s="12">
        <v>2078</v>
      </c>
      <c r="S35" s="12">
        <v>1500</v>
      </c>
      <c r="T35" s="11" t="s">
        <v>34</v>
      </c>
      <c r="U35" s="11" t="s">
        <v>34</v>
      </c>
      <c r="V35" s="11" t="s">
        <v>35</v>
      </c>
      <c r="W35" s="11" t="s">
        <v>939</v>
      </c>
      <c r="X35" s="11" t="s">
        <v>1218</v>
      </c>
      <c r="Y35" s="11" t="str">
        <f t="shared" si="0"/>
        <v>Steven Senk</v>
      </c>
      <c r="Z35" s="11" t="s">
        <v>1102</v>
      </c>
      <c r="AA35" s="12" t="s">
        <v>1102</v>
      </c>
      <c r="AB35" s="12" t="s">
        <v>6</v>
      </c>
      <c r="AC35" s="12" t="s">
        <v>389</v>
      </c>
    </row>
    <row r="36" spans="2:29" s="13" customFormat="1" x14ac:dyDescent="0.2">
      <c r="B36" s="13" t="s">
        <v>366</v>
      </c>
      <c r="C36" s="13" t="s">
        <v>367</v>
      </c>
      <c r="D36" s="13" t="s">
        <v>368</v>
      </c>
      <c r="E36" s="13" t="s">
        <v>31</v>
      </c>
      <c r="F36" s="13" t="s">
        <v>32</v>
      </c>
      <c r="G36" s="14">
        <v>2700</v>
      </c>
      <c r="H36" s="14">
        <v>185</v>
      </c>
      <c r="I36" s="14">
        <v>24</v>
      </c>
      <c r="J36" s="14">
        <v>0</v>
      </c>
      <c r="K36" s="13" t="s">
        <v>34</v>
      </c>
      <c r="L36" s="13" t="s">
        <v>33</v>
      </c>
      <c r="M36" s="14">
        <v>210000</v>
      </c>
      <c r="N36" s="14">
        <v>0</v>
      </c>
      <c r="O36" s="14">
        <v>600</v>
      </c>
      <c r="P36" s="14">
        <v>14</v>
      </c>
      <c r="Q36" s="14">
        <v>1</v>
      </c>
      <c r="R36" s="14">
        <v>3000</v>
      </c>
      <c r="S36" s="14">
        <v>5000</v>
      </c>
      <c r="T36" s="13" t="s">
        <v>33</v>
      </c>
      <c r="U36" s="13" t="s">
        <v>33</v>
      </c>
      <c r="V36" s="13" t="s">
        <v>35</v>
      </c>
      <c r="W36" s="13" t="s">
        <v>512</v>
      </c>
      <c r="X36" s="13" t="s">
        <v>1224</v>
      </c>
      <c r="Y36" s="13" t="str">
        <f t="shared" si="0"/>
        <v>Carl Landau</v>
      </c>
      <c r="Z36" s="13" t="s">
        <v>889</v>
      </c>
      <c r="AA36" s="14" t="s">
        <v>889</v>
      </c>
      <c r="AB36" s="14" t="s">
        <v>6</v>
      </c>
      <c r="AC36" s="14" t="s">
        <v>369</v>
      </c>
    </row>
    <row r="37" spans="2:29" s="9" customFormat="1" x14ac:dyDescent="0.2">
      <c r="B37" s="9" t="s">
        <v>1018</v>
      </c>
      <c r="C37" s="9" t="s">
        <v>81</v>
      </c>
      <c r="D37" s="9" t="s">
        <v>51</v>
      </c>
      <c r="E37" s="9" t="s">
        <v>31</v>
      </c>
      <c r="F37" s="9" t="s">
        <v>32</v>
      </c>
      <c r="G37" s="10">
        <v>2500</v>
      </c>
      <c r="H37" s="10">
        <v>255</v>
      </c>
      <c r="I37" s="10">
        <v>50</v>
      </c>
      <c r="J37" s="10">
        <v>0</v>
      </c>
      <c r="K37" s="9" t="s">
        <v>34</v>
      </c>
      <c r="L37" s="9" t="s">
        <v>34</v>
      </c>
      <c r="M37" s="10">
        <v>132254</v>
      </c>
      <c r="N37" s="10">
        <v>2250000</v>
      </c>
      <c r="O37" s="10">
        <v>4027</v>
      </c>
      <c r="P37" s="10">
        <v>25</v>
      </c>
      <c r="Q37" s="10">
        <v>12</v>
      </c>
      <c r="R37" s="10">
        <v>4446</v>
      </c>
      <c r="S37" s="10">
        <v>6000</v>
      </c>
      <c r="T37" s="9" t="s">
        <v>33</v>
      </c>
      <c r="U37" s="9" t="s">
        <v>33</v>
      </c>
      <c r="V37" s="9" t="s">
        <v>35</v>
      </c>
      <c r="W37" s="9" t="s">
        <v>1109</v>
      </c>
      <c r="X37" s="9" t="s">
        <v>1108</v>
      </c>
      <c r="Y37" s="9" t="str">
        <f t="shared" si="0"/>
        <v>Richard Luthy</v>
      </c>
      <c r="Z37" s="9" t="s">
        <v>1089</v>
      </c>
      <c r="AA37" s="10" t="s">
        <v>1088</v>
      </c>
      <c r="AB37" s="10" t="s">
        <v>6</v>
      </c>
      <c r="AC37" s="10" t="s">
        <v>1019</v>
      </c>
    </row>
    <row r="38" spans="2:29" s="13" customFormat="1" x14ac:dyDescent="0.2">
      <c r="B38" s="13" t="s">
        <v>682</v>
      </c>
      <c r="C38" s="13" t="s">
        <v>557</v>
      </c>
      <c r="D38" s="13" t="s">
        <v>387</v>
      </c>
      <c r="E38" s="13" t="s">
        <v>31</v>
      </c>
      <c r="F38" s="13" t="s">
        <v>32</v>
      </c>
      <c r="G38" s="14">
        <v>2500</v>
      </c>
      <c r="H38" s="14">
        <v>160</v>
      </c>
      <c r="I38" s="14">
        <v>14</v>
      </c>
      <c r="J38" s="14">
        <v>0</v>
      </c>
      <c r="K38" s="13" t="s">
        <v>34</v>
      </c>
      <c r="L38" s="13" t="s">
        <v>33</v>
      </c>
      <c r="M38" s="14">
        <v>100000</v>
      </c>
      <c r="N38" s="14">
        <v>30000</v>
      </c>
      <c r="O38" s="14">
        <v>400</v>
      </c>
      <c r="P38" s="14">
        <v>6</v>
      </c>
      <c r="Q38" s="14">
        <v>4</v>
      </c>
      <c r="R38" s="14">
        <v>5000</v>
      </c>
      <c r="S38" s="14">
        <v>4780</v>
      </c>
      <c r="T38" s="13" t="s">
        <v>33</v>
      </c>
      <c r="U38" s="13" t="s">
        <v>33</v>
      </c>
      <c r="V38" s="13" t="s">
        <v>35</v>
      </c>
      <c r="W38" s="13" t="s">
        <v>550</v>
      </c>
      <c r="X38" s="13" t="s">
        <v>1424</v>
      </c>
      <c r="Y38" s="13" t="str">
        <f t="shared" si="0"/>
        <v>Ben Badders</v>
      </c>
      <c r="Z38" s="13" t="s">
        <v>109</v>
      </c>
      <c r="AA38" s="14" t="s">
        <v>109</v>
      </c>
      <c r="AB38" s="14" t="s">
        <v>93</v>
      </c>
      <c r="AC38" s="14" t="s">
        <v>130</v>
      </c>
    </row>
    <row r="39" spans="2:29" s="13" customFormat="1" x14ac:dyDescent="0.2">
      <c r="B39" s="13" t="s">
        <v>682</v>
      </c>
      <c r="C39" s="13" t="s">
        <v>557</v>
      </c>
      <c r="D39" s="13" t="s">
        <v>387</v>
      </c>
      <c r="E39" s="13" t="s">
        <v>31</v>
      </c>
      <c r="F39" s="13" t="s">
        <v>32</v>
      </c>
      <c r="G39" s="14">
        <v>2500</v>
      </c>
      <c r="H39" s="14">
        <v>160</v>
      </c>
      <c r="I39" s="14">
        <v>14</v>
      </c>
      <c r="J39" s="14">
        <v>0</v>
      </c>
      <c r="K39" s="13" t="s">
        <v>34</v>
      </c>
      <c r="L39" s="13" t="s">
        <v>33</v>
      </c>
      <c r="M39" s="14">
        <v>100000</v>
      </c>
      <c r="N39" s="14">
        <v>30000</v>
      </c>
      <c r="O39" s="14">
        <v>400</v>
      </c>
      <c r="P39" s="14">
        <v>6</v>
      </c>
      <c r="Q39" s="14">
        <v>4</v>
      </c>
      <c r="R39" s="14">
        <v>5000</v>
      </c>
      <c r="S39" s="14">
        <v>4780</v>
      </c>
      <c r="T39" s="13" t="s">
        <v>33</v>
      </c>
      <c r="U39" s="13" t="s">
        <v>33</v>
      </c>
      <c r="V39" s="13" t="s">
        <v>35</v>
      </c>
      <c r="W39" s="13" t="s">
        <v>326</v>
      </c>
      <c r="X39" s="13" t="s">
        <v>1362</v>
      </c>
      <c r="Y39" s="13" t="str">
        <f t="shared" si="0"/>
        <v>Mark Light</v>
      </c>
      <c r="Z39" s="13" t="s">
        <v>91</v>
      </c>
      <c r="AA39" s="14" t="s">
        <v>92</v>
      </c>
      <c r="AB39" s="14" t="s">
        <v>1359</v>
      </c>
      <c r="AC39" s="14" t="s">
        <v>130</v>
      </c>
    </row>
    <row r="40" spans="2:29" s="9" customFormat="1" x14ac:dyDescent="0.2">
      <c r="B40" s="9" t="s">
        <v>912</v>
      </c>
      <c r="C40" s="9" t="s">
        <v>218</v>
      </c>
      <c r="D40" s="9" t="s">
        <v>47</v>
      </c>
      <c r="E40" s="9" t="s">
        <v>31</v>
      </c>
      <c r="F40" s="9" t="s">
        <v>32</v>
      </c>
      <c r="G40" s="10">
        <v>2500</v>
      </c>
      <c r="H40" s="10">
        <v>60</v>
      </c>
      <c r="I40" s="10">
        <v>0</v>
      </c>
      <c r="J40" s="10">
        <v>0</v>
      </c>
      <c r="K40" s="9" t="s">
        <v>34</v>
      </c>
      <c r="L40" s="9" t="s">
        <v>33</v>
      </c>
      <c r="M40" s="10">
        <v>147000</v>
      </c>
      <c r="N40" s="10">
        <v>30000</v>
      </c>
      <c r="O40" s="10">
        <v>604</v>
      </c>
      <c r="P40" s="10">
        <v>9</v>
      </c>
      <c r="Q40" s="10">
        <v>2</v>
      </c>
      <c r="R40" s="10">
        <v>3150</v>
      </c>
      <c r="S40" s="10">
        <v>3000</v>
      </c>
      <c r="T40" s="9" t="s">
        <v>34</v>
      </c>
      <c r="U40" s="9" t="s">
        <v>34</v>
      </c>
      <c r="V40" s="9" t="s">
        <v>35</v>
      </c>
      <c r="W40" s="9" t="s">
        <v>570</v>
      </c>
      <c r="X40" s="9" t="s">
        <v>1128</v>
      </c>
      <c r="Y40" s="9" t="str">
        <f t="shared" si="0"/>
        <v>Kevin Kuczka</v>
      </c>
      <c r="Z40" s="9" t="s">
        <v>889</v>
      </c>
      <c r="AA40" s="10" t="s">
        <v>889</v>
      </c>
      <c r="AB40" s="10" t="s">
        <v>6</v>
      </c>
      <c r="AC40" s="10" t="s">
        <v>909</v>
      </c>
    </row>
    <row r="41" spans="2:29" s="11" customFormat="1" x14ac:dyDescent="0.2">
      <c r="B41" s="11" t="s">
        <v>903</v>
      </c>
      <c r="C41" s="11" t="s">
        <v>904</v>
      </c>
      <c r="D41" s="11" t="s">
        <v>185</v>
      </c>
      <c r="E41" s="11" t="s">
        <v>31</v>
      </c>
      <c r="F41" s="11" t="s">
        <v>32</v>
      </c>
      <c r="G41" s="12">
        <v>2500</v>
      </c>
      <c r="H41" s="12">
        <v>193</v>
      </c>
      <c r="I41" s="12">
        <v>45</v>
      </c>
      <c r="J41" s="12">
        <v>0</v>
      </c>
      <c r="K41" s="11" t="s">
        <v>34</v>
      </c>
      <c r="L41" s="11" t="s">
        <v>33</v>
      </c>
      <c r="M41" s="12">
        <v>140000</v>
      </c>
      <c r="N41" s="12">
        <v>40000</v>
      </c>
      <c r="O41" s="12">
        <v>1275</v>
      </c>
      <c r="P41" s="12">
        <v>16</v>
      </c>
      <c r="Q41" s="12">
        <v>1</v>
      </c>
      <c r="R41" s="12">
        <v>10000</v>
      </c>
      <c r="S41" s="12">
        <v>2900</v>
      </c>
      <c r="T41" s="11" t="s">
        <v>34</v>
      </c>
      <c r="U41" s="11" t="s">
        <v>34</v>
      </c>
      <c r="V41" s="11" t="s">
        <v>35</v>
      </c>
      <c r="W41" s="11" t="s">
        <v>1123</v>
      </c>
      <c r="X41" s="11" t="s">
        <v>1394</v>
      </c>
      <c r="Y41" s="11" t="str">
        <f t="shared" si="0"/>
        <v>Steve Opdyke</v>
      </c>
      <c r="Z41" s="11" t="s">
        <v>801</v>
      </c>
      <c r="AA41" s="12" t="s">
        <v>801</v>
      </c>
      <c r="AB41" s="12" t="s">
        <v>93</v>
      </c>
      <c r="AC41" s="12" t="s">
        <v>482</v>
      </c>
    </row>
    <row r="42" spans="2:29" s="16" customFormat="1" x14ac:dyDescent="0.2">
      <c r="B42" s="16" t="s">
        <v>903</v>
      </c>
      <c r="C42" s="16" t="s">
        <v>904</v>
      </c>
      <c r="D42" s="16" t="s">
        <v>185</v>
      </c>
      <c r="E42" s="16" t="s">
        <v>31</v>
      </c>
      <c r="F42" s="16" t="s">
        <v>32</v>
      </c>
      <c r="G42" s="17">
        <v>2500</v>
      </c>
      <c r="H42" s="17">
        <v>193</v>
      </c>
      <c r="I42" s="17">
        <v>45</v>
      </c>
      <c r="J42" s="17">
        <v>0</v>
      </c>
      <c r="K42" s="16" t="s">
        <v>34</v>
      </c>
      <c r="L42" s="16" t="s">
        <v>33</v>
      </c>
      <c r="M42" s="17">
        <v>140000</v>
      </c>
      <c r="N42" s="17">
        <v>40000</v>
      </c>
      <c r="O42" s="17">
        <v>1275</v>
      </c>
      <c r="P42" s="17">
        <v>16</v>
      </c>
      <c r="Q42" s="17">
        <v>1</v>
      </c>
      <c r="R42" s="17">
        <v>10000</v>
      </c>
      <c r="S42" s="17">
        <v>2900</v>
      </c>
      <c r="T42" s="16" t="s">
        <v>34</v>
      </c>
      <c r="U42" s="16" t="s">
        <v>34</v>
      </c>
      <c r="V42" s="16" t="s">
        <v>35</v>
      </c>
      <c r="W42" s="16" t="s">
        <v>622</v>
      </c>
      <c r="X42" s="16" t="s">
        <v>1131</v>
      </c>
      <c r="Y42" s="16" t="str">
        <f t="shared" si="0"/>
        <v>Keith Burza</v>
      </c>
      <c r="Z42" s="16" t="s">
        <v>1089</v>
      </c>
      <c r="AA42" s="17" t="s">
        <v>1088</v>
      </c>
      <c r="AB42" s="17" t="s">
        <v>6</v>
      </c>
      <c r="AC42" s="17" t="s">
        <v>482</v>
      </c>
    </row>
    <row r="43" spans="2:29" s="9" customFormat="1" x14ac:dyDescent="0.2">
      <c r="B43" s="9" t="s">
        <v>470</v>
      </c>
      <c r="C43" s="9" t="s">
        <v>471</v>
      </c>
      <c r="D43" s="9" t="s">
        <v>387</v>
      </c>
      <c r="E43" s="9" t="s">
        <v>31</v>
      </c>
      <c r="F43" s="9" t="s">
        <v>32</v>
      </c>
      <c r="G43" s="10">
        <v>2500</v>
      </c>
      <c r="H43" s="10">
        <v>50</v>
      </c>
      <c r="I43" s="10">
        <v>8</v>
      </c>
      <c r="J43" s="10">
        <v>0</v>
      </c>
      <c r="K43" s="9" t="s">
        <v>34</v>
      </c>
      <c r="L43" s="9" t="s">
        <v>33</v>
      </c>
      <c r="M43" s="10">
        <v>106000</v>
      </c>
      <c r="N43" s="10">
        <v>0</v>
      </c>
      <c r="O43" s="10">
        <v>252</v>
      </c>
      <c r="P43" s="10">
        <v>4</v>
      </c>
      <c r="Q43" s="10">
        <v>1</v>
      </c>
      <c r="R43" s="10">
        <v>0</v>
      </c>
      <c r="S43" s="10">
        <v>1000</v>
      </c>
      <c r="T43" s="9" t="s">
        <v>34</v>
      </c>
      <c r="U43" s="9" t="s">
        <v>34</v>
      </c>
      <c r="V43" s="9" t="s">
        <v>35</v>
      </c>
      <c r="W43" s="9" t="s">
        <v>1136</v>
      </c>
      <c r="X43" s="9" t="s">
        <v>1204</v>
      </c>
      <c r="Y43" s="9" t="str">
        <f t="shared" si="0"/>
        <v>Louis Van Belkum</v>
      </c>
      <c r="Z43" s="9" t="s">
        <v>889</v>
      </c>
      <c r="AA43" s="10" t="s">
        <v>889</v>
      </c>
      <c r="AB43" s="10" t="s">
        <v>6</v>
      </c>
      <c r="AC43" s="10" t="s">
        <v>473</v>
      </c>
    </row>
    <row r="44" spans="2:29" s="9" customFormat="1" x14ac:dyDescent="0.2">
      <c r="B44" s="9" t="s">
        <v>1065</v>
      </c>
      <c r="C44" s="9" t="s">
        <v>1066</v>
      </c>
      <c r="D44" s="9" t="s">
        <v>1057</v>
      </c>
      <c r="E44" s="9" t="s">
        <v>31</v>
      </c>
      <c r="F44" s="9" t="s">
        <v>32</v>
      </c>
      <c r="G44" s="10">
        <v>2500</v>
      </c>
      <c r="H44" s="10">
        <v>0</v>
      </c>
      <c r="I44" s="10">
        <v>0</v>
      </c>
      <c r="J44" s="10">
        <v>0</v>
      </c>
      <c r="K44" s="9" t="s">
        <v>33</v>
      </c>
      <c r="L44" s="9" t="s">
        <v>33</v>
      </c>
      <c r="M44" s="10">
        <v>85000</v>
      </c>
      <c r="N44" s="10">
        <v>0</v>
      </c>
      <c r="O44" s="10">
        <v>283</v>
      </c>
      <c r="P44" s="10">
        <v>5</v>
      </c>
      <c r="Q44" s="10">
        <v>1</v>
      </c>
      <c r="R44" s="10">
        <v>500</v>
      </c>
      <c r="S44" s="10">
        <v>150</v>
      </c>
      <c r="T44" s="9" t="s">
        <v>34</v>
      </c>
      <c r="U44" s="9" t="s">
        <v>34</v>
      </c>
      <c r="V44" s="9" t="s">
        <v>35</v>
      </c>
      <c r="W44" s="9" t="s">
        <v>1186</v>
      </c>
      <c r="X44" s="9" t="s">
        <v>1307</v>
      </c>
      <c r="Y44" s="9" t="str">
        <f t="shared" si="0"/>
        <v>Wade Howard</v>
      </c>
      <c r="Z44" s="9" t="s">
        <v>1306</v>
      </c>
      <c r="AA44" s="10" t="s">
        <v>1306</v>
      </c>
      <c r="AB44" s="10" t="s">
        <v>181</v>
      </c>
      <c r="AC44" s="10" t="s">
        <v>672</v>
      </c>
    </row>
    <row r="45" spans="2:29" s="9" customFormat="1" x14ac:dyDescent="0.2">
      <c r="B45" s="9" t="s">
        <v>983</v>
      </c>
      <c r="C45" s="9" t="s">
        <v>984</v>
      </c>
      <c r="D45" s="9" t="s">
        <v>39</v>
      </c>
      <c r="E45" s="9" t="s">
        <v>31</v>
      </c>
      <c r="F45" s="9" t="s">
        <v>32</v>
      </c>
      <c r="G45" s="10">
        <v>2400</v>
      </c>
      <c r="H45" s="10">
        <v>56</v>
      </c>
      <c r="I45" s="10">
        <v>17</v>
      </c>
      <c r="J45" s="10">
        <v>1246</v>
      </c>
      <c r="K45" s="9" t="s">
        <v>33</v>
      </c>
      <c r="L45" s="9" t="s">
        <v>33</v>
      </c>
      <c r="M45" s="10">
        <v>150000</v>
      </c>
      <c r="N45" s="10">
        <v>9088</v>
      </c>
      <c r="O45" s="10">
        <v>300</v>
      </c>
      <c r="P45" s="10">
        <v>11</v>
      </c>
      <c r="Q45" s="10">
        <v>1</v>
      </c>
      <c r="R45" s="10">
        <v>3500</v>
      </c>
      <c r="S45" s="10">
        <v>2700</v>
      </c>
      <c r="T45" s="9" t="s">
        <v>34</v>
      </c>
      <c r="U45" s="9" t="s">
        <v>34</v>
      </c>
      <c r="V45" s="9" t="s">
        <v>35</v>
      </c>
      <c r="W45" s="9" t="s">
        <v>828</v>
      </c>
      <c r="X45" s="9" t="s">
        <v>1113</v>
      </c>
      <c r="Y45" s="9" t="str">
        <f t="shared" si="0"/>
        <v>Mary Meier</v>
      </c>
      <c r="Z45" s="9" t="s">
        <v>1112</v>
      </c>
      <c r="AA45" s="10" t="s">
        <v>1112</v>
      </c>
      <c r="AB45" s="10" t="s">
        <v>6</v>
      </c>
      <c r="AC45" s="10" t="s">
        <v>985</v>
      </c>
    </row>
    <row r="46" spans="2:29" s="11" customFormat="1" x14ac:dyDescent="0.2">
      <c r="B46" s="11" t="s">
        <v>490</v>
      </c>
      <c r="C46" s="11" t="s">
        <v>491</v>
      </c>
      <c r="D46" s="11" t="s">
        <v>30</v>
      </c>
      <c r="E46" s="11" t="s">
        <v>31</v>
      </c>
      <c r="F46" s="11" t="s">
        <v>32</v>
      </c>
      <c r="G46" s="12">
        <v>2400</v>
      </c>
      <c r="H46" s="12">
        <v>40</v>
      </c>
      <c r="I46" s="12">
        <v>14</v>
      </c>
      <c r="J46" s="12">
        <v>0</v>
      </c>
      <c r="K46" s="11" t="s">
        <v>33</v>
      </c>
      <c r="L46" s="11" t="s">
        <v>33</v>
      </c>
      <c r="M46" s="12">
        <v>125000</v>
      </c>
      <c r="N46" s="12">
        <v>42000</v>
      </c>
      <c r="O46" s="12">
        <v>454</v>
      </c>
      <c r="P46" s="12">
        <v>12</v>
      </c>
      <c r="Q46" s="12">
        <v>3</v>
      </c>
      <c r="R46" s="12">
        <v>2415</v>
      </c>
      <c r="S46" s="12">
        <v>1545</v>
      </c>
      <c r="T46" s="11" t="s">
        <v>34</v>
      </c>
      <c r="U46" s="11" t="s">
        <v>34</v>
      </c>
      <c r="V46" s="11" t="s">
        <v>35</v>
      </c>
      <c r="W46" s="11" t="s">
        <v>1314</v>
      </c>
      <c r="X46" s="11" t="s">
        <v>1313</v>
      </c>
      <c r="Y46" s="11" t="str">
        <f t="shared" si="0"/>
        <v>Willie Whitekiller</v>
      </c>
      <c r="Z46" s="11" t="s">
        <v>1278</v>
      </c>
      <c r="AA46" s="12" t="s">
        <v>1278</v>
      </c>
      <c r="AB46" s="12" t="s">
        <v>181</v>
      </c>
      <c r="AC46" s="12" t="s">
        <v>243</v>
      </c>
    </row>
    <row r="47" spans="2:29" s="13" customFormat="1" x14ac:dyDescent="0.2">
      <c r="B47" s="13" t="s">
        <v>718</v>
      </c>
      <c r="C47" s="13" t="s">
        <v>557</v>
      </c>
      <c r="D47" s="13" t="s">
        <v>387</v>
      </c>
      <c r="E47" s="13" t="s">
        <v>31</v>
      </c>
      <c r="F47" s="13" t="s">
        <v>32</v>
      </c>
      <c r="G47" s="14">
        <v>2400</v>
      </c>
      <c r="H47" s="14">
        <v>59</v>
      </c>
      <c r="I47" s="14">
        <v>0</v>
      </c>
      <c r="J47" s="14">
        <v>0</v>
      </c>
      <c r="K47" s="13" t="s">
        <v>34</v>
      </c>
      <c r="L47" s="13" t="s">
        <v>33</v>
      </c>
      <c r="M47" s="14">
        <v>75000</v>
      </c>
      <c r="N47" s="14">
        <v>0</v>
      </c>
      <c r="O47" s="14">
        <v>400</v>
      </c>
      <c r="P47" s="14">
        <v>5</v>
      </c>
      <c r="Q47" s="14">
        <v>2</v>
      </c>
      <c r="R47" s="14">
        <v>3500</v>
      </c>
      <c r="S47" s="14">
        <v>0</v>
      </c>
      <c r="T47" s="13" t="s">
        <v>33</v>
      </c>
      <c r="U47" s="13" t="s">
        <v>33</v>
      </c>
      <c r="V47" s="13" t="s">
        <v>35</v>
      </c>
      <c r="W47" s="13" t="s">
        <v>565</v>
      </c>
      <c r="X47" s="13" t="s">
        <v>618</v>
      </c>
      <c r="Y47" s="13" t="str">
        <f t="shared" si="0"/>
        <v>Stacey Young</v>
      </c>
      <c r="Z47" s="13" t="s">
        <v>624</v>
      </c>
      <c r="AA47" s="14" t="s">
        <v>625</v>
      </c>
      <c r="AB47" s="14" t="s">
        <v>93</v>
      </c>
      <c r="AC47" s="14" t="s">
        <v>720</v>
      </c>
    </row>
    <row r="48" spans="2:29" s="16" customFormat="1" x14ac:dyDescent="0.2">
      <c r="B48" s="16" t="s">
        <v>592</v>
      </c>
      <c r="C48" s="16" t="s">
        <v>593</v>
      </c>
      <c r="D48" s="16" t="s">
        <v>129</v>
      </c>
      <c r="E48" s="16" t="s">
        <v>31</v>
      </c>
      <c r="F48" s="16" t="s">
        <v>32</v>
      </c>
      <c r="G48" s="17">
        <v>2381</v>
      </c>
      <c r="H48" s="17">
        <v>49</v>
      </c>
      <c r="I48" s="17">
        <v>0</v>
      </c>
      <c r="J48" s="17">
        <v>0</v>
      </c>
      <c r="K48" s="16" t="s">
        <v>34</v>
      </c>
      <c r="L48" s="16" t="s">
        <v>33</v>
      </c>
      <c r="M48" s="17">
        <v>117500</v>
      </c>
      <c r="N48" s="17">
        <v>0</v>
      </c>
      <c r="O48" s="17">
        <v>974</v>
      </c>
      <c r="P48" s="17">
        <v>6</v>
      </c>
      <c r="Q48" s="17">
        <v>2</v>
      </c>
      <c r="R48" s="17">
        <v>4150</v>
      </c>
      <c r="S48" s="17">
        <v>1438</v>
      </c>
      <c r="T48" s="16" t="s">
        <v>33</v>
      </c>
      <c r="U48" s="16" t="s">
        <v>33</v>
      </c>
      <c r="V48" s="16" t="s">
        <v>35</v>
      </c>
      <c r="W48" s="16" t="s">
        <v>1123</v>
      </c>
      <c r="X48" s="16" t="s">
        <v>1439</v>
      </c>
      <c r="Y48" s="16" t="str">
        <f t="shared" si="0"/>
        <v>Steve Hendricks</v>
      </c>
      <c r="Z48" s="16" t="s">
        <v>801</v>
      </c>
      <c r="AA48" s="17" t="s">
        <v>801</v>
      </c>
      <c r="AB48" s="17" t="s">
        <v>93</v>
      </c>
      <c r="AC48" s="17" t="s">
        <v>594</v>
      </c>
    </row>
    <row r="49" spans="2:29" s="13" customFormat="1" x14ac:dyDescent="0.2">
      <c r="B49" s="13" t="s">
        <v>592</v>
      </c>
      <c r="C49" s="13" t="s">
        <v>593</v>
      </c>
      <c r="D49" s="13" t="s">
        <v>129</v>
      </c>
      <c r="E49" s="13" t="s">
        <v>31</v>
      </c>
      <c r="F49" s="13" t="s">
        <v>32</v>
      </c>
      <c r="G49" s="14">
        <v>2381</v>
      </c>
      <c r="H49" s="14">
        <v>49</v>
      </c>
      <c r="I49" s="14">
        <v>0</v>
      </c>
      <c r="J49" s="14">
        <v>0</v>
      </c>
      <c r="K49" s="13" t="s">
        <v>34</v>
      </c>
      <c r="L49" s="13" t="s">
        <v>33</v>
      </c>
      <c r="M49" s="14">
        <v>117500</v>
      </c>
      <c r="N49" s="14">
        <v>0</v>
      </c>
      <c r="O49" s="14">
        <v>974</v>
      </c>
      <c r="P49" s="14">
        <v>6</v>
      </c>
      <c r="Q49" s="14">
        <v>2</v>
      </c>
      <c r="R49" s="14">
        <v>4150</v>
      </c>
      <c r="S49" s="14">
        <v>1438</v>
      </c>
      <c r="T49" s="13" t="s">
        <v>33</v>
      </c>
      <c r="U49" s="13" t="s">
        <v>33</v>
      </c>
      <c r="V49" s="13" t="s">
        <v>35</v>
      </c>
      <c r="W49" s="13" t="s">
        <v>748</v>
      </c>
      <c r="X49" s="13" t="s">
        <v>1178</v>
      </c>
      <c r="Y49" s="13" t="str">
        <f t="shared" si="0"/>
        <v>Chad Dugger</v>
      </c>
      <c r="Z49" s="13" t="s">
        <v>1094</v>
      </c>
      <c r="AA49" s="14" t="s">
        <v>1094</v>
      </c>
      <c r="AB49" s="14" t="s">
        <v>6</v>
      </c>
      <c r="AC49" s="14" t="s">
        <v>594</v>
      </c>
    </row>
    <row r="50" spans="2:29" s="9" customFormat="1" x14ac:dyDescent="0.2">
      <c r="B50" s="9" t="s">
        <v>1046</v>
      </c>
      <c r="C50" s="9" t="s">
        <v>1047</v>
      </c>
      <c r="D50" s="9" t="s">
        <v>39</v>
      </c>
      <c r="E50" s="9" t="s">
        <v>31</v>
      </c>
      <c r="F50" s="9" t="s">
        <v>32</v>
      </c>
      <c r="G50" s="10">
        <v>2374</v>
      </c>
      <c r="H50" s="10">
        <v>50</v>
      </c>
      <c r="I50" s="10">
        <v>0</v>
      </c>
      <c r="J50" s="10">
        <v>368</v>
      </c>
      <c r="K50" s="9" t="s">
        <v>33</v>
      </c>
      <c r="L50" s="9" t="s">
        <v>34</v>
      </c>
      <c r="M50" s="10">
        <v>125000</v>
      </c>
      <c r="N50" s="10">
        <v>9000</v>
      </c>
      <c r="O50" s="10">
        <v>396</v>
      </c>
      <c r="P50" s="10">
        <v>12</v>
      </c>
      <c r="Q50" s="10">
        <v>1</v>
      </c>
      <c r="R50" s="10">
        <v>3600</v>
      </c>
      <c r="S50" s="10">
        <v>2000</v>
      </c>
      <c r="T50" s="9" t="s">
        <v>34</v>
      </c>
      <c r="U50" s="9" t="s">
        <v>34</v>
      </c>
      <c r="V50" s="9" t="s">
        <v>35</v>
      </c>
      <c r="W50" s="9" t="s">
        <v>339</v>
      </c>
      <c r="X50" s="9" t="s">
        <v>1103</v>
      </c>
      <c r="Y50" s="9" t="str">
        <f t="shared" si="0"/>
        <v>Dennis Woods</v>
      </c>
      <c r="Z50" s="9" t="s">
        <v>1102</v>
      </c>
      <c r="AA50" s="10" t="s">
        <v>1102</v>
      </c>
      <c r="AB50" s="10" t="s">
        <v>6</v>
      </c>
      <c r="AC50" s="10" t="s">
        <v>1048</v>
      </c>
    </row>
    <row r="51" spans="2:29" s="9" customFormat="1" x14ac:dyDescent="0.2">
      <c r="B51" s="9" t="s">
        <v>1046</v>
      </c>
      <c r="C51" s="9" t="s">
        <v>1047</v>
      </c>
      <c r="D51" s="9" t="s">
        <v>39</v>
      </c>
      <c r="E51" s="9" t="s">
        <v>31</v>
      </c>
      <c r="F51" s="9" t="s">
        <v>32</v>
      </c>
      <c r="G51" s="10">
        <v>2374</v>
      </c>
      <c r="H51" s="10">
        <v>50</v>
      </c>
      <c r="I51" s="10">
        <v>0</v>
      </c>
      <c r="J51" s="10">
        <v>368</v>
      </c>
      <c r="K51" s="9" t="s">
        <v>33</v>
      </c>
      <c r="L51" s="9" t="s">
        <v>34</v>
      </c>
      <c r="M51" s="10">
        <v>125000</v>
      </c>
      <c r="N51" s="10">
        <v>9000</v>
      </c>
      <c r="O51" s="10">
        <v>396</v>
      </c>
      <c r="P51" s="10">
        <v>12</v>
      </c>
      <c r="Q51" s="10">
        <v>1</v>
      </c>
      <c r="R51" s="10">
        <v>3600</v>
      </c>
      <c r="S51" s="10">
        <v>2000</v>
      </c>
      <c r="T51" s="9" t="s">
        <v>34</v>
      </c>
      <c r="U51" s="9" t="s">
        <v>34</v>
      </c>
      <c r="V51" s="9" t="s">
        <v>35</v>
      </c>
      <c r="W51" s="9" t="s">
        <v>824</v>
      </c>
      <c r="X51" s="9" t="s">
        <v>1101</v>
      </c>
      <c r="Y51" s="9" t="str">
        <f t="shared" si="0"/>
        <v>Joe Whitman</v>
      </c>
      <c r="Z51" s="9" t="s">
        <v>889</v>
      </c>
      <c r="AA51" s="10" t="s">
        <v>889</v>
      </c>
      <c r="AB51" s="10" t="s">
        <v>6</v>
      </c>
      <c r="AC51" s="10" t="s">
        <v>1048</v>
      </c>
    </row>
    <row r="52" spans="2:29" s="9" customFormat="1" x14ac:dyDescent="0.2">
      <c r="B52" s="9" t="s">
        <v>1033</v>
      </c>
      <c r="C52" s="9" t="s">
        <v>817</v>
      </c>
      <c r="D52" s="9" t="s">
        <v>70</v>
      </c>
      <c r="E52" s="9" t="s">
        <v>31</v>
      </c>
      <c r="F52" s="9" t="s">
        <v>32</v>
      </c>
      <c r="G52" s="10">
        <v>2373</v>
      </c>
      <c r="H52" s="10">
        <v>37</v>
      </c>
      <c r="I52" s="10">
        <v>0</v>
      </c>
      <c r="J52" s="10">
        <v>870</v>
      </c>
      <c r="K52" s="9" t="s">
        <v>34</v>
      </c>
      <c r="L52" s="9" t="s">
        <v>33</v>
      </c>
      <c r="M52" s="10">
        <v>270250</v>
      </c>
      <c r="N52" s="10">
        <v>23224</v>
      </c>
      <c r="O52" s="10">
        <v>370</v>
      </c>
      <c r="P52" s="10">
        <v>9</v>
      </c>
      <c r="Q52" s="10">
        <v>2</v>
      </c>
      <c r="R52" s="10">
        <v>4365</v>
      </c>
      <c r="S52" s="10">
        <v>2500</v>
      </c>
      <c r="T52" s="9" t="s">
        <v>34</v>
      </c>
      <c r="U52" s="9" t="s">
        <v>34</v>
      </c>
      <c r="V52" s="9" t="s">
        <v>35</v>
      </c>
      <c r="W52" s="9" t="s">
        <v>266</v>
      </c>
      <c r="X52" s="9" t="s">
        <v>818</v>
      </c>
      <c r="Y52" s="9" t="str">
        <f t="shared" si="0"/>
        <v>Don Hegnes</v>
      </c>
      <c r="Z52" s="9" t="s">
        <v>1098</v>
      </c>
      <c r="AA52" s="10" t="s">
        <v>1098</v>
      </c>
      <c r="AB52" s="10" t="s">
        <v>6</v>
      </c>
      <c r="AC52" s="10" t="s">
        <v>819</v>
      </c>
    </row>
    <row r="53" spans="2:29" s="13" customFormat="1" x14ac:dyDescent="0.2">
      <c r="B53" s="13" t="s">
        <v>486</v>
      </c>
      <c r="C53" s="13" t="s">
        <v>87</v>
      </c>
      <c r="D53" s="13" t="s">
        <v>88</v>
      </c>
      <c r="E53" s="13" t="s">
        <v>31</v>
      </c>
      <c r="F53" s="13" t="s">
        <v>32</v>
      </c>
      <c r="G53" s="14">
        <v>2336</v>
      </c>
      <c r="H53" s="14">
        <v>131</v>
      </c>
      <c r="I53" s="14">
        <v>0</v>
      </c>
      <c r="J53" s="14">
        <v>0</v>
      </c>
      <c r="K53" s="13" t="s">
        <v>33</v>
      </c>
      <c r="L53" s="13" t="s">
        <v>33</v>
      </c>
      <c r="M53" s="14">
        <v>120000</v>
      </c>
      <c r="N53" s="14">
        <v>155000</v>
      </c>
      <c r="O53" s="14">
        <v>1971</v>
      </c>
      <c r="P53" s="14">
        <v>21</v>
      </c>
      <c r="Q53" s="14">
        <v>4</v>
      </c>
      <c r="R53" s="14">
        <v>4000</v>
      </c>
      <c r="S53" s="14">
        <v>3000</v>
      </c>
      <c r="T53" s="13" t="s">
        <v>34</v>
      </c>
      <c r="U53" s="13" t="s">
        <v>33</v>
      </c>
      <c r="V53" s="13" t="s">
        <v>35</v>
      </c>
      <c r="W53" s="13" t="s">
        <v>1202</v>
      </c>
      <c r="X53" s="13" t="s">
        <v>1201</v>
      </c>
      <c r="Y53" s="13" t="str">
        <f t="shared" si="0"/>
        <v>Dave Polizzi</v>
      </c>
      <c r="Z53" s="13" t="s">
        <v>1089</v>
      </c>
      <c r="AA53" s="14" t="s">
        <v>1088</v>
      </c>
      <c r="AB53" s="14" t="s">
        <v>6</v>
      </c>
      <c r="AC53" s="14" t="s">
        <v>482</v>
      </c>
    </row>
    <row r="54" spans="2:29" s="11" customFormat="1" x14ac:dyDescent="0.2">
      <c r="B54" s="11" t="s">
        <v>486</v>
      </c>
      <c r="C54" s="11" t="s">
        <v>87</v>
      </c>
      <c r="D54" s="11" t="s">
        <v>88</v>
      </c>
      <c r="E54" s="11" t="s">
        <v>31</v>
      </c>
      <c r="F54" s="11" t="s">
        <v>32</v>
      </c>
      <c r="G54" s="12">
        <v>2336</v>
      </c>
      <c r="H54" s="12">
        <v>131</v>
      </c>
      <c r="I54" s="12">
        <v>0</v>
      </c>
      <c r="J54" s="12">
        <v>0</v>
      </c>
      <c r="K54" s="11" t="s">
        <v>33</v>
      </c>
      <c r="L54" s="11" t="s">
        <v>33</v>
      </c>
      <c r="M54" s="12">
        <v>120000</v>
      </c>
      <c r="N54" s="12">
        <v>155000</v>
      </c>
      <c r="O54" s="12">
        <v>1971</v>
      </c>
      <c r="P54" s="12">
        <v>21</v>
      </c>
      <c r="Q54" s="12">
        <v>4</v>
      </c>
      <c r="R54" s="12">
        <v>4000</v>
      </c>
      <c r="S54" s="12">
        <v>3000</v>
      </c>
      <c r="T54" s="11" t="s">
        <v>34</v>
      </c>
      <c r="U54" s="11" t="s">
        <v>33</v>
      </c>
      <c r="V54" s="11" t="s">
        <v>35</v>
      </c>
      <c r="W54" s="11" t="s">
        <v>671</v>
      </c>
      <c r="X54" s="11" t="s">
        <v>1200</v>
      </c>
      <c r="Y54" s="11" t="str">
        <f t="shared" si="0"/>
        <v>Barbara Schneck</v>
      </c>
      <c r="Z54" s="11" t="s">
        <v>889</v>
      </c>
      <c r="AA54" s="12" t="s">
        <v>889</v>
      </c>
      <c r="AB54" s="12" t="s">
        <v>6</v>
      </c>
      <c r="AC54" s="12" t="s">
        <v>482</v>
      </c>
    </row>
    <row r="55" spans="2:29" s="11" customFormat="1" x14ac:dyDescent="0.2">
      <c r="B55" s="11" t="s">
        <v>153</v>
      </c>
      <c r="C55" s="11" t="s">
        <v>87</v>
      </c>
      <c r="D55" s="11" t="s">
        <v>88</v>
      </c>
      <c r="E55" s="11" t="s">
        <v>31</v>
      </c>
      <c r="F55" s="11" t="s">
        <v>32</v>
      </c>
      <c r="G55" s="12">
        <v>2334</v>
      </c>
      <c r="H55" s="12">
        <v>118</v>
      </c>
      <c r="I55" s="12">
        <v>70</v>
      </c>
      <c r="J55" s="12">
        <v>0</v>
      </c>
      <c r="K55" s="11" t="s">
        <v>34</v>
      </c>
      <c r="L55" s="11" t="s">
        <v>34</v>
      </c>
      <c r="M55" s="12">
        <v>161000</v>
      </c>
      <c r="N55" s="12">
        <v>106000</v>
      </c>
      <c r="O55" s="12">
        <v>2000</v>
      </c>
      <c r="P55" s="12">
        <v>16</v>
      </c>
      <c r="Q55" s="12">
        <v>4</v>
      </c>
      <c r="R55" s="12">
        <v>7100</v>
      </c>
      <c r="S55" s="12">
        <v>5622</v>
      </c>
      <c r="T55" s="11" t="s">
        <v>33</v>
      </c>
      <c r="U55" s="11" t="s">
        <v>33</v>
      </c>
      <c r="V55" s="11" t="s">
        <v>35</v>
      </c>
      <c r="W55" s="11" t="s">
        <v>222</v>
      </c>
      <c r="X55" s="11" t="s">
        <v>1469</v>
      </c>
      <c r="Y55" s="11" t="str">
        <f t="shared" si="0"/>
        <v>James Bruno</v>
      </c>
      <c r="Z55" s="11" t="s">
        <v>91</v>
      </c>
      <c r="AA55" s="12" t="s">
        <v>92</v>
      </c>
      <c r="AB55" s="12" t="s">
        <v>93</v>
      </c>
      <c r="AC55" s="12" t="s">
        <v>130</v>
      </c>
    </row>
    <row r="56" spans="2:29" s="9" customFormat="1" x14ac:dyDescent="0.2">
      <c r="B56" s="9" t="s">
        <v>153</v>
      </c>
      <c r="C56" s="9" t="s">
        <v>87</v>
      </c>
      <c r="D56" s="9" t="s">
        <v>88</v>
      </c>
      <c r="E56" s="9" t="s">
        <v>31</v>
      </c>
      <c r="F56" s="9" t="s">
        <v>32</v>
      </c>
      <c r="G56" s="10">
        <v>2334</v>
      </c>
      <c r="H56" s="10">
        <v>118</v>
      </c>
      <c r="I56" s="10">
        <v>70</v>
      </c>
      <c r="J56" s="10">
        <v>0</v>
      </c>
      <c r="K56" s="9" t="s">
        <v>34</v>
      </c>
      <c r="L56" s="9" t="s">
        <v>34</v>
      </c>
      <c r="M56" s="10">
        <v>161000</v>
      </c>
      <c r="N56" s="10">
        <v>106000</v>
      </c>
      <c r="O56" s="10">
        <v>2000</v>
      </c>
      <c r="P56" s="10">
        <v>16</v>
      </c>
      <c r="Q56" s="10">
        <v>4</v>
      </c>
      <c r="R56" s="10">
        <v>7100</v>
      </c>
      <c r="S56" s="10">
        <v>5622</v>
      </c>
      <c r="T56" s="9" t="s">
        <v>33</v>
      </c>
      <c r="U56" s="9" t="s">
        <v>33</v>
      </c>
      <c r="V56" s="9" t="s">
        <v>35</v>
      </c>
      <c r="W56" s="9" t="s">
        <v>1468</v>
      </c>
      <c r="X56" s="9" t="s">
        <v>1467</v>
      </c>
      <c r="Y56" s="9" t="str">
        <f t="shared" si="0"/>
        <v>Demi Adebowale</v>
      </c>
      <c r="Z56" s="9" t="s">
        <v>109</v>
      </c>
      <c r="AA56" s="10" t="s">
        <v>109</v>
      </c>
      <c r="AB56" s="10" t="s">
        <v>93</v>
      </c>
      <c r="AC56" s="10" t="s">
        <v>130</v>
      </c>
    </row>
    <row r="57" spans="2:29" s="11" customFormat="1" x14ac:dyDescent="0.2">
      <c r="B57" s="11" t="s">
        <v>154</v>
      </c>
      <c r="C57" s="11" t="s">
        <v>81</v>
      </c>
      <c r="D57" s="11" t="s">
        <v>51</v>
      </c>
      <c r="E57" s="11" t="s">
        <v>31</v>
      </c>
      <c r="F57" s="11" t="s">
        <v>32</v>
      </c>
      <c r="G57" s="12">
        <v>2315</v>
      </c>
      <c r="H57" s="12">
        <v>24</v>
      </c>
      <c r="I57" s="12">
        <v>10</v>
      </c>
      <c r="J57" s="12">
        <v>390</v>
      </c>
      <c r="K57" s="11" t="s">
        <v>34</v>
      </c>
      <c r="L57" s="11" t="s">
        <v>34</v>
      </c>
      <c r="M57" s="12">
        <v>89443</v>
      </c>
      <c r="N57" s="12">
        <v>9700</v>
      </c>
      <c r="O57" s="12">
        <v>299</v>
      </c>
      <c r="P57" s="12">
        <v>15</v>
      </c>
      <c r="Q57" s="12">
        <v>1</v>
      </c>
      <c r="R57" s="12">
        <v>4350</v>
      </c>
      <c r="S57" s="12">
        <v>1200</v>
      </c>
      <c r="T57" s="11" t="s">
        <v>33</v>
      </c>
      <c r="U57" s="11" t="s">
        <v>33</v>
      </c>
      <c r="V57" s="11" t="s">
        <v>35</v>
      </c>
      <c r="W57" s="11" t="s">
        <v>159</v>
      </c>
      <c r="X57" s="11" t="s">
        <v>1254</v>
      </c>
      <c r="Y57" s="11" t="str">
        <f t="shared" si="0"/>
        <v>Michael Bender</v>
      </c>
      <c r="Z57" s="11" t="s">
        <v>1094</v>
      </c>
      <c r="AA57" s="12" t="s">
        <v>1094</v>
      </c>
      <c r="AB57" s="12" t="s">
        <v>6</v>
      </c>
      <c r="AC57" s="12" t="s">
        <v>155</v>
      </c>
    </row>
    <row r="58" spans="2:29" s="9" customFormat="1" x14ac:dyDescent="0.2">
      <c r="B58" s="9" t="s">
        <v>154</v>
      </c>
      <c r="C58" s="9" t="s">
        <v>81</v>
      </c>
      <c r="D58" s="9" t="s">
        <v>51</v>
      </c>
      <c r="E58" s="9" t="s">
        <v>31</v>
      </c>
      <c r="F58" s="9" t="s">
        <v>32</v>
      </c>
      <c r="G58" s="10">
        <v>2315</v>
      </c>
      <c r="H58" s="10">
        <v>24</v>
      </c>
      <c r="I58" s="10">
        <v>10</v>
      </c>
      <c r="J58" s="10">
        <v>390</v>
      </c>
      <c r="K58" s="9" t="s">
        <v>34</v>
      </c>
      <c r="L58" s="9" t="s">
        <v>34</v>
      </c>
      <c r="M58" s="10">
        <v>89443</v>
      </c>
      <c r="N58" s="10">
        <v>9700</v>
      </c>
      <c r="O58" s="10">
        <v>299</v>
      </c>
      <c r="P58" s="10">
        <v>15</v>
      </c>
      <c r="Q58" s="10">
        <v>1</v>
      </c>
      <c r="R58" s="10">
        <v>4350</v>
      </c>
      <c r="S58" s="10">
        <v>1200</v>
      </c>
      <c r="T58" s="9" t="s">
        <v>33</v>
      </c>
      <c r="U58" s="9" t="s">
        <v>33</v>
      </c>
      <c r="V58" s="9" t="s">
        <v>35</v>
      </c>
      <c r="W58" s="9" t="s">
        <v>1253</v>
      </c>
      <c r="X58" s="9" t="s">
        <v>1252</v>
      </c>
      <c r="Y58" s="9" t="str">
        <f t="shared" si="0"/>
        <v>Christian Bradley</v>
      </c>
      <c r="Z58" s="9" t="s">
        <v>889</v>
      </c>
      <c r="AA58" s="10" t="s">
        <v>889</v>
      </c>
      <c r="AB58" s="10" t="s">
        <v>6</v>
      </c>
      <c r="AC58" s="10" t="s">
        <v>155</v>
      </c>
    </row>
    <row r="59" spans="2:29" s="9" customFormat="1" x14ac:dyDescent="0.2">
      <c r="B59" s="9" t="s">
        <v>689</v>
      </c>
      <c r="C59" s="9" t="s">
        <v>690</v>
      </c>
      <c r="D59" s="9" t="s">
        <v>573</v>
      </c>
      <c r="E59" s="9" t="s">
        <v>31</v>
      </c>
      <c r="F59" s="9" t="s">
        <v>32</v>
      </c>
      <c r="G59" s="10">
        <v>2305</v>
      </c>
      <c r="H59" s="10">
        <v>211</v>
      </c>
      <c r="I59" s="10">
        <v>50</v>
      </c>
      <c r="J59" s="10">
        <v>0</v>
      </c>
      <c r="K59" s="9" t="s">
        <v>34</v>
      </c>
      <c r="L59" s="9" t="s">
        <v>33</v>
      </c>
      <c r="M59" s="10">
        <v>163000</v>
      </c>
      <c r="N59" s="10">
        <v>50000</v>
      </c>
      <c r="O59" s="10">
        <v>308</v>
      </c>
      <c r="P59" s="10">
        <v>1</v>
      </c>
      <c r="Q59" s="10">
        <v>0</v>
      </c>
      <c r="R59" s="10">
        <v>5000</v>
      </c>
      <c r="S59" s="10">
        <v>2706</v>
      </c>
      <c r="T59" s="9" t="s">
        <v>33</v>
      </c>
      <c r="U59" s="9" t="s">
        <v>33</v>
      </c>
      <c r="V59" s="9" t="s">
        <v>35</v>
      </c>
      <c r="W59" s="9" t="s">
        <v>1151</v>
      </c>
      <c r="X59" s="9" t="s">
        <v>1420</v>
      </c>
      <c r="Y59" s="9" t="str">
        <f t="shared" si="0"/>
        <v>Alex Alvarado</v>
      </c>
      <c r="Z59" s="9" t="s">
        <v>91</v>
      </c>
      <c r="AA59" s="10" t="s">
        <v>92</v>
      </c>
      <c r="AB59" s="10" t="s">
        <v>93</v>
      </c>
      <c r="AC59" s="10" t="s">
        <v>130</v>
      </c>
    </row>
    <row r="60" spans="2:29" s="13" customFormat="1" x14ac:dyDescent="0.2">
      <c r="B60" s="13" t="s">
        <v>689</v>
      </c>
      <c r="C60" s="13" t="s">
        <v>690</v>
      </c>
      <c r="D60" s="13" t="s">
        <v>573</v>
      </c>
      <c r="E60" s="13" t="s">
        <v>31</v>
      </c>
      <c r="F60" s="13" t="s">
        <v>32</v>
      </c>
      <c r="G60" s="14">
        <v>2305</v>
      </c>
      <c r="H60" s="14">
        <v>211</v>
      </c>
      <c r="I60" s="14">
        <v>50</v>
      </c>
      <c r="J60" s="14">
        <v>0</v>
      </c>
      <c r="K60" s="13" t="s">
        <v>34</v>
      </c>
      <c r="L60" s="13" t="s">
        <v>33</v>
      </c>
      <c r="M60" s="14">
        <v>163000</v>
      </c>
      <c r="N60" s="14">
        <v>50000</v>
      </c>
      <c r="O60" s="14">
        <v>308</v>
      </c>
      <c r="P60" s="14">
        <v>1</v>
      </c>
      <c r="Q60" s="14">
        <v>0</v>
      </c>
      <c r="R60" s="14">
        <v>5000</v>
      </c>
      <c r="S60" s="14">
        <v>2706</v>
      </c>
      <c r="T60" s="13" t="s">
        <v>33</v>
      </c>
      <c r="U60" s="13" t="s">
        <v>33</v>
      </c>
      <c r="V60" s="13" t="s">
        <v>35</v>
      </c>
      <c r="W60" s="13" t="s">
        <v>58</v>
      </c>
      <c r="X60" s="13" t="s">
        <v>1419</v>
      </c>
      <c r="Y60" s="13" t="str">
        <f t="shared" si="0"/>
        <v>Brian Hairston</v>
      </c>
      <c r="Z60" s="13" t="s">
        <v>1400</v>
      </c>
      <c r="AA60" s="14" t="s">
        <v>1400</v>
      </c>
      <c r="AB60" s="14" t="s">
        <v>93</v>
      </c>
      <c r="AC60" s="14" t="s">
        <v>130</v>
      </c>
    </row>
    <row r="61" spans="2:29" s="9" customFormat="1" x14ac:dyDescent="0.2">
      <c r="B61" s="9" t="s">
        <v>161</v>
      </c>
      <c r="C61" s="9" t="s">
        <v>162</v>
      </c>
      <c r="D61" s="9" t="s">
        <v>39</v>
      </c>
      <c r="E61" s="9" t="s">
        <v>31</v>
      </c>
      <c r="F61" s="9" t="s">
        <v>32</v>
      </c>
      <c r="G61" s="10">
        <v>2300</v>
      </c>
      <c r="H61" s="10">
        <v>120</v>
      </c>
      <c r="I61" s="10">
        <v>0</v>
      </c>
      <c r="J61" s="10">
        <v>0</v>
      </c>
      <c r="K61" s="9" t="s">
        <v>33</v>
      </c>
      <c r="L61" s="9" t="s">
        <v>33</v>
      </c>
      <c r="M61" s="10">
        <v>94505</v>
      </c>
      <c r="N61" s="10">
        <v>1800</v>
      </c>
      <c r="O61" s="10">
        <v>200</v>
      </c>
      <c r="P61" s="10">
        <v>10</v>
      </c>
      <c r="Q61" s="10">
        <v>0</v>
      </c>
      <c r="R61" s="10">
        <v>1883</v>
      </c>
      <c r="S61" s="10">
        <v>2000</v>
      </c>
      <c r="T61" s="9" t="s">
        <v>34</v>
      </c>
      <c r="U61" s="9" t="s">
        <v>34</v>
      </c>
      <c r="V61" s="9" t="s">
        <v>35</v>
      </c>
      <c r="W61" s="9" t="s">
        <v>1251</v>
      </c>
      <c r="X61" s="9" t="s">
        <v>1250</v>
      </c>
      <c r="Y61" s="9" t="str">
        <f t="shared" si="0"/>
        <v>Oliver Shoemaker</v>
      </c>
      <c r="Z61" s="9" t="s">
        <v>1089</v>
      </c>
      <c r="AA61" s="10" t="s">
        <v>1088</v>
      </c>
      <c r="AB61" s="10" t="s">
        <v>6</v>
      </c>
      <c r="AC61" s="10" t="s">
        <v>163</v>
      </c>
    </row>
    <row r="62" spans="2:29" s="9" customFormat="1" x14ac:dyDescent="0.2">
      <c r="B62" s="9" t="s">
        <v>161</v>
      </c>
      <c r="C62" s="9" t="s">
        <v>162</v>
      </c>
      <c r="D62" s="9" t="s">
        <v>39</v>
      </c>
      <c r="E62" s="9" t="s">
        <v>31</v>
      </c>
      <c r="F62" s="9" t="s">
        <v>32</v>
      </c>
      <c r="G62" s="10">
        <v>2300</v>
      </c>
      <c r="H62" s="10">
        <v>120</v>
      </c>
      <c r="I62" s="10">
        <v>0</v>
      </c>
      <c r="J62" s="10">
        <v>0</v>
      </c>
      <c r="K62" s="9" t="s">
        <v>33</v>
      </c>
      <c r="L62" s="9" t="s">
        <v>33</v>
      </c>
      <c r="M62" s="10">
        <v>94505</v>
      </c>
      <c r="N62" s="10">
        <v>1800</v>
      </c>
      <c r="O62" s="10">
        <v>200</v>
      </c>
      <c r="P62" s="10">
        <v>10</v>
      </c>
      <c r="Q62" s="10">
        <v>0</v>
      </c>
      <c r="R62" s="10">
        <v>1883</v>
      </c>
      <c r="S62" s="10">
        <v>2000</v>
      </c>
      <c r="T62" s="9" t="s">
        <v>34</v>
      </c>
      <c r="U62" s="9" t="s">
        <v>34</v>
      </c>
      <c r="V62" s="9" t="s">
        <v>35</v>
      </c>
      <c r="W62" s="9" t="s">
        <v>788</v>
      </c>
      <c r="X62" s="9" t="s">
        <v>1249</v>
      </c>
      <c r="Y62" s="9" t="str">
        <f t="shared" si="0"/>
        <v>Doyle Smotherman</v>
      </c>
      <c r="Z62" s="9" t="s">
        <v>889</v>
      </c>
      <c r="AA62" s="10" t="s">
        <v>889</v>
      </c>
      <c r="AB62" s="10" t="s">
        <v>6</v>
      </c>
      <c r="AC62" s="10" t="s">
        <v>163</v>
      </c>
    </row>
    <row r="63" spans="2:29" s="11" customFormat="1" x14ac:dyDescent="0.2">
      <c r="B63" s="11" t="s">
        <v>354</v>
      </c>
      <c r="C63" s="11" t="s">
        <v>355</v>
      </c>
      <c r="D63" s="11" t="s">
        <v>70</v>
      </c>
      <c r="E63" s="11" t="s">
        <v>31</v>
      </c>
      <c r="F63" s="11" t="s">
        <v>32</v>
      </c>
      <c r="G63" s="12">
        <v>2300</v>
      </c>
      <c r="H63" s="12">
        <v>0</v>
      </c>
      <c r="I63" s="12">
        <v>0</v>
      </c>
      <c r="J63" s="12">
        <v>0</v>
      </c>
      <c r="K63" s="11" t="s">
        <v>34</v>
      </c>
      <c r="L63" s="11" t="s">
        <v>33</v>
      </c>
      <c r="M63" s="12">
        <v>33000</v>
      </c>
      <c r="N63" s="12">
        <v>25000</v>
      </c>
      <c r="O63" s="12">
        <v>103</v>
      </c>
      <c r="P63" s="12">
        <v>3</v>
      </c>
      <c r="Q63" s="12">
        <v>0</v>
      </c>
      <c r="R63" s="12">
        <v>2500</v>
      </c>
      <c r="S63" s="12">
        <v>2000</v>
      </c>
      <c r="T63" s="11" t="s">
        <v>34</v>
      </c>
      <c r="U63" s="11" t="s">
        <v>34</v>
      </c>
      <c r="V63" s="11" t="s">
        <v>35</v>
      </c>
      <c r="W63" s="11" t="s">
        <v>1231</v>
      </c>
      <c r="X63" s="11" t="s">
        <v>1230</v>
      </c>
      <c r="Y63" s="11" t="str">
        <f t="shared" si="0"/>
        <v>Kurt Nelson</v>
      </c>
      <c r="Z63" s="11" t="s">
        <v>1229</v>
      </c>
      <c r="AA63" s="12" t="s">
        <v>1228</v>
      </c>
      <c r="AB63" s="12" t="s">
        <v>6</v>
      </c>
      <c r="AC63" s="12" t="s">
        <v>357</v>
      </c>
    </row>
    <row r="64" spans="2:29" s="11" customFormat="1" x14ac:dyDescent="0.2">
      <c r="B64" s="11" t="s">
        <v>354</v>
      </c>
      <c r="C64" s="11" t="s">
        <v>355</v>
      </c>
      <c r="D64" s="11" t="s">
        <v>70</v>
      </c>
      <c r="E64" s="11" t="s">
        <v>31</v>
      </c>
      <c r="F64" s="11" t="s">
        <v>32</v>
      </c>
      <c r="G64" s="12">
        <v>2300</v>
      </c>
      <c r="H64" s="12">
        <v>0</v>
      </c>
      <c r="I64" s="12">
        <v>0</v>
      </c>
      <c r="J64" s="12">
        <v>0</v>
      </c>
      <c r="K64" s="11" t="s">
        <v>34</v>
      </c>
      <c r="L64" s="11" t="s">
        <v>33</v>
      </c>
      <c r="M64" s="12">
        <v>33000</v>
      </c>
      <c r="N64" s="12">
        <v>25000</v>
      </c>
      <c r="O64" s="12">
        <v>103</v>
      </c>
      <c r="P64" s="12">
        <v>3</v>
      </c>
      <c r="Q64" s="12">
        <v>0</v>
      </c>
      <c r="R64" s="12">
        <v>2500</v>
      </c>
      <c r="S64" s="12">
        <v>2000</v>
      </c>
      <c r="T64" s="11" t="s">
        <v>34</v>
      </c>
      <c r="U64" s="11" t="s">
        <v>34</v>
      </c>
      <c r="V64" s="11" t="s">
        <v>35</v>
      </c>
      <c r="W64" s="11" t="s">
        <v>824</v>
      </c>
      <c r="X64" s="11" t="s">
        <v>1227</v>
      </c>
      <c r="Y64" s="11" t="str">
        <f t="shared" ref="Y64:Y121" si="1">W64&amp;" "&amp;X64</f>
        <v>Joe Peterson</v>
      </c>
      <c r="Z64" s="11" t="s">
        <v>1226</v>
      </c>
      <c r="AA64" s="12" t="s">
        <v>1226</v>
      </c>
      <c r="AB64" s="12" t="s">
        <v>6</v>
      </c>
      <c r="AC64" s="12" t="s">
        <v>357</v>
      </c>
    </row>
    <row r="65" spans="2:29" s="9" customFormat="1" x14ac:dyDescent="0.2">
      <c r="B65" s="9" t="s">
        <v>260</v>
      </c>
      <c r="C65" s="9" t="s">
        <v>261</v>
      </c>
      <c r="D65" s="9" t="s">
        <v>39</v>
      </c>
      <c r="E65" s="9" t="s">
        <v>31</v>
      </c>
      <c r="F65" s="9" t="s">
        <v>32</v>
      </c>
      <c r="G65" s="10">
        <v>2300</v>
      </c>
      <c r="H65" s="10">
        <v>45</v>
      </c>
      <c r="I65" s="10">
        <v>12</v>
      </c>
      <c r="J65" s="10">
        <v>1000</v>
      </c>
      <c r="K65" s="9" t="s">
        <v>33</v>
      </c>
      <c r="L65" s="9" t="s">
        <v>33</v>
      </c>
      <c r="M65" s="10">
        <v>115000</v>
      </c>
      <c r="N65" s="10">
        <v>15000</v>
      </c>
      <c r="O65" s="10">
        <v>320</v>
      </c>
      <c r="P65" s="10">
        <v>7</v>
      </c>
      <c r="Q65" s="10">
        <v>1</v>
      </c>
      <c r="R65" s="10">
        <v>1000</v>
      </c>
      <c r="S65" s="10">
        <v>1600</v>
      </c>
      <c r="T65" s="9" t="s">
        <v>34</v>
      </c>
      <c r="U65" s="9" t="s">
        <v>34</v>
      </c>
      <c r="V65" s="9" t="s">
        <v>35</v>
      </c>
      <c r="W65" s="9" t="s">
        <v>654</v>
      </c>
      <c r="X65" s="9" t="s">
        <v>1319</v>
      </c>
      <c r="Y65" s="9" t="str">
        <f t="shared" si="1"/>
        <v>Bill Christen</v>
      </c>
      <c r="Z65" s="9" t="s">
        <v>1318</v>
      </c>
      <c r="AA65" s="10" t="s">
        <v>1317</v>
      </c>
      <c r="AB65" s="10" t="s">
        <v>181</v>
      </c>
      <c r="AC65" s="10" t="s">
        <v>262</v>
      </c>
    </row>
    <row r="66" spans="2:29" s="16" customFormat="1" x14ac:dyDescent="0.2">
      <c r="B66" s="16" t="s">
        <v>260</v>
      </c>
      <c r="C66" s="16" t="s">
        <v>261</v>
      </c>
      <c r="D66" s="16" t="s">
        <v>39</v>
      </c>
      <c r="E66" s="16" t="s">
        <v>31</v>
      </c>
      <c r="F66" s="16" t="s">
        <v>32</v>
      </c>
      <c r="G66" s="17">
        <v>2300</v>
      </c>
      <c r="H66" s="17">
        <v>45</v>
      </c>
      <c r="I66" s="17">
        <v>12</v>
      </c>
      <c r="J66" s="17">
        <v>1000</v>
      </c>
      <c r="K66" s="16" t="s">
        <v>33</v>
      </c>
      <c r="L66" s="16" t="s">
        <v>33</v>
      </c>
      <c r="M66" s="17">
        <v>115000</v>
      </c>
      <c r="N66" s="17">
        <v>15000</v>
      </c>
      <c r="O66" s="17">
        <v>320</v>
      </c>
      <c r="P66" s="17">
        <v>7</v>
      </c>
      <c r="Q66" s="17">
        <v>1</v>
      </c>
      <c r="R66" s="17">
        <v>1000</v>
      </c>
      <c r="S66" s="17">
        <v>1600</v>
      </c>
      <c r="T66" s="16" t="s">
        <v>34</v>
      </c>
      <c r="U66" s="16" t="s">
        <v>34</v>
      </c>
      <c r="V66" s="16" t="s">
        <v>35</v>
      </c>
      <c r="W66" s="16" t="s">
        <v>1107</v>
      </c>
      <c r="X66" s="16" t="s">
        <v>1244</v>
      </c>
      <c r="Y66" s="16" t="str">
        <f t="shared" si="1"/>
        <v>Larry Palato</v>
      </c>
      <c r="Z66" s="16" t="s">
        <v>1243</v>
      </c>
      <c r="AA66" s="17" t="s">
        <v>1243</v>
      </c>
      <c r="AB66" s="17" t="s">
        <v>6</v>
      </c>
      <c r="AC66" s="17" t="s">
        <v>262</v>
      </c>
    </row>
    <row r="67" spans="2:29" s="9" customFormat="1" x14ac:dyDescent="0.2">
      <c r="B67" s="9" t="s">
        <v>260</v>
      </c>
      <c r="C67" s="9" t="s">
        <v>261</v>
      </c>
      <c r="D67" s="9" t="s">
        <v>39</v>
      </c>
      <c r="E67" s="9" t="s">
        <v>31</v>
      </c>
      <c r="F67" s="9" t="s">
        <v>32</v>
      </c>
      <c r="G67" s="10">
        <v>2300</v>
      </c>
      <c r="H67" s="10">
        <v>45</v>
      </c>
      <c r="I67" s="10">
        <v>12</v>
      </c>
      <c r="J67" s="10">
        <v>1000</v>
      </c>
      <c r="K67" s="9" t="s">
        <v>33</v>
      </c>
      <c r="L67" s="9" t="s">
        <v>33</v>
      </c>
      <c r="M67" s="10">
        <v>115000</v>
      </c>
      <c r="N67" s="10">
        <v>15000</v>
      </c>
      <c r="O67" s="10">
        <v>320</v>
      </c>
      <c r="P67" s="10">
        <v>7</v>
      </c>
      <c r="Q67" s="10">
        <v>1</v>
      </c>
      <c r="R67" s="10">
        <v>1000</v>
      </c>
      <c r="S67" s="10">
        <v>1600</v>
      </c>
      <c r="T67" s="9" t="s">
        <v>34</v>
      </c>
      <c r="U67" s="9" t="s">
        <v>34</v>
      </c>
      <c r="V67" s="9" t="s">
        <v>35</v>
      </c>
      <c r="W67" s="9" t="s">
        <v>481</v>
      </c>
      <c r="X67" s="9" t="s">
        <v>1242</v>
      </c>
      <c r="Y67" s="9" t="str">
        <f t="shared" si="1"/>
        <v>Gary Westerman</v>
      </c>
      <c r="Z67" s="9" t="s">
        <v>1112</v>
      </c>
      <c r="AA67" s="10" t="s">
        <v>1112</v>
      </c>
      <c r="AB67" s="10" t="s">
        <v>6</v>
      </c>
      <c r="AC67" s="10" t="s">
        <v>262</v>
      </c>
    </row>
    <row r="68" spans="2:29" s="16" customFormat="1" x14ac:dyDescent="0.2">
      <c r="B68" s="16" t="s">
        <v>260</v>
      </c>
      <c r="C68" s="16" t="s">
        <v>261</v>
      </c>
      <c r="D68" s="16" t="s">
        <v>39</v>
      </c>
      <c r="E68" s="16" t="s">
        <v>31</v>
      </c>
      <c r="F68" s="16" t="s">
        <v>32</v>
      </c>
      <c r="G68" s="17">
        <v>2300</v>
      </c>
      <c r="H68" s="17">
        <v>45</v>
      </c>
      <c r="I68" s="17">
        <v>12</v>
      </c>
      <c r="J68" s="17">
        <v>1000</v>
      </c>
      <c r="K68" s="16" t="s">
        <v>33</v>
      </c>
      <c r="L68" s="16" t="s">
        <v>33</v>
      </c>
      <c r="M68" s="17">
        <v>115000</v>
      </c>
      <c r="N68" s="17">
        <v>15000</v>
      </c>
      <c r="O68" s="17">
        <v>320</v>
      </c>
      <c r="P68" s="17">
        <v>7</v>
      </c>
      <c r="Q68" s="17">
        <v>1</v>
      </c>
      <c r="R68" s="17">
        <v>1000</v>
      </c>
      <c r="S68" s="17">
        <v>1600</v>
      </c>
      <c r="T68" s="16" t="s">
        <v>34</v>
      </c>
      <c r="U68" s="16" t="s">
        <v>34</v>
      </c>
      <c r="V68" s="16" t="s">
        <v>35</v>
      </c>
      <c r="W68" s="16" t="s">
        <v>1241</v>
      </c>
      <c r="X68" s="16" t="s">
        <v>1240</v>
      </c>
      <c r="Y68" s="16" t="str">
        <f t="shared" si="1"/>
        <v>Leah Goodnature</v>
      </c>
      <c r="Z68" s="16" t="s">
        <v>889</v>
      </c>
      <c r="AA68" s="17" t="s">
        <v>889</v>
      </c>
      <c r="AB68" s="17" t="s">
        <v>6</v>
      </c>
      <c r="AC68" s="17" t="s">
        <v>262</v>
      </c>
    </row>
    <row r="69" spans="2:29" s="9" customFormat="1" x14ac:dyDescent="0.2">
      <c r="B69" s="9" t="s">
        <v>468</v>
      </c>
      <c r="C69" s="9" t="s">
        <v>165</v>
      </c>
      <c r="D69" s="9" t="s">
        <v>51</v>
      </c>
      <c r="E69" s="9" t="s">
        <v>31</v>
      </c>
      <c r="F69" s="9" t="s">
        <v>32</v>
      </c>
      <c r="G69" s="10">
        <v>2250</v>
      </c>
      <c r="H69" s="10">
        <v>56</v>
      </c>
      <c r="I69" s="10">
        <v>0</v>
      </c>
      <c r="J69" s="10">
        <v>0</v>
      </c>
      <c r="K69" s="9" t="s">
        <v>34</v>
      </c>
      <c r="L69" s="9" t="s">
        <v>34</v>
      </c>
      <c r="M69" s="10">
        <v>143891</v>
      </c>
      <c r="N69" s="10">
        <v>79000</v>
      </c>
      <c r="O69" s="10">
        <v>480</v>
      </c>
      <c r="P69" s="10">
        <v>10</v>
      </c>
      <c r="Q69" s="10">
        <v>6</v>
      </c>
      <c r="R69" s="10">
        <v>1200</v>
      </c>
      <c r="S69" s="10">
        <v>1700</v>
      </c>
      <c r="T69" s="9" t="s">
        <v>33</v>
      </c>
      <c r="U69" s="9" t="s">
        <v>33</v>
      </c>
      <c r="V69" s="9" t="s">
        <v>35</v>
      </c>
      <c r="W69" s="9" t="s">
        <v>840</v>
      </c>
      <c r="X69" s="9" t="s">
        <v>1205</v>
      </c>
      <c r="Y69" s="9" t="str">
        <f t="shared" si="1"/>
        <v>Joshua Leiserowitz</v>
      </c>
      <c r="Z69" s="9" t="s">
        <v>889</v>
      </c>
      <c r="AA69" s="10" t="s">
        <v>889</v>
      </c>
      <c r="AB69" s="10" t="s">
        <v>6</v>
      </c>
      <c r="AC69" s="10" t="s">
        <v>469</v>
      </c>
    </row>
    <row r="70" spans="2:29" s="16" customFormat="1" x14ac:dyDescent="0.2">
      <c r="B70" s="16" t="s">
        <v>887</v>
      </c>
      <c r="C70" s="16" t="s">
        <v>81</v>
      </c>
      <c r="D70" s="16" t="s">
        <v>51</v>
      </c>
      <c r="E70" s="16" t="s">
        <v>31</v>
      </c>
      <c r="F70" s="16" t="s">
        <v>32</v>
      </c>
      <c r="G70" s="17">
        <v>2228</v>
      </c>
      <c r="H70" s="17">
        <v>39</v>
      </c>
      <c r="I70" s="17">
        <v>14</v>
      </c>
      <c r="J70" s="17">
        <v>466</v>
      </c>
      <c r="K70" s="16" t="s">
        <v>34</v>
      </c>
      <c r="L70" s="16" t="s">
        <v>34</v>
      </c>
      <c r="M70" s="17">
        <v>160001</v>
      </c>
      <c r="N70" s="17">
        <v>6111</v>
      </c>
      <c r="O70" s="17">
        <v>200</v>
      </c>
      <c r="P70" s="17">
        <v>13</v>
      </c>
      <c r="Q70" s="17">
        <v>3</v>
      </c>
      <c r="R70" s="17">
        <v>5200</v>
      </c>
      <c r="S70" s="17">
        <v>996</v>
      </c>
      <c r="T70" s="16" t="s">
        <v>33</v>
      </c>
      <c r="U70" s="16" t="s">
        <v>33</v>
      </c>
      <c r="V70" s="16" t="s">
        <v>35</v>
      </c>
      <c r="W70" s="16" t="s">
        <v>1396</v>
      </c>
      <c r="X70" s="16" t="s">
        <v>1395</v>
      </c>
      <c r="Y70" s="16" t="str">
        <f t="shared" si="1"/>
        <v>Francisco Segura</v>
      </c>
      <c r="Z70" s="16" t="s">
        <v>1335</v>
      </c>
      <c r="AA70" s="17" t="s">
        <v>1335</v>
      </c>
      <c r="AB70" s="17" t="s">
        <v>93</v>
      </c>
      <c r="AC70" s="17" t="s">
        <v>155</v>
      </c>
    </row>
    <row r="71" spans="2:29" s="9" customFormat="1" x14ac:dyDescent="0.2">
      <c r="B71" s="9" t="s">
        <v>887</v>
      </c>
      <c r="C71" s="9" t="s">
        <v>81</v>
      </c>
      <c r="D71" s="9" t="s">
        <v>51</v>
      </c>
      <c r="E71" s="9" t="s">
        <v>31</v>
      </c>
      <c r="F71" s="9" t="s">
        <v>32</v>
      </c>
      <c r="G71" s="10">
        <v>2228</v>
      </c>
      <c r="H71" s="10">
        <v>39</v>
      </c>
      <c r="I71" s="10">
        <v>14</v>
      </c>
      <c r="J71" s="10">
        <v>466</v>
      </c>
      <c r="K71" s="9" t="s">
        <v>34</v>
      </c>
      <c r="L71" s="9" t="s">
        <v>34</v>
      </c>
      <c r="M71" s="10">
        <v>160001</v>
      </c>
      <c r="N71" s="10">
        <v>6111</v>
      </c>
      <c r="O71" s="10">
        <v>200</v>
      </c>
      <c r="P71" s="10">
        <v>13</v>
      </c>
      <c r="Q71" s="10">
        <v>3</v>
      </c>
      <c r="R71" s="10">
        <v>5200</v>
      </c>
      <c r="S71" s="10">
        <v>996</v>
      </c>
      <c r="T71" s="9" t="s">
        <v>33</v>
      </c>
      <c r="U71" s="9" t="s">
        <v>33</v>
      </c>
      <c r="V71" s="9" t="s">
        <v>35</v>
      </c>
      <c r="W71" s="9" t="s">
        <v>522</v>
      </c>
      <c r="X71" s="9" t="s">
        <v>888</v>
      </c>
      <c r="Y71" s="9" t="str">
        <f t="shared" si="1"/>
        <v>Robert Garni</v>
      </c>
      <c r="Z71" s="9" t="s">
        <v>889</v>
      </c>
      <c r="AA71" s="10" t="s">
        <v>889</v>
      </c>
      <c r="AB71" s="10" t="s">
        <v>6</v>
      </c>
      <c r="AC71" s="10" t="s">
        <v>155</v>
      </c>
    </row>
    <row r="72" spans="2:29" s="13" customFormat="1" x14ac:dyDescent="0.2">
      <c r="B72" s="13" t="s">
        <v>956</v>
      </c>
      <c r="C72" s="13" t="s">
        <v>957</v>
      </c>
      <c r="D72" s="13" t="s">
        <v>760</v>
      </c>
      <c r="E72" s="13" t="s">
        <v>31</v>
      </c>
      <c r="F72" s="13" t="s">
        <v>32</v>
      </c>
      <c r="G72" s="14">
        <v>2218</v>
      </c>
      <c r="H72" s="14">
        <v>54</v>
      </c>
      <c r="I72" s="14">
        <v>0</v>
      </c>
      <c r="J72" s="14">
        <v>0</v>
      </c>
      <c r="K72" s="13" t="s">
        <v>34</v>
      </c>
      <c r="L72" s="13" t="s">
        <v>34</v>
      </c>
      <c r="M72" s="14">
        <v>113000</v>
      </c>
      <c r="N72" s="14">
        <v>0</v>
      </c>
      <c r="O72" s="14">
        <v>300</v>
      </c>
      <c r="P72" s="14">
        <v>8</v>
      </c>
      <c r="Q72" s="14">
        <v>2</v>
      </c>
      <c r="R72" s="14">
        <v>1400</v>
      </c>
      <c r="S72" s="14">
        <v>984</v>
      </c>
      <c r="T72" s="13" t="s">
        <v>33</v>
      </c>
      <c r="U72" s="13" t="s">
        <v>33</v>
      </c>
      <c r="V72" s="13" t="s">
        <v>428</v>
      </c>
      <c r="W72" s="13" t="s">
        <v>1118</v>
      </c>
      <c r="X72" s="13" t="s">
        <v>1117</v>
      </c>
      <c r="Y72" s="13" t="str">
        <f t="shared" si="1"/>
        <v>Sue Mulholland</v>
      </c>
      <c r="Z72" s="13" t="s">
        <v>1098</v>
      </c>
      <c r="AA72" s="14" t="s">
        <v>1098</v>
      </c>
      <c r="AB72" s="14" t="s">
        <v>6</v>
      </c>
      <c r="AC72" s="14" t="s">
        <v>958</v>
      </c>
    </row>
    <row r="73" spans="2:29" s="11" customFormat="1" x14ac:dyDescent="0.2">
      <c r="B73" s="11" t="s">
        <v>118</v>
      </c>
      <c r="C73" s="11" t="s">
        <v>119</v>
      </c>
      <c r="D73" s="11" t="s">
        <v>39</v>
      </c>
      <c r="E73" s="11" t="s">
        <v>31</v>
      </c>
      <c r="F73" s="11" t="s">
        <v>32</v>
      </c>
      <c r="G73" s="12">
        <v>2200</v>
      </c>
      <c r="H73" s="12">
        <v>65</v>
      </c>
      <c r="I73" s="12">
        <v>0</v>
      </c>
      <c r="J73" s="12">
        <v>0</v>
      </c>
      <c r="K73" s="11" t="s">
        <v>33</v>
      </c>
      <c r="L73" s="11" t="s">
        <v>34</v>
      </c>
      <c r="M73" s="12">
        <v>310000</v>
      </c>
      <c r="N73" s="12">
        <v>100000</v>
      </c>
      <c r="O73" s="12">
        <v>400</v>
      </c>
      <c r="P73" s="12">
        <v>9</v>
      </c>
      <c r="Q73" s="12">
        <v>0</v>
      </c>
      <c r="R73" s="12">
        <v>5000</v>
      </c>
      <c r="S73" s="12">
        <v>3000</v>
      </c>
      <c r="T73" s="11" t="s">
        <v>34</v>
      </c>
      <c r="U73" s="11" t="s">
        <v>34</v>
      </c>
      <c r="V73" s="11" t="s">
        <v>35</v>
      </c>
      <c r="W73" s="11" t="s">
        <v>1472</v>
      </c>
      <c r="X73" s="11" t="s">
        <v>1471</v>
      </c>
      <c r="Y73" s="11" t="str">
        <f t="shared" si="1"/>
        <v>Linda Jordan</v>
      </c>
      <c r="Z73" s="11" t="s">
        <v>1383</v>
      </c>
      <c r="AA73" s="12" t="s">
        <v>1382</v>
      </c>
      <c r="AB73" s="12" t="s">
        <v>93</v>
      </c>
      <c r="AC73" s="12" t="s">
        <v>121</v>
      </c>
    </row>
    <row r="74" spans="2:29" s="11" customFormat="1" x14ac:dyDescent="0.2">
      <c r="B74" s="11" t="s">
        <v>118</v>
      </c>
      <c r="C74" s="11" t="s">
        <v>119</v>
      </c>
      <c r="D74" s="11" t="s">
        <v>39</v>
      </c>
      <c r="E74" s="11" t="s">
        <v>31</v>
      </c>
      <c r="F74" s="11" t="s">
        <v>32</v>
      </c>
      <c r="G74" s="12">
        <v>2200</v>
      </c>
      <c r="H74" s="12">
        <v>65</v>
      </c>
      <c r="I74" s="12">
        <v>0</v>
      </c>
      <c r="J74" s="12">
        <v>0</v>
      </c>
      <c r="K74" s="11" t="s">
        <v>33</v>
      </c>
      <c r="L74" s="11" t="s">
        <v>34</v>
      </c>
      <c r="M74" s="12">
        <v>310000</v>
      </c>
      <c r="N74" s="12">
        <v>100000</v>
      </c>
      <c r="O74" s="12">
        <v>400</v>
      </c>
      <c r="P74" s="12">
        <v>9</v>
      </c>
      <c r="Q74" s="12">
        <v>0</v>
      </c>
      <c r="R74" s="12">
        <v>5000</v>
      </c>
      <c r="S74" s="12">
        <v>3000</v>
      </c>
      <c r="T74" s="11" t="s">
        <v>34</v>
      </c>
      <c r="U74" s="11" t="s">
        <v>34</v>
      </c>
      <c r="V74" s="11" t="s">
        <v>35</v>
      </c>
      <c r="W74" s="11" t="s">
        <v>570</v>
      </c>
      <c r="X74" s="11" t="s">
        <v>1259</v>
      </c>
      <c r="Y74" s="11" t="str">
        <f t="shared" si="1"/>
        <v>Kevin Ward</v>
      </c>
      <c r="Z74" s="11" t="s">
        <v>1089</v>
      </c>
      <c r="AA74" s="12" t="s">
        <v>1088</v>
      </c>
      <c r="AB74" s="12" t="s">
        <v>6</v>
      </c>
      <c r="AC74" s="12" t="s">
        <v>121</v>
      </c>
    </row>
    <row r="75" spans="2:29" s="11" customFormat="1" x14ac:dyDescent="0.2">
      <c r="B75" s="11" t="s">
        <v>896</v>
      </c>
      <c r="C75" s="11" t="s">
        <v>897</v>
      </c>
      <c r="D75" s="11" t="s">
        <v>185</v>
      </c>
      <c r="E75" s="11" t="s">
        <v>31</v>
      </c>
      <c r="F75" s="11" t="s">
        <v>32</v>
      </c>
      <c r="G75" s="12">
        <v>2200</v>
      </c>
      <c r="H75" s="12">
        <v>80</v>
      </c>
      <c r="I75" s="12">
        <v>30</v>
      </c>
      <c r="J75" s="12">
        <v>0</v>
      </c>
      <c r="K75" s="11" t="s">
        <v>34</v>
      </c>
      <c r="L75" s="11" t="s">
        <v>33</v>
      </c>
      <c r="M75" s="12">
        <v>100000</v>
      </c>
      <c r="N75" s="12">
        <v>0</v>
      </c>
      <c r="O75" s="12">
        <v>0</v>
      </c>
      <c r="P75" s="12">
        <v>7</v>
      </c>
      <c r="Q75" s="12">
        <v>1</v>
      </c>
      <c r="R75" s="12">
        <v>2400</v>
      </c>
      <c r="S75" s="12">
        <v>2019</v>
      </c>
      <c r="T75" s="11" t="s">
        <v>34</v>
      </c>
      <c r="U75" s="11" t="s">
        <v>34</v>
      </c>
      <c r="V75" s="11" t="s">
        <v>35</v>
      </c>
      <c r="W75" s="11" t="s">
        <v>1133</v>
      </c>
      <c r="X75" s="11" t="s">
        <v>1132</v>
      </c>
      <c r="Y75" s="11" t="str">
        <f t="shared" si="1"/>
        <v>Neil Baxley</v>
      </c>
      <c r="Z75" s="11" t="s">
        <v>889</v>
      </c>
      <c r="AA75" s="12" t="s">
        <v>889</v>
      </c>
      <c r="AB75" s="12" t="s">
        <v>6</v>
      </c>
      <c r="AC75" s="12" t="s">
        <v>482</v>
      </c>
    </row>
    <row r="76" spans="2:29" s="13" customFormat="1" x14ac:dyDescent="0.2">
      <c r="B76" s="13" t="s">
        <v>556</v>
      </c>
      <c r="C76" s="13" t="s">
        <v>557</v>
      </c>
      <c r="D76" s="13" t="s">
        <v>387</v>
      </c>
      <c r="E76" s="13" t="s">
        <v>31</v>
      </c>
      <c r="F76" s="13" t="s">
        <v>32</v>
      </c>
      <c r="G76" s="14">
        <v>2200</v>
      </c>
      <c r="H76" s="14">
        <v>61</v>
      </c>
      <c r="I76" s="14">
        <v>10</v>
      </c>
      <c r="J76" s="14">
        <v>0</v>
      </c>
      <c r="K76" s="13" t="s">
        <v>34</v>
      </c>
      <c r="L76" s="13" t="s">
        <v>33</v>
      </c>
      <c r="M76" s="14">
        <v>100000</v>
      </c>
      <c r="N76" s="14">
        <v>2735</v>
      </c>
      <c r="O76" s="14">
        <v>400</v>
      </c>
      <c r="P76" s="14">
        <v>7</v>
      </c>
      <c r="Q76" s="14">
        <v>3</v>
      </c>
      <c r="R76" s="14">
        <v>2900</v>
      </c>
      <c r="S76" s="14">
        <v>1700</v>
      </c>
      <c r="T76" s="13" t="s">
        <v>33</v>
      </c>
      <c r="U76" s="13" t="s">
        <v>33</v>
      </c>
      <c r="V76" s="13" t="s">
        <v>35</v>
      </c>
      <c r="W76" s="13" t="s">
        <v>1328</v>
      </c>
      <c r="X76" s="13" t="s">
        <v>1327</v>
      </c>
      <c r="Y76" s="13" t="str">
        <f t="shared" si="1"/>
        <v>Hugh Flack</v>
      </c>
      <c r="Z76" s="13" t="s">
        <v>1102</v>
      </c>
      <c r="AA76" s="14" t="s">
        <v>1102</v>
      </c>
      <c r="AB76" s="14" t="s">
        <v>340</v>
      </c>
      <c r="AC76" s="14" t="s">
        <v>558</v>
      </c>
    </row>
    <row r="77" spans="2:29" s="13" customFormat="1" x14ac:dyDescent="0.2">
      <c r="B77" s="13" t="s">
        <v>1063</v>
      </c>
      <c r="C77" s="13" t="s">
        <v>1064</v>
      </c>
      <c r="D77" s="13" t="s">
        <v>1057</v>
      </c>
      <c r="E77" s="13" t="s">
        <v>31</v>
      </c>
      <c r="F77" s="13" t="s">
        <v>32</v>
      </c>
      <c r="G77" s="14">
        <v>2200</v>
      </c>
      <c r="H77" s="14">
        <v>0</v>
      </c>
      <c r="I77" s="14">
        <v>0</v>
      </c>
      <c r="J77" s="14">
        <v>0</v>
      </c>
      <c r="K77" s="13" t="s">
        <v>33</v>
      </c>
      <c r="L77" s="13" t="s">
        <v>33</v>
      </c>
      <c r="M77" s="14">
        <v>65000</v>
      </c>
      <c r="N77" s="14">
        <v>0</v>
      </c>
      <c r="O77" s="14">
        <v>123</v>
      </c>
      <c r="P77" s="14">
        <v>3</v>
      </c>
      <c r="Q77" s="14">
        <v>0</v>
      </c>
      <c r="R77" s="14">
        <v>1600</v>
      </c>
      <c r="S77" s="14">
        <v>600</v>
      </c>
      <c r="T77" s="13" t="s">
        <v>34</v>
      </c>
      <c r="U77" s="13" t="s">
        <v>34</v>
      </c>
      <c r="V77" s="13" t="s">
        <v>35</v>
      </c>
      <c r="W77" s="13" t="s">
        <v>1339</v>
      </c>
      <c r="X77" s="13" t="s">
        <v>1338</v>
      </c>
      <c r="Y77" s="13" t="str">
        <f t="shared" si="1"/>
        <v>Shane Thornell</v>
      </c>
      <c r="Z77" s="13" t="s">
        <v>1278</v>
      </c>
      <c r="AA77" s="14" t="s">
        <v>1278</v>
      </c>
      <c r="AB77" s="14" t="s">
        <v>929</v>
      </c>
      <c r="AC77" s="14" t="s">
        <v>672</v>
      </c>
    </row>
    <row r="78" spans="2:29" s="13" customFormat="1" x14ac:dyDescent="0.2">
      <c r="B78" s="13" t="s">
        <v>100</v>
      </c>
      <c r="C78" s="13" t="s">
        <v>101</v>
      </c>
      <c r="D78" s="13" t="s">
        <v>102</v>
      </c>
      <c r="E78" s="13" t="s">
        <v>31</v>
      </c>
      <c r="F78" s="13" t="s">
        <v>32</v>
      </c>
      <c r="G78" s="14">
        <v>2154</v>
      </c>
      <c r="H78" s="14">
        <v>28</v>
      </c>
      <c r="I78" s="14">
        <v>0</v>
      </c>
      <c r="J78" s="14">
        <v>0</v>
      </c>
      <c r="K78" s="13" t="s">
        <v>34</v>
      </c>
      <c r="L78" s="13" t="s">
        <v>34</v>
      </c>
      <c r="M78" s="14">
        <v>115000</v>
      </c>
      <c r="N78" s="14">
        <v>35000</v>
      </c>
      <c r="O78" s="14">
        <v>500</v>
      </c>
      <c r="P78" s="14">
        <v>13</v>
      </c>
      <c r="Q78" s="14">
        <v>2</v>
      </c>
      <c r="R78" s="14">
        <v>2300</v>
      </c>
      <c r="S78" s="14">
        <v>1400</v>
      </c>
      <c r="T78" s="13" t="s">
        <v>33</v>
      </c>
      <c r="U78" s="13" t="s">
        <v>33</v>
      </c>
      <c r="V78" s="13" t="s">
        <v>103</v>
      </c>
      <c r="W78" s="13" t="s">
        <v>1123</v>
      </c>
      <c r="X78" s="13" t="s">
        <v>1262</v>
      </c>
      <c r="Y78" s="13" t="str">
        <f t="shared" si="1"/>
        <v>Steve Keener</v>
      </c>
      <c r="Z78" s="13" t="s">
        <v>889</v>
      </c>
      <c r="AA78" s="14" t="s">
        <v>889</v>
      </c>
      <c r="AB78" s="14" t="s">
        <v>6</v>
      </c>
      <c r="AC78" s="14" t="s">
        <v>99</v>
      </c>
    </row>
    <row r="79" spans="2:29" s="11" customFormat="1" x14ac:dyDescent="0.2">
      <c r="B79" s="11" t="s">
        <v>954</v>
      </c>
      <c r="C79" s="11" t="s">
        <v>81</v>
      </c>
      <c r="D79" s="11" t="s">
        <v>51</v>
      </c>
      <c r="E79" s="11" t="s">
        <v>31</v>
      </c>
      <c r="F79" s="11" t="s">
        <v>32</v>
      </c>
      <c r="G79" s="12">
        <v>2113</v>
      </c>
      <c r="H79" s="12">
        <v>64</v>
      </c>
      <c r="I79" s="12">
        <v>31</v>
      </c>
      <c r="J79" s="12">
        <v>640</v>
      </c>
      <c r="K79" s="11" t="s">
        <v>34</v>
      </c>
      <c r="L79" s="11" t="s">
        <v>34</v>
      </c>
      <c r="M79" s="12">
        <v>137232</v>
      </c>
      <c r="N79" s="12">
        <v>150000</v>
      </c>
      <c r="O79" s="12">
        <v>2100</v>
      </c>
      <c r="P79" s="12">
        <v>14</v>
      </c>
      <c r="Q79" s="12">
        <v>2</v>
      </c>
      <c r="R79" s="12">
        <v>5696</v>
      </c>
      <c r="S79" s="12">
        <v>2300</v>
      </c>
      <c r="T79" s="11" t="s">
        <v>33</v>
      </c>
      <c r="U79" s="11" t="s">
        <v>33</v>
      </c>
      <c r="V79" s="11" t="s">
        <v>35</v>
      </c>
      <c r="W79" s="11" t="s">
        <v>89</v>
      </c>
      <c r="X79" s="11" t="s">
        <v>1392</v>
      </c>
      <c r="Y79" s="11" t="str">
        <f t="shared" si="1"/>
        <v>Frank Toti</v>
      </c>
      <c r="Z79" s="11" t="s">
        <v>1391</v>
      </c>
      <c r="AA79" s="12" t="s">
        <v>1390</v>
      </c>
      <c r="AB79" s="12" t="s">
        <v>93</v>
      </c>
      <c r="AC79" s="12" t="s">
        <v>955</v>
      </c>
    </row>
    <row r="80" spans="2:29" s="11" customFormat="1" x14ac:dyDescent="0.2">
      <c r="B80" s="11" t="s">
        <v>954</v>
      </c>
      <c r="C80" s="11" t="s">
        <v>81</v>
      </c>
      <c r="D80" s="11" t="s">
        <v>51</v>
      </c>
      <c r="E80" s="11" t="s">
        <v>31</v>
      </c>
      <c r="F80" s="11" t="s">
        <v>32</v>
      </c>
      <c r="G80" s="12">
        <v>2113</v>
      </c>
      <c r="H80" s="12">
        <v>64</v>
      </c>
      <c r="I80" s="12">
        <v>31</v>
      </c>
      <c r="J80" s="12">
        <v>640</v>
      </c>
      <c r="K80" s="11" t="s">
        <v>34</v>
      </c>
      <c r="L80" s="11" t="s">
        <v>34</v>
      </c>
      <c r="M80" s="12">
        <v>137232</v>
      </c>
      <c r="N80" s="12">
        <v>150000</v>
      </c>
      <c r="O80" s="12">
        <v>2100</v>
      </c>
      <c r="P80" s="12">
        <v>14</v>
      </c>
      <c r="Q80" s="12">
        <v>2</v>
      </c>
      <c r="R80" s="12">
        <v>5696</v>
      </c>
      <c r="S80" s="12">
        <v>2300</v>
      </c>
      <c r="T80" s="11" t="s">
        <v>33</v>
      </c>
      <c r="U80" s="11" t="s">
        <v>33</v>
      </c>
      <c r="V80" s="11" t="s">
        <v>35</v>
      </c>
      <c r="W80" s="11" t="s">
        <v>1202</v>
      </c>
      <c r="X80" s="11" t="s">
        <v>1389</v>
      </c>
      <c r="Y80" s="11" t="str">
        <f t="shared" si="1"/>
        <v>Dave Jensen</v>
      </c>
      <c r="Z80" s="11" t="s">
        <v>109</v>
      </c>
      <c r="AA80" s="12" t="s">
        <v>109</v>
      </c>
      <c r="AB80" s="12" t="s">
        <v>93</v>
      </c>
      <c r="AC80" s="12" t="s">
        <v>955</v>
      </c>
    </row>
    <row r="81" spans="2:29" s="9" customFormat="1" x14ac:dyDescent="0.2">
      <c r="B81" s="9" t="s">
        <v>954</v>
      </c>
      <c r="C81" s="9" t="s">
        <v>81</v>
      </c>
      <c r="D81" s="9" t="s">
        <v>51</v>
      </c>
      <c r="E81" s="9" t="s">
        <v>31</v>
      </c>
      <c r="F81" s="9" t="s">
        <v>32</v>
      </c>
      <c r="G81" s="10">
        <v>2113</v>
      </c>
      <c r="H81" s="10">
        <v>64</v>
      </c>
      <c r="I81" s="10">
        <v>31</v>
      </c>
      <c r="J81" s="10">
        <v>640</v>
      </c>
      <c r="K81" s="9" t="s">
        <v>34</v>
      </c>
      <c r="L81" s="9" t="s">
        <v>34</v>
      </c>
      <c r="M81" s="10">
        <v>137232</v>
      </c>
      <c r="N81" s="10">
        <v>150000</v>
      </c>
      <c r="O81" s="10">
        <v>2100</v>
      </c>
      <c r="P81" s="10">
        <v>14</v>
      </c>
      <c r="Q81" s="10">
        <v>2</v>
      </c>
      <c r="R81" s="10">
        <v>5696</v>
      </c>
      <c r="S81" s="10">
        <v>2300</v>
      </c>
      <c r="T81" s="9" t="s">
        <v>33</v>
      </c>
      <c r="U81" s="9" t="s">
        <v>33</v>
      </c>
      <c r="V81" s="9" t="s">
        <v>35</v>
      </c>
      <c r="W81" s="9" t="s">
        <v>1121</v>
      </c>
      <c r="X81" s="9" t="s">
        <v>1120</v>
      </c>
      <c r="Y81" s="9" t="str">
        <f t="shared" si="1"/>
        <v>Cliff Paige</v>
      </c>
      <c r="Z81" s="9" t="s">
        <v>1119</v>
      </c>
      <c r="AA81" s="10" t="s">
        <v>1119</v>
      </c>
      <c r="AB81" s="10" t="s">
        <v>6</v>
      </c>
      <c r="AC81" s="10" t="s">
        <v>955</v>
      </c>
    </row>
    <row r="82" spans="2:29" s="13" customFormat="1" x14ac:dyDescent="0.2">
      <c r="B82" s="13" t="s">
        <v>989</v>
      </c>
      <c r="C82" s="13" t="s">
        <v>990</v>
      </c>
      <c r="D82" s="13" t="s">
        <v>39</v>
      </c>
      <c r="E82" s="13" t="s">
        <v>31</v>
      </c>
      <c r="F82" s="13" t="s">
        <v>32</v>
      </c>
      <c r="G82" s="14">
        <v>2104</v>
      </c>
      <c r="H82" s="14">
        <v>28</v>
      </c>
      <c r="I82" s="14">
        <v>0</v>
      </c>
      <c r="J82" s="14">
        <v>1200</v>
      </c>
      <c r="K82" s="13" t="s">
        <v>33</v>
      </c>
      <c r="L82" s="13" t="s">
        <v>33</v>
      </c>
      <c r="M82" s="14">
        <v>140000</v>
      </c>
      <c r="N82" s="14">
        <v>6000</v>
      </c>
      <c r="O82" s="14">
        <v>255</v>
      </c>
      <c r="P82" s="14">
        <v>8</v>
      </c>
      <c r="Q82" s="14">
        <v>2</v>
      </c>
      <c r="R82" s="14">
        <v>0</v>
      </c>
      <c r="S82" s="14">
        <v>1500</v>
      </c>
      <c r="T82" s="13" t="s">
        <v>34</v>
      </c>
      <c r="U82" s="13" t="s">
        <v>34</v>
      </c>
      <c r="V82" s="13" t="s">
        <v>35</v>
      </c>
      <c r="W82" s="13" t="s">
        <v>713</v>
      </c>
      <c r="X82" s="13" t="s">
        <v>466</v>
      </c>
      <c r="Y82" s="13" t="str">
        <f t="shared" si="1"/>
        <v>Jacob Jeff</v>
      </c>
      <c r="Z82" s="13" t="s">
        <v>1094</v>
      </c>
      <c r="AA82" s="14" t="s">
        <v>1094</v>
      </c>
      <c r="AB82" s="14" t="s">
        <v>6</v>
      </c>
      <c r="AC82" s="14" t="s">
        <v>991</v>
      </c>
    </row>
    <row r="83" spans="2:29" s="11" customFormat="1" x14ac:dyDescent="0.2">
      <c r="B83" s="11" t="s">
        <v>358</v>
      </c>
      <c r="C83" s="11" t="s">
        <v>359</v>
      </c>
      <c r="D83" s="11" t="s">
        <v>70</v>
      </c>
      <c r="E83" s="11" t="s">
        <v>31</v>
      </c>
      <c r="F83" s="11" t="s">
        <v>32</v>
      </c>
      <c r="G83" s="12">
        <v>2100</v>
      </c>
      <c r="H83" s="12">
        <v>60</v>
      </c>
      <c r="I83" s="12">
        <v>0</v>
      </c>
      <c r="J83" s="12">
        <v>0</v>
      </c>
      <c r="K83" s="11" t="s">
        <v>34</v>
      </c>
      <c r="L83" s="11" t="s">
        <v>33</v>
      </c>
      <c r="M83" s="12">
        <v>50000</v>
      </c>
      <c r="N83" s="12">
        <v>23000</v>
      </c>
      <c r="O83" s="12">
        <v>155</v>
      </c>
      <c r="P83" s="12">
        <v>5</v>
      </c>
      <c r="Q83" s="12">
        <v>0</v>
      </c>
      <c r="R83" s="12">
        <v>1000</v>
      </c>
      <c r="S83" s="12">
        <v>2000</v>
      </c>
      <c r="T83" s="11" t="s">
        <v>34</v>
      </c>
      <c r="U83" s="11" t="s">
        <v>34</v>
      </c>
      <c r="V83" s="11" t="s">
        <v>35</v>
      </c>
      <c r="W83" s="11" t="s">
        <v>1231</v>
      </c>
      <c r="X83" s="11" t="s">
        <v>1230</v>
      </c>
      <c r="Y83" s="11" t="str">
        <f t="shared" si="1"/>
        <v>Kurt Nelson</v>
      </c>
      <c r="Z83" s="11" t="s">
        <v>1229</v>
      </c>
      <c r="AA83" s="12" t="s">
        <v>1228</v>
      </c>
      <c r="AB83" s="12" t="s">
        <v>6</v>
      </c>
      <c r="AC83" s="12" t="s">
        <v>357</v>
      </c>
    </row>
    <row r="84" spans="2:29" s="11" customFormat="1" x14ac:dyDescent="0.2">
      <c r="B84" s="11" t="s">
        <v>358</v>
      </c>
      <c r="C84" s="11" t="s">
        <v>359</v>
      </c>
      <c r="D84" s="11" t="s">
        <v>70</v>
      </c>
      <c r="E84" s="11" t="s">
        <v>31</v>
      </c>
      <c r="F84" s="11" t="s">
        <v>32</v>
      </c>
      <c r="G84" s="12">
        <v>2100</v>
      </c>
      <c r="H84" s="12">
        <v>60</v>
      </c>
      <c r="I84" s="12">
        <v>0</v>
      </c>
      <c r="J84" s="12">
        <v>0</v>
      </c>
      <c r="K84" s="11" t="s">
        <v>34</v>
      </c>
      <c r="L84" s="11" t="s">
        <v>33</v>
      </c>
      <c r="M84" s="12">
        <v>50000</v>
      </c>
      <c r="N84" s="12">
        <v>23000</v>
      </c>
      <c r="O84" s="12">
        <v>155</v>
      </c>
      <c r="P84" s="12">
        <v>5</v>
      </c>
      <c r="Q84" s="12">
        <v>0</v>
      </c>
      <c r="R84" s="12">
        <v>1000</v>
      </c>
      <c r="S84" s="12">
        <v>2000</v>
      </c>
      <c r="T84" s="11" t="s">
        <v>34</v>
      </c>
      <c r="U84" s="11" t="s">
        <v>34</v>
      </c>
      <c r="V84" s="11" t="s">
        <v>35</v>
      </c>
      <c r="W84" s="11" t="s">
        <v>824</v>
      </c>
      <c r="X84" s="11" t="s">
        <v>1227</v>
      </c>
      <c r="Y84" s="11" t="str">
        <f t="shared" si="1"/>
        <v>Joe Peterson</v>
      </c>
      <c r="Z84" s="11" t="s">
        <v>1226</v>
      </c>
      <c r="AA84" s="12" t="s">
        <v>1226</v>
      </c>
      <c r="AB84" s="12" t="s">
        <v>6</v>
      </c>
      <c r="AC84" s="12" t="s">
        <v>357</v>
      </c>
    </row>
    <row r="85" spans="2:29" s="9" customFormat="1" x14ac:dyDescent="0.2">
      <c r="B85" s="9" t="s">
        <v>933</v>
      </c>
      <c r="C85" s="9" t="s">
        <v>934</v>
      </c>
      <c r="D85" s="9" t="s">
        <v>39</v>
      </c>
      <c r="E85" s="9" t="s">
        <v>31</v>
      </c>
      <c r="F85" s="9" t="s">
        <v>32</v>
      </c>
      <c r="G85" s="10">
        <v>2100</v>
      </c>
      <c r="H85" s="10">
        <v>80</v>
      </c>
      <c r="I85" s="10">
        <v>0</v>
      </c>
      <c r="J85" s="10">
        <v>0</v>
      </c>
      <c r="K85" s="9" t="s">
        <v>33</v>
      </c>
      <c r="L85" s="9" t="s">
        <v>33</v>
      </c>
      <c r="M85" s="10">
        <v>110260</v>
      </c>
      <c r="N85" s="10">
        <v>30000</v>
      </c>
      <c r="O85" s="10">
        <v>302</v>
      </c>
      <c r="P85" s="10">
        <v>0</v>
      </c>
      <c r="Q85" s="10">
        <v>0</v>
      </c>
      <c r="R85" s="10">
        <v>0</v>
      </c>
      <c r="S85" s="10">
        <v>2000</v>
      </c>
      <c r="T85" s="9" t="s">
        <v>34</v>
      </c>
      <c r="U85" s="9" t="s">
        <v>34</v>
      </c>
      <c r="V85" s="9" t="s">
        <v>35</v>
      </c>
      <c r="W85" s="9" t="s">
        <v>415</v>
      </c>
      <c r="X85" s="9" t="s">
        <v>1125</v>
      </c>
      <c r="Y85" s="9" t="str">
        <f t="shared" si="1"/>
        <v>Tim de Lugo</v>
      </c>
      <c r="Z85" s="9" t="s">
        <v>889</v>
      </c>
      <c r="AA85" s="10" t="s">
        <v>889</v>
      </c>
      <c r="AB85" s="10" t="s">
        <v>6</v>
      </c>
      <c r="AC85" s="10" t="s">
        <v>935</v>
      </c>
    </row>
    <row r="86" spans="2:29" s="13" customFormat="1" x14ac:dyDescent="0.2">
      <c r="B86" s="13" t="s">
        <v>822</v>
      </c>
      <c r="C86" s="13" t="s">
        <v>823</v>
      </c>
      <c r="D86" s="13" t="s">
        <v>39</v>
      </c>
      <c r="E86" s="13" t="s">
        <v>31</v>
      </c>
      <c r="F86" s="13" t="s">
        <v>32</v>
      </c>
      <c r="G86" s="14">
        <v>2100</v>
      </c>
      <c r="H86" s="14">
        <v>70</v>
      </c>
      <c r="I86" s="14">
        <v>0</v>
      </c>
      <c r="J86" s="14">
        <v>0</v>
      </c>
      <c r="K86" s="13" t="s">
        <v>33</v>
      </c>
      <c r="L86" s="13" t="s">
        <v>33</v>
      </c>
      <c r="M86" s="14">
        <v>88000</v>
      </c>
      <c r="N86" s="14">
        <v>0</v>
      </c>
      <c r="O86" s="14">
        <v>155</v>
      </c>
      <c r="P86" s="14">
        <v>9</v>
      </c>
      <c r="Q86" s="14">
        <v>0</v>
      </c>
      <c r="R86" s="14">
        <v>3000</v>
      </c>
      <c r="S86" s="14">
        <v>1725</v>
      </c>
      <c r="T86" s="13" t="s">
        <v>34</v>
      </c>
      <c r="U86" s="13" t="s">
        <v>34</v>
      </c>
      <c r="V86" s="13" t="s">
        <v>35</v>
      </c>
      <c r="W86" s="13" t="s">
        <v>1280</v>
      </c>
      <c r="X86" s="13" t="s">
        <v>148</v>
      </c>
      <c r="Y86" s="13" t="str">
        <f t="shared" si="1"/>
        <v>Ken Harvey</v>
      </c>
      <c r="Z86" s="13" t="s">
        <v>1278</v>
      </c>
      <c r="AA86" s="14" t="s">
        <v>1278</v>
      </c>
      <c r="AB86" s="14" t="s">
        <v>1275</v>
      </c>
      <c r="AC86" s="14" t="s">
        <v>825</v>
      </c>
    </row>
    <row r="87" spans="2:29" s="13" customFormat="1" x14ac:dyDescent="0.2">
      <c r="B87" s="13" t="s">
        <v>1034</v>
      </c>
      <c r="C87" s="13" t="s">
        <v>1035</v>
      </c>
      <c r="D87" s="13" t="s">
        <v>47</v>
      </c>
      <c r="E87" s="13" t="s">
        <v>31</v>
      </c>
      <c r="F87" s="13" t="s">
        <v>32</v>
      </c>
      <c r="G87" s="14">
        <v>2000</v>
      </c>
      <c r="H87" s="14">
        <v>66</v>
      </c>
      <c r="I87" s="14">
        <v>32</v>
      </c>
      <c r="J87" s="14">
        <v>1400</v>
      </c>
      <c r="K87" s="13" t="s">
        <v>34</v>
      </c>
      <c r="L87" s="13" t="s">
        <v>33</v>
      </c>
      <c r="M87" s="14">
        <v>125000</v>
      </c>
      <c r="N87" s="14">
        <v>100000</v>
      </c>
      <c r="O87" s="14">
        <v>788</v>
      </c>
      <c r="P87" s="14">
        <v>19</v>
      </c>
      <c r="Q87" s="14">
        <v>2</v>
      </c>
      <c r="R87" s="14">
        <v>5000</v>
      </c>
      <c r="S87" s="14">
        <v>4050</v>
      </c>
      <c r="T87" s="13" t="s">
        <v>34</v>
      </c>
      <c r="U87" s="13" t="s">
        <v>34</v>
      </c>
      <c r="V87" s="13" t="s">
        <v>35</v>
      </c>
      <c r="W87" s="13" t="s">
        <v>1273</v>
      </c>
      <c r="X87" s="13" t="s">
        <v>1272</v>
      </c>
      <c r="Y87" s="13" t="str">
        <f t="shared" si="1"/>
        <v>Bong Woo</v>
      </c>
      <c r="Z87" s="13" t="s">
        <v>1271</v>
      </c>
      <c r="AA87" s="14" t="s">
        <v>1271</v>
      </c>
      <c r="AB87" s="14" t="s">
        <v>1270</v>
      </c>
      <c r="AC87" s="14" t="s">
        <v>1036</v>
      </c>
    </row>
    <row r="88" spans="2:29" s="13" customFormat="1" x14ac:dyDescent="0.2">
      <c r="B88" s="13" t="s">
        <v>305</v>
      </c>
      <c r="C88" s="13" t="s">
        <v>306</v>
      </c>
      <c r="D88" s="13" t="s">
        <v>106</v>
      </c>
      <c r="E88" s="13" t="s">
        <v>31</v>
      </c>
      <c r="F88" s="13" t="s">
        <v>32</v>
      </c>
      <c r="G88" s="14">
        <v>2000</v>
      </c>
      <c r="H88" s="14">
        <v>55</v>
      </c>
      <c r="I88" s="14">
        <v>10</v>
      </c>
      <c r="J88" s="14">
        <v>350</v>
      </c>
      <c r="K88" s="13" t="s">
        <v>34</v>
      </c>
      <c r="L88" s="13" t="s">
        <v>34</v>
      </c>
      <c r="M88" s="14">
        <v>107600</v>
      </c>
      <c r="N88" s="14">
        <v>9856</v>
      </c>
      <c r="O88" s="14">
        <v>904</v>
      </c>
      <c r="P88" s="14">
        <v>12</v>
      </c>
      <c r="Q88" s="14">
        <v>2</v>
      </c>
      <c r="R88" s="14">
        <v>2714</v>
      </c>
      <c r="S88" s="14">
        <v>2600</v>
      </c>
      <c r="T88" s="13" t="s">
        <v>34</v>
      </c>
      <c r="U88" s="13" t="s">
        <v>34</v>
      </c>
      <c r="V88" s="13" t="s">
        <v>35</v>
      </c>
      <c r="W88" s="13" t="s">
        <v>1455</v>
      </c>
      <c r="X88" s="13" t="s">
        <v>1454</v>
      </c>
      <c r="Y88" s="13" t="str">
        <f t="shared" si="1"/>
        <v>Warren Davidson</v>
      </c>
      <c r="Z88" s="13" t="s">
        <v>1278</v>
      </c>
      <c r="AA88" s="14" t="s">
        <v>1278</v>
      </c>
      <c r="AB88" s="14" t="s">
        <v>93</v>
      </c>
      <c r="AC88" s="14" t="s">
        <v>307</v>
      </c>
    </row>
    <row r="89" spans="2:29" s="16" customFormat="1" x14ac:dyDescent="0.2">
      <c r="B89" s="16" t="s">
        <v>305</v>
      </c>
      <c r="C89" s="16" t="s">
        <v>306</v>
      </c>
      <c r="D89" s="16" t="s">
        <v>106</v>
      </c>
      <c r="E89" s="16" t="s">
        <v>31</v>
      </c>
      <c r="F89" s="16" t="s">
        <v>32</v>
      </c>
      <c r="G89" s="17">
        <v>2000</v>
      </c>
      <c r="H89" s="17">
        <v>55</v>
      </c>
      <c r="I89" s="17">
        <v>10</v>
      </c>
      <c r="J89" s="17">
        <v>350</v>
      </c>
      <c r="K89" s="16" t="s">
        <v>34</v>
      </c>
      <c r="L89" s="16" t="s">
        <v>34</v>
      </c>
      <c r="M89" s="17">
        <v>107600</v>
      </c>
      <c r="N89" s="17">
        <v>9856</v>
      </c>
      <c r="O89" s="17">
        <v>904</v>
      </c>
      <c r="P89" s="17">
        <v>12</v>
      </c>
      <c r="Q89" s="17">
        <v>2</v>
      </c>
      <c r="R89" s="17">
        <v>2714</v>
      </c>
      <c r="S89" s="17">
        <v>2600</v>
      </c>
      <c r="T89" s="16" t="s">
        <v>34</v>
      </c>
      <c r="U89" s="16" t="s">
        <v>34</v>
      </c>
      <c r="V89" s="16" t="s">
        <v>35</v>
      </c>
      <c r="W89" s="16" t="s">
        <v>138</v>
      </c>
      <c r="X89" s="16" t="s">
        <v>1239</v>
      </c>
      <c r="Y89" s="16" t="str">
        <f t="shared" si="1"/>
        <v>Carlton Celestine</v>
      </c>
      <c r="Z89" s="16" t="s">
        <v>1238</v>
      </c>
      <c r="AA89" s="17" t="s">
        <v>1238</v>
      </c>
      <c r="AB89" s="17" t="s">
        <v>6</v>
      </c>
      <c r="AC89" s="17" t="s">
        <v>307</v>
      </c>
    </row>
    <row r="90" spans="2:29" s="16" customFormat="1" x14ac:dyDescent="0.2">
      <c r="B90" s="16" t="s">
        <v>305</v>
      </c>
      <c r="C90" s="16" t="s">
        <v>306</v>
      </c>
      <c r="D90" s="16" t="s">
        <v>106</v>
      </c>
      <c r="E90" s="16" t="s">
        <v>31</v>
      </c>
      <c r="F90" s="16" t="s">
        <v>32</v>
      </c>
      <c r="G90" s="17">
        <v>2000</v>
      </c>
      <c r="H90" s="17">
        <v>55</v>
      </c>
      <c r="I90" s="17">
        <v>10</v>
      </c>
      <c r="J90" s="17">
        <v>350</v>
      </c>
      <c r="K90" s="16" t="s">
        <v>34</v>
      </c>
      <c r="L90" s="16" t="s">
        <v>34</v>
      </c>
      <c r="M90" s="17">
        <v>107600</v>
      </c>
      <c r="N90" s="17">
        <v>9856</v>
      </c>
      <c r="O90" s="17">
        <v>904</v>
      </c>
      <c r="P90" s="17">
        <v>12</v>
      </c>
      <c r="Q90" s="17">
        <v>2</v>
      </c>
      <c r="R90" s="17">
        <v>2714</v>
      </c>
      <c r="S90" s="17">
        <v>2600</v>
      </c>
      <c r="T90" s="16" t="s">
        <v>34</v>
      </c>
      <c r="U90" s="16" t="s">
        <v>34</v>
      </c>
      <c r="V90" s="16" t="s">
        <v>35</v>
      </c>
      <c r="W90" s="16" t="s">
        <v>639</v>
      </c>
      <c r="X90" s="16" t="s">
        <v>1237</v>
      </c>
      <c r="Y90" s="16" t="str">
        <f t="shared" si="1"/>
        <v>Joseph Savant</v>
      </c>
      <c r="Z90" s="16" t="s">
        <v>1216</v>
      </c>
      <c r="AA90" s="17" t="s">
        <v>1216</v>
      </c>
      <c r="AB90" s="17" t="s">
        <v>6</v>
      </c>
      <c r="AC90" s="17" t="s">
        <v>307</v>
      </c>
    </row>
    <row r="91" spans="2:29" s="13" customFormat="1" x14ac:dyDescent="0.2">
      <c r="B91" s="13" t="s">
        <v>564</v>
      </c>
      <c r="C91" s="13" t="s">
        <v>71</v>
      </c>
      <c r="D91" s="13" t="s">
        <v>521</v>
      </c>
      <c r="E91" s="13" t="s">
        <v>31</v>
      </c>
      <c r="F91" s="13" t="s">
        <v>32</v>
      </c>
      <c r="G91" s="14">
        <v>1959</v>
      </c>
      <c r="H91" s="14">
        <v>82</v>
      </c>
      <c r="I91" s="14">
        <v>14</v>
      </c>
      <c r="J91" s="14">
        <v>0</v>
      </c>
      <c r="K91" s="13" t="s">
        <v>34</v>
      </c>
      <c r="L91" s="13" t="s">
        <v>34</v>
      </c>
      <c r="M91" s="14">
        <v>131000</v>
      </c>
      <c r="N91" s="14">
        <v>0</v>
      </c>
      <c r="O91" s="14">
        <v>0</v>
      </c>
      <c r="P91" s="14">
        <v>7</v>
      </c>
      <c r="Q91" s="14">
        <v>1</v>
      </c>
      <c r="R91" s="14">
        <v>1684</v>
      </c>
      <c r="S91" s="14">
        <v>1263</v>
      </c>
      <c r="T91" s="13" t="s">
        <v>33</v>
      </c>
      <c r="U91" s="13" t="s">
        <v>33</v>
      </c>
      <c r="V91" s="13" t="s">
        <v>103</v>
      </c>
      <c r="W91" s="13" t="s">
        <v>1188</v>
      </c>
      <c r="X91" s="13" t="s">
        <v>1187</v>
      </c>
      <c r="Y91" s="13" t="str">
        <f t="shared" si="1"/>
        <v>Katherine Bendetto</v>
      </c>
      <c r="Z91" s="13" t="s">
        <v>889</v>
      </c>
      <c r="AA91" s="14" t="s">
        <v>889</v>
      </c>
      <c r="AB91" s="14" t="s">
        <v>6</v>
      </c>
      <c r="AC91" s="14" t="s">
        <v>59</v>
      </c>
    </row>
    <row r="92" spans="2:29" s="9" customFormat="1" x14ac:dyDescent="0.2">
      <c r="B92" s="9" t="s">
        <v>318</v>
      </c>
      <c r="C92" s="9" t="s">
        <v>319</v>
      </c>
      <c r="D92" s="9" t="s">
        <v>102</v>
      </c>
      <c r="E92" s="9" t="s">
        <v>31</v>
      </c>
      <c r="F92" s="9" t="s">
        <v>32</v>
      </c>
      <c r="G92" s="10">
        <v>1957</v>
      </c>
      <c r="H92" s="10">
        <v>44</v>
      </c>
      <c r="I92" s="10">
        <v>10</v>
      </c>
      <c r="J92" s="10">
        <v>0</v>
      </c>
      <c r="K92" s="9" t="s">
        <v>34</v>
      </c>
      <c r="L92" s="9" t="s">
        <v>34</v>
      </c>
      <c r="M92" s="10">
        <v>78520</v>
      </c>
      <c r="N92" s="10">
        <v>0</v>
      </c>
      <c r="O92" s="10">
        <v>0</v>
      </c>
      <c r="P92" s="10">
        <v>11</v>
      </c>
      <c r="Q92" s="10">
        <v>2</v>
      </c>
      <c r="R92" s="10">
        <v>7600</v>
      </c>
      <c r="S92" s="10">
        <v>1670</v>
      </c>
      <c r="T92" s="9" t="s">
        <v>33</v>
      </c>
      <c r="U92" s="9" t="s">
        <v>33</v>
      </c>
      <c r="V92" s="9" t="s">
        <v>103</v>
      </c>
      <c r="W92" s="9" t="s">
        <v>1236</v>
      </c>
      <c r="X92" s="9" t="s">
        <v>1235</v>
      </c>
      <c r="Y92" s="9" t="str">
        <f t="shared" si="1"/>
        <v>Andrew Gomeringer</v>
      </c>
      <c r="Z92" s="9" t="s">
        <v>1211</v>
      </c>
      <c r="AA92" s="10" t="s">
        <v>1210</v>
      </c>
      <c r="AB92" s="10" t="s">
        <v>6</v>
      </c>
      <c r="AC92" s="10" t="s">
        <v>320</v>
      </c>
    </row>
    <row r="93" spans="2:29" s="13" customFormat="1" x14ac:dyDescent="0.2">
      <c r="B93" s="13" t="s">
        <v>653</v>
      </c>
      <c r="C93" s="13" t="s">
        <v>432</v>
      </c>
      <c r="D93" s="13" t="s">
        <v>521</v>
      </c>
      <c r="E93" s="13" t="s">
        <v>31</v>
      </c>
      <c r="F93" s="13" t="s">
        <v>32</v>
      </c>
      <c r="G93" s="14">
        <v>1950</v>
      </c>
      <c r="H93" s="14">
        <v>112</v>
      </c>
      <c r="I93" s="14">
        <v>29</v>
      </c>
      <c r="J93" s="14">
        <v>0</v>
      </c>
      <c r="K93" s="13" t="s">
        <v>34</v>
      </c>
      <c r="L93" s="13" t="s">
        <v>33</v>
      </c>
      <c r="M93" s="14">
        <v>260000</v>
      </c>
      <c r="N93" s="14">
        <v>15000</v>
      </c>
      <c r="O93" s="14">
        <v>209</v>
      </c>
      <c r="P93" s="14">
        <v>0</v>
      </c>
      <c r="Q93" s="14">
        <v>0</v>
      </c>
      <c r="R93" s="14">
        <v>3000</v>
      </c>
      <c r="S93" s="14">
        <v>1246</v>
      </c>
      <c r="T93" s="13" t="s">
        <v>33</v>
      </c>
      <c r="U93" s="13" t="s">
        <v>33</v>
      </c>
      <c r="V93" s="13" t="s">
        <v>35</v>
      </c>
      <c r="W93" s="13" t="s">
        <v>570</v>
      </c>
      <c r="X93" s="13" t="s">
        <v>250</v>
      </c>
      <c r="Y93" s="13" t="str">
        <f t="shared" si="1"/>
        <v>Kevin O'Sullivan</v>
      </c>
      <c r="Z93" s="13" t="s">
        <v>1299</v>
      </c>
      <c r="AA93" s="14" t="s">
        <v>1298</v>
      </c>
      <c r="AB93" s="14" t="s">
        <v>1320</v>
      </c>
      <c r="AC93" s="14" t="s">
        <v>652</v>
      </c>
    </row>
    <row r="94" spans="2:29" s="16" customFormat="1" x14ac:dyDescent="0.2">
      <c r="B94" s="16" t="s">
        <v>407</v>
      </c>
      <c r="C94" s="16" t="s">
        <v>274</v>
      </c>
      <c r="D94" s="16" t="s">
        <v>0</v>
      </c>
      <c r="E94" s="16" t="s">
        <v>275</v>
      </c>
      <c r="F94" s="16" t="s">
        <v>32</v>
      </c>
      <c r="G94" s="17">
        <v>1900</v>
      </c>
      <c r="H94" s="17">
        <v>540</v>
      </c>
      <c r="I94" s="17">
        <v>0</v>
      </c>
      <c r="J94" s="17">
        <v>0</v>
      </c>
      <c r="K94" s="16" t="s">
        <v>33</v>
      </c>
      <c r="L94" s="16" t="s">
        <v>33</v>
      </c>
      <c r="M94" s="17">
        <v>420000</v>
      </c>
      <c r="N94" s="17">
        <v>34800</v>
      </c>
      <c r="O94" s="17">
        <v>3600</v>
      </c>
      <c r="P94" s="17">
        <v>65</v>
      </c>
      <c r="Q94" s="17">
        <v>1</v>
      </c>
      <c r="R94" s="17">
        <v>1000</v>
      </c>
      <c r="S94" s="17">
        <v>9000</v>
      </c>
      <c r="T94" s="16" t="s">
        <v>33</v>
      </c>
      <c r="U94" s="16" t="s">
        <v>33</v>
      </c>
      <c r="V94" s="16" t="s">
        <v>35</v>
      </c>
      <c r="W94" s="16" t="s">
        <v>408</v>
      </c>
      <c r="X94" s="16" t="s">
        <v>409</v>
      </c>
      <c r="Y94" s="16" t="str">
        <f t="shared" si="1"/>
        <v>Peter Johns</v>
      </c>
      <c r="Z94" s="16" t="s">
        <v>410</v>
      </c>
      <c r="AA94" s="17" t="s">
        <v>411</v>
      </c>
      <c r="AB94" s="17" t="s">
        <v>6</v>
      </c>
      <c r="AC94" s="17" t="s">
        <v>412</v>
      </c>
    </row>
    <row r="95" spans="2:29" s="9" customFormat="1" x14ac:dyDescent="0.2">
      <c r="B95" s="9" t="s">
        <v>395</v>
      </c>
      <c r="C95" s="9" t="s">
        <v>396</v>
      </c>
      <c r="D95" s="9" t="s">
        <v>387</v>
      </c>
      <c r="E95" s="9" t="s">
        <v>31</v>
      </c>
      <c r="F95" s="9" t="s">
        <v>32</v>
      </c>
      <c r="G95" s="10">
        <v>1900</v>
      </c>
      <c r="H95" s="10">
        <v>41</v>
      </c>
      <c r="I95" s="10">
        <v>0</v>
      </c>
      <c r="J95" s="10">
        <v>0</v>
      </c>
      <c r="K95" s="9" t="s">
        <v>34</v>
      </c>
      <c r="L95" s="9" t="s">
        <v>33</v>
      </c>
      <c r="M95" s="10">
        <v>130000</v>
      </c>
      <c r="N95" s="10">
        <v>17000</v>
      </c>
      <c r="O95" s="10">
        <v>415</v>
      </c>
      <c r="P95" s="10">
        <v>8</v>
      </c>
      <c r="Q95" s="10">
        <v>1</v>
      </c>
      <c r="R95" s="10">
        <v>4235</v>
      </c>
      <c r="S95" s="10">
        <v>0</v>
      </c>
      <c r="T95" s="9" t="s">
        <v>34</v>
      </c>
      <c r="U95" s="9" t="s">
        <v>34</v>
      </c>
      <c r="V95" s="9" t="s">
        <v>35</v>
      </c>
      <c r="W95" s="9" t="s">
        <v>136</v>
      </c>
      <c r="X95" s="9" t="s">
        <v>1331</v>
      </c>
      <c r="Y95" s="9" t="str">
        <f t="shared" si="1"/>
        <v>Justin Quigno</v>
      </c>
      <c r="Z95" s="9" t="s">
        <v>91</v>
      </c>
      <c r="AA95" s="10" t="s">
        <v>92</v>
      </c>
      <c r="AB95" s="10" t="s">
        <v>340</v>
      </c>
      <c r="AC95" s="10" t="s">
        <v>397</v>
      </c>
    </row>
    <row r="96" spans="2:29" s="16" customFormat="1" x14ac:dyDescent="0.2">
      <c r="B96" s="16" t="s">
        <v>395</v>
      </c>
      <c r="C96" s="16" t="s">
        <v>396</v>
      </c>
      <c r="D96" s="16" t="s">
        <v>387</v>
      </c>
      <c r="E96" s="16" t="s">
        <v>31</v>
      </c>
      <c r="F96" s="16" t="s">
        <v>32</v>
      </c>
      <c r="G96" s="17">
        <v>1900</v>
      </c>
      <c r="H96" s="17">
        <v>41</v>
      </c>
      <c r="I96" s="17">
        <v>0</v>
      </c>
      <c r="J96" s="17">
        <v>0</v>
      </c>
      <c r="K96" s="16" t="s">
        <v>34</v>
      </c>
      <c r="L96" s="16" t="s">
        <v>33</v>
      </c>
      <c r="M96" s="17">
        <v>130000</v>
      </c>
      <c r="N96" s="17">
        <v>17000</v>
      </c>
      <c r="O96" s="17">
        <v>415</v>
      </c>
      <c r="P96" s="17">
        <v>8</v>
      </c>
      <c r="Q96" s="17">
        <v>1</v>
      </c>
      <c r="R96" s="17">
        <v>4235</v>
      </c>
      <c r="S96" s="17">
        <v>0</v>
      </c>
      <c r="T96" s="16" t="s">
        <v>34</v>
      </c>
      <c r="U96" s="16" t="s">
        <v>34</v>
      </c>
      <c r="V96" s="16" t="s">
        <v>35</v>
      </c>
      <c r="W96" s="16" t="s">
        <v>1175</v>
      </c>
      <c r="X96" s="16" t="s">
        <v>1217</v>
      </c>
      <c r="Y96" s="16" t="str">
        <f t="shared" si="1"/>
        <v>Loretta Edwards</v>
      </c>
      <c r="Z96" s="16" t="s">
        <v>1216</v>
      </c>
      <c r="AA96" s="17" t="s">
        <v>1216</v>
      </c>
      <c r="AB96" s="17" t="s">
        <v>6</v>
      </c>
      <c r="AC96" s="17" t="s">
        <v>397</v>
      </c>
    </row>
    <row r="97" spans="2:29" s="13" customFormat="1" x14ac:dyDescent="0.2">
      <c r="B97" s="13" t="s">
        <v>695</v>
      </c>
      <c r="C97" s="13" t="s">
        <v>696</v>
      </c>
      <c r="D97" s="13" t="s">
        <v>135</v>
      </c>
      <c r="E97" s="13" t="s">
        <v>31</v>
      </c>
      <c r="F97" s="13" t="s">
        <v>32</v>
      </c>
      <c r="G97" s="14">
        <v>1875</v>
      </c>
      <c r="H97" s="14">
        <v>0</v>
      </c>
      <c r="I97" s="14">
        <v>0</v>
      </c>
      <c r="J97" s="14">
        <v>0</v>
      </c>
      <c r="K97" s="13" t="s">
        <v>34</v>
      </c>
      <c r="L97" s="13" t="s">
        <v>34</v>
      </c>
      <c r="M97" s="14">
        <v>167000</v>
      </c>
      <c r="N97" s="14">
        <v>0</v>
      </c>
      <c r="O97" s="14">
        <v>0</v>
      </c>
      <c r="P97" s="14">
        <v>5</v>
      </c>
      <c r="Q97" s="14">
        <v>0</v>
      </c>
      <c r="R97" s="14">
        <v>2600</v>
      </c>
      <c r="S97" s="14">
        <v>433</v>
      </c>
      <c r="T97" s="13" t="s">
        <v>33</v>
      </c>
      <c r="U97" s="13" t="s">
        <v>33</v>
      </c>
      <c r="V97" s="13" t="s">
        <v>103</v>
      </c>
      <c r="W97" s="13" t="s">
        <v>481</v>
      </c>
      <c r="X97" s="13" t="s">
        <v>1418</v>
      </c>
      <c r="Y97" s="13" t="str">
        <f t="shared" si="1"/>
        <v>Gary DeWitt</v>
      </c>
      <c r="Z97" s="13" t="s">
        <v>1417</v>
      </c>
      <c r="AA97" s="14" t="s">
        <v>1417</v>
      </c>
      <c r="AB97" s="14" t="s">
        <v>93</v>
      </c>
      <c r="AC97" s="14" t="s">
        <v>697</v>
      </c>
    </row>
    <row r="98" spans="2:29" s="13" customFormat="1" x14ac:dyDescent="0.2">
      <c r="B98" s="13" t="s">
        <v>695</v>
      </c>
      <c r="C98" s="13" t="s">
        <v>696</v>
      </c>
      <c r="D98" s="13" t="s">
        <v>135</v>
      </c>
      <c r="E98" s="13" t="s">
        <v>31</v>
      </c>
      <c r="F98" s="13" t="s">
        <v>32</v>
      </c>
      <c r="G98" s="14">
        <v>1875</v>
      </c>
      <c r="H98" s="14">
        <v>0</v>
      </c>
      <c r="I98" s="14">
        <v>0</v>
      </c>
      <c r="J98" s="14">
        <v>0</v>
      </c>
      <c r="K98" s="13" t="s">
        <v>34</v>
      </c>
      <c r="L98" s="13" t="s">
        <v>34</v>
      </c>
      <c r="M98" s="14">
        <v>167000</v>
      </c>
      <c r="N98" s="14">
        <v>0</v>
      </c>
      <c r="O98" s="14">
        <v>0</v>
      </c>
      <c r="P98" s="14">
        <v>5</v>
      </c>
      <c r="Q98" s="14">
        <v>0</v>
      </c>
      <c r="R98" s="14">
        <v>2600</v>
      </c>
      <c r="S98" s="14">
        <v>433</v>
      </c>
      <c r="T98" s="13" t="s">
        <v>33</v>
      </c>
      <c r="U98" s="13" t="s">
        <v>33</v>
      </c>
      <c r="V98" s="13" t="s">
        <v>103</v>
      </c>
      <c r="W98" s="13" t="s">
        <v>1286</v>
      </c>
      <c r="X98" s="13" t="s">
        <v>1285</v>
      </c>
      <c r="Y98" s="13" t="str">
        <f t="shared" si="1"/>
        <v>Roger Bryant</v>
      </c>
      <c r="Z98" s="13" t="s">
        <v>1258</v>
      </c>
      <c r="AA98" s="14" t="s">
        <v>1258</v>
      </c>
      <c r="AB98" s="14" t="s">
        <v>1275</v>
      </c>
      <c r="AC98" s="14" t="s">
        <v>697</v>
      </c>
    </row>
    <row r="99" spans="2:29" s="18" customFormat="1" x14ac:dyDescent="0.2">
      <c r="B99" s="18" t="s">
        <v>695</v>
      </c>
      <c r="C99" s="18" t="s">
        <v>696</v>
      </c>
      <c r="D99" s="18" t="s">
        <v>135</v>
      </c>
      <c r="E99" s="18" t="s">
        <v>31</v>
      </c>
      <c r="F99" s="18" t="s">
        <v>32</v>
      </c>
      <c r="G99" s="19">
        <v>1875</v>
      </c>
      <c r="H99" s="19">
        <v>0</v>
      </c>
      <c r="I99" s="19">
        <v>0</v>
      </c>
      <c r="J99" s="19">
        <v>0</v>
      </c>
      <c r="K99" s="18" t="s">
        <v>34</v>
      </c>
      <c r="L99" s="18" t="s">
        <v>34</v>
      </c>
      <c r="M99" s="19">
        <v>167000</v>
      </c>
      <c r="N99" s="19">
        <v>0</v>
      </c>
      <c r="O99" s="19">
        <v>0</v>
      </c>
      <c r="P99" s="19">
        <v>5</v>
      </c>
      <c r="Q99" s="19">
        <v>0</v>
      </c>
      <c r="R99" s="19">
        <v>2600</v>
      </c>
      <c r="S99" s="19">
        <v>433</v>
      </c>
      <c r="T99" s="18" t="s">
        <v>33</v>
      </c>
      <c r="U99" s="18" t="s">
        <v>33</v>
      </c>
      <c r="V99" s="18" t="s">
        <v>103</v>
      </c>
      <c r="W99" s="18" t="s">
        <v>326</v>
      </c>
      <c r="X99" s="18" t="s">
        <v>1284</v>
      </c>
      <c r="Y99" s="18" t="str">
        <f t="shared" si="1"/>
        <v>Mark Woffindale</v>
      </c>
      <c r="Z99" s="18" t="s">
        <v>1258</v>
      </c>
      <c r="AA99" s="19" t="s">
        <v>1258</v>
      </c>
      <c r="AB99" s="19" t="s">
        <v>1275</v>
      </c>
      <c r="AC99" s="19" t="s">
        <v>697</v>
      </c>
    </row>
    <row r="100" spans="2:29" s="13" customFormat="1" x14ac:dyDescent="0.2">
      <c r="B100" s="13" t="s">
        <v>761</v>
      </c>
      <c r="C100" s="13" t="s">
        <v>87</v>
      </c>
      <c r="D100" s="13" t="s">
        <v>88</v>
      </c>
      <c r="E100" s="13" t="s">
        <v>31</v>
      </c>
      <c r="F100" s="13" t="s">
        <v>32</v>
      </c>
      <c r="G100" s="14">
        <v>1848</v>
      </c>
      <c r="H100" s="14">
        <v>133</v>
      </c>
      <c r="I100" s="14">
        <v>0</v>
      </c>
      <c r="J100" s="14">
        <v>0</v>
      </c>
      <c r="K100" s="13" t="s">
        <v>34</v>
      </c>
      <c r="L100" s="13" t="s">
        <v>33</v>
      </c>
      <c r="M100" s="14">
        <v>138000</v>
      </c>
      <c r="N100" s="14">
        <v>165000</v>
      </c>
      <c r="O100" s="14">
        <v>1399</v>
      </c>
      <c r="P100" s="14">
        <v>6</v>
      </c>
      <c r="Q100" s="14">
        <v>6</v>
      </c>
      <c r="R100" s="14">
        <v>7000</v>
      </c>
      <c r="S100" s="14">
        <v>2500</v>
      </c>
      <c r="T100" s="13" t="s">
        <v>33</v>
      </c>
      <c r="U100" s="13" t="s">
        <v>33</v>
      </c>
      <c r="V100" s="13" t="s">
        <v>35</v>
      </c>
      <c r="W100" s="13" t="s">
        <v>1412</v>
      </c>
      <c r="X100" s="13" t="s">
        <v>1411</v>
      </c>
      <c r="Y100" s="13" t="str">
        <f t="shared" si="1"/>
        <v>Ted Herzchel</v>
      </c>
      <c r="Z100" s="13" t="s">
        <v>91</v>
      </c>
      <c r="AA100" s="14" t="s">
        <v>92</v>
      </c>
      <c r="AB100" s="14" t="s">
        <v>93</v>
      </c>
      <c r="AC100" s="14" t="s">
        <v>762</v>
      </c>
    </row>
    <row r="101" spans="2:29" s="11" customFormat="1" x14ac:dyDescent="0.2">
      <c r="B101" s="11" t="s">
        <v>761</v>
      </c>
      <c r="C101" s="11" t="s">
        <v>87</v>
      </c>
      <c r="D101" s="11" t="s">
        <v>88</v>
      </c>
      <c r="E101" s="11" t="s">
        <v>31</v>
      </c>
      <c r="F101" s="11" t="s">
        <v>32</v>
      </c>
      <c r="G101" s="12">
        <v>1848</v>
      </c>
      <c r="H101" s="12">
        <v>133</v>
      </c>
      <c r="I101" s="12">
        <v>0</v>
      </c>
      <c r="J101" s="12">
        <v>0</v>
      </c>
      <c r="K101" s="11" t="s">
        <v>34</v>
      </c>
      <c r="L101" s="11" t="s">
        <v>33</v>
      </c>
      <c r="M101" s="12">
        <v>138000</v>
      </c>
      <c r="N101" s="12">
        <v>165000</v>
      </c>
      <c r="O101" s="12">
        <v>1399</v>
      </c>
      <c r="P101" s="12">
        <v>6</v>
      </c>
      <c r="Q101" s="12">
        <v>6</v>
      </c>
      <c r="R101" s="12">
        <v>7000</v>
      </c>
      <c r="S101" s="12">
        <v>2500</v>
      </c>
      <c r="T101" s="11" t="s">
        <v>33</v>
      </c>
      <c r="U101" s="11" t="s">
        <v>33</v>
      </c>
      <c r="V101" s="11" t="s">
        <v>35</v>
      </c>
      <c r="W101" s="11" t="s">
        <v>89</v>
      </c>
      <c r="X101" s="11" t="s">
        <v>1410</v>
      </c>
      <c r="Y101" s="11" t="str">
        <f t="shared" si="1"/>
        <v>Frank Ruocco</v>
      </c>
      <c r="Z101" s="11" t="s">
        <v>1409</v>
      </c>
      <c r="AA101" s="12" t="s">
        <v>1408</v>
      </c>
      <c r="AB101" s="12" t="s">
        <v>93</v>
      </c>
      <c r="AC101" s="12" t="s">
        <v>762</v>
      </c>
    </row>
    <row r="102" spans="2:29" s="11" customFormat="1" x14ac:dyDescent="0.2">
      <c r="B102" s="11" t="s">
        <v>761</v>
      </c>
      <c r="C102" s="11" t="s">
        <v>87</v>
      </c>
      <c r="D102" s="11" t="s">
        <v>88</v>
      </c>
      <c r="E102" s="11" t="s">
        <v>31</v>
      </c>
      <c r="F102" s="11" t="s">
        <v>32</v>
      </c>
      <c r="G102" s="12">
        <v>1848</v>
      </c>
      <c r="H102" s="12">
        <v>133</v>
      </c>
      <c r="I102" s="12">
        <v>0</v>
      </c>
      <c r="J102" s="12">
        <v>0</v>
      </c>
      <c r="K102" s="11" t="s">
        <v>34</v>
      </c>
      <c r="L102" s="11" t="s">
        <v>33</v>
      </c>
      <c r="M102" s="12">
        <v>138000</v>
      </c>
      <c r="N102" s="12">
        <v>165000</v>
      </c>
      <c r="O102" s="12">
        <v>1399</v>
      </c>
      <c r="P102" s="12">
        <v>6</v>
      </c>
      <c r="Q102" s="12">
        <v>6</v>
      </c>
      <c r="R102" s="12">
        <v>7000</v>
      </c>
      <c r="S102" s="12">
        <v>2500</v>
      </c>
      <c r="T102" s="11" t="s">
        <v>33</v>
      </c>
      <c r="U102" s="11" t="s">
        <v>33</v>
      </c>
      <c r="V102" s="11" t="s">
        <v>35</v>
      </c>
      <c r="W102" s="11" t="s">
        <v>1158</v>
      </c>
      <c r="X102" s="11" t="s">
        <v>1157</v>
      </c>
      <c r="Y102" s="11" t="str">
        <f t="shared" si="1"/>
        <v>Pete Masarone</v>
      </c>
      <c r="Z102" s="11" t="s">
        <v>889</v>
      </c>
      <c r="AA102" s="12" t="s">
        <v>889</v>
      </c>
      <c r="AB102" s="12" t="s">
        <v>6</v>
      </c>
      <c r="AC102" s="12" t="s">
        <v>762</v>
      </c>
    </row>
    <row r="103" spans="2:29" s="13" customFormat="1" x14ac:dyDescent="0.2">
      <c r="B103" s="13" t="s">
        <v>620</v>
      </c>
      <c r="C103" s="13" t="s">
        <v>621</v>
      </c>
      <c r="D103" s="13" t="s">
        <v>427</v>
      </c>
      <c r="E103" s="13" t="s">
        <v>31</v>
      </c>
      <c r="F103" s="13" t="s">
        <v>32</v>
      </c>
      <c r="G103" s="14">
        <v>1825</v>
      </c>
      <c r="H103" s="14">
        <v>43</v>
      </c>
      <c r="I103" s="14">
        <v>8</v>
      </c>
      <c r="J103" s="14">
        <v>0</v>
      </c>
      <c r="K103" s="13" t="s">
        <v>34</v>
      </c>
      <c r="L103" s="13" t="s">
        <v>33</v>
      </c>
      <c r="M103" s="14">
        <v>49746</v>
      </c>
      <c r="N103" s="14">
        <v>0</v>
      </c>
      <c r="O103" s="14">
        <v>0</v>
      </c>
      <c r="P103" s="14">
        <v>3</v>
      </c>
      <c r="Q103" s="14">
        <v>0</v>
      </c>
      <c r="R103" s="14">
        <v>1850</v>
      </c>
      <c r="S103" s="14">
        <v>830</v>
      </c>
      <c r="T103" s="13" t="s">
        <v>33</v>
      </c>
      <c r="U103" s="13" t="s">
        <v>33</v>
      </c>
      <c r="V103" s="13" t="s">
        <v>35</v>
      </c>
      <c r="W103" s="13" t="s">
        <v>622</v>
      </c>
      <c r="X103" s="13" t="s">
        <v>623</v>
      </c>
      <c r="Y103" s="13" t="str">
        <f t="shared" si="1"/>
        <v>Keith Henson</v>
      </c>
      <c r="Z103" s="13" t="s">
        <v>624</v>
      </c>
      <c r="AA103" s="14" t="s">
        <v>625</v>
      </c>
      <c r="AB103" s="14" t="s">
        <v>93</v>
      </c>
      <c r="AC103" s="14" t="s">
        <v>53</v>
      </c>
    </row>
    <row r="104" spans="2:29" s="11" customFormat="1" x14ac:dyDescent="0.2">
      <c r="B104" s="11" t="s">
        <v>620</v>
      </c>
      <c r="C104" s="11" t="s">
        <v>621</v>
      </c>
      <c r="D104" s="11" t="s">
        <v>427</v>
      </c>
      <c r="E104" s="11" t="s">
        <v>31</v>
      </c>
      <c r="F104" s="11" t="s">
        <v>32</v>
      </c>
      <c r="G104" s="12">
        <v>1825</v>
      </c>
      <c r="H104" s="12">
        <v>43</v>
      </c>
      <c r="I104" s="12">
        <v>8</v>
      </c>
      <c r="J104" s="12">
        <v>0</v>
      </c>
      <c r="K104" s="11" t="s">
        <v>34</v>
      </c>
      <c r="L104" s="11" t="s">
        <v>33</v>
      </c>
      <c r="M104" s="12">
        <v>49746</v>
      </c>
      <c r="N104" s="12">
        <v>0</v>
      </c>
      <c r="O104" s="12">
        <v>0</v>
      </c>
      <c r="P104" s="12">
        <v>3</v>
      </c>
      <c r="Q104" s="12">
        <v>0</v>
      </c>
      <c r="R104" s="12">
        <v>1850</v>
      </c>
      <c r="S104" s="12">
        <v>830</v>
      </c>
      <c r="T104" s="11" t="s">
        <v>33</v>
      </c>
      <c r="U104" s="11" t="s">
        <v>33</v>
      </c>
      <c r="V104" s="11" t="s">
        <v>35</v>
      </c>
      <c r="W104" s="11" t="s">
        <v>685</v>
      </c>
      <c r="X104" s="11" t="s">
        <v>1176</v>
      </c>
      <c r="Y104" s="11" t="str">
        <f t="shared" si="1"/>
        <v>William Andrisse</v>
      </c>
      <c r="Z104" s="11" t="s">
        <v>889</v>
      </c>
      <c r="AA104" s="12" t="s">
        <v>889</v>
      </c>
      <c r="AB104" s="12" t="s">
        <v>6</v>
      </c>
      <c r="AC104" s="12" t="s">
        <v>53</v>
      </c>
    </row>
    <row r="105" spans="2:29" s="9" customFormat="1" x14ac:dyDescent="0.2">
      <c r="B105" s="9" t="s">
        <v>1028</v>
      </c>
      <c r="C105" s="9" t="s">
        <v>1029</v>
      </c>
      <c r="D105" s="9" t="s">
        <v>139</v>
      </c>
      <c r="E105" s="9" t="s">
        <v>31</v>
      </c>
      <c r="F105" s="9" t="s">
        <v>32</v>
      </c>
      <c r="G105" s="10">
        <v>1800</v>
      </c>
      <c r="H105" s="10">
        <v>40</v>
      </c>
      <c r="I105" s="10">
        <v>7</v>
      </c>
      <c r="J105" s="10">
        <v>500</v>
      </c>
      <c r="K105" s="9" t="s">
        <v>33</v>
      </c>
      <c r="L105" s="9" t="s">
        <v>33</v>
      </c>
      <c r="M105" s="10">
        <v>150000</v>
      </c>
      <c r="N105" s="10">
        <v>50000</v>
      </c>
      <c r="O105" s="10">
        <v>788</v>
      </c>
      <c r="P105" s="10">
        <v>15</v>
      </c>
      <c r="Q105" s="10">
        <v>1</v>
      </c>
      <c r="R105" s="10">
        <v>3909</v>
      </c>
      <c r="S105" s="10">
        <v>1500</v>
      </c>
      <c r="T105" s="9" t="s">
        <v>34</v>
      </c>
      <c r="U105" s="9" t="s">
        <v>34</v>
      </c>
      <c r="V105" s="9" t="s">
        <v>35</v>
      </c>
      <c r="W105" s="9" t="s">
        <v>159</v>
      </c>
      <c r="X105" s="9" t="s">
        <v>1277</v>
      </c>
      <c r="Y105" s="9" t="str">
        <f t="shared" si="1"/>
        <v>Michael Jankoviak</v>
      </c>
      <c r="Z105" s="9" t="s">
        <v>1276</v>
      </c>
      <c r="AA105" s="10" t="s">
        <v>1276</v>
      </c>
      <c r="AB105" s="10" t="s">
        <v>1275</v>
      </c>
      <c r="AC105" s="10" t="s">
        <v>1030</v>
      </c>
    </row>
    <row r="106" spans="2:29" s="13" customFormat="1" x14ac:dyDescent="0.2">
      <c r="B106" s="13" t="s">
        <v>257</v>
      </c>
      <c r="C106" s="13" t="s">
        <v>258</v>
      </c>
      <c r="D106" s="13" t="s">
        <v>39</v>
      </c>
      <c r="E106" s="13" t="s">
        <v>31</v>
      </c>
      <c r="F106" s="13" t="s">
        <v>32</v>
      </c>
      <c r="G106" s="14">
        <v>1800</v>
      </c>
      <c r="H106" s="14">
        <v>36</v>
      </c>
      <c r="I106" s="14">
        <v>0</v>
      </c>
      <c r="J106" s="14">
        <v>0</v>
      </c>
      <c r="K106" s="13" t="s">
        <v>33</v>
      </c>
      <c r="L106" s="13" t="s">
        <v>33</v>
      </c>
      <c r="M106" s="14">
        <v>56000</v>
      </c>
      <c r="N106" s="14">
        <v>0</v>
      </c>
      <c r="O106" s="14">
        <v>400</v>
      </c>
      <c r="P106" s="14">
        <v>9</v>
      </c>
      <c r="Q106" s="14">
        <v>0</v>
      </c>
      <c r="R106" s="14">
        <v>2500</v>
      </c>
      <c r="S106" s="14">
        <v>1380</v>
      </c>
      <c r="T106" s="13" t="s">
        <v>34</v>
      </c>
      <c r="U106" s="13" t="s">
        <v>34</v>
      </c>
      <c r="V106" s="13" t="s">
        <v>35</v>
      </c>
      <c r="W106" s="13" t="s">
        <v>171</v>
      </c>
      <c r="X106" s="13" t="s">
        <v>1245</v>
      </c>
      <c r="Y106" s="13" t="str">
        <f t="shared" si="1"/>
        <v>Sean Emel</v>
      </c>
      <c r="Z106" s="13" t="s">
        <v>1094</v>
      </c>
      <c r="AA106" s="14" t="s">
        <v>1094</v>
      </c>
      <c r="AB106" s="14" t="s">
        <v>6</v>
      </c>
      <c r="AC106" s="14" t="s">
        <v>259</v>
      </c>
    </row>
    <row r="107" spans="2:29" s="13" customFormat="1" x14ac:dyDescent="0.2">
      <c r="B107" s="13" t="s">
        <v>398</v>
      </c>
      <c r="C107" s="13" t="s">
        <v>399</v>
      </c>
      <c r="D107" s="13" t="s">
        <v>146</v>
      </c>
      <c r="E107" s="13" t="s">
        <v>31</v>
      </c>
      <c r="F107" s="13" t="s">
        <v>32</v>
      </c>
      <c r="G107" s="14">
        <v>1800</v>
      </c>
      <c r="H107" s="14">
        <v>27</v>
      </c>
      <c r="I107" s="14">
        <v>12</v>
      </c>
      <c r="J107" s="14">
        <v>0</v>
      </c>
      <c r="K107" s="13" t="s">
        <v>34</v>
      </c>
      <c r="L107" s="13" t="s">
        <v>33</v>
      </c>
      <c r="M107" s="14">
        <v>140000</v>
      </c>
      <c r="N107" s="14">
        <v>175000</v>
      </c>
      <c r="O107" s="14">
        <v>0</v>
      </c>
      <c r="P107" s="14">
        <v>6</v>
      </c>
      <c r="Q107" s="14">
        <v>0</v>
      </c>
      <c r="R107" s="14">
        <v>4500</v>
      </c>
      <c r="S107" s="14">
        <v>1200</v>
      </c>
      <c r="T107" s="13" t="s">
        <v>34</v>
      </c>
      <c r="U107" s="13" t="s">
        <v>34</v>
      </c>
      <c r="V107" s="13" t="s">
        <v>35</v>
      </c>
      <c r="W107" s="13" t="s">
        <v>159</v>
      </c>
      <c r="X107" s="13" t="s">
        <v>1215</v>
      </c>
      <c r="Y107" s="13" t="str">
        <f t="shared" si="1"/>
        <v>Michael Bickel</v>
      </c>
      <c r="Z107" s="13" t="s">
        <v>1214</v>
      </c>
      <c r="AA107" s="14" t="s">
        <v>1214</v>
      </c>
      <c r="AB107" s="14" t="s">
        <v>6</v>
      </c>
      <c r="AC107" s="14" t="s">
        <v>397</v>
      </c>
    </row>
    <row r="108" spans="2:29" s="13" customFormat="1" x14ac:dyDescent="0.2">
      <c r="B108" s="13" t="s">
        <v>378</v>
      </c>
      <c r="C108" s="13" t="s">
        <v>379</v>
      </c>
      <c r="D108" s="13" t="s">
        <v>39</v>
      </c>
      <c r="E108" s="13" t="s">
        <v>31</v>
      </c>
      <c r="F108" s="13" t="s">
        <v>32</v>
      </c>
      <c r="G108" s="14">
        <v>1800</v>
      </c>
      <c r="H108" s="14">
        <v>40</v>
      </c>
      <c r="I108" s="14">
        <v>0</v>
      </c>
      <c r="J108" s="14">
        <v>750</v>
      </c>
      <c r="K108" s="13" t="s">
        <v>33</v>
      </c>
      <c r="L108" s="13" t="s">
        <v>34</v>
      </c>
      <c r="M108" s="14">
        <v>100000</v>
      </c>
      <c r="N108" s="14">
        <v>100000</v>
      </c>
      <c r="O108" s="14">
        <v>250</v>
      </c>
      <c r="P108" s="14">
        <v>12</v>
      </c>
      <c r="Q108" s="14">
        <v>1</v>
      </c>
      <c r="R108" s="14">
        <v>5000</v>
      </c>
      <c r="S108" s="14">
        <v>1000</v>
      </c>
      <c r="T108" s="13" t="s">
        <v>34</v>
      </c>
      <c r="U108" s="13" t="s">
        <v>34</v>
      </c>
      <c r="V108" s="13" t="s">
        <v>35</v>
      </c>
      <c r="W108" s="13" t="s">
        <v>1222</v>
      </c>
      <c r="X108" s="13" t="s">
        <v>1221</v>
      </c>
      <c r="Y108" s="13" t="str">
        <f t="shared" si="1"/>
        <v>Tom Sedlock</v>
      </c>
      <c r="Z108" s="13" t="s">
        <v>1094</v>
      </c>
      <c r="AA108" s="14" t="s">
        <v>1094</v>
      </c>
      <c r="AB108" s="14" t="s">
        <v>6</v>
      </c>
      <c r="AC108" s="14" t="s">
        <v>380</v>
      </c>
    </row>
    <row r="109" spans="2:29" s="9" customFormat="1" x14ac:dyDescent="0.2">
      <c r="B109" s="9" t="s">
        <v>698</v>
      </c>
      <c r="C109" s="9" t="s">
        <v>670</v>
      </c>
      <c r="D109" s="9" t="s">
        <v>185</v>
      </c>
      <c r="E109" s="9" t="s">
        <v>31</v>
      </c>
      <c r="F109" s="9" t="s">
        <v>32</v>
      </c>
      <c r="G109" s="10">
        <v>1800</v>
      </c>
      <c r="H109" s="10">
        <v>0</v>
      </c>
      <c r="I109" s="10">
        <v>20</v>
      </c>
      <c r="J109" s="10">
        <v>800</v>
      </c>
      <c r="K109" s="9" t="s">
        <v>33</v>
      </c>
      <c r="L109" s="9" t="s">
        <v>33</v>
      </c>
      <c r="M109" s="10">
        <v>67000</v>
      </c>
      <c r="N109" s="10">
        <v>46000</v>
      </c>
      <c r="O109" s="10">
        <v>302</v>
      </c>
      <c r="P109" s="10">
        <v>9</v>
      </c>
      <c r="Q109" s="10">
        <v>1</v>
      </c>
      <c r="R109" s="10">
        <v>0</v>
      </c>
      <c r="S109" s="10">
        <v>970</v>
      </c>
      <c r="T109" s="9" t="s">
        <v>34</v>
      </c>
      <c r="U109" s="9" t="s">
        <v>34</v>
      </c>
      <c r="V109" s="9" t="s">
        <v>35</v>
      </c>
      <c r="W109" s="9" t="s">
        <v>685</v>
      </c>
      <c r="X109" s="9" t="s">
        <v>686</v>
      </c>
      <c r="Y109" s="9" t="str">
        <f t="shared" si="1"/>
        <v>William King</v>
      </c>
      <c r="Z109" s="9" t="s">
        <v>1165</v>
      </c>
      <c r="AA109" s="10" t="s">
        <v>1165</v>
      </c>
      <c r="AB109" s="10" t="s">
        <v>6</v>
      </c>
      <c r="AC109" s="10" t="s">
        <v>699</v>
      </c>
    </row>
    <row r="110" spans="2:29" s="9" customFormat="1" x14ac:dyDescent="0.2">
      <c r="B110" s="9" t="s">
        <v>446</v>
      </c>
      <c r="C110" s="9" t="s">
        <v>447</v>
      </c>
      <c r="D110" s="9" t="s">
        <v>139</v>
      </c>
      <c r="E110" s="9" t="s">
        <v>31</v>
      </c>
      <c r="F110" s="9" t="s">
        <v>32</v>
      </c>
      <c r="G110" s="10">
        <v>1770</v>
      </c>
      <c r="H110" s="10">
        <v>22</v>
      </c>
      <c r="I110" s="10">
        <v>8</v>
      </c>
      <c r="J110" s="10">
        <v>288</v>
      </c>
      <c r="K110" s="9" t="s">
        <v>33</v>
      </c>
      <c r="L110" s="9" t="s">
        <v>33</v>
      </c>
      <c r="M110" s="10">
        <v>68000</v>
      </c>
      <c r="N110" s="10">
        <v>26000</v>
      </c>
      <c r="O110" s="10">
        <v>563</v>
      </c>
      <c r="P110" s="10">
        <v>6</v>
      </c>
      <c r="Q110" s="10">
        <v>1</v>
      </c>
      <c r="R110" s="10">
        <v>4254</v>
      </c>
      <c r="S110" s="10">
        <v>1111</v>
      </c>
      <c r="T110" s="9" t="s">
        <v>34</v>
      </c>
      <c r="U110" s="9" t="s">
        <v>34</v>
      </c>
      <c r="V110" s="9" t="s">
        <v>35</v>
      </c>
      <c r="W110" s="9" t="s">
        <v>1449</v>
      </c>
      <c r="X110" s="9" t="s">
        <v>1448</v>
      </c>
      <c r="Y110" s="9" t="str">
        <f t="shared" si="1"/>
        <v>Brendan Yepa</v>
      </c>
      <c r="Z110" s="9" t="s">
        <v>1299</v>
      </c>
      <c r="AA110" s="10" t="s">
        <v>1298</v>
      </c>
      <c r="AB110" s="10" t="s">
        <v>93</v>
      </c>
      <c r="AC110" s="10" t="s">
        <v>442</v>
      </c>
    </row>
    <row r="111" spans="2:29" s="13" customFormat="1" x14ac:dyDescent="0.2">
      <c r="B111" s="13" t="s">
        <v>480</v>
      </c>
      <c r="C111" s="13" t="s">
        <v>481</v>
      </c>
      <c r="D111" s="13" t="s">
        <v>146</v>
      </c>
      <c r="E111" s="13" t="s">
        <v>31</v>
      </c>
      <c r="F111" s="13" t="s">
        <v>32</v>
      </c>
      <c r="G111" s="14">
        <v>1756</v>
      </c>
      <c r="H111" s="14">
        <v>76</v>
      </c>
      <c r="I111" s="14">
        <v>0</v>
      </c>
      <c r="J111" s="14">
        <v>0</v>
      </c>
      <c r="K111" s="13" t="s">
        <v>34</v>
      </c>
      <c r="L111" s="13" t="s">
        <v>33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1800</v>
      </c>
      <c r="T111" s="13" t="s">
        <v>34</v>
      </c>
      <c r="U111" s="13" t="s">
        <v>33</v>
      </c>
      <c r="V111" s="13" t="s">
        <v>35</v>
      </c>
      <c r="W111" s="13" t="s">
        <v>76</v>
      </c>
      <c r="X111" s="13" t="s">
        <v>1446</v>
      </c>
      <c r="Y111" s="13" t="str">
        <f t="shared" si="1"/>
        <v>Mike Gaudreau</v>
      </c>
      <c r="Z111" s="13" t="s">
        <v>91</v>
      </c>
      <c r="AA111" s="14" t="s">
        <v>92</v>
      </c>
      <c r="AB111" s="14" t="s">
        <v>93</v>
      </c>
      <c r="AC111" s="14" t="s">
        <v>482</v>
      </c>
    </row>
    <row r="112" spans="2:29" s="13" customFormat="1" x14ac:dyDescent="0.2">
      <c r="B112" s="13" t="s">
        <v>443</v>
      </c>
      <c r="C112" s="13" t="s">
        <v>444</v>
      </c>
      <c r="D112" s="13" t="s">
        <v>30</v>
      </c>
      <c r="E112" s="13" t="s">
        <v>31</v>
      </c>
      <c r="F112" s="13" t="s">
        <v>32</v>
      </c>
      <c r="G112" s="14">
        <v>1750</v>
      </c>
      <c r="H112" s="14">
        <v>18</v>
      </c>
      <c r="I112" s="14">
        <v>13</v>
      </c>
      <c r="J112" s="14">
        <v>0</v>
      </c>
      <c r="K112" s="13" t="s">
        <v>33</v>
      </c>
      <c r="L112" s="13" t="s">
        <v>33</v>
      </c>
      <c r="M112" s="14">
        <v>125000</v>
      </c>
      <c r="N112" s="14">
        <v>25000</v>
      </c>
      <c r="O112" s="14">
        <v>262</v>
      </c>
      <c r="P112" s="14">
        <v>9</v>
      </c>
      <c r="Q112" s="14">
        <v>1</v>
      </c>
      <c r="R112" s="14">
        <v>4000</v>
      </c>
      <c r="S112" s="14">
        <v>900</v>
      </c>
      <c r="T112" s="13" t="s">
        <v>34</v>
      </c>
      <c r="U112" s="13" t="s">
        <v>34</v>
      </c>
      <c r="V112" s="13" t="s">
        <v>35</v>
      </c>
      <c r="W112" s="13" t="s">
        <v>334</v>
      </c>
      <c r="X112" s="13" t="s">
        <v>1450</v>
      </c>
      <c r="Y112" s="13" t="str">
        <f t="shared" si="1"/>
        <v>Todd Brand</v>
      </c>
      <c r="Z112" s="13" t="s">
        <v>109</v>
      </c>
      <c r="AA112" s="14" t="s">
        <v>109</v>
      </c>
      <c r="AB112" s="14" t="s">
        <v>93</v>
      </c>
      <c r="AC112" s="14" t="s">
        <v>445</v>
      </c>
    </row>
    <row r="113" spans="2:29" s="13" customFormat="1" x14ac:dyDescent="0.2">
      <c r="B113" s="13" t="s">
        <v>337</v>
      </c>
      <c r="C113" s="13" t="s">
        <v>338</v>
      </c>
      <c r="D113" s="13" t="s">
        <v>39</v>
      </c>
      <c r="E113" s="13" t="s">
        <v>31</v>
      </c>
      <c r="F113" s="13" t="s">
        <v>32</v>
      </c>
      <c r="G113" s="14">
        <v>1750</v>
      </c>
      <c r="H113" s="14">
        <v>20</v>
      </c>
      <c r="I113" s="14">
        <v>0</v>
      </c>
      <c r="J113" s="14">
        <v>0</v>
      </c>
      <c r="K113" s="13" t="s">
        <v>33</v>
      </c>
      <c r="L113" s="13" t="s">
        <v>33</v>
      </c>
      <c r="M113" s="14">
        <v>105000</v>
      </c>
      <c r="N113" s="14">
        <v>29000</v>
      </c>
      <c r="O113" s="14">
        <v>250</v>
      </c>
      <c r="P113" s="14">
        <v>0</v>
      </c>
      <c r="Q113" s="14">
        <v>0</v>
      </c>
      <c r="R113" s="14">
        <v>0</v>
      </c>
      <c r="S113" s="14">
        <v>0</v>
      </c>
      <c r="T113" s="13" t="s">
        <v>34</v>
      </c>
      <c r="U113" s="13" t="s">
        <v>34</v>
      </c>
      <c r="V113" s="13" t="s">
        <v>35</v>
      </c>
      <c r="W113" s="13" t="s">
        <v>339</v>
      </c>
      <c r="X113" s="13" t="s">
        <v>254</v>
      </c>
      <c r="Y113" s="13" t="str">
        <f t="shared" si="1"/>
        <v>Dennis Hunter</v>
      </c>
      <c r="Z113" s="13" t="s">
        <v>109</v>
      </c>
      <c r="AA113" s="14" t="s">
        <v>109</v>
      </c>
      <c r="AB113" s="14" t="s">
        <v>340</v>
      </c>
      <c r="AC113" s="14" t="s">
        <v>341</v>
      </c>
    </row>
    <row r="114" spans="2:29" s="9" customFormat="1" x14ac:dyDescent="0.2">
      <c r="B114" s="9" t="s">
        <v>606</v>
      </c>
      <c r="C114" s="9" t="s">
        <v>607</v>
      </c>
      <c r="D114" s="9" t="s">
        <v>39</v>
      </c>
      <c r="E114" s="9" t="s">
        <v>31</v>
      </c>
      <c r="F114" s="9" t="s">
        <v>32</v>
      </c>
      <c r="G114" s="10">
        <v>1740</v>
      </c>
      <c r="H114" s="10">
        <v>32</v>
      </c>
      <c r="I114" s="10">
        <v>6</v>
      </c>
      <c r="J114" s="10">
        <v>0</v>
      </c>
      <c r="K114" s="9" t="s">
        <v>33</v>
      </c>
      <c r="L114" s="9" t="s">
        <v>33</v>
      </c>
      <c r="M114" s="10">
        <v>197789</v>
      </c>
      <c r="N114" s="10">
        <v>14684</v>
      </c>
      <c r="O114" s="10">
        <v>86</v>
      </c>
      <c r="P114" s="10">
        <v>5</v>
      </c>
      <c r="Q114" s="10">
        <v>2</v>
      </c>
      <c r="R114" s="10">
        <v>2900</v>
      </c>
      <c r="S114" s="10">
        <v>1000</v>
      </c>
      <c r="T114" s="9" t="s">
        <v>34</v>
      </c>
      <c r="U114" s="9" t="s">
        <v>34</v>
      </c>
      <c r="V114" s="9" t="s">
        <v>35</v>
      </c>
      <c r="W114" s="9" t="s">
        <v>550</v>
      </c>
      <c r="X114" s="9" t="s">
        <v>1177</v>
      </c>
      <c r="Y114" s="9" t="str">
        <f t="shared" si="1"/>
        <v>Ben Mauck</v>
      </c>
      <c r="Z114" s="9" t="s">
        <v>1094</v>
      </c>
      <c r="AA114" s="10" t="s">
        <v>1094</v>
      </c>
      <c r="AB114" s="10" t="s">
        <v>6</v>
      </c>
      <c r="AC114" s="10" t="s">
        <v>608</v>
      </c>
    </row>
    <row r="115" spans="2:29" s="11" customFormat="1" x14ac:dyDescent="0.2">
      <c r="B115" s="11" t="s">
        <v>177</v>
      </c>
      <c r="C115" s="11" t="s">
        <v>178</v>
      </c>
      <c r="D115" s="11" t="s">
        <v>179</v>
      </c>
      <c r="E115" s="11" t="s">
        <v>180</v>
      </c>
      <c r="F115" s="11" t="s">
        <v>32</v>
      </c>
      <c r="G115" s="12">
        <v>1738</v>
      </c>
      <c r="H115" s="12">
        <v>85</v>
      </c>
      <c r="I115" s="12">
        <v>14</v>
      </c>
      <c r="J115" s="12">
        <v>0</v>
      </c>
      <c r="K115" s="11" t="s">
        <v>34</v>
      </c>
      <c r="L115" s="11" t="s">
        <v>34</v>
      </c>
      <c r="M115" s="12">
        <v>100000</v>
      </c>
      <c r="N115" s="12">
        <v>100000</v>
      </c>
      <c r="O115" s="12">
        <v>760</v>
      </c>
      <c r="P115" s="12">
        <v>6</v>
      </c>
      <c r="Q115" s="12">
        <v>5</v>
      </c>
      <c r="R115" s="12">
        <v>3000</v>
      </c>
      <c r="S115" s="12">
        <v>3000</v>
      </c>
      <c r="T115" s="11" t="s">
        <v>33</v>
      </c>
      <c r="U115" s="11" t="s">
        <v>33</v>
      </c>
      <c r="V115" s="11" t="s">
        <v>35</v>
      </c>
      <c r="W115" s="11" t="s">
        <v>456</v>
      </c>
      <c r="X115" s="11" t="s">
        <v>1246</v>
      </c>
      <c r="Y115" s="11" t="str">
        <f t="shared" si="1"/>
        <v>John Van Den Kieboom</v>
      </c>
      <c r="Z115" s="11" t="s">
        <v>889</v>
      </c>
      <c r="AA115" s="12" t="s">
        <v>889</v>
      </c>
      <c r="AB115" s="12" t="s">
        <v>6</v>
      </c>
      <c r="AC115" s="12" t="s">
        <v>182</v>
      </c>
    </row>
    <row r="116" spans="2:29" s="13" customFormat="1" x14ac:dyDescent="0.2">
      <c r="B116" s="13" t="s">
        <v>207</v>
      </c>
      <c r="C116" s="13" t="s">
        <v>208</v>
      </c>
      <c r="D116" s="13" t="s">
        <v>205</v>
      </c>
      <c r="E116" s="13" t="s">
        <v>180</v>
      </c>
      <c r="F116" s="13" t="s">
        <v>32</v>
      </c>
      <c r="G116" s="14">
        <v>1700</v>
      </c>
      <c r="H116" s="14">
        <v>60</v>
      </c>
      <c r="I116" s="14">
        <v>0</v>
      </c>
      <c r="J116" s="14">
        <v>0</v>
      </c>
      <c r="K116" s="13" t="s">
        <v>33</v>
      </c>
      <c r="L116" s="13" t="s">
        <v>33</v>
      </c>
      <c r="M116" s="14">
        <v>70644</v>
      </c>
      <c r="N116" s="14">
        <v>33000</v>
      </c>
      <c r="O116" s="14">
        <v>349</v>
      </c>
      <c r="P116" s="14">
        <v>9</v>
      </c>
      <c r="Q116" s="14">
        <v>2</v>
      </c>
      <c r="R116" s="14">
        <v>4000</v>
      </c>
      <c r="S116" s="14">
        <v>1500</v>
      </c>
      <c r="T116" s="13" t="s">
        <v>33</v>
      </c>
      <c r="U116" s="13" t="s">
        <v>33</v>
      </c>
      <c r="V116" s="13" t="s">
        <v>35</v>
      </c>
      <c r="W116" s="13" t="s">
        <v>287</v>
      </c>
      <c r="X116" s="13" t="s">
        <v>1290</v>
      </c>
      <c r="Y116" s="13" t="str">
        <f t="shared" si="1"/>
        <v>Alain Beaudoin</v>
      </c>
      <c r="Z116" s="13" t="s">
        <v>1289</v>
      </c>
      <c r="AA116" s="14" t="s">
        <v>1289</v>
      </c>
      <c r="AB116" s="14" t="s">
        <v>1275</v>
      </c>
      <c r="AC116" s="14" t="s">
        <v>206</v>
      </c>
    </row>
    <row r="117" spans="2:29" s="9" customFormat="1" x14ac:dyDescent="0.2">
      <c r="B117" s="9" t="s">
        <v>1055</v>
      </c>
      <c r="C117" s="9" t="s">
        <v>1056</v>
      </c>
      <c r="D117" s="9" t="s">
        <v>1057</v>
      </c>
      <c r="E117" s="9" t="s">
        <v>31</v>
      </c>
      <c r="F117" s="9" t="s">
        <v>32</v>
      </c>
      <c r="G117" s="10">
        <v>1700</v>
      </c>
      <c r="H117" s="10">
        <v>0</v>
      </c>
      <c r="I117" s="10">
        <v>0</v>
      </c>
      <c r="J117" s="10">
        <v>0</v>
      </c>
      <c r="K117" s="9" t="s">
        <v>33</v>
      </c>
      <c r="L117" s="9" t="s">
        <v>33</v>
      </c>
      <c r="M117" s="10">
        <v>57000</v>
      </c>
      <c r="N117" s="10">
        <v>8000</v>
      </c>
      <c r="O117" s="10">
        <v>236</v>
      </c>
      <c r="P117" s="10">
        <v>6</v>
      </c>
      <c r="Q117" s="10">
        <v>2</v>
      </c>
      <c r="R117" s="10">
        <v>0</v>
      </c>
      <c r="S117" s="10">
        <v>815</v>
      </c>
      <c r="T117" s="9" t="s">
        <v>34</v>
      </c>
      <c r="U117" s="9" t="s">
        <v>34</v>
      </c>
      <c r="V117" s="9" t="s">
        <v>35</v>
      </c>
      <c r="W117" s="9" t="s">
        <v>1186</v>
      </c>
      <c r="X117" s="9" t="s">
        <v>1307</v>
      </c>
      <c r="Y117" s="9" t="str">
        <f t="shared" si="1"/>
        <v>Wade Howard</v>
      </c>
      <c r="Z117" s="9" t="s">
        <v>1258</v>
      </c>
      <c r="AA117" s="10" t="s">
        <v>1258</v>
      </c>
      <c r="AB117" s="10" t="s">
        <v>93</v>
      </c>
      <c r="AC117" s="10" t="s">
        <v>672</v>
      </c>
    </row>
    <row r="118" spans="2:29" s="13" customFormat="1" x14ac:dyDescent="0.2">
      <c r="B118" s="13" t="s">
        <v>1055</v>
      </c>
      <c r="C118" s="13" t="s">
        <v>1056</v>
      </c>
      <c r="D118" s="13" t="s">
        <v>1057</v>
      </c>
      <c r="E118" s="13" t="s">
        <v>31</v>
      </c>
      <c r="F118" s="13" t="s">
        <v>32</v>
      </c>
      <c r="G118" s="14">
        <v>1700</v>
      </c>
      <c r="H118" s="14">
        <v>0</v>
      </c>
      <c r="I118" s="14">
        <v>0</v>
      </c>
      <c r="J118" s="14">
        <v>0</v>
      </c>
      <c r="K118" s="13" t="s">
        <v>33</v>
      </c>
      <c r="L118" s="13" t="s">
        <v>33</v>
      </c>
      <c r="M118" s="14">
        <v>57000</v>
      </c>
      <c r="N118" s="14">
        <v>8000</v>
      </c>
      <c r="O118" s="14">
        <v>236</v>
      </c>
      <c r="P118" s="14">
        <v>6</v>
      </c>
      <c r="Q118" s="14">
        <v>2</v>
      </c>
      <c r="R118" s="14">
        <v>0</v>
      </c>
      <c r="S118" s="14">
        <v>815</v>
      </c>
      <c r="T118" s="13" t="s">
        <v>34</v>
      </c>
      <c r="U118" s="13" t="s">
        <v>34</v>
      </c>
      <c r="V118" s="13" t="s">
        <v>35</v>
      </c>
      <c r="W118" s="13" t="s">
        <v>1381</v>
      </c>
      <c r="X118" s="13" t="s">
        <v>1380</v>
      </c>
      <c r="Y118" s="13" t="str">
        <f t="shared" si="1"/>
        <v>Nadar Alaawah</v>
      </c>
      <c r="Z118" s="13" t="s">
        <v>1278</v>
      </c>
      <c r="AA118" s="14" t="s">
        <v>1278</v>
      </c>
      <c r="AB118" s="14" t="s">
        <v>93</v>
      </c>
      <c r="AC118" s="14" t="s">
        <v>672</v>
      </c>
    </row>
    <row r="119" spans="2:29" s="13" customFormat="1" x14ac:dyDescent="0.2">
      <c r="B119" s="13" t="s">
        <v>548</v>
      </c>
      <c r="C119" s="13" t="s">
        <v>549</v>
      </c>
      <c r="D119" s="13" t="s">
        <v>135</v>
      </c>
      <c r="E119" s="13" t="s">
        <v>31</v>
      </c>
      <c r="F119" s="13" t="s">
        <v>32</v>
      </c>
      <c r="G119" s="14">
        <v>1678</v>
      </c>
      <c r="H119" s="14">
        <v>57</v>
      </c>
      <c r="I119" s="14">
        <v>12</v>
      </c>
      <c r="J119" s="14">
        <v>0</v>
      </c>
      <c r="K119" s="13" t="s">
        <v>34</v>
      </c>
      <c r="L119" s="13" t="s">
        <v>33</v>
      </c>
      <c r="M119" s="14">
        <v>125000</v>
      </c>
      <c r="N119" s="14">
        <v>0</v>
      </c>
      <c r="O119" s="14">
        <v>0</v>
      </c>
      <c r="P119" s="14">
        <v>4</v>
      </c>
      <c r="Q119" s="14">
        <v>1</v>
      </c>
      <c r="R119" s="14">
        <v>2887</v>
      </c>
      <c r="S119" s="14">
        <v>834</v>
      </c>
      <c r="T119" s="13" t="s">
        <v>33</v>
      </c>
      <c r="U119" s="13" t="s">
        <v>33</v>
      </c>
      <c r="V119" s="13" t="s">
        <v>35</v>
      </c>
      <c r="W119" s="13" t="s">
        <v>472</v>
      </c>
      <c r="X119" s="13" t="s">
        <v>1441</v>
      </c>
      <c r="Y119" s="13" t="str">
        <f t="shared" si="1"/>
        <v>Gregory Butto</v>
      </c>
      <c r="Z119" s="13" t="s">
        <v>91</v>
      </c>
      <c r="AA119" s="14" t="s">
        <v>92</v>
      </c>
      <c r="AB119" s="14" t="s">
        <v>93</v>
      </c>
      <c r="AC119" s="14" t="s">
        <v>59</v>
      </c>
    </row>
    <row r="120" spans="2:29" s="11" customFormat="1" x14ac:dyDescent="0.2">
      <c r="B120" s="11" t="s">
        <v>743</v>
      </c>
      <c r="C120" s="11" t="s">
        <v>744</v>
      </c>
      <c r="D120" s="11" t="s">
        <v>70</v>
      </c>
      <c r="E120" s="11" t="s">
        <v>31</v>
      </c>
      <c r="F120" s="11" t="s">
        <v>32</v>
      </c>
      <c r="G120" s="12">
        <v>1678</v>
      </c>
      <c r="H120" s="12">
        <v>20</v>
      </c>
      <c r="I120" s="12">
        <v>0</v>
      </c>
      <c r="J120" s="12">
        <v>0</v>
      </c>
      <c r="K120" s="11" t="s">
        <v>33</v>
      </c>
      <c r="L120" s="11" t="s">
        <v>33</v>
      </c>
      <c r="M120" s="12">
        <v>95000</v>
      </c>
      <c r="N120" s="12">
        <v>0</v>
      </c>
      <c r="O120" s="12">
        <v>0</v>
      </c>
      <c r="P120" s="12">
        <v>7</v>
      </c>
      <c r="Q120" s="12">
        <v>0</v>
      </c>
      <c r="R120" s="12">
        <v>900</v>
      </c>
      <c r="S120" s="12">
        <v>594</v>
      </c>
      <c r="T120" s="11" t="s">
        <v>34</v>
      </c>
      <c r="U120" s="11" t="s">
        <v>34</v>
      </c>
      <c r="V120" s="11" t="s">
        <v>35</v>
      </c>
      <c r="W120" s="11" t="s">
        <v>52</v>
      </c>
      <c r="X120" s="11" t="s">
        <v>1413</v>
      </c>
      <c r="Y120" s="11" t="str">
        <f t="shared" si="1"/>
        <v>Jesse Rison</v>
      </c>
      <c r="Z120" s="11" t="s">
        <v>1289</v>
      </c>
      <c r="AA120" s="12" t="s">
        <v>1289</v>
      </c>
      <c r="AB120" s="12" t="s">
        <v>93</v>
      </c>
      <c r="AC120" s="12" t="s">
        <v>745</v>
      </c>
    </row>
    <row r="121" spans="2:29" s="13" customFormat="1" x14ac:dyDescent="0.2">
      <c r="B121" s="13" t="s">
        <v>316</v>
      </c>
      <c r="C121" s="13" t="s">
        <v>317</v>
      </c>
      <c r="D121" s="13" t="s">
        <v>47</v>
      </c>
      <c r="E121" s="13" t="s">
        <v>31</v>
      </c>
      <c r="F121" s="13" t="s">
        <v>32</v>
      </c>
      <c r="G121" s="14">
        <v>1665</v>
      </c>
      <c r="H121" s="14">
        <v>66</v>
      </c>
      <c r="I121" s="14">
        <v>14</v>
      </c>
      <c r="J121" s="14">
        <v>0</v>
      </c>
      <c r="K121" s="13" t="s">
        <v>34</v>
      </c>
      <c r="L121" s="13" t="s">
        <v>33</v>
      </c>
      <c r="M121" s="14">
        <v>94000</v>
      </c>
      <c r="N121" s="14">
        <v>0</v>
      </c>
      <c r="O121" s="14">
        <v>205</v>
      </c>
      <c r="P121" s="14">
        <v>8</v>
      </c>
      <c r="Q121" s="14">
        <v>1</v>
      </c>
      <c r="R121" s="14">
        <v>0</v>
      </c>
      <c r="S121" s="14">
        <v>1800</v>
      </c>
      <c r="T121" s="13" t="s">
        <v>33</v>
      </c>
      <c r="U121" s="13" t="s">
        <v>33</v>
      </c>
      <c r="V121" s="13" t="s">
        <v>35</v>
      </c>
      <c r="W121" s="13" t="s">
        <v>1316</v>
      </c>
      <c r="X121" s="13" t="s">
        <v>1315</v>
      </c>
      <c r="Y121" s="13" t="str">
        <f t="shared" si="1"/>
        <v>Julie Jodoin</v>
      </c>
      <c r="Z121" s="13" t="s">
        <v>1278</v>
      </c>
      <c r="AA121" s="14" t="s">
        <v>1278</v>
      </c>
      <c r="AB121" s="14" t="s">
        <v>181</v>
      </c>
      <c r="AC121" s="14" t="s">
        <v>186</v>
      </c>
    </row>
    <row r="122" spans="2:29" s="11" customFormat="1" x14ac:dyDescent="0.2">
      <c r="B122" s="11" t="s">
        <v>754</v>
      </c>
      <c r="C122" s="11" t="s">
        <v>755</v>
      </c>
      <c r="D122" s="11" t="s">
        <v>70</v>
      </c>
      <c r="E122" s="11" t="s">
        <v>31</v>
      </c>
      <c r="F122" s="11" t="s">
        <v>32</v>
      </c>
      <c r="G122" s="12">
        <v>1651</v>
      </c>
      <c r="H122" s="12">
        <v>37</v>
      </c>
      <c r="I122" s="12">
        <v>7</v>
      </c>
      <c r="J122" s="12">
        <v>0</v>
      </c>
      <c r="K122" s="11" t="s">
        <v>33</v>
      </c>
      <c r="L122" s="11" t="s">
        <v>34</v>
      </c>
      <c r="M122" s="12">
        <v>85000</v>
      </c>
      <c r="N122" s="12">
        <v>22000</v>
      </c>
      <c r="O122" s="12">
        <v>250</v>
      </c>
      <c r="P122" s="12">
        <v>12</v>
      </c>
      <c r="Q122" s="12">
        <v>2</v>
      </c>
      <c r="R122" s="12">
        <v>3800</v>
      </c>
      <c r="S122" s="12">
        <v>2000</v>
      </c>
      <c r="T122" s="11" t="s">
        <v>34</v>
      </c>
      <c r="U122" s="11" t="s">
        <v>34</v>
      </c>
      <c r="V122" s="11" t="s">
        <v>35</v>
      </c>
      <c r="W122" s="11" t="s">
        <v>570</v>
      </c>
      <c r="X122" s="11" t="s">
        <v>1368</v>
      </c>
      <c r="Y122" s="11" t="str">
        <f t="shared" ref="Y122:Y183" si="2">W122&amp;" "&amp;X122</f>
        <v>Kevin Zenishek</v>
      </c>
      <c r="Z122" s="11" t="s">
        <v>1367</v>
      </c>
      <c r="AA122" s="12" t="s">
        <v>1366</v>
      </c>
      <c r="AB122" s="12" t="s">
        <v>356</v>
      </c>
      <c r="AC122" s="12" t="s">
        <v>757</v>
      </c>
    </row>
    <row r="123" spans="2:29" s="11" customFormat="1" x14ac:dyDescent="0.2">
      <c r="B123" s="11" t="s">
        <v>754</v>
      </c>
      <c r="C123" s="11" t="s">
        <v>755</v>
      </c>
      <c r="D123" s="11" t="s">
        <v>70</v>
      </c>
      <c r="E123" s="11" t="s">
        <v>31</v>
      </c>
      <c r="F123" s="11" t="s">
        <v>32</v>
      </c>
      <c r="G123" s="12">
        <v>1651</v>
      </c>
      <c r="H123" s="12">
        <v>37</v>
      </c>
      <c r="I123" s="12">
        <v>7</v>
      </c>
      <c r="J123" s="12">
        <v>0</v>
      </c>
      <c r="K123" s="11" t="s">
        <v>33</v>
      </c>
      <c r="L123" s="11" t="s">
        <v>34</v>
      </c>
      <c r="M123" s="12">
        <v>85000</v>
      </c>
      <c r="N123" s="12">
        <v>22000</v>
      </c>
      <c r="O123" s="12">
        <v>250</v>
      </c>
      <c r="P123" s="12">
        <v>12</v>
      </c>
      <c r="Q123" s="12">
        <v>2</v>
      </c>
      <c r="R123" s="12">
        <v>3800</v>
      </c>
      <c r="S123" s="12">
        <v>2000</v>
      </c>
      <c r="T123" s="11" t="s">
        <v>34</v>
      </c>
      <c r="U123" s="11" t="s">
        <v>34</v>
      </c>
      <c r="V123" s="11" t="s">
        <v>35</v>
      </c>
      <c r="W123" s="11" t="s">
        <v>292</v>
      </c>
      <c r="X123" s="11" t="s">
        <v>1325</v>
      </c>
      <c r="Y123" s="11" t="str">
        <f t="shared" si="2"/>
        <v>Rick Gladfelder</v>
      </c>
      <c r="Z123" s="11" t="s">
        <v>1112</v>
      </c>
      <c r="AA123" s="12" t="s">
        <v>1112</v>
      </c>
      <c r="AB123" s="12" t="s">
        <v>340</v>
      </c>
      <c r="AC123" s="12" t="s">
        <v>757</v>
      </c>
    </row>
    <row r="124" spans="2:29" s="16" customFormat="1" x14ac:dyDescent="0.2">
      <c r="B124" s="16" t="s">
        <v>1072</v>
      </c>
      <c r="C124" s="16" t="s">
        <v>81</v>
      </c>
      <c r="D124" s="16" t="s">
        <v>51</v>
      </c>
      <c r="E124" s="16" t="s">
        <v>31</v>
      </c>
      <c r="F124" s="16" t="s">
        <v>32</v>
      </c>
      <c r="G124" s="17">
        <v>1650</v>
      </c>
      <c r="H124" s="17">
        <v>245</v>
      </c>
      <c r="I124" s="17">
        <v>39</v>
      </c>
      <c r="J124" s="17">
        <v>0</v>
      </c>
      <c r="K124" s="16" t="s">
        <v>34</v>
      </c>
      <c r="L124" s="16" t="s">
        <v>34</v>
      </c>
      <c r="M124" s="17">
        <v>96943</v>
      </c>
      <c r="N124" s="17">
        <v>260000</v>
      </c>
      <c r="O124" s="17">
        <v>2716</v>
      </c>
      <c r="P124" s="17">
        <v>24</v>
      </c>
      <c r="Q124" s="17">
        <v>3</v>
      </c>
      <c r="R124" s="17">
        <v>1413</v>
      </c>
      <c r="S124" s="17">
        <v>7000</v>
      </c>
      <c r="T124" s="16" t="s">
        <v>33</v>
      </c>
      <c r="U124" s="16" t="s">
        <v>33</v>
      </c>
      <c r="V124" s="16" t="s">
        <v>35</v>
      </c>
      <c r="W124" s="16" t="s">
        <v>1377</v>
      </c>
      <c r="X124" s="16" t="s">
        <v>781</v>
      </c>
      <c r="Y124" s="16" t="str">
        <f t="shared" si="2"/>
        <v>Charlie Stone</v>
      </c>
      <c r="Z124" s="16" t="s">
        <v>1376</v>
      </c>
      <c r="AA124" s="17" t="s">
        <v>1375</v>
      </c>
      <c r="AB124" s="17" t="s">
        <v>93</v>
      </c>
      <c r="AC124" s="17" t="s">
        <v>371</v>
      </c>
    </row>
    <row r="125" spans="2:29" s="13" customFormat="1" x14ac:dyDescent="0.2">
      <c r="B125" s="13" t="s">
        <v>474</v>
      </c>
      <c r="C125" s="13" t="s">
        <v>134</v>
      </c>
      <c r="D125" s="13" t="s">
        <v>135</v>
      </c>
      <c r="E125" s="13" t="s">
        <v>31</v>
      </c>
      <c r="F125" s="13" t="s">
        <v>32</v>
      </c>
      <c r="G125" s="14">
        <v>1637</v>
      </c>
      <c r="H125" s="14">
        <v>100</v>
      </c>
      <c r="I125" s="14">
        <v>30</v>
      </c>
      <c r="J125" s="14">
        <v>0</v>
      </c>
      <c r="K125" s="13" t="s">
        <v>34</v>
      </c>
      <c r="L125" s="13" t="s">
        <v>33</v>
      </c>
      <c r="M125" s="14">
        <v>100000</v>
      </c>
      <c r="N125" s="14">
        <v>33000</v>
      </c>
      <c r="O125" s="14">
        <v>0</v>
      </c>
      <c r="P125" s="14">
        <v>0</v>
      </c>
      <c r="Q125" s="14">
        <v>0</v>
      </c>
      <c r="R125" s="14">
        <v>4000</v>
      </c>
      <c r="S125" s="14">
        <v>1033</v>
      </c>
      <c r="T125" s="13" t="s">
        <v>34</v>
      </c>
      <c r="U125" s="13" t="s">
        <v>33</v>
      </c>
      <c r="V125" s="13" t="s">
        <v>35</v>
      </c>
      <c r="W125" s="13" t="s">
        <v>878</v>
      </c>
      <c r="X125" s="13" t="s">
        <v>1300</v>
      </c>
      <c r="Y125" s="13" t="str">
        <f t="shared" si="2"/>
        <v>Christopher Clark</v>
      </c>
      <c r="Z125" s="13" t="s">
        <v>1299</v>
      </c>
      <c r="AA125" s="14" t="s">
        <v>1298</v>
      </c>
      <c r="AB125" s="14" t="s">
        <v>242</v>
      </c>
      <c r="AC125" s="14" t="s">
        <v>475</v>
      </c>
    </row>
    <row r="126" spans="2:29" s="13" customFormat="1" x14ac:dyDescent="0.2">
      <c r="B126" s="13" t="s">
        <v>833</v>
      </c>
      <c r="C126" s="13" t="s">
        <v>834</v>
      </c>
      <c r="D126" s="13" t="s">
        <v>47</v>
      </c>
      <c r="E126" s="13" t="s">
        <v>31</v>
      </c>
      <c r="F126" s="13" t="s">
        <v>32</v>
      </c>
      <c r="G126" s="14">
        <v>1636</v>
      </c>
      <c r="H126" s="14">
        <v>133</v>
      </c>
      <c r="I126" s="14">
        <v>19</v>
      </c>
      <c r="J126" s="14">
        <v>0</v>
      </c>
      <c r="K126" s="13" t="s">
        <v>34</v>
      </c>
      <c r="L126" s="13" t="s">
        <v>33</v>
      </c>
      <c r="M126" s="14">
        <v>100000</v>
      </c>
      <c r="N126" s="14">
        <v>10000</v>
      </c>
      <c r="O126" s="14">
        <v>390</v>
      </c>
      <c r="P126" s="14">
        <v>9</v>
      </c>
      <c r="Q126" s="14">
        <v>0</v>
      </c>
      <c r="R126" s="14">
        <v>0</v>
      </c>
      <c r="S126" s="14">
        <v>0</v>
      </c>
      <c r="T126" s="13" t="s">
        <v>33</v>
      </c>
      <c r="U126" s="13" t="s">
        <v>33</v>
      </c>
      <c r="V126" s="13" t="s">
        <v>35</v>
      </c>
      <c r="W126" s="13" t="s">
        <v>560</v>
      </c>
      <c r="X126" s="13" t="s">
        <v>1404</v>
      </c>
      <c r="Y126" s="13" t="str">
        <f t="shared" si="2"/>
        <v>Jack Kennedy</v>
      </c>
      <c r="Z126" s="13" t="s">
        <v>1403</v>
      </c>
      <c r="AA126" s="14" t="s">
        <v>1402</v>
      </c>
      <c r="AB126" s="14" t="s">
        <v>93</v>
      </c>
      <c r="AC126" s="14" t="s">
        <v>832</v>
      </c>
    </row>
    <row r="127" spans="2:29" s="11" customFormat="1" x14ac:dyDescent="0.2">
      <c r="B127" s="11" t="s">
        <v>612</v>
      </c>
      <c r="C127" s="11" t="s">
        <v>613</v>
      </c>
      <c r="D127" s="11" t="s">
        <v>39</v>
      </c>
      <c r="E127" s="11" t="s">
        <v>31</v>
      </c>
      <c r="F127" s="11" t="s">
        <v>32</v>
      </c>
      <c r="G127" s="12">
        <v>1635</v>
      </c>
      <c r="H127" s="12">
        <v>39</v>
      </c>
      <c r="I127" s="12">
        <v>10</v>
      </c>
      <c r="J127" s="12">
        <v>0</v>
      </c>
      <c r="K127" s="11" t="s">
        <v>33</v>
      </c>
      <c r="L127" s="11" t="s">
        <v>33</v>
      </c>
      <c r="M127" s="12">
        <v>68262</v>
      </c>
      <c r="N127" s="12">
        <v>0</v>
      </c>
      <c r="O127" s="12">
        <v>200</v>
      </c>
      <c r="P127" s="12">
        <v>7</v>
      </c>
      <c r="Q127" s="12">
        <v>0</v>
      </c>
      <c r="R127" s="12">
        <v>1800</v>
      </c>
      <c r="S127" s="12">
        <v>1000</v>
      </c>
      <c r="T127" s="11" t="s">
        <v>34</v>
      </c>
      <c r="U127" s="11" t="s">
        <v>34</v>
      </c>
      <c r="V127" s="11" t="s">
        <v>35</v>
      </c>
      <c r="W127" s="11" t="s">
        <v>902</v>
      </c>
      <c r="X127" s="11" t="s">
        <v>1369</v>
      </c>
      <c r="Y127" s="11" t="str">
        <f t="shared" si="2"/>
        <v>Anthony Ventura</v>
      </c>
      <c r="Z127" s="11" t="s">
        <v>91</v>
      </c>
      <c r="AA127" s="12" t="s">
        <v>92</v>
      </c>
      <c r="AB127" s="12" t="s">
        <v>356</v>
      </c>
      <c r="AC127" s="12" t="s">
        <v>614</v>
      </c>
    </row>
    <row r="128" spans="2:29" s="9" customFormat="1" x14ac:dyDescent="0.2">
      <c r="B128" s="9" t="s">
        <v>439</v>
      </c>
      <c r="C128" s="9" t="s">
        <v>440</v>
      </c>
      <c r="D128" s="9" t="s">
        <v>139</v>
      </c>
      <c r="E128" s="9" t="s">
        <v>31</v>
      </c>
      <c r="F128" s="9" t="s">
        <v>32</v>
      </c>
      <c r="G128" s="10">
        <v>1620</v>
      </c>
      <c r="H128" s="10">
        <v>26</v>
      </c>
      <c r="I128" s="10">
        <v>0</v>
      </c>
      <c r="J128" s="10">
        <v>330</v>
      </c>
      <c r="K128" s="9" t="s">
        <v>33</v>
      </c>
      <c r="L128" s="9" t="s">
        <v>33</v>
      </c>
      <c r="M128" s="10">
        <v>68000</v>
      </c>
      <c r="N128" s="10">
        <v>36000</v>
      </c>
      <c r="O128" s="10">
        <v>868</v>
      </c>
      <c r="P128" s="10">
        <v>9</v>
      </c>
      <c r="Q128" s="10">
        <v>1</v>
      </c>
      <c r="R128" s="10">
        <v>4136</v>
      </c>
      <c r="S128" s="10">
        <v>1643</v>
      </c>
      <c r="T128" s="9" t="s">
        <v>34</v>
      </c>
      <c r="U128" s="9" t="s">
        <v>34</v>
      </c>
      <c r="V128" s="9" t="s">
        <v>35</v>
      </c>
      <c r="W128" s="9" t="s">
        <v>1449</v>
      </c>
      <c r="X128" s="9" t="s">
        <v>1448</v>
      </c>
      <c r="Y128" s="9" t="str">
        <f t="shared" si="2"/>
        <v>Brendan Yepa</v>
      </c>
      <c r="Z128" s="9" t="s">
        <v>1299</v>
      </c>
      <c r="AA128" s="10" t="s">
        <v>1298</v>
      </c>
      <c r="AB128" s="10" t="s">
        <v>93</v>
      </c>
      <c r="AC128" s="10" t="s">
        <v>442</v>
      </c>
    </row>
    <row r="129" spans="2:29" s="13" customFormat="1" x14ac:dyDescent="0.2">
      <c r="B129" s="13" t="s">
        <v>890</v>
      </c>
      <c r="C129" s="13" t="s">
        <v>891</v>
      </c>
      <c r="D129" s="13" t="s">
        <v>760</v>
      </c>
      <c r="E129" s="13" t="s">
        <v>31</v>
      </c>
      <c r="F129" s="13" t="s">
        <v>32</v>
      </c>
      <c r="G129" s="14">
        <v>1618</v>
      </c>
      <c r="H129" s="14">
        <v>39</v>
      </c>
      <c r="I129" s="14">
        <v>10</v>
      </c>
      <c r="J129" s="14">
        <v>0</v>
      </c>
      <c r="K129" s="13" t="s">
        <v>34</v>
      </c>
      <c r="L129" s="13" t="s">
        <v>33</v>
      </c>
      <c r="M129" s="14">
        <v>80000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1100</v>
      </c>
      <c r="T129" s="13" t="s">
        <v>34</v>
      </c>
      <c r="U129" s="13" t="s">
        <v>33</v>
      </c>
      <c r="V129" s="13" t="s">
        <v>35</v>
      </c>
      <c r="W129" s="13" t="s">
        <v>1136</v>
      </c>
      <c r="X129" s="13" t="s">
        <v>1135</v>
      </c>
      <c r="Y129" s="13" t="str">
        <f t="shared" si="2"/>
        <v>Louis Rosa</v>
      </c>
      <c r="Z129" s="13" t="s">
        <v>889</v>
      </c>
      <c r="AA129" s="14" t="s">
        <v>889</v>
      </c>
      <c r="AB129" s="14" t="s">
        <v>6</v>
      </c>
      <c r="AC129" s="14" t="s">
        <v>335</v>
      </c>
    </row>
    <row r="130" spans="2:29" s="13" customFormat="1" x14ac:dyDescent="0.2">
      <c r="B130" s="13" t="s">
        <v>890</v>
      </c>
      <c r="C130" s="13" t="s">
        <v>891</v>
      </c>
      <c r="D130" s="13" t="s">
        <v>760</v>
      </c>
      <c r="E130" s="13" t="s">
        <v>31</v>
      </c>
      <c r="F130" s="13" t="s">
        <v>32</v>
      </c>
      <c r="G130" s="14">
        <v>1618</v>
      </c>
      <c r="H130" s="14">
        <v>39</v>
      </c>
      <c r="I130" s="14">
        <v>10</v>
      </c>
      <c r="J130" s="14">
        <v>0</v>
      </c>
      <c r="K130" s="13" t="s">
        <v>34</v>
      </c>
      <c r="L130" s="13" t="s">
        <v>33</v>
      </c>
      <c r="M130" s="14">
        <v>80000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1100</v>
      </c>
      <c r="T130" s="13" t="s">
        <v>34</v>
      </c>
      <c r="U130" s="13" t="s">
        <v>33</v>
      </c>
      <c r="V130" s="13" t="s">
        <v>35</v>
      </c>
      <c r="W130" s="13" t="s">
        <v>1134</v>
      </c>
      <c r="X130" s="13" t="s">
        <v>683</v>
      </c>
      <c r="Y130" s="13" t="str">
        <f t="shared" si="2"/>
        <v>Paula Davis</v>
      </c>
      <c r="Z130" s="13" t="s">
        <v>889</v>
      </c>
      <c r="AA130" s="14" t="s">
        <v>889</v>
      </c>
      <c r="AB130" s="14" t="s">
        <v>6</v>
      </c>
      <c r="AC130" s="14" t="s">
        <v>335</v>
      </c>
    </row>
    <row r="131" spans="2:29" s="16" customFormat="1" x14ac:dyDescent="0.2">
      <c r="B131" s="16" t="s">
        <v>240</v>
      </c>
      <c r="C131" s="16" t="s">
        <v>241</v>
      </c>
      <c r="D131" s="16" t="s">
        <v>30</v>
      </c>
      <c r="E131" s="16" t="s">
        <v>31</v>
      </c>
      <c r="F131" s="16" t="s">
        <v>32</v>
      </c>
      <c r="G131" s="17">
        <v>1600</v>
      </c>
      <c r="H131" s="17">
        <v>18</v>
      </c>
      <c r="I131" s="17">
        <v>8</v>
      </c>
      <c r="J131" s="17">
        <v>0</v>
      </c>
      <c r="K131" s="16" t="s">
        <v>33</v>
      </c>
      <c r="L131" s="16" t="s">
        <v>34</v>
      </c>
      <c r="M131" s="17">
        <v>50000</v>
      </c>
      <c r="N131" s="17">
        <v>7120</v>
      </c>
      <c r="O131" s="17">
        <v>140</v>
      </c>
      <c r="P131" s="17">
        <v>5</v>
      </c>
      <c r="Q131" s="17">
        <v>1</v>
      </c>
      <c r="R131" s="17">
        <v>685</v>
      </c>
      <c r="S131" s="17">
        <v>740</v>
      </c>
      <c r="T131" s="16" t="s">
        <v>34</v>
      </c>
      <c r="U131" s="16" t="s">
        <v>34</v>
      </c>
      <c r="V131" s="16" t="s">
        <v>35</v>
      </c>
      <c r="W131" s="16" t="s">
        <v>1286</v>
      </c>
      <c r="X131" s="16" t="s">
        <v>1461</v>
      </c>
      <c r="Y131" s="16" t="str">
        <f t="shared" si="2"/>
        <v>Roger Barr</v>
      </c>
      <c r="Z131" s="16" t="s">
        <v>109</v>
      </c>
      <c r="AA131" s="17" t="s">
        <v>109</v>
      </c>
      <c r="AB131" s="17" t="s">
        <v>93</v>
      </c>
      <c r="AC131" s="17" t="s">
        <v>243</v>
      </c>
    </row>
    <row r="132" spans="2:29" s="16" customFormat="1" x14ac:dyDescent="0.2">
      <c r="B132" s="16" t="s">
        <v>884</v>
      </c>
      <c r="C132" s="16" t="s">
        <v>885</v>
      </c>
      <c r="D132" s="16" t="s">
        <v>158</v>
      </c>
      <c r="E132" s="16" t="s">
        <v>31</v>
      </c>
      <c r="F132" s="16" t="s">
        <v>32</v>
      </c>
      <c r="G132" s="17">
        <v>1600</v>
      </c>
      <c r="H132" s="17">
        <v>15</v>
      </c>
      <c r="I132" s="17">
        <v>0</v>
      </c>
      <c r="J132" s="17">
        <v>0</v>
      </c>
      <c r="K132" s="16" t="s">
        <v>34</v>
      </c>
      <c r="L132" s="16" t="s">
        <v>33</v>
      </c>
      <c r="M132" s="17">
        <v>70390</v>
      </c>
      <c r="N132" s="17">
        <v>0</v>
      </c>
      <c r="O132" s="17">
        <v>204</v>
      </c>
      <c r="P132" s="17">
        <v>6</v>
      </c>
      <c r="Q132" s="17">
        <v>1</v>
      </c>
      <c r="R132" s="17">
        <v>1600</v>
      </c>
      <c r="S132" s="17">
        <v>635</v>
      </c>
      <c r="T132" s="16" t="s">
        <v>34</v>
      </c>
      <c r="U132" s="16" t="s">
        <v>34</v>
      </c>
      <c r="V132" s="16" t="s">
        <v>35</v>
      </c>
      <c r="W132" s="16" t="s">
        <v>1337</v>
      </c>
      <c r="X132" s="16" t="s">
        <v>1336</v>
      </c>
      <c r="Y132" s="16" t="str">
        <f t="shared" si="2"/>
        <v>Heather Swan</v>
      </c>
      <c r="Z132" s="16" t="s">
        <v>1335</v>
      </c>
      <c r="AA132" s="17" t="s">
        <v>1335</v>
      </c>
      <c r="AB132" s="17" t="s">
        <v>1334</v>
      </c>
      <c r="AC132" s="17" t="s">
        <v>886</v>
      </c>
    </row>
    <row r="133" spans="2:29" s="16" customFormat="1" x14ac:dyDescent="0.2">
      <c r="B133" s="16" t="s">
        <v>884</v>
      </c>
      <c r="C133" s="16" t="s">
        <v>885</v>
      </c>
      <c r="D133" s="16" t="s">
        <v>158</v>
      </c>
      <c r="E133" s="16" t="s">
        <v>31</v>
      </c>
      <c r="F133" s="16" t="s">
        <v>32</v>
      </c>
      <c r="G133" s="17">
        <v>1600</v>
      </c>
      <c r="H133" s="17">
        <v>15</v>
      </c>
      <c r="I133" s="17">
        <v>0</v>
      </c>
      <c r="J133" s="17">
        <v>0</v>
      </c>
      <c r="K133" s="16" t="s">
        <v>34</v>
      </c>
      <c r="L133" s="16" t="s">
        <v>33</v>
      </c>
      <c r="M133" s="17">
        <v>70390</v>
      </c>
      <c r="N133" s="17">
        <v>0</v>
      </c>
      <c r="O133" s="17">
        <v>204</v>
      </c>
      <c r="P133" s="17">
        <v>6</v>
      </c>
      <c r="Q133" s="17">
        <v>1</v>
      </c>
      <c r="R133" s="17">
        <v>1600</v>
      </c>
      <c r="S133" s="17">
        <v>635</v>
      </c>
      <c r="T133" s="16" t="s">
        <v>34</v>
      </c>
      <c r="U133" s="16" t="s">
        <v>34</v>
      </c>
      <c r="V133" s="16" t="s">
        <v>35</v>
      </c>
      <c r="W133" s="16" t="s">
        <v>651</v>
      </c>
      <c r="X133" s="16" t="s">
        <v>1311</v>
      </c>
      <c r="Y133" s="16" t="str">
        <f t="shared" si="2"/>
        <v>Ryan Heinis</v>
      </c>
      <c r="Z133" s="16" t="s">
        <v>1278</v>
      </c>
      <c r="AA133" s="17" t="s">
        <v>1278</v>
      </c>
      <c r="AB133" s="17" t="s">
        <v>181</v>
      </c>
      <c r="AC133" s="17" t="s">
        <v>886</v>
      </c>
    </row>
    <row r="134" spans="2:29" s="9" customFormat="1" x14ac:dyDescent="0.2">
      <c r="B134" s="9" t="s">
        <v>884</v>
      </c>
      <c r="C134" s="9" t="s">
        <v>885</v>
      </c>
      <c r="D134" s="9" t="s">
        <v>158</v>
      </c>
      <c r="E134" s="9" t="s">
        <v>31</v>
      </c>
      <c r="F134" s="9" t="s">
        <v>32</v>
      </c>
      <c r="G134" s="10">
        <v>1600</v>
      </c>
      <c r="H134" s="10">
        <v>15</v>
      </c>
      <c r="I134" s="10">
        <v>0</v>
      </c>
      <c r="J134" s="10">
        <v>0</v>
      </c>
      <c r="K134" s="9" t="s">
        <v>34</v>
      </c>
      <c r="L134" s="9" t="s">
        <v>33</v>
      </c>
      <c r="M134" s="10">
        <v>70390</v>
      </c>
      <c r="N134" s="10">
        <v>0</v>
      </c>
      <c r="O134" s="10">
        <v>204</v>
      </c>
      <c r="P134" s="10">
        <v>6</v>
      </c>
      <c r="Q134" s="10">
        <v>1</v>
      </c>
      <c r="R134" s="10">
        <v>1600</v>
      </c>
      <c r="S134" s="10">
        <v>635</v>
      </c>
      <c r="T134" s="9" t="s">
        <v>34</v>
      </c>
      <c r="U134" s="9" t="s">
        <v>34</v>
      </c>
      <c r="V134" s="9" t="s">
        <v>35</v>
      </c>
      <c r="W134" s="9" t="s">
        <v>522</v>
      </c>
      <c r="X134" s="9" t="s">
        <v>1137</v>
      </c>
      <c r="Y134" s="9" t="str">
        <f t="shared" si="2"/>
        <v>Robert Moritz</v>
      </c>
      <c r="Z134" s="9" t="s">
        <v>1098</v>
      </c>
      <c r="AA134" s="10" t="s">
        <v>1098</v>
      </c>
      <c r="AB134" s="10" t="s">
        <v>6</v>
      </c>
      <c r="AC134" s="10" t="s">
        <v>886</v>
      </c>
    </row>
    <row r="135" spans="2:29" s="11" customFormat="1" x14ac:dyDescent="0.2">
      <c r="B135" s="11" t="s">
        <v>768</v>
      </c>
      <c r="C135" s="11" t="s">
        <v>769</v>
      </c>
      <c r="D135" s="11" t="s">
        <v>30</v>
      </c>
      <c r="E135" s="11" t="s">
        <v>31</v>
      </c>
      <c r="F135" s="11" t="s">
        <v>32</v>
      </c>
      <c r="G135" s="12">
        <v>1600</v>
      </c>
      <c r="H135" s="12">
        <v>15</v>
      </c>
      <c r="I135" s="12">
        <v>0</v>
      </c>
      <c r="J135" s="12">
        <v>0</v>
      </c>
      <c r="K135" s="11" t="s">
        <v>33</v>
      </c>
      <c r="L135" s="11" t="s">
        <v>33</v>
      </c>
      <c r="M135" s="12">
        <v>47000</v>
      </c>
      <c r="N135" s="12">
        <v>1600</v>
      </c>
      <c r="O135" s="12">
        <v>141</v>
      </c>
      <c r="P135" s="12">
        <v>4</v>
      </c>
      <c r="Q135" s="12">
        <v>1</v>
      </c>
      <c r="R135" s="12">
        <v>800</v>
      </c>
      <c r="S135" s="12">
        <v>466</v>
      </c>
      <c r="T135" s="11" t="s">
        <v>34</v>
      </c>
      <c r="U135" s="11" t="s">
        <v>34</v>
      </c>
      <c r="V135" s="11" t="s">
        <v>35</v>
      </c>
      <c r="W135" s="11" t="s">
        <v>1155</v>
      </c>
      <c r="X135" s="11" t="s">
        <v>400</v>
      </c>
      <c r="Y135" s="11" t="str">
        <f t="shared" si="2"/>
        <v>Daniel Adams</v>
      </c>
      <c r="Z135" s="11" t="s">
        <v>889</v>
      </c>
      <c r="AA135" s="12" t="s">
        <v>889</v>
      </c>
      <c r="AB135" s="12" t="s">
        <v>6</v>
      </c>
      <c r="AC135" s="12" t="s">
        <v>771</v>
      </c>
    </row>
    <row r="136" spans="2:29" s="13" customFormat="1" x14ac:dyDescent="0.2">
      <c r="B136" s="13" t="s">
        <v>721</v>
      </c>
      <c r="C136" s="13" t="s">
        <v>722</v>
      </c>
      <c r="D136" s="13" t="s">
        <v>521</v>
      </c>
      <c r="E136" s="13" t="s">
        <v>31</v>
      </c>
      <c r="F136" s="13" t="s">
        <v>32</v>
      </c>
      <c r="G136" s="14">
        <v>1585</v>
      </c>
      <c r="H136" s="14">
        <v>60</v>
      </c>
      <c r="I136" s="14">
        <v>8</v>
      </c>
      <c r="J136" s="14">
        <v>0</v>
      </c>
      <c r="K136" s="13" t="s">
        <v>34</v>
      </c>
      <c r="L136" s="13" t="s">
        <v>33</v>
      </c>
      <c r="M136" s="14">
        <v>65144</v>
      </c>
      <c r="N136" s="14">
        <v>6000</v>
      </c>
      <c r="O136" s="14">
        <v>188</v>
      </c>
      <c r="P136" s="14">
        <v>4</v>
      </c>
      <c r="Q136" s="14">
        <v>2</v>
      </c>
      <c r="R136" s="14">
        <v>0</v>
      </c>
      <c r="S136" s="14">
        <v>1300</v>
      </c>
      <c r="T136" s="13" t="s">
        <v>33</v>
      </c>
      <c r="U136" s="13" t="s">
        <v>33</v>
      </c>
      <c r="V136" s="13" t="s">
        <v>35</v>
      </c>
      <c r="W136" s="13" t="s">
        <v>114</v>
      </c>
      <c r="X136" s="13" t="s">
        <v>1159</v>
      </c>
      <c r="Y136" s="13" t="str">
        <f t="shared" si="2"/>
        <v>Rich Whitby</v>
      </c>
      <c r="Z136" s="13" t="s">
        <v>1098</v>
      </c>
      <c r="AA136" s="14" t="s">
        <v>1098</v>
      </c>
      <c r="AB136" s="14" t="s">
        <v>6</v>
      </c>
      <c r="AC136" s="14" t="s">
        <v>0</v>
      </c>
    </row>
    <row r="137" spans="2:29" s="9" customFormat="1" x14ac:dyDescent="0.2">
      <c r="B137" s="9" t="s">
        <v>577</v>
      </c>
      <c r="C137" s="9" t="s">
        <v>578</v>
      </c>
      <c r="D137" s="9" t="s">
        <v>146</v>
      </c>
      <c r="E137" s="9" t="s">
        <v>31</v>
      </c>
      <c r="F137" s="9" t="s">
        <v>32</v>
      </c>
      <c r="G137" s="10">
        <v>1582</v>
      </c>
      <c r="H137" s="10">
        <v>84</v>
      </c>
      <c r="I137" s="10">
        <v>15</v>
      </c>
      <c r="J137" s="10">
        <v>0</v>
      </c>
      <c r="K137" s="9" t="s">
        <v>34</v>
      </c>
      <c r="L137" s="9" t="s">
        <v>34</v>
      </c>
      <c r="M137" s="10">
        <v>116500</v>
      </c>
      <c r="N137" s="10">
        <v>0</v>
      </c>
      <c r="O137" s="10">
        <v>0</v>
      </c>
      <c r="P137" s="10">
        <v>5</v>
      </c>
      <c r="Q137" s="10">
        <v>1</v>
      </c>
      <c r="R137" s="10">
        <v>3100</v>
      </c>
      <c r="S137" s="10">
        <v>1846</v>
      </c>
      <c r="T137" s="9" t="s">
        <v>33</v>
      </c>
      <c r="U137" s="9" t="s">
        <v>33</v>
      </c>
      <c r="V137" s="9" t="s">
        <v>57</v>
      </c>
      <c r="W137" s="9" t="s">
        <v>1183</v>
      </c>
      <c r="X137" s="9" t="s">
        <v>1182</v>
      </c>
      <c r="Y137" s="9" t="str">
        <f t="shared" si="2"/>
        <v>Corey Payne</v>
      </c>
      <c r="Z137" s="9" t="s">
        <v>889</v>
      </c>
      <c r="AA137" s="10" t="s">
        <v>889</v>
      </c>
      <c r="AB137" s="10" t="s">
        <v>6</v>
      </c>
      <c r="AC137" s="10" t="s">
        <v>167</v>
      </c>
    </row>
    <row r="138" spans="2:29" s="13" customFormat="1" x14ac:dyDescent="0.2">
      <c r="B138" s="13" t="s">
        <v>1031</v>
      </c>
      <c r="C138" s="13" t="s">
        <v>87</v>
      </c>
      <c r="D138" s="13" t="s">
        <v>88</v>
      </c>
      <c r="E138" s="13" t="s">
        <v>31</v>
      </c>
      <c r="F138" s="13" t="s">
        <v>32</v>
      </c>
      <c r="G138" s="14">
        <v>1581</v>
      </c>
      <c r="H138" s="14">
        <v>84</v>
      </c>
      <c r="I138" s="14">
        <v>18</v>
      </c>
      <c r="J138" s="14">
        <v>0</v>
      </c>
      <c r="K138" s="13" t="s">
        <v>34</v>
      </c>
      <c r="L138" s="13" t="s">
        <v>33</v>
      </c>
      <c r="M138" s="14">
        <v>121700</v>
      </c>
      <c r="N138" s="14">
        <v>122000</v>
      </c>
      <c r="O138" s="14">
        <v>2360</v>
      </c>
      <c r="P138" s="14">
        <v>29</v>
      </c>
      <c r="Q138" s="14">
        <v>9</v>
      </c>
      <c r="R138" s="14">
        <v>5684</v>
      </c>
      <c r="S138" s="14">
        <v>3070</v>
      </c>
      <c r="T138" s="13" t="s">
        <v>33</v>
      </c>
      <c r="U138" s="13" t="s">
        <v>33</v>
      </c>
      <c r="V138" s="13" t="s">
        <v>35</v>
      </c>
      <c r="W138" s="13" t="s">
        <v>878</v>
      </c>
      <c r="X138" s="13" t="s">
        <v>1386</v>
      </c>
      <c r="Y138" s="13" t="str">
        <f t="shared" si="2"/>
        <v>Christopher Downey</v>
      </c>
      <c r="Z138" s="13" t="s">
        <v>91</v>
      </c>
      <c r="AA138" s="14" t="s">
        <v>92</v>
      </c>
      <c r="AB138" s="14" t="s">
        <v>93</v>
      </c>
      <c r="AC138" s="14" t="s">
        <v>1032</v>
      </c>
    </row>
    <row r="139" spans="2:29" s="9" customFormat="1" x14ac:dyDescent="0.2">
      <c r="B139" s="9" t="s">
        <v>820</v>
      </c>
      <c r="C139" s="9" t="s">
        <v>81</v>
      </c>
      <c r="D139" s="9" t="s">
        <v>51</v>
      </c>
      <c r="E139" s="9" t="s">
        <v>31</v>
      </c>
      <c r="F139" s="9" t="s">
        <v>32</v>
      </c>
      <c r="G139" s="10">
        <v>1560</v>
      </c>
      <c r="H139" s="10">
        <v>34</v>
      </c>
      <c r="I139" s="10">
        <v>0</v>
      </c>
      <c r="J139" s="10">
        <v>300</v>
      </c>
      <c r="K139" s="9" t="s">
        <v>34</v>
      </c>
      <c r="L139" s="9" t="s">
        <v>34</v>
      </c>
      <c r="M139" s="10">
        <v>58010</v>
      </c>
      <c r="N139" s="10">
        <v>100000</v>
      </c>
      <c r="O139" s="10">
        <v>550</v>
      </c>
      <c r="P139" s="10">
        <v>13</v>
      </c>
      <c r="Q139" s="10">
        <v>3</v>
      </c>
      <c r="R139" s="10">
        <v>900</v>
      </c>
      <c r="S139" s="10">
        <v>1500</v>
      </c>
      <c r="T139" s="9" t="s">
        <v>33</v>
      </c>
      <c r="U139" s="9" t="s">
        <v>33</v>
      </c>
      <c r="V139" s="9" t="s">
        <v>35</v>
      </c>
      <c r="W139" s="9" t="s">
        <v>756</v>
      </c>
      <c r="X139" s="9" t="s">
        <v>1365</v>
      </c>
      <c r="Y139" s="9" t="str">
        <f t="shared" si="2"/>
        <v>Sam Garritano</v>
      </c>
      <c r="Z139" s="9" t="s">
        <v>91</v>
      </c>
      <c r="AA139" s="10" t="s">
        <v>92</v>
      </c>
      <c r="AB139" s="10" t="s">
        <v>356</v>
      </c>
      <c r="AC139" s="10" t="s">
        <v>821</v>
      </c>
    </row>
    <row r="140" spans="2:29" s="13" customFormat="1" x14ac:dyDescent="0.2">
      <c r="B140" s="13" t="s">
        <v>519</v>
      </c>
      <c r="C140" s="13" t="s">
        <v>520</v>
      </c>
      <c r="D140" s="13" t="s">
        <v>521</v>
      </c>
      <c r="E140" s="13" t="s">
        <v>31</v>
      </c>
      <c r="F140" s="13" t="s">
        <v>32</v>
      </c>
      <c r="G140" s="14">
        <v>1545</v>
      </c>
      <c r="H140" s="14">
        <v>59</v>
      </c>
      <c r="I140" s="14">
        <v>0</v>
      </c>
      <c r="J140" s="14">
        <v>0</v>
      </c>
      <c r="K140" s="13" t="s">
        <v>34</v>
      </c>
      <c r="L140" s="13" t="s">
        <v>34</v>
      </c>
      <c r="M140" s="14">
        <v>99500</v>
      </c>
      <c r="N140" s="14">
        <v>11000</v>
      </c>
      <c r="O140" s="14">
        <v>0</v>
      </c>
      <c r="P140" s="14">
        <v>9</v>
      </c>
      <c r="Q140" s="14">
        <v>0</v>
      </c>
      <c r="R140" s="14">
        <v>2662</v>
      </c>
      <c r="S140" s="14">
        <v>1244</v>
      </c>
      <c r="T140" s="13" t="s">
        <v>33</v>
      </c>
      <c r="U140" s="13" t="s">
        <v>33</v>
      </c>
      <c r="V140" s="13" t="s">
        <v>103</v>
      </c>
      <c r="W140" s="13" t="s">
        <v>685</v>
      </c>
      <c r="X140" s="13" t="s">
        <v>1198</v>
      </c>
      <c r="Y140" s="13" t="str">
        <f t="shared" si="2"/>
        <v>William Tremain</v>
      </c>
      <c r="Z140" s="13" t="s">
        <v>1094</v>
      </c>
      <c r="AA140" s="14" t="s">
        <v>1094</v>
      </c>
      <c r="AB140" s="14" t="s">
        <v>6</v>
      </c>
      <c r="AC140" s="14" t="s">
        <v>167</v>
      </c>
    </row>
    <row r="141" spans="2:29" s="9" customFormat="1" x14ac:dyDescent="0.2">
      <c r="B141" s="9" t="s">
        <v>543</v>
      </c>
      <c r="C141" s="9" t="s">
        <v>544</v>
      </c>
      <c r="D141" s="9" t="s">
        <v>478</v>
      </c>
      <c r="E141" s="9" t="s">
        <v>31</v>
      </c>
      <c r="F141" s="9" t="s">
        <v>32</v>
      </c>
      <c r="G141" s="10">
        <v>1541</v>
      </c>
      <c r="H141" s="10">
        <v>36</v>
      </c>
      <c r="I141" s="10">
        <v>0</v>
      </c>
      <c r="J141" s="10">
        <v>600</v>
      </c>
      <c r="K141" s="9" t="s">
        <v>33</v>
      </c>
      <c r="L141" s="9" t="s">
        <v>34</v>
      </c>
      <c r="M141" s="10">
        <v>94480</v>
      </c>
      <c r="N141" s="10">
        <v>35000</v>
      </c>
      <c r="O141" s="10">
        <v>302</v>
      </c>
      <c r="P141" s="10">
        <v>6</v>
      </c>
      <c r="Q141" s="10">
        <v>1</v>
      </c>
      <c r="R141" s="10">
        <v>4184</v>
      </c>
      <c r="S141" s="10">
        <v>0</v>
      </c>
      <c r="T141" s="9" t="s">
        <v>34</v>
      </c>
      <c r="U141" s="9" t="s">
        <v>34</v>
      </c>
      <c r="V141" s="9" t="s">
        <v>35</v>
      </c>
      <c r="W141" s="9" t="s">
        <v>1191</v>
      </c>
      <c r="X141" s="9" t="s">
        <v>1190</v>
      </c>
      <c r="Y141" s="9" t="str">
        <f t="shared" si="2"/>
        <v>Damon Winneshiek</v>
      </c>
      <c r="Z141" s="9" t="s">
        <v>889</v>
      </c>
      <c r="AA141" s="10" t="s">
        <v>889</v>
      </c>
      <c r="AB141" s="10" t="s">
        <v>6</v>
      </c>
      <c r="AC141" s="10" t="s">
        <v>540</v>
      </c>
    </row>
    <row r="142" spans="2:29" s="11" customFormat="1" x14ac:dyDescent="0.2">
      <c r="B142" s="11" t="s">
        <v>562</v>
      </c>
      <c r="C142" s="11" t="s">
        <v>563</v>
      </c>
      <c r="D142" s="11" t="s">
        <v>521</v>
      </c>
      <c r="E142" s="11" t="s">
        <v>31</v>
      </c>
      <c r="F142" s="11" t="s">
        <v>32</v>
      </c>
      <c r="G142" s="12">
        <v>1536</v>
      </c>
      <c r="H142" s="12">
        <v>54</v>
      </c>
      <c r="I142" s="12">
        <v>11</v>
      </c>
      <c r="J142" s="12">
        <v>0</v>
      </c>
      <c r="K142" s="11" t="s">
        <v>34</v>
      </c>
      <c r="L142" s="11" t="s">
        <v>34</v>
      </c>
      <c r="M142" s="12">
        <v>99500</v>
      </c>
      <c r="N142" s="12">
        <v>6500</v>
      </c>
      <c r="O142" s="12">
        <v>0</v>
      </c>
      <c r="P142" s="12">
        <v>6</v>
      </c>
      <c r="Q142" s="12">
        <v>1</v>
      </c>
      <c r="R142" s="12">
        <v>4100</v>
      </c>
      <c r="S142" s="12">
        <v>907</v>
      </c>
      <c r="T142" s="11" t="s">
        <v>33</v>
      </c>
      <c r="U142" s="11" t="s">
        <v>33</v>
      </c>
      <c r="V142" s="11" t="s">
        <v>103</v>
      </c>
      <c r="W142" s="11" t="s">
        <v>466</v>
      </c>
      <c r="X142" s="11" t="s">
        <v>1189</v>
      </c>
      <c r="Y142" s="11" t="str">
        <f t="shared" si="2"/>
        <v>Jeff Brandt</v>
      </c>
      <c r="Z142" s="11" t="s">
        <v>1098</v>
      </c>
      <c r="AA142" s="12" t="s">
        <v>1098</v>
      </c>
      <c r="AB142" s="12" t="s">
        <v>6</v>
      </c>
      <c r="AC142" s="12" t="s">
        <v>59</v>
      </c>
    </row>
    <row r="143" spans="2:29" s="16" customFormat="1" x14ac:dyDescent="0.2">
      <c r="B143" s="16" t="s">
        <v>776</v>
      </c>
      <c r="C143" s="16" t="s">
        <v>81</v>
      </c>
      <c r="D143" s="16" t="s">
        <v>51</v>
      </c>
      <c r="E143" s="16" t="s">
        <v>31</v>
      </c>
      <c r="F143" s="16" t="s">
        <v>32</v>
      </c>
      <c r="G143" s="17">
        <v>1530</v>
      </c>
      <c r="H143" s="17">
        <v>40</v>
      </c>
      <c r="I143" s="17">
        <v>0</v>
      </c>
      <c r="J143" s="17">
        <v>0</v>
      </c>
      <c r="K143" s="16" t="s">
        <v>34</v>
      </c>
      <c r="L143" s="16" t="s">
        <v>34</v>
      </c>
      <c r="M143" s="17">
        <v>85000</v>
      </c>
      <c r="N143" s="17">
        <v>60000</v>
      </c>
      <c r="O143" s="17">
        <v>726</v>
      </c>
      <c r="P143" s="17">
        <v>14</v>
      </c>
      <c r="Q143" s="17">
        <v>7</v>
      </c>
      <c r="R143" s="17">
        <v>2500</v>
      </c>
      <c r="S143" s="17">
        <v>2000</v>
      </c>
      <c r="T143" s="16" t="s">
        <v>34</v>
      </c>
      <c r="U143" s="16" t="s">
        <v>33</v>
      </c>
      <c r="V143" s="16" t="s">
        <v>35</v>
      </c>
      <c r="W143" s="16" t="s">
        <v>451</v>
      </c>
      <c r="X143" s="16" t="s">
        <v>1283</v>
      </c>
      <c r="Y143" s="16" t="str">
        <f t="shared" si="2"/>
        <v>Scott Hager</v>
      </c>
      <c r="Z143" s="16" t="s">
        <v>1282</v>
      </c>
      <c r="AA143" s="17" t="s">
        <v>1282</v>
      </c>
      <c r="AB143" s="17" t="s">
        <v>1275</v>
      </c>
      <c r="AC143" s="17" t="s">
        <v>777</v>
      </c>
    </row>
    <row r="144" spans="2:29" s="16" customFormat="1" x14ac:dyDescent="0.2">
      <c r="B144" s="16" t="s">
        <v>776</v>
      </c>
      <c r="C144" s="16" t="s">
        <v>81</v>
      </c>
      <c r="D144" s="16" t="s">
        <v>51</v>
      </c>
      <c r="E144" s="16" t="s">
        <v>31</v>
      </c>
      <c r="F144" s="16" t="s">
        <v>32</v>
      </c>
      <c r="G144" s="17">
        <v>1530</v>
      </c>
      <c r="H144" s="17">
        <v>40</v>
      </c>
      <c r="I144" s="17">
        <v>0</v>
      </c>
      <c r="J144" s="17">
        <v>0</v>
      </c>
      <c r="K144" s="16" t="s">
        <v>34</v>
      </c>
      <c r="L144" s="16" t="s">
        <v>34</v>
      </c>
      <c r="M144" s="17">
        <v>85000</v>
      </c>
      <c r="N144" s="17">
        <v>60000</v>
      </c>
      <c r="O144" s="17">
        <v>726</v>
      </c>
      <c r="P144" s="17">
        <v>14</v>
      </c>
      <c r="Q144" s="17">
        <v>7</v>
      </c>
      <c r="R144" s="17">
        <v>2500</v>
      </c>
      <c r="S144" s="17">
        <v>2000</v>
      </c>
      <c r="T144" s="16" t="s">
        <v>34</v>
      </c>
      <c r="U144" s="16" t="s">
        <v>33</v>
      </c>
      <c r="V144" s="16" t="s">
        <v>35</v>
      </c>
      <c r="W144" s="16" t="s">
        <v>451</v>
      </c>
      <c r="X144" s="16" t="s">
        <v>1154</v>
      </c>
      <c r="Y144" s="16" t="str">
        <f t="shared" si="2"/>
        <v>Scott McDermott</v>
      </c>
      <c r="Z144" s="16" t="s">
        <v>889</v>
      </c>
      <c r="AA144" s="17" t="s">
        <v>889</v>
      </c>
      <c r="AB144" s="17" t="s">
        <v>6</v>
      </c>
      <c r="AC144" s="17" t="s">
        <v>777</v>
      </c>
    </row>
    <row r="145" spans="2:29" s="11" customFormat="1" x14ac:dyDescent="0.2">
      <c r="B145" s="11" t="s">
        <v>876</v>
      </c>
      <c r="C145" s="11" t="s">
        <v>877</v>
      </c>
      <c r="D145" s="11" t="s">
        <v>39</v>
      </c>
      <c r="E145" s="11" t="s">
        <v>31</v>
      </c>
      <c r="F145" s="11" t="s">
        <v>32</v>
      </c>
      <c r="G145" s="12">
        <v>1526</v>
      </c>
      <c r="H145" s="12">
        <v>5</v>
      </c>
      <c r="I145" s="12">
        <v>2</v>
      </c>
      <c r="J145" s="12">
        <v>0</v>
      </c>
      <c r="K145" s="11" t="s">
        <v>33</v>
      </c>
      <c r="L145" s="11" t="s">
        <v>33</v>
      </c>
      <c r="M145" s="12">
        <v>31419</v>
      </c>
      <c r="N145" s="12">
        <v>0</v>
      </c>
      <c r="O145" s="12">
        <v>0</v>
      </c>
      <c r="P145" s="12">
        <v>2</v>
      </c>
      <c r="Q145" s="12">
        <v>0</v>
      </c>
      <c r="R145" s="12">
        <v>816</v>
      </c>
      <c r="S145" s="12">
        <v>476</v>
      </c>
      <c r="T145" s="11" t="s">
        <v>34</v>
      </c>
      <c r="U145" s="11" t="s">
        <v>34</v>
      </c>
      <c r="V145" s="11" t="s">
        <v>35</v>
      </c>
      <c r="W145" s="11" t="s">
        <v>1140</v>
      </c>
      <c r="X145" s="11" t="s">
        <v>1139</v>
      </c>
      <c r="Y145" s="11" t="str">
        <f t="shared" si="2"/>
        <v>Saeed Tavassoli</v>
      </c>
      <c r="Z145" s="11" t="s">
        <v>1138</v>
      </c>
      <c r="AA145" s="12" t="s">
        <v>1138</v>
      </c>
      <c r="AB145" s="12" t="s">
        <v>6</v>
      </c>
      <c r="AC145" s="12" t="s">
        <v>879</v>
      </c>
    </row>
    <row r="146" spans="2:29" s="11" customFormat="1" x14ac:dyDescent="0.2">
      <c r="B146" s="11" t="s">
        <v>866</v>
      </c>
      <c r="C146" s="11" t="s">
        <v>432</v>
      </c>
      <c r="D146" s="11" t="s">
        <v>521</v>
      </c>
      <c r="E146" s="11" t="s">
        <v>31</v>
      </c>
      <c r="F146" s="11" t="s">
        <v>32</v>
      </c>
      <c r="G146" s="12">
        <v>1520</v>
      </c>
      <c r="H146" s="12">
        <v>109</v>
      </c>
      <c r="I146" s="12">
        <v>28</v>
      </c>
      <c r="J146" s="12">
        <v>0</v>
      </c>
      <c r="K146" s="11" t="s">
        <v>34</v>
      </c>
      <c r="L146" s="11" t="s">
        <v>33</v>
      </c>
      <c r="M146" s="12">
        <v>51017</v>
      </c>
      <c r="N146" s="12">
        <v>10000</v>
      </c>
      <c r="O146" s="12">
        <v>0</v>
      </c>
      <c r="P146" s="12">
        <v>7</v>
      </c>
      <c r="Q146" s="12">
        <v>1</v>
      </c>
      <c r="R146" s="12">
        <v>1700</v>
      </c>
      <c r="S146" s="12">
        <v>1476</v>
      </c>
      <c r="T146" s="11" t="s">
        <v>33</v>
      </c>
      <c r="U146" s="11" t="s">
        <v>33</v>
      </c>
      <c r="V146" s="11" t="s">
        <v>35</v>
      </c>
      <c r="W146" s="11" t="s">
        <v>1143</v>
      </c>
      <c r="X146" s="11" t="s">
        <v>1142</v>
      </c>
      <c r="Y146" s="11" t="str">
        <f t="shared" si="2"/>
        <v>Jeffrey Berndt</v>
      </c>
      <c r="Z146" s="11" t="s">
        <v>1141</v>
      </c>
      <c r="AA146" s="12" t="s">
        <v>1141</v>
      </c>
      <c r="AB146" s="12" t="s">
        <v>6</v>
      </c>
      <c r="AC146" s="12" t="s">
        <v>862</v>
      </c>
    </row>
    <row r="147" spans="2:29" s="9" customFormat="1" x14ac:dyDescent="0.2">
      <c r="B147" s="9" t="s">
        <v>863</v>
      </c>
      <c r="C147" s="9" t="s">
        <v>864</v>
      </c>
      <c r="D147" s="9" t="s">
        <v>97</v>
      </c>
      <c r="E147" s="9" t="s">
        <v>31</v>
      </c>
      <c r="F147" s="9" t="s">
        <v>32</v>
      </c>
      <c r="G147" s="10">
        <v>1515</v>
      </c>
      <c r="H147" s="10">
        <v>120</v>
      </c>
      <c r="I147" s="10">
        <v>22</v>
      </c>
      <c r="J147" s="10">
        <v>0</v>
      </c>
      <c r="K147" s="9" t="s">
        <v>34</v>
      </c>
      <c r="L147" s="9" t="s">
        <v>33</v>
      </c>
      <c r="M147" s="10">
        <v>43687</v>
      </c>
      <c r="N147" s="10">
        <v>0</v>
      </c>
      <c r="O147" s="10">
        <v>0</v>
      </c>
      <c r="P147" s="10">
        <v>5</v>
      </c>
      <c r="Q147" s="10">
        <v>0</v>
      </c>
      <c r="R147" s="10">
        <v>2300</v>
      </c>
      <c r="S147" s="10">
        <v>1452</v>
      </c>
      <c r="T147" s="9" t="s">
        <v>33</v>
      </c>
      <c r="U147" s="9" t="s">
        <v>33</v>
      </c>
      <c r="V147" s="9" t="s">
        <v>35</v>
      </c>
      <c r="W147" s="9" t="s">
        <v>1145</v>
      </c>
      <c r="X147" s="9" t="s">
        <v>1144</v>
      </c>
      <c r="Y147" s="9" t="str">
        <f t="shared" si="2"/>
        <v>Chue Xiong</v>
      </c>
      <c r="Z147" s="9" t="s">
        <v>1089</v>
      </c>
      <c r="AA147" s="10" t="s">
        <v>1088</v>
      </c>
      <c r="AB147" s="10" t="s">
        <v>6</v>
      </c>
      <c r="AC147" s="10" t="s">
        <v>865</v>
      </c>
    </row>
    <row r="148" spans="2:29" s="16" customFormat="1" x14ac:dyDescent="0.2">
      <c r="B148" s="16" t="s">
        <v>342</v>
      </c>
      <c r="C148" s="16" t="s">
        <v>81</v>
      </c>
      <c r="D148" s="16" t="s">
        <v>51</v>
      </c>
      <c r="E148" s="16" t="s">
        <v>31</v>
      </c>
      <c r="F148" s="16" t="s">
        <v>343</v>
      </c>
      <c r="G148" s="17">
        <v>1510</v>
      </c>
      <c r="H148" s="17">
        <v>18</v>
      </c>
      <c r="I148" s="17">
        <v>0</v>
      </c>
      <c r="J148" s="17">
        <v>450</v>
      </c>
      <c r="K148" s="16" t="s">
        <v>34</v>
      </c>
      <c r="L148" s="16" t="s">
        <v>34</v>
      </c>
      <c r="M148" s="17">
        <v>63879</v>
      </c>
      <c r="N148" s="17">
        <v>20000</v>
      </c>
      <c r="O148" s="17">
        <v>306</v>
      </c>
      <c r="P148" s="17">
        <v>6</v>
      </c>
      <c r="Q148" s="17">
        <v>2</v>
      </c>
      <c r="R148" s="17">
        <v>1690</v>
      </c>
      <c r="S148" s="17">
        <v>874</v>
      </c>
      <c r="T148" s="16" t="s">
        <v>33</v>
      </c>
      <c r="U148" s="16" t="s">
        <v>33</v>
      </c>
      <c r="V148" s="16" t="s">
        <v>35</v>
      </c>
      <c r="W148" s="16" t="s">
        <v>159</v>
      </c>
      <c r="X148" s="16" t="s">
        <v>149</v>
      </c>
      <c r="Y148" s="16" t="str">
        <f t="shared" si="2"/>
        <v>Michael Williams</v>
      </c>
      <c r="Z148" s="16" t="s">
        <v>1094</v>
      </c>
      <c r="AA148" s="17" t="s">
        <v>1094</v>
      </c>
      <c r="AB148" s="17" t="s">
        <v>6</v>
      </c>
      <c r="AC148" s="17" t="s">
        <v>53</v>
      </c>
    </row>
    <row r="149" spans="2:29" s="11" customFormat="1" x14ac:dyDescent="0.2">
      <c r="B149" s="11" t="s">
        <v>487</v>
      </c>
      <c r="C149" s="11" t="s">
        <v>488</v>
      </c>
      <c r="D149" s="11" t="s">
        <v>39</v>
      </c>
      <c r="E149" s="11" t="s">
        <v>31</v>
      </c>
      <c r="F149" s="11" t="s">
        <v>32</v>
      </c>
      <c r="G149" s="12">
        <v>1500</v>
      </c>
      <c r="H149" s="12">
        <v>60</v>
      </c>
      <c r="I149" s="12">
        <v>0</v>
      </c>
      <c r="J149" s="12">
        <v>0</v>
      </c>
      <c r="K149" s="11" t="s">
        <v>33</v>
      </c>
      <c r="L149" s="11" t="s">
        <v>33</v>
      </c>
      <c r="M149" s="12">
        <v>50000</v>
      </c>
      <c r="N149" s="12">
        <v>0</v>
      </c>
      <c r="O149" s="12">
        <v>169</v>
      </c>
      <c r="P149" s="12">
        <v>6</v>
      </c>
      <c r="Q149" s="12">
        <v>0</v>
      </c>
      <c r="R149" s="12">
        <v>2750</v>
      </c>
      <c r="S149" s="12">
        <v>2000</v>
      </c>
      <c r="T149" s="11" t="s">
        <v>34</v>
      </c>
      <c r="U149" s="11" t="s">
        <v>34</v>
      </c>
      <c r="V149" s="11" t="s">
        <v>35</v>
      </c>
      <c r="W149" s="11" t="s">
        <v>1445</v>
      </c>
      <c r="X149" s="11" t="s">
        <v>1444</v>
      </c>
      <c r="Y149" s="11" t="str">
        <f t="shared" si="2"/>
        <v>Will Provance</v>
      </c>
      <c r="Z149" s="11" t="s">
        <v>801</v>
      </c>
      <c r="AA149" s="12" t="s">
        <v>801</v>
      </c>
      <c r="AB149" s="12" t="s">
        <v>93</v>
      </c>
      <c r="AC149" s="12" t="s">
        <v>489</v>
      </c>
    </row>
    <row r="150" spans="2:29" s="9" customFormat="1" x14ac:dyDescent="0.2">
      <c r="B150" s="9" t="s">
        <v>487</v>
      </c>
      <c r="C150" s="9" t="s">
        <v>488</v>
      </c>
      <c r="D150" s="9" t="s">
        <v>39</v>
      </c>
      <c r="E150" s="9" t="s">
        <v>31</v>
      </c>
      <c r="F150" s="9" t="s">
        <v>32</v>
      </c>
      <c r="G150" s="10">
        <v>1500</v>
      </c>
      <c r="H150" s="10">
        <v>60</v>
      </c>
      <c r="I150" s="10">
        <v>0</v>
      </c>
      <c r="J150" s="10">
        <v>0</v>
      </c>
      <c r="K150" s="9" t="s">
        <v>33</v>
      </c>
      <c r="L150" s="9" t="s">
        <v>33</v>
      </c>
      <c r="M150" s="10">
        <v>50000</v>
      </c>
      <c r="N150" s="10">
        <v>0</v>
      </c>
      <c r="O150" s="10">
        <v>169</v>
      </c>
      <c r="P150" s="10">
        <v>6</v>
      </c>
      <c r="Q150" s="10">
        <v>0</v>
      </c>
      <c r="R150" s="10">
        <v>2750</v>
      </c>
      <c r="S150" s="10">
        <v>2000</v>
      </c>
      <c r="T150" s="9" t="s">
        <v>34</v>
      </c>
      <c r="U150" s="9" t="s">
        <v>34</v>
      </c>
      <c r="V150" s="9" t="s">
        <v>35</v>
      </c>
      <c r="W150" s="9" t="s">
        <v>741</v>
      </c>
      <c r="X150" s="9" t="s">
        <v>1199</v>
      </c>
      <c r="Y150" s="9" t="str">
        <f t="shared" si="2"/>
        <v>Stephen Mostella</v>
      </c>
      <c r="Z150" s="9" t="s">
        <v>1094</v>
      </c>
      <c r="AA150" s="10" t="s">
        <v>1094</v>
      </c>
      <c r="AB150" s="10" t="s">
        <v>6</v>
      </c>
      <c r="AC150" s="10" t="s">
        <v>489</v>
      </c>
    </row>
    <row r="151" spans="2:29" s="16" customFormat="1" x14ac:dyDescent="0.2">
      <c r="B151" s="16" t="s">
        <v>526</v>
      </c>
      <c r="C151" s="16" t="s">
        <v>527</v>
      </c>
      <c r="D151" s="16" t="s">
        <v>39</v>
      </c>
      <c r="E151" s="16" t="s">
        <v>31</v>
      </c>
      <c r="F151" s="16" t="s">
        <v>32</v>
      </c>
      <c r="G151" s="17">
        <v>1500</v>
      </c>
      <c r="H151" s="17">
        <v>50</v>
      </c>
      <c r="I151" s="17">
        <v>0</v>
      </c>
      <c r="J151" s="17">
        <v>0</v>
      </c>
      <c r="K151" s="16" t="s">
        <v>33</v>
      </c>
      <c r="L151" s="16" t="s">
        <v>33</v>
      </c>
      <c r="M151" s="17">
        <v>72900</v>
      </c>
      <c r="N151" s="17">
        <v>39000</v>
      </c>
      <c r="O151" s="17">
        <v>1090</v>
      </c>
      <c r="P151" s="17">
        <v>14</v>
      </c>
      <c r="Q151" s="17">
        <v>1</v>
      </c>
      <c r="R151" s="17">
        <v>1200</v>
      </c>
      <c r="S151" s="17">
        <v>1600</v>
      </c>
      <c r="T151" s="16" t="s">
        <v>34</v>
      </c>
      <c r="U151" s="16" t="s">
        <v>34</v>
      </c>
      <c r="V151" s="16" t="s">
        <v>35</v>
      </c>
      <c r="W151" s="16" t="s">
        <v>297</v>
      </c>
      <c r="X151" s="16" t="s">
        <v>1442</v>
      </c>
      <c r="Y151" s="16" t="str">
        <f t="shared" si="2"/>
        <v>Victor Li</v>
      </c>
      <c r="Z151" s="16" t="s">
        <v>91</v>
      </c>
      <c r="AA151" s="17" t="s">
        <v>92</v>
      </c>
      <c r="AB151" s="17" t="s">
        <v>93</v>
      </c>
      <c r="AC151" s="17" t="s">
        <v>528</v>
      </c>
    </row>
    <row r="152" spans="2:29" s="13" customFormat="1" x14ac:dyDescent="0.2">
      <c r="B152" s="13" t="s">
        <v>526</v>
      </c>
      <c r="C152" s="13" t="s">
        <v>527</v>
      </c>
      <c r="D152" s="13" t="s">
        <v>39</v>
      </c>
      <c r="E152" s="13" t="s">
        <v>31</v>
      </c>
      <c r="F152" s="13" t="s">
        <v>32</v>
      </c>
      <c r="G152" s="14">
        <v>1500</v>
      </c>
      <c r="H152" s="14">
        <v>50</v>
      </c>
      <c r="I152" s="14">
        <v>0</v>
      </c>
      <c r="J152" s="14">
        <v>0</v>
      </c>
      <c r="K152" s="13" t="s">
        <v>33</v>
      </c>
      <c r="L152" s="13" t="s">
        <v>33</v>
      </c>
      <c r="M152" s="14">
        <v>72900</v>
      </c>
      <c r="N152" s="14">
        <v>39000</v>
      </c>
      <c r="O152" s="14">
        <v>1090</v>
      </c>
      <c r="P152" s="14">
        <v>14</v>
      </c>
      <c r="Q152" s="14">
        <v>1</v>
      </c>
      <c r="R152" s="14">
        <v>1200</v>
      </c>
      <c r="S152" s="14">
        <v>1600</v>
      </c>
      <c r="T152" s="13" t="s">
        <v>34</v>
      </c>
      <c r="U152" s="13" t="s">
        <v>34</v>
      </c>
      <c r="V152" s="13" t="s">
        <v>35</v>
      </c>
      <c r="W152" s="13" t="s">
        <v>466</v>
      </c>
      <c r="X152" s="13" t="s">
        <v>1312</v>
      </c>
      <c r="Y152" s="13" t="str">
        <f t="shared" si="2"/>
        <v>Jeff Hornung</v>
      </c>
      <c r="Z152" s="13" t="s">
        <v>109</v>
      </c>
      <c r="AA152" s="14" t="s">
        <v>109</v>
      </c>
      <c r="AB152" s="14" t="s">
        <v>181</v>
      </c>
      <c r="AC152" s="14" t="s">
        <v>528</v>
      </c>
    </row>
    <row r="153" spans="2:29" s="13" customFormat="1" x14ac:dyDescent="0.2">
      <c r="B153" s="13" t="s">
        <v>693</v>
      </c>
      <c r="C153" s="13" t="s">
        <v>694</v>
      </c>
      <c r="D153" s="13" t="s">
        <v>368</v>
      </c>
      <c r="E153" s="13" t="s">
        <v>31</v>
      </c>
      <c r="F153" s="13" t="s">
        <v>32</v>
      </c>
      <c r="G153" s="14">
        <v>1500</v>
      </c>
      <c r="H153" s="14">
        <v>79</v>
      </c>
      <c r="I153" s="14">
        <v>15</v>
      </c>
      <c r="J153" s="14">
        <v>0</v>
      </c>
      <c r="K153" s="13" t="s">
        <v>34</v>
      </c>
      <c r="L153" s="13" t="s">
        <v>33</v>
      </c>
      <c r="M153" s="14">
        <v>109000</v>
      </c>
      <c r="N153" s="14">
        <v>0</v>
      </c>
      <c r="O153" s="14">
        <v>240</v>
      </c>
      <c r="P153" s="14">
        <v>13</v>
      </c>
      <c r="Q153" s="14">
        <v>0</v>
      </c>
      <c r="R153" s="14">
        <v>3400</v>
      </c>
      <c r="S153" s="14">
        <v>1281</v>
      </c>
      <c r="T153" s="13" t="s">
        <v>33</v>
      </c>
      <c r="U153" s="13" t="s">
        <v>33</v>
      </c>
      <c r="V153" s="13" t="s">
        <v>35</v>
      </c>
      <c r="W153" s="13" t="s">
        <v>522</v>
      </c>
      <c r="X153" s="13" t="s">
        <v>1346</v>
      </c>
      <c r="Y153" s="13" t="str">
        <f t="shared" si="2"/>
        <v>Robert Westerfield</v>
      </c>
      <c r="Z153" s="13" t="s">
        <v>91</v>
      </c>
      <c r="AA153" s="14" t="s">
        <v>92</v>
      </c>
      <c r="AB153" s="14" t="s">
        <v>929</v>
      </c>
      <c r="AC153" s="14" t="s">
        <v>130</v>
      </c>
    </row>
    <row r="154" spans="2:29" s="13" customFormat="1" x14ac:dyDescent="0.2">
      <c r="B154" s="13" t="s">
        <v>559</v>
      </c>
      <c r="C154" s="13" t="s">
        <v>61</v>
      </c>
      <c r="D154" s="13" t="s">
        <v>427</v>
      </c>
      <c r="E154" s="13" t="s">
        <v>31</v>
      </c>
      <c r="F154" s="13" t="s">
        <v>32</v>
      </c>
      <c r="G154" s="14">
        <v>1500</v>
      </c>
      <c r="H154" s="14">
        <v>35</v>
      </c>
      <c r="I154" s="14">
        <v>12</v>
      </c>
      <c r="J154" s="14">
        <v>0</v>
      </c>
      <c r="K154" s="13" t="s">
        <v>34</v>
      </c>
      <c r="L154" s="13" t="s">
        <v>33</v>
      </c>
      <c r="M154" s="14">
        <v>95000</v>
      </c>
      <c r="N154" s="14">
        <v>0</v>
      </c>
      <c r="O154" s="14">
        <v>0</v>
      </c>
      <c r="P154" s="14">
        <v>5</v>
      </c>
      <c r="Q154" s="14">
        <v>0</v>
      </c>
      <c r="R154" s="14">
        <v>0</v>
      </c>
      <c r="S154" s="14">
        <v>700</v>
      </c>
      <c r="T154" s="13" t="s">
        <v>33</v>
      </c>
      <c r="U154" s="13" t="s">
        <v>33</v>
      </c>
      <c r="V154" s="13" t="s">
        <v>35</v>
      </c>
      <c r="W154" s="13" t="s">
        <v>651</v>
      </c>
      <c r="X154" s="13" t="s">
        <v>1440</v>
      </c>
      <c r="Y154" s="13" t="str">
        <f t="shared" si="2"/>
        <v>Ryan Rose</v>
      </c>
      <c r="Z154" s="13" t="s">
        <v>91</v>
      </c>
      <c r="AA154" s="14" t="s">
        <v>92</v>
      </c>
      <c r="AB154" s="14" t="s">
        <v>93</v>
      </c>
      <c r="AC154" s="14" t="s">
        <v>561</v>
      </c>
    </row>
    <row r="155" spans="2:29" s="9" customFormat="1" x14ac:dyDescent="0.2">
      <c r="B155" s="9" t="s">
        <v>637</v>
      </c>
      <c r="C155" s="9" t="s">
        <v>638</v>
      </c>
      <c r="D155" s="9" t="s">
        <v>70</v>
      </c>
      <c r="E155" s="9" t="s">
        <v>31</v>
      </c>
      <c r="F155" s="9" t="s">
        <v>32</v>
      </c>
      <c r="G155" s="10">
        <v>1500</v>
      </c>
      <c r="H155" s="10">
        <v>18</v>
      </c>
      <c r="I155" s="10">
        <v>7</v>
      </c>
      <c r="J155" s="10">
        <v>0</v>
      </c>
      <c r="K155" s="9" t="s">
        <v>33</v>
      </c>
      <c r="L155" s="9" t="s">
        <v>33</v>
      </c>
      <c r="M155" s="10">
        <v>70000</v>
      </c>
      <c r="N155" s="10">
        <v>0</v>
      </c>
      <c r="O155" s="10">
        <v>218</v>
      </c>
      <c r="P155" s="10">
        <v>4</v>
      </c>
      <c r="Q155" s="10">
        <v>1</v>
      </c>
      <c r="R155" s="10">
        <v>2500</v>
      </c>
      <c r="S155" s="10">
        <v>700</v>
      </c>
      <c r="T155" s="9" t="s">
        <v>34</v>
      </c>
      <c r="U155" s="9" t="s">
        <v>34</v>
      </c>
      <c r="V155" s="9" t="s">
        <v>35</v>
      </c>
      <c r="W155" s="9" t="s">
        <v>1436</v>
      </c>
      <c r="X155" s="9" t="s">
        <v>1435</v>
      </c>
      <c r="Y155" s="9" t="str">
        <f t="shared" si="2"/>
        <v>Carlos Villarreal</v>
      </c>
      <c r="Z155" s="9" t="s">
        <v>109</v>
      </c>
      <c r="AA155" s="10" t="s">
        <v>109</v>
      </c>
      <c r="AB155" s="10" t="s">
        <v>93</v>
      </c>
      <c r="AC155" s="10" t="s">
        <v>640</v>
      </c>
    </row>
    <row r="156" spans="2:29" s="11" customFormat="1" x14ac:dyDescent="0.2">
      <c r="B156" s="11" t="s">
        <v>637</v>
      </c>
      <c r="C156" s="11" t="s">
        <v>638</v>
      </c>
      <c r="D156" s="11" t="s">
        <v>70</v>
      </c>
      <c r="E156" s="11" t="s">
        <v>31</v>
      </c>
      <c r="F156" s="11" t="s">
        <v>32</v>
      </c>
      <c r="G156" s="12">
        <v>1500</v>
      </c>
      <c r="H156" s="12">
        <v>18</v>
      </c>
      <c r="I156" s="12">
        <v>7</v>
      </c>
      <c r="J156" s="12">
        <v>0</v>
      </c>
      <c r="K156" s="11" t="s">
        <v>33</v>
      </c>
      <c r="L156" s="11" t="s">
        <v>33</v>
      </c>
      <c r="M156" s="12">
        <v>70000</v>
      </c>
      <c r="N156" s="12">
        <v>0</v>
      </c>
      <c r="O156" s="12">
        <v>218</v>
      </c>
      <c r="P156" s="12">
        <v>4</v>
      </c>
      <c r="Q156" s="12">
        <v>1</v>
      </c>
      <c r="R156" s="12">
        <v>2500</v>
      </c>
      <c r="S156" s="12">
        <v>700</v>
      </c>
      <c r="T156" s="11" t="s">
        <v>34</v>
      </c>
      <c r="U156" s="11" t="s">
        <v>34</v>
      </c>
      <c r="V156" s="11" t="s">
        <v>35</v>
      </c>
      <c r="W156" s="11" t="s">
        <v>1175</v>
      </c>
      <c r="X156" s="11" t="s">
        <v>1174</v>
      </c>
      <c r="Y156" s="11" t="str">
        <f t="shared" si="2"/>
        <v>Loretta McConville</v>
      </c>
      <c r="Z156" s="11" t="s">
        <v>1098</v>
      </c>
      <c r="AA156" s="12" t="s">
        <v>1098</v>
      </c>
      <c r="AB156" s="12" t="s">
        <v>6</v>
      </c>
      <c r="AC156" s="12" t="s">
        <v>640</v>
      </c>
    </row>
    <row r="157" spans="2:29" s="9" customFormat="1" x14ac:dyDescent="0.2">
      <c r="B157" s="9" t="s">
        <v>321</v>
      </c>
      <c r="C157" s="9" t="s">
        <v>322</v>
      </c>
      <c r="D157" s="9" t="s">
        <v>106</v>
      </c>
      <c r="E157" s="9" t="s">
        <v>31</v>
      </c>
      <c r="F157" s="9" t="s">
        <v>32</v>
      </c>
      <c r="G157" s="10">
        <v>1500</v>
      </c>
      <c r="H157" s="10">
        <v>0</v>
      </c>
      <c r="I157" s="10">
        <v>0</v>
      </c>
      <c r="J157" s="10">
        <v>0</v>
      </c>
      <c r="K157" s="9" t="s">
        <v>34</v>
      </c>
      <c r="L157" s="9" t="s">
        <v>34</v>
      </c>
      <c r="M157" s="10">
        <v>15000</v>
      </c>
      <c r="N157" s="10">
        <v>0</v>
      </c>
      <c r="O157" s="10">
        <v>367</v>
      </c>
      <c r="P157" s="10">
        <v>4</v>
      </c>
      <c r="Q157" s="10">
        <v>2</v>
      </c>
      <c r="R157" s="10">
        <v>1461</v>
      </c>
      <c r="S157" s="10">
        <v>656</v>
      </c>
      <c r="T157" s="9" t="s">
        <v>33</v>
      </c>
      <c r="U157" s="9" t="s">
        <v>33</v>
      </c>
      <c r="V157" s="9" t="s">
        <v>103</v>
      </c>
      <c r="W157" s="9" t="s">
        <v>292</v>
      </c>
      <c r="X157" s="9" t="s">
        <v>1234</v>
      </c>
      <c r="Y157" s="9" t="str">
        <f t="shared" si="2"/>
        <v>Rick Fitzsimmons</v>
      </c>
      <c r="Z157" s="9" t="s">
        <v>889</v>
      </c>
      <c r="AA157" s="10" t="s">
        <v>889</v>
      </c>
      <c r="AB157" s="10" t="s">
        <v>6</v>
      </c>
      <c r="AC157" s="10" t="s">
        <v>53</v>
      </c>
    </row>
    <row r="158" spans="2:29" s="9" customFormat="1" x14ac:dyDescent="0.2">
      <c r="B158" s="9" t="s">
        <v>816</v>
      </c>
      <c r="C158" s="9" t="s">
        <v>817</v>
      </c>
      <c r="D158" s="9" t="s">
        <v>70</v>
      </c>
      <c r="E158" s="9" t="s">
        <v>31</v>
      </c>
      <c r="F158" s="9" t="s">
        <v>32</v>
      </c>
      <c r="G158" s="10">
        <v>1500</v>
      </c>
      <c r="H158" s="10">
        <v>16</v>
      </c>
      <c r="I158" s="10">
        <v>0</v>
      </c>
      <c r="J158" s="10">
        <v>0</v>
      </c>
      <c r="K158" s="9" t="s">
        <v>33</v>
      </c>
      <c r="L158" s="9" t="s">
        <v>33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1000</v>
      </c>
      <c r="S158" s="10">
        <v>350</v>
      </c>
      <c r="T158" s="9" t="s">
        <v>34</v>
      </c>
      <c r="U158" s="9" t="s">
        <v>34</v>
      </c>
      <c r="V158" s="9" t="s">
        <v>35</v>
      </c>
      <c r="W158" s="9" t="s">
        <v>67</v>
      </c>
      <c r="X158" s="9" t="s">
        <v>1148</v>
      </c>
      <c r="Y158" s="9" t="str">
        <f t="shared" si="2"/>
        <v>Josh Hammons</v>
      </c>
      <c r="Z158" s="9" t="s">
        <v>1098</v>
      </c>
      <c r="AA158" s="10" t="s">
        <v>1098</v>
      </c>
      <c r="AB158" s="10" t="s">
        <v>6</v>
      </c>
      <c r="AC158" s="10" t="s">
        <v>819</v>
      </c>
    </row>
    <row r="159" spans="2:29" x14ac:dyDescent="0.2">
      <c r="B159" s="3" t="s">
        <v>422</v>
      </c>
      <c r="C159" s="3" t="s">
        <v>81</v>
      </c>
      <c r="D159" s="3" t="s">
        <v>51</v>
      </c>
      <c r="E159" s="3" t="s">
        <v>31</v>
      </c>
      <c r="F159" s="3" t="s">
        <v>32</v>
      </c>
      <c r="G159" s="4">
        <v>1490</v>
      </c>
      <c r="H159" s="4">
        <v>44</v>
      </c>
      <c r="I159" s="4">
        <v>0</v>
      </c>
      <c r="J159" s="4">
        <v>720</v>
      </c>
      <c r="K159" s="3" t="s">
        <v>34</v>
      </c>
      <c r="L159" s="3" t="s">
        <v>34</v>
      </c>
      <c r="M159" s="4">
        <v>87000</v>
      </c>
      <c r="N159" s="4">
        <v>30000</v>
      </c>
      <c r="O159" s="4">
        <v>712</v>
      </c>
      <c r="P159" s="4">
        <v>7</v>
      </c>
      <c r="Q159" s="4">
        <v>1</v>
      </c>
      <c r="R159" s="4">
        <v>3500</v>
      </c>
      <c r="S159" s="4">
        <v>1147</v>
      </c>
      <c r="T159" s="3" t="s">
        <v>33</v>
      </c>
      <c r="U159" s="3" t="s">
        <v>33</v>
      </c>
      <c r="V159" s="3" t="s">
        <v>35</v>
      </c>
      <c r="W159" s="3" t="s">
        <v>1452</v>
      </c>
      <c r="X159" s="3" t="s">
        <v>1451</v>
      </c>
      <c r="Y159" s="3" t="str">
        <f t="shared" si="2"/>
        <v>Jamie Hartley</v>
      </c>
      <c r="Z159" s="3" t="s">
        <v>109</v>
      </c>
      <c r="AA159" s="4" t="s">
        <v>109</v>
      </c>
      <c r="AB159" s="4" t="s">
        <v>93</v>
      </c>
      <c r="AC159" s="4" t="s">
        <v>53</v>
      </c>
    </row>
    <row r="160" spans="2:29" x14ac:dyDescent="0.2">
      <c r="B160" s="3" t="s">
        <v>170</v>
      </c>
      <c r="C160" s="3" t="s">
        <v>81</v>
      </c>
      <c r="D160" s="3" t="s">
        <v>51</v>
      </c>
      <c r="E160" s="3" t="s">
        <v>31</v>
      </c>
      <c r="F160" s="3" t="s">
        <v>32</v>
      </c>
      <c r="G160" s="4">
        <v>1460</v>
      </c>
      <c r="H160" s="4">
        <v>170</v>
      </c>
      <c r="I160" s="4">
        <v>20</v>
      </c>
      <c r="J160" s="4">
        <v>0</v>
      </c>
      <c r="K160" s="3" t="s">
        <v>34</v>
      </c>
      <c r="L160" s="3" t="s">
        <v>34</v>
      </c>
      <c r="M160" s="4">
        <v>124200</v>
      </c>
      <c r="N160" s="4">
        <v>320000</v>
      </c>
      <c r="O160" s="4">
        <v>3970</v>
      </c>
      <c r="P160" s="4">
        <v>16</v>
      </c>
      <c r="Q160" s="4">
        <v>12</v>
      </c>
      <c r="R160" s="4">
        <v>7500</v>
      </c>
      <c r="S160" s="4">
        <v>1853</v>
      </c>
      <c r="T160" s="3" t="s">
        <v>33</v>
      </c>
      <c r="U160" s="3" t="s">
        <v>33</v>
      </c>
      <c r="V160" s="3" t="s">
        <v>35</v>
      </c>
      <c r="W160" s="3" t="s">
        <v>159</v>
      </c>
      <c r="X160" s="3" t="s">
        <v>1465</v>
      </c>
      <c r="Y160" s="3" t="str">
        <f t="shared" si="2"/>
        <v>Michael Clifford</v>
      </c>
      <c r="Z160" s="3" t="s">
        <v>109</v>
      </c>
      <c r="AA160" s="4" t="s">
        <v>109</v>
      </c>
      <c r="AB160" s="4" t="s">
        <v>93</v>
      </c>
      <c r="AC160" s="4" t="s">
        <v>167</v>
      </c>
    </row>
    <row r="161" spans="2:29" s="9" customFormat="1" x14ac:dyDescent="0.2">
      <c r="B161" s="9" t="s">
        <v>68</v>
      </c>
      <c r="C161" s="9" t="s">
        <v>69</v>
      </c>
      <c r="D161" s="9" t="s">
        <v>70</v>
      </c>
      <c r="E161" s="9" t="s">
        <v>31</v>
      </c>
      <c r="F161" s="9" t="s">
        <v>32</v>
      </c>
      <c r="G161" s="10">
        <v>1447</v>
      </c>
      <c r="H161" s="10">
        <v>24</v>
      </c>
      <c r="I161" s="10">
        <v>0</v>
      </c>
      <c r="J161" s="10">
        <v>0</v>
      </c>
      <c r="K161" s="9" t="s">
        <v>34</v>
      </c>
      <c r="L161" s="9" t="s">
        <v>34</v>
      </c>
      <c r="M161" s="10">
        <v>112000</v>
      </c>
      <c r="N161" s="10">
        <v>0</v>
      </c>
      <c r="O161" s="10">
        <v>125</v>
      </c>
      <c r="P161" s="10">
        <v>9</v>
      </c>
      <c r="Q161" s="10">
        <v>1</v>
      </c>
      <c r="R161" s="10">
        <v>1100</v>
      </c>
      <c r="S161" s="10">
        <v>700</v>
      </c>
      <c r="T161" s="9" t="s">
        <v>34</v>
      </c>
      <c r="U161" s="9" t="s">
        <v>34</v>
      </c>
      <c r="V161" s="9" t="s">
        <v>35</v>
      </c>
      <c r="W161" s="9" t="s">
        <v>1476</v>
      </c>
      <c r="X161" s="9" t="s">
        <v>1475</v>
      </c>
      <c r="Y161" s="9" t="str">
        <f t="shared" si="2"/>
        <v>Raymond Ghost Bear</v>
      </c>
      <c r="Z161" s="9" t="s">
        <v>1258</v>
      </c>
      <c r="AA161" s="10" t="s">
        <v>1258</v>
      </c>
      <c r="AB161" s="10" t="s">
        <v>93</v>
      </c>
      <c r="AC161" s="10" t="s">
        <v>73</v>
      </c>
    </row>
    <row r="162" spans="2:29" x14ac:dyDescent="0.2">
      <c r="B162" s="3" t="s">
        <v>68</v>
      </c>
      <c r="C162" s="3" t="s">
        <v>69</v>
      </c>
      <c r="D162" s="3" t="s">
        <v>70</v>
      </c>
      <c r="E162" s="3" t="s">
        <v>31</v>
      </c>
      <c r="F162" s="3" t="s">
        <v>32</v>
      </c>
      <c r="G162" s="4">
        <v>1447</v>
      </c>
      <c r="H162" s="4">
        <v>24</v>
      </c>
      <c r="I162" s="4">
        <v>0</v>
      </c>
      <c r="J162" s="4">
        <v>0</v>
      </c>
      <c r="K162" s="3" t="s">
        <v>34</v>
      </c>
      <c r="L162" s="3" t="s">
        <v>34</v>
      </c>
      <c r="M162" s="4">
        <v>112000</v>
      </c>
      <c r="N162" s="4">
        <v>0</v>
      </c>
      <c r="O162" s="4">
        <v>125</v>
      </c>
      <c r="P162" s="4">
        <v>9</v>
      </c>
      <c r="Q162" s="4">
        <v>1</v>
      </c>
      <c r="R162" s="4">
        <v>1100</v>
      </c>
      <c r="S162" s="4">
        <v>700</v>
      </c>
      <c r="T162" s="3" t="s">
        <v>34</v>
      </c>
      <c r="U162" s="3" t="s">
        <v>34</v>
      </c>
      <c r="V162" s="3" t="s">
        <v>35</v>
      </c>
      <c r="W162" s="3" t="s">
        <v>456</v>
      </c>
      <c r="X162" s="3" t="s">
        <v>1274</v>
      </c>
      <c r="Y162" s="3" t="str">
        <f t="shared" si="2"/>
        <v>John Baca</v>
      </c>
      <c r="Z162" s="3" t="s">
        <v>1094</v>
      </c>
      <c r="AA162" s="4" t="s">
        <v>1094</v>
      </c>
      <c r="AB162" s="4" t="s">
        <v>1270</v>
      </c>
      <c r="AC162" s="4" t="s">
        <v>73</v>
      </c>
    </row>
    <row r="163" spans="2:29" x14ac:dyDescent="0.2">
      <c r="B163" s="3" t="s">
        <v>962</v>
      </c>
      <c r="C163" s="3" t="s">
        <v>963</v>
      </c>
      <c r="D163" s="3" t="s">
        <v>39</v>
      </c>
      <c r="E163" s="3" t="s">
        <v>31</v>
      </c>
      <c r="F163" s="3" t="s">
        <v>32</v>
      </c>
      <c r="G163" s="4">
        <v>1441</v>
      </c>
      <c r="H163" s="4">
        <v>15</v>
      </c>
      <c r="I163" s="4">
        <v>0</v>
      </c>
      <c r="J163" s="4">
        <v>0</v>
      </c>
      <c r="K163" s="3" t="s">
        <v>33</v>
      </c>
      <c r="L163" s="3" t="s">
        <v>33</v>
      </c>
      <c r="M163" s="4">
        <v>150000</v>
      </c>
      <c r="N163" s="4">
        <v>20188</v>
      </c>
      <c r="O163" s="4">
        <v>0</v>
      </c>
      <c r="P163" s="4">
        <v>7</v>
      </c>
      <c r="Q163" s="4">
        <v>1</v>
      </c>
      <c r="R163" s="4">
        <v>2500</v>
      </c>
      <c r="S163" s="4">
        <v>750</v>
      </c>
      <c r="T163" s="3" t="s">
        <v>34</v>
      </c>
      <c r="U163" s="3" t="s">
        <v>34</v>
      </c>
      <c r="V163" s="3" t="s">
        <v>35</v>
      </c>
      <c r="W163" s="3" t="s">
        <v>1343</v>
      </c>
      <c r="X163" s="3" t="s">
        <v>1342</v>
      </c>
      <c r="Y163" s="3" t="str">
        <f t="shared" si="2"/>
        <v>Jeffery Inman</v>
      </c>
      <c r="Z163" s="3" t="s">
        <v>1341</v>
      </c>
      <c r="AA163" s="4" t="s">
        <v>1340</v>
      </c>
      <c r="AB163" s="4" t="s">
        <v>929</v>
      </c>
      <c r="AC163" s="4" t="s">
        <v>964</v>
      </c>
    </row>
    <row r="164" spans="2:29" x14ac:dyDescent="0.2">
      <c r="B164" s="3" t="s">
        <v>962</v>
      </c>
      <c r="C164" s="3" t="s">
        <v>963</v>
      </c>
      <c r="D164" s="3" t="s">
        <v>39</v>
      </c>
      <c r="E164" s="3" t="s">
        <v>31</v>
      </c>
      <c r="F164" s="3" t="s">
        <v>32</v>
      </c>
      <c r="G164" s="4">
        <v>1441</v>
      </c>
      <c r="H164" s="4">
        <v>15</v>
      </c>
      <c r="I164" s="4">
        <v>0</v>
      </c>
      <c r="J164" s="4">
        <v>0</v>
      </c>
      <c r="K164" s="3" t="s">
        <v>33</v>
      </c>
      <c r="L164" s="3" t="s">
        <v>33</v>
      </c>
      <c r="M164" s="4">
        <v>150000</v>
      </c>
      <c r="N164" s="4">
        <v>20188</v>
      </c>
      <c r="O164" s="4">
        <v>0</v>
      </c>
      <c r="P164" s="4">
        <v>7</v>
      </c>
      <c r="Q164" s="4">
        <v>1</v>
      </c>
      <c r="R164" s="4">
        <v>2500</v>
      </c>
      <c r="S164" s="4">
        <v>750</v>
      </c>
      <c r="T164" s="3" t="s">
        <v>34</v>
      </c>
      <c r="U164" s="3" t="s">
        <v>34</v>
      </c>
      <c r="V164" s="3" t="s">
        <v>35</v>
      </c>
      <c r="W164" s="3" t="s">
        <v>406</v>
      </c>
      <c r="X164" s="3" t="s">
        <v>1116</v>
      </c>
      <c r="Y164" s="3" t="str">
        <f t="shared" si="2"/>
        <v>Chris Seiple</v>
      </c>
      <c r="Z164" s="3" t="s">
        <v>1115</v>
      </c>
      <c r="AA164" s="4" t="s">
        <v>1115</v>
      </c>
      <c r="AB164" s="4" t="s">
        <v>6</v>
      </c>
      <c r="AC164" s="4" t="s">
        <v>964</v>
      </c>
    </row>
    <row r="165" spans="2:29" x14ac:dyDescent="0.2">
      <c r="B165" s="3" t="s">
        <v>758</v>
      </c>
      <c r="C165" s="3" t="s">
        <v>759</v>
      </c>
      <c r="D165" s="3" t="s">
        <v>760</v>
      </c>
      <c r="E165" s="3" t="s">
        <v>31</v>
      </c>
      <c r="F165" s="3" t="s">
        <v>32</v>
      </c>
      <c r="G165" s="4">
        <v>1439</v>
      </c>
      <c r="H165" s="4">
        <v>31</v>
      </c>
      <c r="I165" s="4">
        <v>0</v>
      </c>
      <c r="J165" s="4">
        <v>0</v>
      </c>
      <c r="K165" s="3" t="s">
        <v>33</v>
      </c>
      <c r="L165" s="3" t="s">
        <v>34</v>
      </c>
      <c r="M165" s="4">
        <v>0</v>
      </c>
      <c r="N165" s="4">
        <v>0</v>
      </c>
      <c r="O165" s="4">
        <v>0</v>
      </c>
      <c r="P165" s="4">
        <v>10</v>
      </c>
      <c r="Q165" s="4">
        <v>0</v>
      </c>
      <c r="R165" s="4">
        <v>0</v>
      </c>
      <c r="S165" s="4">
        <v>0</v>
      </c>
      <c r="T165" s="3" t="s">
        <v>33</v>
      </c>
      <c r="U165" s="3" t="s">
        <v>33</v>
      </c>
      <c r="V165" s="3" t="s">
        <v>103</v>
      </c>
      <c r="W165" s="3" t="s">
        <v>72</v>
      </c>
      <c r="X165" s="3" t="s">
        <v>1344</v>
      </c>
      <c r="Y165" s="3" t="str">
        <f t="shared" si="2"/>
        <v>Bruce Jones</v>
      </c>
      <c r="Z165" s="3" t="s">
        <v>91</v>
      </c>
      <c r="AA165" s="4" t="s">
        <v>92</v>
      </c>
      <c r="AB165" s="4" t="s">
        <v>929</v>
      </c>
      <c r="AC165" s="4" t="s">
        <v>0</v>
      </c>
    </row>
    <row r="166" spans="2:29" x14ac:dyDescent="0.2">
      <c r="B166" s="3" t="s">
        <v>849</v>
      </c>
      <c r="C166" s="3" t="s">
        <v>850</v>
      </c>
      <c r="D166" s="3" t="s">
        <v>851</v>
      </c>
      <c r="E166" s="3" t="s">
        <v>180</v>
      </c>
      <c r="F166" s="3" t="s">
        <v>32</v>
      </c>
      <c r="G166" s="4">
        <v>1427</v>
      </c>
      <c r="H166" s="4">
        <v>39</v>
      </c>
      <c r="I166" s="4">
        <v>12</v>
      </c>
      <c r="J166" s="4">
        <v>0</v>
      </c>
      <c r="K166" s="3" t="s">
        <v>33</v>
      </c>
      <c r="L166" s="3" t="s">
        <v>33</v>
      </c>
      <c r="M166" s="4">
        <v>62600</v>
      </c>
      <c r="N166" s="4">
        <v>20000</v>
      </c>
      <c r="O166" s="4">
        <v>255</v>
      </c>
      <c r="P166" s="4">
        <v>6</v>
      </c>
      <c r="Q166" s="4">
        <v>0</v>
      </c>
      <c r="R166" s="4">
        <v>0</v>
      </c>
      <c r="S166" s="4">
        <v>0</v>
      </c>
      <c r="T166" s="3" t="s">
        <v>34</v>
      </c>
      <c r="U166" s="3" t="s">
        <v>33</v>
      </c>
      <c r="V166" s="3" t="s">
        <v>35</v>
      </c>
      <c r="W166" s="3" t="s">
        <v>1123</v>
      </c>
      <c r="X166" s="3" t="s">
        <v>1364</v>
      </c>
      <c r="Y166" s="3" t="str">
        <f t="shared" si="2"/>
        <v>Steve Braun</v>
      </c>
      <c r="Z166" s="3" t="s">
        <v>109</v>
      </c>
      <c r="AA166" s="4" t="s">
        <v>109</v>
      </c>
      <c r="AB166" s="4" t="s">
        <v>1363</v>
      </c>
      <c r="AC166" s="4" t="s">
        <v>852</v>
      </c>
    </row>
    <row r="167" spans="2:29" x14ac:dyDescent="0.2">
      <c r="B167" s="3" t="s">
        <v>869</v>
      </c>
      <c r="C167" s="3" t="s">
        <v>870</v>
      </c>
      <c r="D167" s="3" t="s">
        <v>174</v>
      </c>
      <c r="E167" s="3" t="s">
        <v>31</v>
      </c>
      <c r="F167" s="3" t="s">
        <v>32</v>
      </c>
      <c r="G167" s="4">
        <v>1419</v>
      </c>
      <c r="H167" s="4">
        <v>61</v>
      </c>
      <c r="I167" s="4">
        <v>24</v>
      </c>
      <c r="J167" s="4">
        <v>0</v>
      </c>
      <c r="K167" s="3" t="s">
        <v>34</v>
      </c>
      <c r="L167" s="3" t="s">
        <v>33</v>
      </c>
      <c r="M167" s="4">
        <v>450000</v>
      </c>
      <c r="N167" s="4">
        <v>0</v>
      </c>
      <c r="O167" s="4">
        <v>0</v>
      </c>
      <c r="P167" s="4">
        <v>7</v>
      </c>
      <c r="Q167" s="4">
        <v>0</v>
      </c>
      <c r="R167" s="4">
        <v>3000</v>
      </c>
      <c r="S167" s="4">
        <v>1300</v>
      </c>
      <c r="T167" s="3" t="s">
        <v>33</v>
      </c>
      <c r="U167" s="3" t="s">
        <v>33</v>
      </c>
      <c r="V167" s="3" t="s">
        <v>35</v>
      </c>
      <c r="W167" s="3" t="s">
        <v>1398</v>
      </c>
      <c r="X167" s="3" t="s">
        <v>1397</v>
      </c>
      <c r="Y167" s="3" t="str">
        <f t="shared" si="2"/>
        <v>Jennifer Davena</v>
      </c>
      <c r="Z167" s="3" t="s">
        <v>1282</v>
      </c>
      <c r="AA167" s="4" t="s">
        <v>1282</v>
      </c>
      <c r="AB167" s="4" t="s">
        <v>93</v>
      </c>
      <c r="AC167" s="4" t="s">
        <v>862</v>
      </c>
    </row>
    <row r="168" spans="2:29" x14ac:dyDescent="0.2">
      <c r="B168" s="3" t="s">
        <v>666</v>
      </c>
      <c r="C168" s="3" t="s">
        <v>667</v>
      </c>
      <c r="D168" s="3" t="s">
        <v>30</v>
      </c>
      <c r="E168" s="3" t="s">
        <v>31</v>
      </c>
      <c r="F168" s="3" t="s">
        <v>32</v>
      </c>
      <c r="G168" s="4">
        <v>1414</v>
      </c>
      <c r="H168" s="4">
        <v>10</v>
      </c>
      <c r="I168" s="4">
        <v>0</v>
      </c>
      <c r="J168" s="4">
        <v>0</v>
      </c>
      <c r="K168" s="3" t="s">
        <v>33</v>
      </c>
      <c r="L168" s="3" t="s">
        <v>33</v>
      </c>
      <c r="M168" s="4">
        <v>40000</v>
      </c>
      <c r="N168" s="4">
        <v>0</v>
      </c>
      <c r="O168" s="4">
        <v>0</v>
      </c>
      <c r="P168" s="4">
        <v>1</v>
      </c>
      <c r="Q168" s="4">
        <v>0</v>
      </c>
      <c r="R168" s="4">
        <v>1000</v>
      </c>
      <c r="S168" s="4">
        <v>400</v>
      </c>
      <c r="T168" s="3" t="s">
        <v>34</v>
      </c>
      <c r="U168" s="3" t="s">
        <v>34</v>
      </c>
      <c r="V168" s="3" t="s">
        <v>35</v>
      </c>
      <c r="W168" s="3" t="s">
        <v>52</v>
      </c>
      <c r="X168" s="3" t="s">
        <v>1169</v>
      </c>
      <c r="Y168" s="3" t="str">
        <f t="shared" si="2"/>
        <v>Jesse Guzman</v>
      </c>
      <c r="Z168" s="3" t="s">
        <v>1098</v>
      </c>
      <c r="AA168" s="4" t="s">
        <v>1098</v>
      </c>
      <c r="AB168" s="4" t="s">
        <v>6</v>
      </c>
      <c r="AC168" s="4" t="s">
        <v>665</v>
      </c>
    </row>
    <row r="169" spans="2:29" x14ac:dyDescent="0.2">
      <c r="B169" s="3" t="s">
        <v>496</v>
      </c>
      <c r="C169" s="3" t="s">
        <v>497</v>
      </c>
      <c r="D169" s="3" t="s">
        <v>174</v>
      </c>
      <c r="E169" s="3" t="s">
        <v>31</v>
      </c>
      <c r="F169" s="3" t="s">
        <v>32</v>
      </c>
      <c r="G169" s="4">
        <v>1408</v>
      </c>
      <c r="H169" s="4">
        <v>63</v>
      </c>
      <c r="I169" s="4">
        <v>14</v>
      </c>
      <c r="J169" s="4">
        <v>0</v>
      </c>
      <c r="K169" s="3" t="s">
        <v>34</v>
      </c>
      <c r="L169" s="3" t="s">
        <v>33</v>
      </c>
      <c r="M169" s="4">
        <v>300000</v>
      </c>
      <c r="N169" s="4">
        <v>0</v>
      </c>
      <c r="O169" s="4">
        <v>303</v>
      </c>
      <c r="P169" s="4">
        <v>2</v>
      </c>
      <c r="Q169" s="4">
        <v>2</v>
      </c>
      <c r="R169" s="4">
        <v>0</v>
      </c>
      <c r="S169" s="4">
        <v>1200</v>
      </c>
      <c r="T169" s="3" t="s">
        <v>34</v>
      </c>
      <c r="U169" s="3" t="s">
        <v>33</v>
      </c>
      <c r="V169" s="3" t="s">
        <v>35</v>
      </c>
      <c r="W169" s="3" t="s">
        <v>326</v>
      </c>
      <c r="X169" s="3" t="s">
        <v>1443</v>
      </c>
      <c r="Y169" s="3" t="str">
        <f t="shared" si="2"/>
        <v>Mark Durbin</v>
      </c>
      <c r="Z169" s="3" t="s">
        <v>1278</v>
      </c>
      <c r="AA169" s="4" t="s">
        <v>1278</v>
      </c>
      <c r="AB169" s="4" t="s">
        <v>93</v>
      </c>
      <c r="AC169" s="4" t="s">
        <v>482</v>
      </c>
    </row>
    <row r="170" spans="2:29" x14ac:dyDescent="0.2">
      <c r="B170" s="3" t="s">
        <v>196</v>
      </c>
      <c r="C170" s="3" t="s">
        <v>197</v>
      </c>
      <c r="D170" s="3" t="s">
        <v>0</v>
      </c>
      <c r="E170" s="3" t="s">
        <v>198</v>
      </c>
      <c r="F170" s="3" t="s">
        <v>32</v>
      </c>
      <c r="G170" s="4">
        <v>1400</v>
      </c>
      <c r="H170" s="4">
        <v>120</v>
      </c>
      <c r="I170" s="4">
        <v>11</v>
      </c>
      <c r="J170" s="4">
        <v>0</v>
      </c>
      <c r="K170" s="3" t="s">
        <v>33</v>
      </c>
      <c r="L170" s="3" t="s">
        <v>33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1500</v>
      </c>
      <c r="S170" s="4">
        <v>2000</v>
      </c>
      <c r="T170" s="3" t="s">
        <v>33</v>
      </c>
      <c r="U170" s="3" t="s">
        <v>33</v>
      </c>
      <c r="V170" s="3" t="s">
        <v>35</v>
      </c>
      <c r="W170" s="3" t="s">
        <v>199</v>
      </c>
      <c r="X170" s="3" t="s">
        <v>200</v>
      </c>
      <c r="Y170" s="3" t="str">
        <f t="shared" si="2"/>
        <v>Rodolfo Firestier</v>
      </c>
      <c r="Z170" s="3" t="s">
        <v>201</v>
      </c>
      <c r="AA170" s="4" t="s">
        <v>201</v>
      </c>
      <c r="AB170" s="4" t="s">
        <v>93</v>
      </c>
      <c r="AC170" s="4" t="s">
        <v>202</v>
      </c>
    </row>
    <row r="171" spans="2:29" x14ac:dyDescent="0.2">
      <c r="B171" s="3" t="s">
        <v>636</v>
      </c>
      <c r="C171" s="3" t="s">
        <v>438</v>
      </c>
      <c r="D171" s="3" t="s">
        <v>106</v>
      </c>
      <c r="E171" s="3" t="s">
        <v>31</v>
      </c>
      <c r="F171" s="3" t="s">
        <v>32</v>
      </c>
      <c r="G171" s="4">
        <v>1400</v>
      </c>
      <c r="H171" s="4">
        <v>82</v>
      </c>
      <c r="I171" s="4">
        <v>0</v>
      </c>
      <c r="J171" s="4">
        <v>0</v>
      </c>
      <c r="K171" s="3" t="s">
        <v>34</v>
      </c>
      <c r="L171" s="3" t="s">
        <v>33</v>
      </c>
      <c r="M171" s="4">
        <v>70000</v>
      </c>
      <c r="N171" s="4">
        <v>38000</v>
      </c>
      <c r="O171" s="4">
        <v>995</v>
      </c>
      <c r="P171" s="4">
        <v>9</v>
      </c>
      <c r="Q171" s="4">
        <v>3</v>
      </c>
      <c r="R171" s="4">
        <v>2800</v>
      </c>
      <c r="S171" s="4">
        <v>1948</v>
      </c>
      <c r="T171" s="3" t="s">
        <v>33</v>
      </c>
      <c r="U171" s="3" t="s">
        <v>33</v>
      </c>
      <c r="V171" s="3" t="s">
        <v>57</v>
      </c>
      <c r="W171" s="3" t="s">
        <v>383</v>
      </c>
      <c r="X171" s="3" t="s">
        <v>1349</v>
      </c>
      <c r="Y171" s="3" t="str">
        <f t="shared" si="2"/>
        <v>Patrick Chan</v>
      </c>
      <c r="Z171" s="3" t="s">
        <v>91</v>
      </c>
      <c r="AA171" s="4" t="s">
        <v>92</v>
      </c>
      <c r="AB171" s="4" t="s">
        <v>929</v>
      </c>
      <c r="AC171" s="4" t="s">
        <v>59</v>
      </c>
    </row>
    <row r="172" spans="2:29" x14ac:dyDescent="0.2">
      <c r="B172" s="3" t="s">
        <v>1060</v>
      </c>
      <c r="C172" s="3" t="s">
        <v>1061</v>
      </c>
      <c r="D172" s="3" t="s">
        <v>97</v>
      </c>
      <c r="E172" s="3" t="s">
        <v>31</v>
      </c>
      <c r="F172" s="3" t="s">
        <v>32</v>
      </c>
      <c r="G172" s="4">
        <v>1400</v>
      </c>
      <c r="H172" s="4">
        <v>56</v>
      </c>
      <c r="I172" s="4">
        <v>7</v>
      </c>
      <c r="J172" s="4">
        <v>0</v>
      </c>
      <c r="K172" s="3" t="s">
        <v>34</v>
      </c>
      <c r="L172" s="3" t="s">
        <v>33</v>
      </c>
      <c r="M172" s="4">
        <v>70000</v>
      </c>
      <c r="N172" s="4">
        <v>35000</v>
      </c>
      <c r="O172" s="4">
        <v>255</v>
      </c>
      <c r="P172" s="4">
        <v>0</v>
      </c>
      <c r="Q172" s="4">
        <v>0</v>
      </c>
      <c r="R172" s="4">
        <v>0</v>
      </c>
      <c r="S172" s="4">
        <v>800</v>
      </c>
      <c r="T172" s="3" t="s">
        <v>34</v>
      </c>
      <c r="U172" s="3" t="s">
        <v>33</v>
      </c>
      <c r="V172" s="3" t="s">
        <v>35</v>
      </c>
      <c r="W172" s="3" t="s">
        <v>894</v>
      </c>
      <c r="X172" s="3" t="s">
        <v>1379</v>
      </c>
      <c r="Y172" s="3" t="str">
        <f t="shared" si="2"/>
        <v>Amy Applegate</v>
      </c>
      <c r="Z172" s="3" t="s">
        <v>1378</v>
      </c>
      <c r="AA172" s="4" t="s">
        <v>1378</v>
      </c>
      <c r="AB172" s="4" t="s">
        <v>93</v>
      </c>
      <c r="AC172" s="4" t="s">
        <v>672</v>
      </c>
    </row>
    <row r="173" spans="2:29" s="9" customFormat="1" x14ac:dyDescent="0.2">
      <c r="B173" s="9" t="s">
        <v>898</v>
      </c>
      <c r="C173" s="9" t="s">
        <v>899</v>
      </c>
      <c r="D173" s="9" t="s">
        <v>185</v>
      </c>
      <c r="E173" s="9" t="s">
        <v>31</v>
      </c>
      <c r="F173" s="9" t="s">
        <v>32</v>
      </c>
      <c r="G173" s="10">
        <v>1400</v>
      </c>
      <c r="H173" s="10">
        <v>38</v>
      </c>
      <c r="I173" s="10">
        <v>0</v>
      </c>
      <c r="J173" s="10">
        <v>0</v>
      </c>
      <c r="K173" s="9" t="s">
        <v>34</v>
      </c>
      <c r="L173" s="9" t="s">
        <v>33</v>
      </c>
      <c r="M173" s="10">
        <v>75600</v>
      </c>
      <c r="N173" s="10">
        <v>0</v>
      </c>
      <c r="O173" s="10">
        <v>99</v>
      </c>
      <c r="P173" s="10">
        <v>6</v>
      </c>
      <c r="Q173" s="10">
        <v>1</v>
      </c>
      <c r="R173" s="10">
        <v>1138</v>
      </c>
      <c r="S173" s="10">
        <v>800</v>
      </c>
      <c r="T173" s="9" t="s">
        <v>34</v>
      </c>
      <c r="U173" s="9" t="s">
        <v>34</v>
      </c>
      <c r="V173" s="9" t="s">
        <v>35</v>
      </c>
      <c r="W173" s="9" t="s">
        <v>58</v>
      </c>
      <c r="X173" s="9" t="s">
        <v>433</v>
      </c>
      <c r="Y173" s="9" t="str">
        <f t="shared" si="2"/>
        <v>Brian Collins</v>
      </c>
      <c r="Z173" s="9" t="s">
        <v>889</v>
      </c>
      <c r="AA173" s="10" t="s">
        <v>889</v>
      </c>
      <c r="AB173" s="10" t="s">
        <v>6</v>
      </c>
      <c r="AC173" s="10" t="s">
        <v>482</v>
      </c>
    </row>
    <row r="174" spans="2:29" x14ac:dyDescent="0.2">
      <c r="B174" s="3" t="s">
        <v>1060</v>
      </c>
      <c r="C174" s="3" t="s">
        <v>1061</v>
      </c>
      <c r="D174" s="3" t="s">
        <v>97</v>
      </c>
      <c r="E174" s="3" t="s">
        <v>31</v>
      </c>
      <c r="F174" s="3" t="s">
        <v>32</v>
      </c>
      <c r="G174" s="4">
        <v>1400</v>
      </c>
      <c r="H174" s="4">
        <v>56</v>
      </c>
      <c r="I174" s="4">
        <v>7</v>
      </c>
      <c r="J174" s="4">
        <v>0</v>
      </c>
      <c r="K174" s="3" t="s">
        <v>34</v>
      </c>
      <c r="L174" s="3" t="s">
        <v>33</v>
      </c>
      <c r="M174" s="4">
        <v>70000</v>
      </c>
      <c r="N174" s="4">
        <v>35000</v>
      </c>
      <c r="O174" s="4">
        <v>255</v>
      </c>
      <c r="P174" s="4">
        <v>0</v>
      </c>
      <c r="Q174" s="4">
        <v>0</v>
      </c>
      <c r="R174" s="4">
        <v>0</v>
      </c>
      <c r="S174" s="4">
        <v>800</v>
      </c>
      <c r="T174" s="3" t="s">
        <v>34</v>
      </c>
      <c r="U174" s="3" t="s">
        <v>33</v>
      </c>
      <c r="V174" s="3" t="s">
        <v>35</v>
      </c>
      <c r="W174" s="3" t="s">
        <v>570</v>
      </c>
      <c r="X174" s="3" t="s">
        <v>1095</v>
      </c>
      <c r="Y174" s="3" t="str">
        <f t="shared" si="2"/>
        <v>Kevin Helfgott</v>
      </c>
      <c r="Z174" s="3" t="s">
        <v>1094</v>
      </c>
      <c r="AA174" s="4" t="s">
        <v>1094</v>
      </c>
      <c r="AB174" s="4" t="s">
        <v>6</v>
      </c>
      <c r="AC174" s="4" t="s">
        <v>672</v>
      </c>
    </row>
    <row r="175" spans="2:29" x14ac:dyDescent="0.2">
      <c r="B175" s="3" t="s">
        <v>265</v>
      </c>
      <c r="C175" s="3" t="s">
        <v>84</v>
      </c>
      <c r="D175" s="3" t="s">
        <v>51</v>
      </c>
      <c r="E175" s="3" t="s">
        <v>31</v>
      </c>
      <c r="F175" s="3" t="s">
        <v>32</v>
      </c>
      <c r="G175" s="4">
        <v>1400</v>
      </c>
      <c r="H175" s="4">
        <v>6</v>
      </c>
      <c r="I175" s="4">
        <v>0</v>
      </c>
      <c r="J175" s="4">
        <v>0</v>
      </c>
      <c r="K175" s="3" t="s">
        <v>34</v>
      </c>
      <c r="L175" s="3" t="s">
        <v>34</v>
      </c>
      <c r="M175" s="4">
        <v>65500</v>
      </c>
      <c r="N175" s="4">
        <v>22000</v>
      </c>
      <c r="O175" s="4">
        <v>1570</v>
      </c>
      <c r="P175" s="4">
        <v>5</v>
      </c>
      <c r="Q175" s="4">
        <v>4</v>
      </c>
      <c r="R175" s="4">
        <v>3300</v>
      </c>
      <c r="S175" s="4">
        <v>532</v>
      </c>
      <c r="T175" s="3" t="s">
        <v>33</v>
      </c>
      <c r="U175" s="3" t="s">
        <v>33</v>
      </c>
      <c r="V175" s="3" t="s">
        <v>35</v>
      </c>
      <c r="W175" s="3" t="s">
        <v>462</v>
      </c>
      <c r="X175" s="3" t="s">
        <v>1025</v>
      </c>
      <c r="Y175" s="3" t="str">
        <f t="shared" si="2"/>
        <v>Tony Marini</v>
      </c>
      <c r="Z175" s="3" t="s">
        <v>91</v>
      </c>
      <c r="AA175" s="4" t="s">
        <v>92</v>
      </c>
      <c r="AB175" s="4" t="s">
        <v>1320</v>
      </c>
      <c r="AC175" s="4" t="s">
        <v>267</v>
      </c>
    </row>
    <row r="176" spans="2:29" s="9" customFormat="1" x14ac:dyDescent="0.2">
      <c r="B176" s="9" t="s">
        <v>571</v>
      </c>
      <c r="C176" s="9" t="s">
        <v>572</v>
      </c>
      <c r="D176" s="9" t="s">
        <v>573</v>
      </c>
      <c r="E176" s="9" t="s">
        <v>31</v>
      </c>
      <c r="F176" s="9" t="s">
        <v>32</v>
      </c>
      <c r="G176" s="10">
        <v>1348</v>
      </c>
      <c r="H176" s="10">
        <v>115</v>
      </c>
      <c r="I176" s="10">
        <v>23</v>
      </c>
      <c r="J176" s="10">
        <v>0</v>
      </c>
      <c r="K176" s="9" t="s">
        <v>34</v>
      </c>
      <c r="L176" s="9" t="s">
        <v>33</v>
      </c>
      <c r="M176" s="10">
        <v>122000</v>
      </c>
      <c r="N176" s="10">
        <v>0</v>
      </c>
      <c r="O176" s="10">
        <v>0</v>
      </c>
      <c r="P176" s="10">
        <v>6</v>
      </c>
      <c r="Q176" s="10">
        <v>1</v>
      </c>
      <c r="R176" s="10">
        <v>3500</v>
      </c>
      <c r="S176" s="10">
        <v>1364</v>
      </c>
      <c r="T176" s="9" t="s">
        <v>33</v>
      </c>
      <c r="U176" s="9" t="s">
        <v>33</v>
      </c>
      <c r="V176" s="9" t="s">
        <v>35</v>
      </c>
      <c r="W176" s="9" t="s">
        <v>159</v>
      </c>
      <c r="X176" s="9" t="s">
        <v>1027</v>
      </c>
      <c r="Y176" s="9" t="str">
        <f t="shared" si="2"/>
        <v>Michael Taylor</v>
      </c>
      <c r="Z176" s="9" t="s">
        <v>889</v>
      </c>
      <c r="AA176" s="10" t="s">
        <v>889</v>
      </c>
      <c r="AB176" s="10" t="s">
        <v>6</v>
      </c>
      <c r="AC176" s="10" t="s">
        <v>267</v>
      </c>
    </row>
    <row r="177" spans="2:29" x14ac:dyDescent="0.2">
      <c r="B177" s="3" t="s">
        <v>634</v>
      </c>
      <c r="C177" s="3" t="s">
        <v>635</v>
      </c>
      <c r="D177" s="3" t="s">
        <v>106</v>
      </c>
      <c r="E177" s="3" t="s">
        <v>31</v>
      </c>
      <c r="F177" s="3" t="s">
        <v>32</v>
      </c>
      <c r="G177" s="4">
        <v>1332</v>
      </c>
      <c r="H177" s="4">
        <v>47</v>
      </c>
      <c r="I177" s="4">
        <v>7</v>
      </c>
      <c r="J177" s="4">
        <v>0</v>
      </c>
      <c r="K177" s="3" t="s">
        <v>34</v>
      </c>
      <c r="L177" s="3" t="s">
        <v>33</v>
      </c>
      <c r="M177" s="4">
        <v>74000</v>
      </c>
      <c r="N177" s="4">
        <v>13000</v>
      </c>
      <c r="O177" s="4">
        <v>205</v>
      </c>
      <c r="P177" s="4">
        <v>4</v>
      </c>
      <c r="Q177" s="4">
        <v>0</v>
      </c>
      <c r="R177" s="4">
        <v>2400</v>
      </c>
      <c r="S177" s="4">
        <v>974</v>
      </c>
      <c r="T177" s="3" t="s">
        <v>33</v>
      </c>
      <c r="U177" s="3" t="s">
        <v>33</v>
      </c>
      <c r="V177" s="3" t="s">
        <v>35</v>
      </c>
      <c r="W177" s="3" t="s">
        <v>1358</v>
      </c>
      <c r="X177" s="3" t="s">
        <v>1357</v>
      </c>
      <c r="Y177" s="3" t="str">
        <f t="shared" si="2"/>
        <v>Kerry Fontenot</v>
      </c>
      <c r="Z177" s="3" t="s">
        <v>91</v>
      </c>
      <c r="AA177" s="4" t="s">
        <v>92</v>
      </c>
      <c r="AB177" s="4" t="s">
        <v>1356</v>
      </c>
      <c r="AC177" s="4" t="s">
        <v>59</v>
      </c>
    </row>
    <row r="178" spans="2:29" x14ac:dyDescent="0.2">
      <c r="B178" s="3" t="s">
        <v>684</v>
      </c>
      <c r="C178" s="3" t="s">
        <v>81</v>
      </c>
      <c r="D178" s="3" t="s">
        <v>51</v>
      </c>
      <c r="E178" s="3" t="s">
        <v>31</v>
      </c>
      <c r="F178" s="3" t="s">
        <v>32</v>
      </c>
      <c r="G178" s="4">
        <v>1330</v>
      </c>
      <c r="H178" s="4">
        <v>136</v>
      </c>
      <c r="I178" s="4">
        <v>17</v>
      </c>
      <c r="J178" s="4">
        <v>0</v>
      </c>
      <c r="K178" s="3" t="s">
        <v>34</v>
      </c>
      <c r="L178" s="3" t="s">
        <v>34</v>
      </c>
      <c r="M178" s="4">
        <v>153000</v>
      </c>
      <c r="N178" s="4">
        <v>580000</v>
      </c>
      <c r="O178" s="4">
        <v>6532</v>
      </c>
      <c r="P178" s="4">
        <v>26</v>
      </c>
      <c r="Q178" s="4">
        <v>13</v>
      </c>
      <c r="R178" s="4">
        <v>6000</v>
      </c>
      <c r="S178" s="4">
        <v>2994</v>
      </c>
      <c r="T178" s="3" t="s">
        <v>33</v>
      </c>
      <c r="U178" s="3" t="s">
        <v>33</v>
      </c>
      <c r="V178" s="3" t="s">
        <v>35</v>
      </c>
      <c r="W178" s="3" t="s">
        <v>522</v>
      </c>
      <c r="X178" s="3" t="s">
        <v>1423</v>
      </c>
      <c r="Y178" s="3" t="str">
        <f t="shared" si="2"/>
        <v>Robert Stenger</v>
      </c>
      <c r="Z178" s="3" t="s">
        <v>91</v>
      </c>
      <c r="AA178" s="4" t="s">
        <v>92</v>
      </c>
      <c r="AB178" s="4" t="s">
        <v>93</v>
      </c>
      <c r="AC178" s="4" t="s">
        <v>130</v>
      </c>
    </row>
    <row r="179" spans="2:29" x14ac:dyDescent="0.2">
      <c r="B179" s="3" t="s">
        <v>529</v>
      </c>
      <c r="C179" s="3" t="s">
        <v>530</v>
      </c>
      <c r="D179" s="3" t="s">
        <v>102</v>
      </c>
      <c r="E179" s="3" t="s">
        <v>31</v>
      </c>
      <c r="F179" s="3" t="s">
        <v>32</v>
      </c>
      <c r="G179" s="4">
        <v>1315</v>
      </c>
      <c r="H179" s="4">
        <v>26</v>
      </c>
      <c r="I179" s="4">
        <v>7</v>
      </c>
      <c r="J179" s="4">
        <v>0</v>
      </c>
      <c r="K179" s="3" t="s">
        <v>34</v>
      </c>
      <c r="L179" s="3" t="s">
        <v>34</v>
      </c>
      <c r="M179" s="4">
        <v>140000</v>
      </c>
      <c r="N179" s="4">
        <v>10000</v>
      </c>
      <c r="O179" s="4">
        <v>0</v>
      </c>
      <c r="P179" s="4">
        <v>4</v>
      </c>
      <c r="Q179" s="4">
        <v>2</v>
      </c>
      <c r="R179" s="4">
        <v>550</v>
      </c>
      <c r="S179" s="4">
        <v>450</v>
      </c>
      <c r="T179" s="3" t="s">
        <v>33</v>
      </c>
      <c r="U179" s="3" t="s">
        <v>33</v>
      </c>
      <c r="V179" s="3" t="s">
        <v>103</v>
      </c>
      <c r="W179" s="3" t="s">
        <v>1197</v>
      </c>
      <c r="X179" s="3" t="s">
        <v>1196</v>
      </c>
      <c r="Y179" s="3" t="str">
        <f t="shared" si="2"/>
        <v>Daryl Nashold</v>
      </c>
      <c r="Z179" s="3" t="s">
        <v>1195</v>
      </c>
      <c r="AA179" s="4" t="s">
        <v>1194</v>
      </c>
      <c r="AB179" s="4" t="s">
        <v>6</v>
      </c>
      <c r="AC179" s="4" t="s">
        <v>0</v>
      </c>
    </row>
    <row r="180" spans="2:29" x14ac:dyDescent="0.2">
      <c r="B180" s="3" t="s">
        <v>263</v>
      </c>
      <c r="C180" s="3" t="s">
        <v>81</v>
      </c>
      <c r="D180" s="3" t="s">
        <v>51</v>
      </c>
      <c r="E180" s="3" t="s">
        <v>31</v>
      </c>
      <c r="F180" s="3" t="s">
        <v>32</v>
      </c>
      <c r="G180" s="4">
        <v>1312</v>
      </c>
      <c r="H180" s="4">
        <v>48</v>
      </c>
      <c r="I180" s="4">
        <v>0</v>
      </c>
      <c r="J180" s="4">
        <v>0</v>
      </c>
      <c r="K180" s="3" t="s">
        <v>34</v>
      </c>
      <c r="L180" s="3" t="s">
        <v>34</v>
      </c>
      <c r="M180" s="4">
        <v>0</v>
      </c>
      <c r="N180" s="4">
        <v>0</v>
      </c>
      <c r="O180" s="4">
        <v>618</v>
      </c>
      <c r="P180" s="4">
        <v>11</v>
      </c>
      <c r="Q180" s="4">
        <v>0</v>
      </c>
      <c r="R180" s="4">
        <v>0</v>
      </c>
      <c r="S180" s="4">
        <v>0</v>
      </c>
      <c r="T180" s="3" t="s">
        <v>33</v>
      </c>
      <c r="U180" s="3" t="s">
        <v>33</v>
      </c>
      <c r="V180" s="3" t="s">
        <v>35</v>
      </c>
      <c r="W180" s="3" t="s">
        <v>159</v>
      </c>
      <c r="X180" s="3" t="s">
        <v>1459</v>
      </c>
      <c r="Y180" s="3" t="str">
        <f t="shared" si="2"/>
        <v>Michael Printy</v>
      </c>
      <c r="Z180" s="3" t="s">
        <v>1335</v>
      </c>
      <c r="AA180" s="4" t="s">
        <v>1335</v>
      </c>
      <c r="AB180" s="4" t="s">
        <v>93</v>
      </c>
      <c r="AC180" s="4" t="s">
        <v>264</v>
      </c>
    </row>
    <row r="181" spans="2:29" x14ac:dyDescent="0.2">
      <c r="B181" s="3" t="s">
        <v>263</v>
      </c>
      <c r="C181" s="3" t="s">
        <v>81</v>
      </c>
      <c r="D181" s="3" t="s">
        <v>51</v>
      </c>
      <c r="E181" s="3" t="s">
        <v>31</v>
      </c>
      <c r="F181" s="3" t="s">
        <v>32</v>
      </c>
      <c r="G181" s="4">
        <v>1312</v>
      </c>
      <c r="H181" s="4">
        <v>48</v>
      </c>
      <c r="I181" s="4">
        <v>0</v>
      </c>
      <c r="J181" s="4">
        <v>0</v>
      </c>
      <c r="K181" s="3" t="s">
        <v>34</v>
      </c>
      <c r="L181" s="3" t="s">
        <v>34</v>
      </c>
      <c r="M181" s="4">
        <v>0</v>
      </c>
      <c r="N181" s="4">
        <v>0</v>
      </c>
      <c r="O181" s="4">
        <v>618</v>
      </c>
      <c r="P181" s="4">
        <v>11</v>
      </c>
      <c r="Q181" s="4">
        <v>0</v>
      </c>
      <c r="R181" s="4">
        <v>0</v>
      </c>
      <c r="S181" s="4">
        <v>0</v>
      </c>
      <c r="T181" s="3" t="s">
        <v>33</v>
      </c>
      <c r="U181" s="3" t="s">
        <v>33</v>
      </c>
      <c r="V181" s="3" t="s">
        <v>35</v>
      </c>
      <c r="W181" s="3" t="s">
        <v>1458</v>
      </c>
      <c r="X181" s="3" t="s">
        <v>1457</v>
      </c>
      <c r="Y181" s="3" t="str">
        <f t="shared" si="2"/>
        <v>Rahmi Chaghouri</v>
      </c>
      <c r="Z181" s="3" t="s">
        <v>801</v>
      </c>
      <c r="AA181" s="4" t="s">
        <v>801</v>
      </c>
      <c r="AB181" s="4" t="s">
        <v>93</v>
      </c>
      <c r="AC181" s="4" t="s">
        <v>264</v>
      </c>
    </row>
    <row r="182" spans="2:29" s="9" customFormat="1" x14ac:dyDescent="0.2">
      <c r="B182" s="9" t="s">
        <v>144</v>
      </c>
      <c r="C182" s="9" t="s">
        <v>145</v>
      </c>
      <c r="D182" s="9" t="s">
        <v>146</v>
      </c>
      <c r="E182" s="9" t="s">
        <v>31</v>
      </c>
      <c r="F182" s="9" t="s">
        <v>32</v>
      </c>
      <c r="G182" s="10">
        <v>1311</v>
      </c>
      <c r="H182" s="10">
        <v>22</v>
      </c>
      <c r="I182" s="10">
        <v>16</v>
      </c>
      <c r="J182" s="10">
        <v>0</v>
      </c>
      <c r="K182" s="9" t="s">
        <v>34</v>
      </c>
      <c r="L182" s="9" t="s">
        <v>33</v>
      </c>
      <c r="M182" s="10">
        <v>65000</v>
      </c>
      <c r="N182" s="10">
        <v>15000</v>
      </c>
      <c r="O182" s="10">
        <v>486</v>
      </c>
      <c r="P182" s="10">
        <v>6</v>
      </c>
      <c r="Q182" s="10">
        <v>3</v>
      </c>
      <c r="R182" s="10">
        <v>2575</v>
      </c>
      <c r="S182" s="10">
        <v>992</v>
      </c>
      <c r="T182" s="9" t="s">
        <v>33</v>
      </c>
      <c r="U182" s="9" t="s">
        <v>33</v>
      </c>
      <c r="V182" s="9" t="s">
        <v>57</v>
      </c>
      <c r="W182" s="9" t="s">
        <v>330</v>
      </c>
      <c r="X182" s="9" t="s">
        <v>1255</v>
      </c>
      <c r="Y182" s="9" t="str">
        <f t="shared" si="2"/>
        <v>David Boehm</v>
      </c>
      <c r="Z182" s="9" t="s">
        <v>889</v>
      </c>
      <c r="AA182" s="10" t="s">
        <v>889</v>
      </c>
      <c r="AB182" s="10" t="s">
        <v>6</v>
      </c>
      <c r="AC182" s="10" t="s">
        <v>53</v>
      </c>
    </row>
    <row r="183" spans="2:29" x14ac:dyDescent="0.2">
      <c r="B183" s="3" t="s">
        <v>168</v>
      </c>
      <c r="C183" s="3" t="s">
        <v>169</v>
      </c>
      <c r="D183" s="3" t="s">
        <v>106</v>
      </c>
      <c r="E183" s="3" t="s">
        <v>31</v>
      </c>
      <c r="F183" s="3" t="s">
        <v>32</v>
      </c>
      <c r="G183" s="4">
        <v>1300</v>
      </c>
      <c r="H183" s="4">
        <v>120</v>
      </c>
      <c r="I183" s="4">
        <v>20</v>
      </c>
      <c r="J183" s="4">
        <v>0</v>
      </c>
      <c r="K183" s="3" t="s">
        <v>34</v>
      </c>
      <c r="L183" s="3" t="s">
        <v>33</v>
      </c>
      <c r="M183" s="4">
        <v>115000</v>
      </c>
      <c r="N183" s="4">
        <v>7000</v>
      </c>
      <c r="O183" s="4">
        <v>450</v>
      </c>
      <c r="P183" s="4">
        <v>9</v>
      </c>
      <c r="Q183" s="4">
        <v>3</v>
      </c>
      <c r="R183" s="4">
        <v>1500</v>
      </c>
      <c r="S183" s="4">
        <v>2400</v>
      </c>
      <c r="T183" s="3" t="s">
        <v>33</v>
      </c>
      <c r="U183" s="3" t="s">
        <v>33</v>
      </c>
      <c r="V183" s="3" t="s">
        <v>35</v>
      </c>
      <c r="W183" s="3" t="s">
        <v>1466</v>
      </c>
      <c r="X183" s="3" t="s">
        <v>1307</v>
      </c>
      <c r="Y183" s="3" t="str">
        <f t="shared" si="2"/>
        <v>Lee Howard</v>
      </c>
      <c r="Z183" s="3" t="s">
        <v>1299</v>
      </c>
      <c r="AA183" s="4" t="s">
        <v>1298</v>
      </c>
      <c r="AB183" s="4" t="s">
        <v>93</v>
      </c>
      <c r="AC183" s="4" t="s">
        <v>167</v>
      </c>
    </row>
    <row r="184" spans="2:29" x14ac:dyDescent="0.2">
      <c r="B184" s="3" t="s">
        <v>978</v>
      </c>
      <c r="C184" s="3" t="s">
        <v>81</v>
      </c>
      <c r="D184" s="3" t="s">
        <v>51</v>
      </c>
      <c r="E184" s="3" t="s">
        <v>31</v>
      </c>
      <c r="F184" s="3" t="s">
        <v>32</v>
      </c>
      <c r="G184" s="4">
        <v>1300</v>
      </c>
      <c r="H184" s="4">
        <v>24</v>
      </c>
      <c r="I184" s="4">
        <v>0</v>
      </c>
      <c r="J184" s="4">
        <v>600</v>
      </c>
      <c r="K184" s="3" t="s">
        <v>34</v>
      </c>
      <c r="L184" s="3" t="s">
        <v>34</v>
      </c>
      <c r="M184" s="4">
        <v>80000</v>
      </c>
      <c r="N184" s="4">
        <v>25000</v>
      </c>
      <c r="O184" s="4">
        <v>427</v>
      </c>
      <c r="P184" s="4">
        <v>10</v>
      </c>
      <c r="Q184" s="4">
        <v>2</v>
      </c>
      <c r="R184" s="4">
        <v>5000</v>
      </c>
      <c r="S184" s="4">
        <v>1701</v>
      </c>
      <c r="T184" s="3" t="s">
        <v>33</v>
      </c>
      <c r="U184" s="3" t="s">
        <v>33</v>
      </c>
      <c r="V184" s="3" t="s">
        <v>35</v>
      </c>
      <c r="W184" s="3" t="s">
        <v>794</v>
      </c>
      <c r="X184" s="3" t="s">
        <v>1114</v>
      </c>
      <c r="Y184" s="3" t="str">
        <f t="shared" ref="Y184:Y246" si="3">W184&amp;" "&amp;X184</f>
        <v>Michelle Bodendorfer</v>
      </c>
      <c r="Z184" s="3" t="s">
        <v>889</v>
      </c>
      <c r="AA184" s="4" t="s">
        <v>889</v>
      </c>
      <c r="AB184" s="4" t="s">
        <v>6</v>
      </c>
      <c r="AC184" s="4" t="s">
        <v>53</v>
      </c>
    </row>
    <row r="185" spans="2:29" x14ac:dyDescent="0.2">
      <c r="B185" s="3" t="s">
        <v>514</v>
      </c>
      <c r="C185" s="3" t="s">
        <v>120</v>
      </c>
      <c r="D185" s="3" t="s">
        <v>236</v>
      </c>
      <c r="E185" s="3" t="s">
        <v>31</v>
      </c>
      <c r="F185" s="3" t="s">
        <v>32</v>
      </c>
      <c r="G185" s="4">
        <v>1300</v>
      </c>
      <c r="H185" s="4">
        <v>68</v>
      </c>
      <c r="I185" s="4">
        <v>0</v>
      </c>
      <c r="J185" s="4">
        <v>0</v>
      </c>
      <c r="K185" s="3" t="s">
        <v>33</v>
      </c>
      <c r="L185" s="3" t="s">
        <v>33</v>
      </c>
      <c r="M185" s="4">
        <v>66000</v>
      </c>
      <c r="N185" s="4">
        <v>41000</v>
      </c>
      <c r="O185" s="4">
        <v>300</v>
      </c>
      <c r="P185" s="4">
        <v>5</v>
      </c>
      <c r="Q185" s="4">
        <v>0</v>
      </c>
      <c r="R185" s="4">
        <v>0</v>
      </c>
      <c r="S185" s="4">
        <v>1054</v>
      </c>
      <c r="T185" s="3" t="s">
        <v>34</v>
      </c>
      <c r="U185" s="3" t="s">
        <v>34</v>
      </c>
      <c r="V185" s="3" t="s">
        <v>35</v>
      </c>
      <c r="W185" s="3" t="s">
        <v>67</v>
      </c>
      <c r="X185" s="3" t="s">
        <v>1350</v>
      </c>
      <c r="Y185" s="3" t="str">
        <f t="shared" si="3"/>
        <v>Josh Vaught</v>
      </c>
      <c r="Z185" s="3" t="s">
        <v>1335</v>
      </c>
      <c r="AA185" s="4" t="s">
        <v>1335</v>
      </c>
      <c r="AB185" s="4" t="s">
        <v>929</v>
      </c>
      <c r="AC185" s="4" t="s">
        <v>513</v>
      </c>
    </row>
    <row r="186" spans="2:29" x14ac:dyDescent="0.2">
      <c r="B186" s="3" t="s">
        <v>217</v>
      </c>
      <c r="C186" s="3" t="s">
        <v>218</v>
      </c>
      <c r="D186" s="3" t="s">
        <v>179</v>
      </c>
      <c r="E186" s="3" t="s">
        <v>180</v>
      </c>
      <c r="F186" s="3" t="s">
        <v>32</v>
      </c>
      <c r="G186" s="4">
        <v>1300</v>
      </c>
      <c r="H186" s="4">
        <v>30</v>
      </c>
      <c r="I186" s="4">
        <v>18</v>
      </c>
      <c r="J186" s="4">
        <v>0</v>
      </c>
      <c r="K186" s="3" t="s">
        <v>34</v>
      </c>
      <c r="L186" s="3" t="s">
        <v>34</v>
      </c>
      <c r="M186" s="4">
        <v>95000</v>
      </c>
      <c r="N186" s="4">
        <v>0</v>
      </c>
      <c r="O186" s="4">
        <v>0</v>
      </c>
      <c r="P186" s="4">
        <v>5</v>
      </c>
      <c r="Q186" s="4">
        <v>2</v>
      </c>
      <c r="R186" s="4">
        <v>1400</v>
      </c>
      <c r="S186" s="4">
        <v>800</v>
      </c>
      <c r="T186" s="3" t="s">
        <v>34</v>
      </c>
      <c r="U186" s="3" t="s">
        <v>33</v>
      </c>
      <c r="V186" s="3" t="s">
        <v>35</v>
      </c>
      <c r="W186" s="3" t="s">
        <v>1123</v>
      </c>
      <c r="X186" s="3" t="s">
        <v>1305</v>
      </c>
      <c r="Y186" s="3" t="str">
        <f t="shared" si="3"/>
        <v>Steve Weel</v>
      </c>
      <c r="Z186" s="3" t="s">
        <v>1299</v>
      </c>
      <c r="AA186" s="4" t="s">
        <v>1298</v>
      </c>
      <c r="AB186" s="4" t="s">
        <v>1304</v>
      </c>
      <c r="AC186" s="4" t="s">
        <v>219</v>
      </c>
    </row>
    <row r="187" spans="2:29" x14ac:dyDescent="0.2">
      <c r="B187" s="3" t="s">
        <v>217</v>
      </c>
      <c r="C187" s="3" t="s">
        <v>218</v>
      </c>
      <c r="D187" s="3" t="s">
        <v>179</v>
      </c>
      <c r="E187" s="3" t="s">
        <v>180</v>
      </c>
      <c r="F187" s="3" t="s">
        <v>32</v>
      </c>
      <c r="G187" s="4">
        <v>1300</v>
      </c>
      <c r="H187" s="4">
        <v>30</v>
      </c>
      <c r="I187" s="4">
        <v>18</v>
      </c>
      <c r="J187" s="4">
        <v>0</v>
      </c>
      <c r="K187" s="3" t="s">
        <v>34</v>
      </c>
      <c r="L187" s="3" t="s">
        <v>34</v>
      </c>
      <c r="M187" s="4">
        <v>95000</v>
      </c>
      <c r="N187" s="4">
        <v>0</v>
      </c>
      <c r="O187" s="4">
        <v>0</v>
      </c>
      <c r="P187" s="4">
        <v>5</v>
      </c>
      <c r="Q187" s="4">
        <v>2</v>
      </c>
      <c r="R187" s="4">
        <v>1400</v>
      </c>
      <c r="S187" s="4">
        <v>800</v>
      </c>
      <c r="T187" s="3" t="s">
        <v>34</v>
      </c>
      <c r="U187" s="3" t="s">
        <v>33</v>
      </c>
      <c r="V187" s="3" t="s">
        <v>35</v>
      </c>
      <c r="W187" s="3" t="s">
        <v>654</v>
      </c>
      <c r="X187" s="3" t="s">
        <v>1223</v>
      </c>
      <c r="Y187" s="3" t="str">
        <f t="shared" si="3"/>
        <v>Bill French</v>
      </c>
      <c r="Z187" s="3" t="s">
        <v>889</v>
      </c>
      <c r="AA187" s="4" t="s">
        <v>889</v>
      </c>
      <c r="AB187" s="4" t="s">
        <v>6</v>
      </c>
      <c r="AC187" s="4" t="s">
        <v>219</v>
      </c>
    </row>
    <row r="188" spans="2:29" x14ac:dyDescent="0.2">
      <c r="B188" s="3" t="s">
        <v>663</v>
      </c>
      <c r="C188" s="3" t="s">
        <v>664</v>
      </c>
      <c r="D188" s="3" t="s">
        <v>30</v>
      </c>
      <c r="E188" s="3" t="s">
        <v>31</v>
      </c>
      <c r="F188" s="3" t="s">
        <v>32</v>
      </c>
      <c r="G188" s="4">
        <v>1300</v>
      </c>
      <c r="H188" s="4">
        <v>6</v>
      </c>
      <c r="I188" s="4">
        <v>0</v>
      </c>
      <c r="J188" s="4">
        <v>0</v>
      </c>
      <c r="K188" s="3" t="s">
        <v>33</v>
      </c>
      <c r="L188" s="3" t="s">
        <v>33</v>
      </c>
      <c r="M188" s="4">
        <v>13000</v>
      </c>
      <c r="N188" s="4">
        <v>0</v>
      </c>
      <c r="O188" s="4">
        <v>0</v>
      </c>
      <c r="P188" s="4">
        <v>1</v>
      </c>
      <c r="Q188" s="4">
        <v>0</v>
      </c>
      <c r="R188" s="4">
        <v>0</v>
      </c>
      <c r="S188" s="4">
        <v>285</v>
      </c>
      <c r="T188" s="3" t="s">
        <v>34</v>
      </c>
      <c r="U188" s="3" t="s">
        <v>34</v>
      </c>
      <c r="V188" s="3" t="s">
        <v>35</v>
      </c>
      <c r="W188" s="3" t="s">
        <v>52</v>
      </c>
      <c r="X188" s="3" t="s">
        <v>1169</v>
      </c>
      <c r="Y188" s="3" t="str">
        <f t="shared" si="3"/>
        <v>Jesse Guzman</v>
      </c>
      <c r="Z188" s="3" t="s">
        <v>1098</v>
      </c>
      <c r="AA188" s="4" t="s">
        <v>1098</v>
      </c>
      <c r="AB188" s="4" t="s">
        <v>6</v>
      </c>
      <c r="AC188" s="4" t="s">
        <v>665</v>
      </c>
    </row>
    <row r="189" spans="2:29" x14ac:dyDescent="0.2">
      <c r="B189" s="3" t="s">
        <v>483</v>
      </c>
      <c r="C189" s="3" t="s">
        <v>484</v>
      </c>
      <c r="D189" s="3" t="s">
        <v>97</v>
      </c>
      <c r="E189" s="3" t="s">
        <v>31</v>
      </c>
      <c r="F189" s="3" t="s">
        <v>32</v>
      </c>
      <c r="G189" s="4">
        <v>1295</v>
      </c>
      <c r="H189" s="4">
        <v>50</v>
      </c>
      <c r="I189" s="4">
        <v>6</v>
      </c>
      <c r="J189" s="4">
        <v>0</v>
      </c>
      <c r="K189" s="3" t="s">
        <v>34</v>
      </c>
      <c r="L189" s="3" t="s">
        <v>33</v>
      </c>
      <c r="M189" s="4">
        <v>64000</v>
      </c>
      <c r="N189" s="4">
        <v>0</v>
      </c>
      <c r="O189" s="4">
        <v>0</v>
      </c>
      <c r="P189" s="4">
        <v>6</v>
      </c>
      <c r="Q189" s="4">
        <v>0</v>
      </c>
      <c r="R189" s="4">
        <v>1800</v>
      </c>
      <c r="S189" s="4">
        <v>1000</v>
      </c>
      <c r="T189" s="3" t="s">
        <v>34</v>
      </c>
      <c r="U189" s="3" t="s">
        <v>33</v>
      </c>
      <c r="V189" s="3" t="s">
        <v>35</v>
      </c>
      <c r="W189" s="3" t="s">
        <v>326</v>
      </c>
      <c r="X189" s="3" t="s">
        <v>1203</v>
      </c>
      <c r="Y189" s="3" t="str">
        <f t="shared" si="3"/>
        <v>Mark Johnson</v>
      </c>
      <c r="Z189" s="3" t="s">
        <v>889</v>
      </c>
      <c r="AA189" s="4" t="s">
        <v>889</v>
      </c>
      <c r="AB189" s="4" t="s">
        <v>6</v>
      </c>
      <c r="AC189" s="4" t="s">
        <v>485</v>
      </c>
    </row>
    <row r="190" spans="2:29" x14ac:dyDescent="0.2">
      <c r="B190" s="3" t="s">
        <v>131</v>
      </c>
      <c r="C190" s="3" t="s">
        <v>81</v>
      </c>
      <c r="D190" s="3" t="s">
        <v>51</v>
      </c>
      <c r="E190" s="3" t="s">
        <v>31</v>
      </c>
      <c r="F190" s="3" t="s">
        <v>32</v>
      </c>
      <c r="G190" s="4">
        <v>1285</v>
      </c>
      <c r="H190" s="4">
        <v>165</v>
      </c>
      <c r="I190" s="4">
        <v>51</v>
      </c>
      <c r="J190" s="4">
        <v>0</v>
      </c>
      <c r="K190" s="3" t="s">
        <v>34</v>
      </c>
      <c r="L190" s="3" t="s">
        <v>34</v>
      </c>
      <c r="M190" s="4">
        <v>156000</v>
      </c>
      <c r="N190" s="4">
        <v>200000</v>
      </c>
      <c r="O190" s="4">
        <v>3933</v>
      </c>
      <c r="P190" s="4">
        <v>21</v>
      </c>
      <c r="Q190" s="4">
        <v>8</v>
      </c>
      <c r="R190" s="4">
        <v>6000</v>
      </c>
      <c r="S190" s="4">
        <v>8100</v>
      </c>
      <c r="T190" s="3" t="s">
        <v>33</v>
      </c>
      <c r="U190" s="3" t="s">
        <v>33</v>
      </c>
      <c r="V190" s="3" t="s">
        <v>35</v>
      </c>
      <c r="W190" s="3" t="s">
        <v>1355</v>
      </c>
      <c r="X190" s="3" t="s">
        <v>1354</v>
      </c>
      <c r="Y190" s="3" t="str">
        <f t="shared" si="3"/>
        <v>London Swinney</v>
      </c>
      <c r="Z190" s="3" t="s">
        <v>91</v>
      </c>
      <c r="AA190" s="4" t="s">
        <v>92</v>
      </c>
      <c r="AB190" s="4" t="s">
        <v>929</v>
      </c>
      <c r="AC190" s="4" t="s">
        <v>132</v>
      </c>
    </row>
    <row r="191" spans="2:29" s="9" customFormat="1" x14ac:dyDescent="0.2">
      <c r="B191" s="9" t="s">
        <v>541</v>
      </c>
      <c r="C191" s="9" t="s">
        <v>542</v>
      </c>
      <c r="D191" s="9" t="s">
        <v>478</v>
      </c>
      <c r="E191" s="9" t="s">
        <v>31</v>
      </c>
      <c r="F191" s="9" t="s">
        <v>32</v>
      </c>
      <c r="G191" s="10">
        <v>1283</v>
      </c>
      <c r="H191" s="10">
        <v>0</v>
      </c>
      <c r="I191" s="10">
        <v>0</v>
      </c>
      <c r="J191" s="10">
        <v>0</v>
      </c>
      <c r="K191" s="9" t="s">
        <v>33</v>
      </c>
      <c r="L191" s="9" t="s">
        <v>33</v>
      </c>
      <c r="M191" s="10">
        <v>60000</v>
      </c>
      <c r="N191" s="10">
        <v>0</v>
      </c>
      <c r="O191" s="10">
        <v>0</v>
      </c>
      <c r="P191" s="10">
        <v>2</v>
      </c>
      <c r="Q191" s="10">
        <v>0</v>
      </c>
      <c r="R191" s="10">
        <v>650</v>
      </c>
      <c r="S191" s="10">
        <v>300</v>
      </c>
      <c r="T191" s="9" t="s">
        <v>34</v>
      </c>
      <c r="U191" s="9" t="s">
        <v>34</v>
      </c>
      <c r="V191" s="9" t="s">
        <v>35</v>
      </c>
      <c r="W191" s="9" t="s">
        <v>1193</v>
      </c>
      <c r="X191" s="9" t="s">
        <v>1192</v>
      </c>
      <c r="Y191" s="9" t="str">
        <f t="shared" si="3"/>
        <v>Ralph Babcock</v>
      </c>
      <c r="Z191" s="9" t="s">
        <v>1098</v>
      </c>
      <c r="AA191" s="10" t="s">
        <v>1098</v>
      </c>
      <c r="AB191" s="10" t="s">
        <v>6</v>
      </c>
      <c r="AC191" s="10" t="s">
        <v>540</v>
      </c>
    </row>
    <row r="192" spans="2:29" x14ac:dyDescent="0.2">
      <c r="B192" s="3" t="s">
        <v>687</v>
      </c>
      <c r="C192" s="3" t="s">
        <v>275</v>
      </c>
      <c r="D192" s="3" t="s">
        <v>0</v>
      </c>
      <c r="E192" s="3" t="s">
        <v>275</v>
      </c>
      <c r="F192" s="3" t="s">
        <v>32</v>
      </c>
      <c r="G192" s="4">
        <v>1271</v>
      </c>
      <c r="H192" s="4">
        <v>415</v>
      </c>
      <c r="I192" s="4">
        <v>12</v>
      </c>
      <c r="J192" s="4">
        <v>0</v>
      </c>
      <c r="K192" s="3" t="s">
        <v>33</v>
      </c>
      <c r="L192" s="3" t="s">
        <v>33</v>
      </c>
      <c r="M192" s="4">
        <v>284353</v>
      </c>
      <c r="N192" s="4">
        <v>17210</v>
      </c>
      <c r="O192" s="4">
        <v>583</v>
      </c>
      <c r="P192" s="4">
        <v>8</v>
      </c>
      <c r="Q192" s="4">
        <v>3</v>
      </c>
      <c r="R192" s="4">
        <v>0</v>
      </c>
      <c r="S192" s="4">
        <v>5600</v>
      </c>
      <c r="T192" s="3" t="s">
        <v>33</v>
      </c>
      <c r="U192" s="3" t="s">
        <v>33</v>
      </c>
      <c r="V192" s="3" t="s">
        <v>35</v>
      </c>
      <c r="W192" s="3" t="s">
        <v>1422</v>
      </c>
      <c r="X192" s="3" t="s">
        <v>1421</v>
      </c>
      <c r="Y192" s="3" t="str">
        <f t="shared" si="3"/>
        <v>Kwong Yiu Ling</v>
      </c>
      <c r="Z192" s="3" t="s">
        <v>1376</v>
      </c>
      <c r="AA192" s="4" t="s">
        <v>1375</v>
      </c>
      <c r="AB192" s="4" t="s">
        <v>93</v>
      </c>
      <c r="AC192" s="4" t="s">
        <v>688</v>
      </c>
    </row>
    <row r="193" spans="2:29" x14ac:dyDescent="0.2">
      <c r="B193" s="3" t="s">
        <v>687</v>
      </c>
      <c r="C193" s="3" t="s">
        <v>275</v>
      </c>
      <c r="D193" s="3" t="s">
        <v>0</v>
      </c>
      <c r="E193" s="3" t="s">
        <v>275</v>
      </c>
      <c r="F193" s="3" t="s">
        <v>32</v>
      </c>
      <c r="G193" s="4">
        <v>1271</v>
      </c>
      <c r="H193" s="4">
        <v>415</v>
      </c>
      <c r="I193" s="4">
        <v>12</v>
      </c>
      <c r="J193" s="4">
        <v>0</v>
      </c>
      <c r="K193" s="3" t="s">
        <v>33</v>
      </c>
      <c r="L193" s="3" t="s">
        <v>33</v>
      </c>
      <c r="M193" s="4">
        <v>284353</v>
      </c>
      <c r="N193" s="4">
        <v>17210</v>
      </c>
      <c r="O193" s="4">
        <v>583</v>
      </c>
      <c r="P193" s="4">
        <v>8</v>
      </c>
      <c r="Q193" s="4">
        <v>3</v>
      </c>
      <c r="R193" s="4">
        <v>0</v>
      </c>
      <c r="S193" s="4">
        <v>5600</v>
      </c>
      <c r="T193" s="3" t="s">
        <v>33</v>
      </c>
      <c r="U193" s="3" t="s">
        <v>33</v>
      </c>
      <c r="V193" s="3" t="s">
        <v>35</v>
      </c>
      <c r="W193" s="3" t="s">
        <v>76</v>
      </c>
      <c r="X193" s="3" t="s">
        <v>276</v>
      </c>
      <c r="Y193" s="3" t="str">
        <f t="shared" si="3"/>
        <v>Mike Lei</v>
      </c>
      <c r="Z193" s="3" t="s">
        <v>1167</v>
      </c>
      <c r="AA193" s="4" t="s">
        <v>1166</v>
      </c>
      <c r="AB193" s="4" t="s">
        <v>6</v>
      </c>
      <c r="AC193" s="4" t="s">
        <v>688</v>
      </c>
    </row>
    <row r="194" spans="2:29" x14ac:dyDescent="0.2">
      <c r="B194" s="3" t="s">
        <v>80</v>
      </c>
      <c r="C194" s="3" t="s">
        <v>81</v>
      </c>
      <c r="D194" s="3" t="s">
        <v>51</v>
      </c>
      <c r="E194" s="3" t="s">
        <v>31</v>
      </c>
      <c r="F194" s="3" t="s">
        <v>32</v>
      </c>
      <c r="G194" s="4">
        <v>1267</v>
      </c>
      <c r="H194" s="4">
        <v>149</v>
      </c>
      <c r="I194" s="4">
        <v>59</v>
      </c>
      <c r="J194" s="4">
        <v>0</v>
      </c>
      <c r="K194" s="3" t="s">
        <v>34</v>
      </c>
      <c r="L194" s="3" t="s">
        <v>34</v>
      </c>
      <c r="M194" s="4">
        <v>150000</v>
      </c>
      <c r="N194" s="4">
        <v>300000</v>
      </c>
      <c r="O194" s="4">
        <v>4000</v>
      </c>
      <c r="P194" s="4">
        <v>21</v>
      </c>
      <c r="Q194" s="4">
        <v>13</v>
      </c>
      <c r="R194" s="4">
        <v>0</v>
      </c>
      <c r="S194" s="4">
        <v>2767</v>
      </c>
      <c r="T194" s="3" t="s">
        <v>33</v>
      </c>
      <c r="U194" s="3" t="s">
        <v>33</v>
      </c>
      <c r="V194" s="3" t="s">
        <v>35</v>
      </c>
      <c r="W194" s="3" t="s">
        <v>1297</v>
      </c>
      <c r="X194" s="3" t="s">
        <v>1296</v>
      </c>
      <c r="Y194" s="3" t="str">
        <f t="shared" si="3"/>
        <v>Jimmy Tollestrup</v>
      </c>
      <c r="Z194" s="3" t="s">
        <v>1295</v>
      </c>
      <c r="AA194" s="4" t="s">
        <v>1294</v>
      </c>
      <c r="AB194" s="4" t="s">
        <v>1291</v>
      </c>
      <c r="AC194" s="4" t="s">
        <v>82</v>
      </c>
    </row>
    <row r="195" spans="2:29" s="9" customFormat="1" x14ac:dyDescent="0.2">
      <c r="B195" s="9" t="s">
        <v>80</v>
      </c>
      <c r="C195" s="9" t="s">
        <v>81</v>
      </c>
      <c r="D195" s="9" t="s">
        <v>51</v>
      </c>
      <c r="E195" s="9" t="s">
        <v>31</v>
      </c>
      <c r="F195" s="9" t="s">
        <v>32</v>
      </c>
      <c r="G195" s="10">
        <v>1267</v>
      </c>
      <c r="H195" s="10">
        <v>149</v>
      </c>
      <c r="I195" s="10">
        <v>59</v>
      </c>
      <c r="J195" s="10">
        <v>0</v>
      </c>
      <c r="K195" s="9" t="s">
        <v>34</v>
      </c>
      <c r="L195" s="9" t="s">
        <v>34</v>
      </c>
      <c r="M195" s="10">
        <v>150000</v>
      </c>
      <c r="N195" s="10">
        <v>300000</v>
      </c>
      <c r="O195" s="10">
        <v>4000</v>
      </c>
      <c r="P195" s="10">
        <v>21</v>
      </c>
      <c r="Q195" s="10">
        <v>13</v>
      </c>
      <c r="R195" s="10">
        <v>0</v>
      </c>
      <c r="S195" s="10">
        <v>2767</v>
      </c>
      <c r="T195" s="9" t="s">
        <v>33</v>
      </c>
      <c r="U195" s="9" t="s">
        <v>33</v>
      </c>
      <c r="V195" s="9" t="s">
        <v>35</v>
      </c>
      <c r="W195" s="9" t="s">
        <v>1266</v>
      </c>
      <c r="X195" s="9" t="s">
        <v>1265</v>
      </c>
      <c r="Y195" s="9" t="str">
        <f t="shared" si="3"/>
        <v>Philip Farley</v>
      </c>
      <c r="Z195" s="9" t="s">
        <v>1264</v>
      </c>
      <c r="AA195" s="10" t="s">
        <v>1264</v>
      </c>
      <c r="AB195" s="10" t="s">
        <v>6</v>
      </c>
      <c r="AC195" s="10" t="s">
        <v>82</v>
      </c>
    </row>
    <row r="196" spans="2:29" x14ac:dyDescent="0.2">
      <c r="B196" s="3" t="s">
        <v>841</v>
      </c>
      <c r="C196" s="3" t="s">
        <v>81</v>
      </c>
      <c r="D196" s="3" t="s">
        <v>51</v>
      </c>
      <c r="E196" s="3" t="s">
        <v>31</v>
      </c>
      <c r="F196" s="3" t="s">
        <v>32</v>
      </c>
      <c r="G196" s="4">
        <v>1260</v>
      </c>
      <c r="H196" s="4">
        <v>140</v>
      </c>
      <c r="I196" s="4">
        <v>30</v>
      </c>
      <c r="J196" s="4">
        <v>0</v>
      </c>
      <c r="K196" s="3" t="s">
        <v>34</v>
      </c>
      <c r="L196" s="3" t="s">
        <v>34</v>
      </c>
      <c r="M196" s="4">
        <v>150000</v>
      </c>
      <c r="N196" s="4">
        <v>657000</v>
      </c>
      <c r="O196" s="4">
        <v>3500</v>
      </c>
      <c r="P196" s="4">
        <v>0</v>
      </c>
      <c r="Q196" s="4">
        <v>2</v>
      </c>
      <c r="R196" s="4">
        <v>8000</v>
      </c>
      <c r="S196" s="4">
        <v>2500</v>
      </c>
      <c r="T196" s="3" t="s">
        <v>33</v>
      </c>
      <c r="U196" s="3" t="s">
        <v>33</v>
      </c>
      <c r="V196" s="3" t="s">
        <v>35</v>
      </c>
      <c r="W196" s="3" t="s">
        <v>1324</v>
      </c>
      <c r="X196" s="3" t="s">
        <v>1399</v>
      </c>
      <c r="Y196" s="3" t="str">
        <f t="shared" si="3"/>
        <v>Albert Meranto</v>
      </c>
      <c r="Z196" s="3" t="s">
        <v>109</v>
      </c>
      <c r="AA196" s="4" t="s">
        <v>109</v>
      </c>
      <c r="AB196" s="4" t="s">
        <v>93</v>
      </c>
      <c r="AC196" s="4" t="s">
        <v>842</v>
      </c>
    </row>
    <row r="197" spans="2:29" s="9" customFormat="1" x14ac:dyDescent="0.2">
      <c r="B197" s="9" t="s">
        <v>54</v>
      </c>
      <c r="C197" s="9" t="s">
        <v>55</v>
      </c>
      <c r="D197" s="9" t="s">
        <v>56</v>
      </c>
      <c r="E197" s="9" t="s">
        <v>31</v>
      </c>
      <c r="F197" s="9" t="s">
        <v>32</v>
      </c>
      <c r="G197" s="10">
        <v>1232</v>
      </c>
      <c r="H197" s="10">
        <v>28</v>
      </c>
      <c r="I197" s="10">
        <v>0</v>
      </c>
      <c r="J197" s="10">
        <v>0</v>
      </c>
      <c r="K197" s="9" t="s">
        <v>34</v>
      </c>
      <c r="L197" s="9" t="s">
        <v>33</v>
      </c>
      <c r="M197" s="10">
        <v>38500</v>
      </c>
      <c r="N197" s="10">
        <v>5000</v>
      </c>
      <c r="O197" s="10">
        <v>160</v>
      </c>
      <c r="P197" s="10">
        <v>7</v>
      </c>
      <c r="Q197" s="10">
        <v>3</v>
      </c>
      <c r="R197" s="10">
        <v>2752</v>
      </c>
      <c r="S197" s="10">
        <v>753</v>
      </c>
      <c r="T197" s="9" t="s">
        <v>33</v>
      </c>
      <c r="U197" s="9" t="s">
        <v>33</v>
      </c>
      <c r="V197" s="9" t="s">
        <v>57</v>
      </c>
      <c r="W197" s="9" t="s">
        <v>462</v>
      </c>
      <c r="X197" s="9" t="s">
        <v>1477</v>
      </c>
      <c r="Y197" s="9" t="str">
        <f t="shared" si="3"/>
        <v>Tony Quarantillo</v>
      </c>
      <c r="Z197" s="9" t="s">
        <v>91</v>
      </c>
      <c r="AA197" s="10" t="s">
        <v>92</v>
      </c>
      <c r="AB197" s="10" t="s">
        <v>93</v>
      </c>
      <c r="AC197" s="10" t="s">
        <v>59</v>
      </c>
    </row>
    <row r="198" spans="2:29" s="9" customFormat="1" x14ac:dyDescent="0.2">
      <c r="B198" s="9" t="s">
        <v>892</v>
      </c>
      <c r="C198" s="9" t="s">
        <v>893</v>
      </c>
      <c r="D198" s="9" t="s">
        <v>47</v>
      </c>
      <c r="E198" s="9" t="s">
        <v>31</v>
      </c>
      <c r="F198" s="9" t="s">
        <v>32</v>
      </c>
      <c r="G198" s="10">
        <v>1227</v>
      </c>
      <c r="H198" s="10">
        <v>0</v>
      </c>
      <c r="I198" s="10">
        <v>0</v>
      </c>
      <c r="J198" s="10">
        <v>0</v>
      </c>
      <c r="K198" s="9" t="s">
        <v>33</v>
      </c>
      <c r="L198" s="9" t="s">
        <v>34</v>
      </c>
      <c r="M198" s="10">
        <v>55000</v>
      </c>
      <c r="N198" s="10">
        <v>0</v>
      </c>
      <c r="O198" s="10">
        <v>117</v>
      </c>
      <c r="P198" s="10">
        <v>6</v>
      </c>
      <c r="Q198" s="10">
        <v>3</v>
      </c>
      <c r="R198" s="10">
        <v>0</v>
      </c>
      <c r="S198" s="10">
        <v>630</v>
      </c>
      <c r="T198" s="9" t="s">
        <v>33</v>
      </c>
      <c r="U198" s="9" t="s">
        <v>33</v>
      </c>
      <c r="V198" s="9" t="s">
        <v>103</v>
      </c>
      <c r="W198" s="9" t="s">
        <v>1310</v>
      </c>
      <c r="X198" s="9" t="s">
        <v>1309</v>
      </c>
      <c r="Y198" s="9" t="str">
        <f t="shared" si="3"/>
        <v>Cindy DeRue</v>
      </c>
      <c r="Z198" s="9" t="s">
        <v>1308</v>
      </c>
      <c r="AA198" s="10" t="s">
        <v>1308</v>
      </c>
      <c r="AB198" s="10" t="s">
        <v>181</v>
      </c>
      <c r="AC198" s="10" t="s">
        <v>895</v>
      </c>
    </row>
    <row r="199" spans="2:29" x14ac:dyDescent="0.2">
      <c r="B199" s="3" t="s">
        <v>523</v>
      </c>
      <c r="C199" s="3" t="s">
        <v>524</v>
      </c>
      <c r="D199" s="3" t="s">
        <v>185</v>
      </c>
      <c r="E199" s="3" t="s">
        <v>31</v>
      </c>
      <c r="F199" s="3" t="s">
        <v>32</v>
      </c>
      <c r="G199" s="4">
        <v>1220</v>
      </c>
      <c r="H199" s="4">
        <v>0</v>
      </c>
      <c r="I199" s="4">
        <v>38</v>
      </c>
      <c r="J199" s="4">
        <v>0</v>
      </c>
      <c r="K199" s="3" t="s">
        <v>33</v>
      </c>
      <c r="L199" s="3" t="s">
        <v>34</v>
      </c>
      <c r="M199" s="4">
        <v>54800</v>
      </c>
      <c r="N199" s="4">
        <v>0</v>
      </c>
      <c r="O199" s="4">
        <v>0</v>
      </c>
      <c r="P199" s="4">
        <v>7</v>
      </c>
      <c r="Q199" s="4">
        <v>2</v>
      </c>
      <c r="R199" s="4">
        <v>3500</v>
      </c>
      <c r="S199" s="4">
        <v>650</v>
      </c>
      <c r="T199" s="3" t="s">
        <v>33</v>
      </c>
      <c r="U199" s="3" t="s">
        <v>33</v>
      </c>
      <c r="V199" s="3" t="s">
        <v>103</v>
      </c>
      <c r="W199" s="3" t="s">
        <v>89</v>
      </c>
      <c r="X199" s="3" t="s">
        <v>525</v>
      </c>
      <c r="Y199" s="3" t="str">
        <f t="shared" si="3"/>
        <v>Frank Whoy</v>
      </c>
      <c r="Z199" s="3" t="s">
        <v>109</v>
      </c>
      <c r="AA199" s="4" t="s">
        <v>109</v>
      </c>
      <c r="AB199" s="4" t="s">
        <v>340</v>
      </c>
      <c r="AC199" s="4" t="s">
        <v>267</v>
      </c>
    </row>
    <row r="200" spans="2:29" x14ac:dyDescent="0.2">
      <c r="B200" s="3" t="s">
        <v>127</v>
      </c>
      <c r="C200" s="3" t="s">
        <v>128</v>
      </c>
      <c r="D200" s="3" t="s">
        <v>129</v>
      </c>
      <c r="E200" s="3" t="s">
        <v>31</v>
      </c>
      <c r="F200" s="3" t="s">
        <v>32</v>
      </c>
      <c r="G200" s="4">
        <v>1215</v>
      </c>
      <c r="H200" s="4">
        <v>79</v>
      </c>
      <c r="I200" s="4">
        <v>12</v>
      </c>
      <c r="J200" s="4">
        <v>0</v>
      </c>
      <c r="K200" s="3" t="s">
        <v>34</v>
      </c>
      <c r="L200" s="3" t="s">
        <v>33</v>
      </c>
      <c r="M200" s="4">
        <v>84858</v>
      </c>
      <c r="N200" s="4">
        <v>50000</v>
      </c>
      <c r="O200" s="4">
        <v>1740</v>
      </c>
      <c r="P200" s="4">
        <v>14</v>
      </c>
      <c r="Q200" s="4">
        <v>8</v>
      </c>
      <c r="R200" s="4">
        <v>3320</v>
      </c>
      <c r="S200" s="4">
        <v>2800</v>
      </c>
      <c r="T200" s="3" t="s">
        <v>33</v>
      </c>
      <c r="U200" s="3" t="s">
        <v>33</v>
      </c>
      <c r="V200" s="3" t="s">
        <v>35</v>
      </c>
      <c r="W200" s="3" t="s">
        <v>191</v>
      </c>
      <c r="X200" s="3" t="s">
        <v>1470</v>
      </c>
      <c r="Y200" s="3" t="str">
        <f t="shared" si="3"/>
        <v>Shaun Pittman</v>
      </c>
      <c r="Z200" s="3" t="s">
        <v>109</v>
      </c>
      <c r="AA200" s="4" t="s">
        <v>109</v>
      </c>
      <c r="AB200" s="4" t="s">
        <v>93</v>
      </c>
      <c r="AC200" s="4" t="s">
        <v>130</v>
      </c>
    </row>
    <row r="201" spans="2:29" x14ac:dyDescent="0.2">
      <c r="B201" s="3" t="s">
        <v>450</v>
      </c>
      <c r="C201" s="3" t="s">
        <v>84</v>
      </c>
      <c r="D201" s="3" t="s">
        <v>51</v>
      </c>
      <c r="E201" s="3" t="s">
        <v>31</v>
      </c>
      <c r="F201" s="3" t="s">
        <v>32</v>
      </c>
      <c r="G201" s="4">
        <v>1215</v>
      </c>
      <c r="H201" s="4">
        <v>45</v>
      </c>
      <c r="I201" s="4">
        <v>7</v>
      </c>
      <c r="J201" s="4">
        <v>0</v>
      </c>
      <c r="K201" s="3" t="s">
        <v>34</v>
      </c>
      <c r="L201" s="3" t="s">
        <v>34</v>
      </c>
      <c r="M201" s="4">
        <v>99722</v>
      </c>
      <c r="N201" s="4">
        <v>200000</v>
      </c>
      <c r="O201" s="4">
        <v>1900</v>
      </c>
      <c r="P201" s="4">
        <v>23</v>
      </c>
      <c r="Q201" s="4">
        <v>5</v>
      </c>
      <c r="R201" s="4">
        <v>5200</v>
      </c>
      <c r="S201" s="4">
        <v>1500</v>
      </c>
      <c r="T201" s="3" t="s">
        <v>33</v>
      </c>
      <c r="U201" s="3" t="s">
        <v>33</v>
      </c>
      <c r="V201" s="3" t="s">
        <v>35</v>
      </c>
      <c r="W201" s="3" t="s">
        <v>1062</v>
      </c>
      <c r="X201" s="3" t="s">
        <v>1447</v>
      </c>
      <c r="Y201" s="3" t="str">
        <f t="shared" si="3"/>
        <v>Danny Britson</v>
      </c>
      <c r="Z201" s="3" t="s">
        <v>91</v>
      </c>
      <c r="AA201" s="4" t="s">
        <v>92</v>
      </c>
      <c r="AB201" s="4" t="s">
        <v>93</v>
      </c>
      <c r="AC201" s="4" t="s">
        <v>452</v>
      </c>
    </row>
    <row r="202" spans="2:29" x14ac:dyDescent="0.2">
      <c r="B202" s="3" t="s">
        <v>838</v>
      </c>
      <c r="C202" s="3" t="s">
        <v>839</v>
      </c>
      <c r="D202" s="3" t="s">
        <v>47</v>
      </c>
      <c r="E202" s="3" t="s">
        <v>31</v>
      </c>
      <c r="F202" s="3" t="s">
        <v>32</v>
      </c>
      <c r="G202" s="4">
        <v>1213</v>
      </c>
      <c r="H202" s="4">
        <v>0</v>
      </c>
      <c r="I202" s="4">
        <v>0</v>
      </c>
      <c r="J202" s="4">
        <v>0</v>
      </c>
      <c r="K202" s="3" t="s">
        <v>34</v>
      </c>
      <c r="L202" s="3" t="s">
        <v>33</v>
      </c>
      <c r="M202" s="4">
        <v>60000</v>
      </c>
      <c r="N202" s="4">
        <v>0</v>
      </c>
      <c r="O202" s="4">
        <v>0</v>
      </c>
      <c r="P202" s="4">
        <v>1</v>
      </c>
      <c r="Q202" s="4">
        <v>0</v>
      </c>
      <c r="R202" s="4">
        <v>0</v>
      </c>
      <c r="S202" s="4">
        <v>250</v>
      </c>
      <c r="T202" s="3" t="s">
        <v>33</v>
      </c>
      <c r="U202" s="3" t="s">
        <v>33</v>
      </c>
      <c r="V202" s="3" t="s">
        <v>35</v>
      </c>
      <c r="W202" s="3" t="s">
        <v>522</v>
      </c>
      <c r="X202" s="3" t="s">
        <v>1401</v>
      </c>
      <c r="Y202" s="3" t="str">
        <f t="shared" si="3"/>
        <v>Robert Cullen</v>
      </c>
      <c r="Z202" s="3" t="s">
        <v>1400</v>
      </c>
      <c r="AA202" s="4" t="s">
        <v>1400</v>
      </c>
      <c r="AB202" s="4" t="s">
        <v>93</v>
      </c>
      <c r="AC202" s="4" t="s">
        <v>832</v>
      </c>
    </row>
    <row r="203" spans="2:29" x14ac:dyDescent="0.2">
      <c r="B203" s="3" t="s">
        <v>950</v>
      </c>
      <c r="C203" s="3" t="s">
        <v>279</v>
      </c>
      <c r="D203" s="3" t="s">
        <v>0</v>
      </c>
      <c r="E203" s="3" t="s">
        <v>280</v>
      </c>
      <c r="F203" s="3" t="s">
        <v>32</v>
      </c>
      <c r="G203" s="4">
        <v>1200</v>
      </c>
      <c r="H203" s="4">
        <v>295</v>
      </c>
      <c r="I203" s="4">
        <v>0</v>
      </c>
      <c r="J203" s="4">
        <v>0</v>
      </c>
      <c r="K203" s="3" t="s">
        <v>33</v>
      </c>
      <c r="L203" s="3" t="s">
        <v>33</v>
      </c>
      <c r="M203" s="4">
        <v>27500</v>
      </c>
      <c r="N203" s="4">
        <v>0</v>
      </c>
      <c r="O203" s="4">
        <v>800</v>
      </c>
      <c r="P203" s="4">
        <v>4</v>
      </c>
      <c r="Q203" s="4">
        <v>0</v>
      </c>
      <c r="R203" s="4">
        <v>3000</v>
      </c>
      <c r="S203" s="4">
        <v>5000</v>
      </c>
      <c r="T203" s="3" t="s">
        <v>33</v>
      </c>
      <c r="U203" s="3" t="s">
        <v>33</v>
      </c>
      <c r="V203" s="3" t="s">
        <v>35</v>
      </c>
      <c r="W203" s="3" t="s">
        <v>1123</v>
      </c>
      <c r="X203" s="3" t="s">
        <v>1122</v>
      </c>
      <c r="Y203" s="3" t="str">
        <f t="shared" si="3"/>
        <v>Steve Tan</v>
      </c>
      <c r="Z203" s="3" t="s">
        <v>1098</v>
      </c>
      <c r="AA203" s="4" t="s">
        <v>1098</v>
      </c>
      <c r="AB203" s="4" t="s">
        <v>6</v>
      </c>
      <c r="AC203" s="4" t="s">
        <v>951</v>
      </c>
    </row>
    <row r="204" spans="2:29" x14ac:dyDescent="0.2">
      <c r="B204" s="3" t="s">
        <v>284</v>
      </c>
      <c r="C204" s="3" t="s">
        <v>285</v>
      </c>
      <c r="D204" s="3" t="s">
        <v>286</v>
      </c>
      <c r="E204" s="3" t="s">
        <v>180</v>
      </c>
      <c r="F204" s="3" t="s">
        <v>32</v>
      </c>
      <c r="G204" s="4">
        <v>1200</v>
      </c>
      <c r="H204" s="4">
        <v>32</v>
      </c>
      <c r="I204" s="4">
        <v>12</v>
      </c>
      <c r="J204" s="4">
        <v>464</v>
      </c>
      <c r="K204" s="3" t="s">
        <v>33</v>
      </c>
      <c r="L204" s="3" t="s">
        <v>33</v>
      </c>
      <c r="M204" s="4">
        <v>182328</v>
      </c>
      <c r="N204" s="4">
        <v>3300</v>
      </c>
      <c r="O204" s="4">
        <v>146</v>
      </c>
      <c r="P204" s="4">
        <v>4</v>
      </c>
      <c r="Q204" s="4">
        <v>2</v>
      </c>
      <c r="R204" s="4">
        <v>2657</v>
      </c>
      <c r="S204" s="4">
        <v>1800</v>
      </c>
      <c r="T204" s="3" t="s">
        <v>33</v>
      </c>
      <c r="U204" s="3" t="s">
        <v>33</v>
      </c>
      <c r="V204" s="3" t="s">
        <v>35</v>
      </c>
      <c r="W204" s="3" t="s">
        <v>1076</v>
      </c>
      <c r="X204" s="3" t="s">
        <v>1456</v>
      </c>
      <c r="Y204" s="3" t="str">
        <f t="shared" si="3"/>
        <v>Drew Raeburn</v>
      </c>
      <c r="Z204" s="3" t="s">
        <v>1400</v>
      </c>
      <c r="AA204" s="4" t="s">
        <v>1400</v>
      </c>
      <c r="AB204" s="4" t="s">
        <v>93</v>
      </c>
      <c r="AC204" s="4" t="s">
        <v>288</v>
      </c>
    </row>
    <row r="205" spans="2:29" x14ac:dyDescent="0.2">
      <c r="B205" s="3" t="s">
        <v>598</v>
      </c>
      <c r="C205" s="3" t="s">
        <v>599</v>
      </c>
      <c r="D205" s="3" t="s">
        <v>135</v>
      </c>
      <c r="E205" s="3" t="s">
        <v>31</v>
      </c>
      <c r="F205" s="3" t="s">
        <v>32</v>
      </c>
      <c r="G205" s="4">
        <v>1200</v>
      </c>
      <c r="H205" s="4">
        <v>99</v>
      </c>
      <c r="I205" s="4">
        <v>26</v>
      </c>
      <c r="J205" s="4">
        <v>0</v>
      </c>
      <c r="K205" s="3" t="s">
        <v>34</v>
      </c>
      <c r="L205" s="3" t="s">
        <v>33</v>
      </c>
      <c r="M205" s="4">
        <v>96000</v>
      </c>
      <c r="N205" s="4">
        <v>0</v>
      </c>
      <c r="O205" s="4">
        <v>0</v>
      </c>
      <c r="P205" s="4">
        <v>4</v>
      </c>
      <c r="Q205" s="4">
        <v>4</v>
      </c>
      <c r="R205" s="4">
        <v>0</v>
      </c>
      <c r="S205" s="4">
        <v>1297</v>
      </c>
      <c r="T205" s="3" t="s">
        <v>33</v>
      </c>
      <c r="U205" s="3" t="s">
        <v>33</v>
      </c>
      <c r="V205" s="3" t="s">
        <v>35</v>
      </c>
      <c r="W205" s="3" t="s">
        <v>1438</v>
      </c>
      <c r="X205" s="3" t="s">
        <v>1437</v>
      </c>
      <c r="Y205" s="3" t="str">
        <f t="shared" si="3"/>
        <v>Pauly Cica</v>
      </c>
      <c r="Z205" s="3" t="s">
        <v>801</v>
      </c>
      <c r="AA205" s="4" t="s">
        <v>801</v>
      </c>
      <c r="AB205" s="4" t="s">
        <v>93</v>
      </c>
      <c r="AC205" s="4" t="s">
        <v>600</v>
      </c>
    </row>
    <row r="206" spans="2:29" x14ac:dyDescent="0.2">
      <c r="B206" s="3" t="s">
        <v>289</v>
      </c>
      <c r="C206" s="3" t="s">
        <v>290</v>
      </c>
      <c r="D206" s="3" t="s">
        <v>291</v>
      </c>
      <c r="E206" s="3" t="s">
        <v>31</v>
      </c>
      <c r="F206" s="3" t="s">
        <v>32</v>
      </c>
      <c r="G206" s="4">
        <v>1200</v>
      </c>
      <c r="H206" s="4">
        <v>0</v>
      </c>
      <c r="I206" s="4">
        <v>0</v>
      </c>
      <c r="J206" s="4">
        <v>800</v>
      </c>
      <c r="K206" s="3" t="s">
        <v>33</v>
      </c>
      <c r="L206" s="3" t="s">
        <v>34</v>
      </c>
      <c r="M206" s="4">
        <v>100000</v>
      </c>
      <c r="N206" s="4">
        <v>76000</v>
      </c>
      <c r="O206" s="4">
        <v>300</v>
      </c>
      <c r="P206" s="4">
        <v>7</v>
      </c>
      <c r="Q206" s="4">
        <v>1</v>
      </c>
      <c r="R206" s="4">
        <v>3282</v>
      </c>
      <c r="S206" s="4">
        <v>1100</v>
      </c>
      <c r="T206" s="3" t="s">
        <v>34</v>
      </c>
      <c r="U206" s="3" t="s">
        <v>34</v>
      </c>
      <c r="V206" s="3" t="s">
        <v>35</v>
      </c>
      <c r="W206" s="3" t="s">
        <v>292</v>
      </c>
      <c r="X206" s="3" t="s">
        <v>149</v>
      </c>
      <c r="Y206" s="3" t="str">
        <f t="shared" si="3"/>
        <v>Rick Williams</v>
      </c>
      <c r="Z206" s="3" t="s">
        <v>293</v>
      </c>
      <c r="AA206" s="4" t="s">
        <v>293</v>
      </c>
      <c r="AB206" s="4" t="s">
        <v>181</v>
      </c>
      <c r="AC206" s="4" t="s">
        <v>294</v>
      </c>
    </row>
    <row r="207" spans="2:29" x14ac:dyDescent="0.2">
      <c r="B207" s="3" t="s">
        <v>104</v>
      </c>
      <c r="C207" s="3" t="s">
        <v>105</v>
      </c>
      <c r="D207" s="3" t="s">
        <v>106</v>
      </c>
      <c r="E207" s="3" t="s">
        <v>31</v>
      </c>
      <c r="F207" s="3" t="s">
        <v>32</v>
      </c>
      <c r="G207" s="4">
        <v>1200</v>
      </c>
      <c r="H207" s="4">
        <v>38</v>
      </c>
      <c r="I207" s="4">
        <v>12</v>
      </c>
      <c r="J207" s="4">
        <v>0</v>
      </c>
      <c r="K207" s="3" t="s">
        <v>33</v>
      </c>
      <c r="L207" s="3" t="s">
        <v>33</v>
      </c>
      <c r="M207" s="4">
        <v>28190</v>
      </c>
      <c r="N207" s="4">
        <v>6240</v>
      </c>
      <c r="O207" s="4">
        <v>403</v>
      </c>
      <c r="P207" s="4">
        <v>4</v>
      </c>
      <c r="Q207" s="4">
        <v>1</v>
      </c>
      <c r="R207" s="4">
        <v>1943</v>
      </c>
      <c r="S207" s="4">
        <v>1009</v>
      </c>
      <c r="T207" s="3" t="s">
        <v>33</v>
      </c>
      <c r="U207" s="3" t="s">
        <v>33</v>
      </c>
      <c r="V207" s="3" t="s">
        <v>57</v>
      </c>
      <c r="W207" s="3" t="s">
        <v>107</v>
      </c>
      <c r="X207" s="3" t="s">
        <v>108</v>
      </c>
      <c r="Y207" s="3" t="str">
        <f t="shared" si="3"/>
        <v>Ian Cairns</v>
      </c>
      <c r="Z207" s="3" t="s">
        <v>109</v>
      </c>
      <c r="AA207" s="4" t="s">
        <v>109</v>
      </c>
      <c r="AB207" s="4" t="s">
        <v>110</v>
      </c>
      <c r="AC207" s="4" t="s">
        <v>99</v>
      </c>
    </row>
    <row r="208" spans="2:29" x14ac:dyDescent="0.2">
      <c r="B208" s="3" t="s">
        <v>673</v>
      </c>
      <c r="C208" s="3" t="s">
        <v>575</v>
      </c>
      <c r="D208" s="3" t="s">
        <v>106</v>
      </c>
      <c r="E208" s="3" t="s">
        <v>31</v>
      </c>
      <c r="F208" s="3" t="s">
        <v>32</v>
      </c>
      <c r="G208" s="4">
        <v>1200</v>
      </c>
      <c r="H208" s="4">
        <v>50</v>
      </c>
      <c r="I208" s="4">
        <v>0</v>
      </c>
      <c r="J208" s="4">
        <v>0</v>
      </c>
      <c r="K208" s="3" t="s">
        <v>34</v>
      </c>
      <c r="L208" s="3" t="s">
        <v>33</v>
      </c>
      <c r="M208" s="4">
        <v>30000</v>
      </c>
      <c r="N208" s="4">
        <v>7300</v>
      </c>
      <c r="O208" s="4">
        <v>395</v>
      </c>
      <c r="P208" s="4">
        <v>9</v>
      </c>
      <c r="Q208" s="4">
        <v>1</v>
      </c>
      <c r="R208" s="4">
        <v>0</v>
      </c>
      <c r="S208" s="4">
        <v>963</v>
      </c>
      <c r="T208" s="3" t="s">
        <v>33</v>
      </c>
      <c r="U208" s="3" t="s">
        <v>33</v>
      </c>
      <c r="V208" s="3" t="s">
        <v>35</v>
      </c>
      <c r="W208" s="3" t="s">
        <v>1430</v>
      </c>
      <c r="X208" s="3" t="s">
        <v>1429</v>
      </c>
      <c r="Y208" s="3" t="str">
        <f t="shared" si="3"/>
        <v>Yuliya Weber</v>
      </c>
      <c r="Z208" s="3" t="s">
        <v>1428</v>
      </c>
      <c r="AA208" s="4" t="s">
        <v>1427</v>
      </c>
      <c r="AB208" s="4" t="s">
        <v>93</v>
      </c>
      <c r="AC208" s="4" t="s">
        <v>558</v>
      </c>
    </row>
    <row r="209" spans="2:29" x14ac:dyDescent="0.2">
      <c r="B209" s="3" t="s">
        <v>673</v>
      </c>
      <c r="C209" s="3" t="s">
        <v>575</v>
      </c>
      <c r="D209" s="3" t="s">
        <v>106</v>
      </c>
      <c r="E209" s="3" t="s">
        <v>31</v>
      </c>
      <c r="F209" s="3" t="s">
        <v>32</v>
      </c>
      <c r="G209" s="4">
        <v>1200</v>
      </c>
      <c r="H209" s="4">
        <v>50</v>
      </c>
      <c r="I209" s="4">
        <v>0</v>
      </c>
      <c r="J209" s="4">
        <v>0</v>
      </c>
      <c r="K209" s="3" t="s">
        <v>34</v>
      </c>
      <c r="L209" s="3" t="s">
        <v>33</v>
      </c>
      <c r="M209" s="4">
        <v>30000</v>
      </c>
      <c r="N209" s="4">
        <v>7300</v>
      </c>
      <c r="O209" s="4">
        <v>395</v>
      </c>
      <c r="P209" s="4">
        <v>9</v>
      </c>
      <c r="Q209" s="4">
        <v>1</v>
      </c>
      <c r="R209" s="4">
        <v>0</v>
      </c>
      <c r="S209" s="4">
        <v>963</v>
      </c>
      <c r="T209" s="3" t="s">
        <v>33</v>
      </c>
      <c r="U209" s="3" t="s">
        <v>33</v>
      </c>
      <c r="V209" s="3" t="s">
        <v>35</v>
      </c>
      <c r="W209" s="3" t="s">
        <v>456</v>
      </c>
      <c r="X209" s="3" t="s">
        <v>1168</v>
      </c>
      <c r="Y209" s="3" t="str">
        <f t="shared" si="3"/>
        <v>John Walsh</v>
      </c>
      <c r="Z209" s="3" t="s">
        <v>889</v>
      </c>
      <c r="AA209" s="4" t="s">
        <v>889</v>
      </c>
      <c r="AB209" s="4" t="s">
        <v>6</v>
      </c>
      <c r="AC209" s="4" t="s">
        <v>558</v>
      </c>
    </row>
    <row r="210" spans="2:29" x14ac:dyDescent="0.2">
      <c r="B210" s="3" t="s">
        <v>1052</v>
      </c>
      <c r="C210" s="3" t="s">
        <v>1053</v>
      </c>
      <c r="D210" s="3" t="s">
        <v>246</v>
      </c>
      <c r="E210" s="3" t="s">
        <v>31</v>
      </c>
      <c r="F210" s="3" t="s">
        <v>32</v>
      </c>
      <c r="G210" s="4">
        <v>1200</v>
      </c>
      <c r="H210" s="4">
        <v>14</v>
      </c>
      <c r="I210" s="4">
        <v>4</v>
      </c>
      <c r="J210" s="4">
        <v>400</v>
      </c>
      <c r="K210" s="3" t="s">
        <v>33</v>
      </c>
      <c r="L210" s="3" t="s">
        <v>33</v>
      </c>
      <c r="M210" s="4">
        <v>113000</v>
      </c>
      <c r="N210" s="4">
        <v>14500</v>
      </c>
      <c r="O210" s="4">
        <v>300</v>
      </c>
      <c r="P210" s="4">
        <v>11</v>
      </c>
      <c r="Q210" s="4">
        <v>0</v>
      </c>
      <c r="R210" s="4">
        <v>700</v>
      </c>
      <c r="S210" s="4">
        <v>850</v>
      </c>
      <c r="T210" s="3" t="s">
        <v>34</v>
      </c>
      <c r="U210" s="3" t="s">
        <v>34</v>
      </c>
      <c r="V210" s="3" t="s">
        <v>35</v>
      </c>
      <c r="W210" s="3" t="s">
        <v>1097</v>
      </c>
      <c r="X210" s="3" t="s">
        <v>1096</v>
      </c>
      <c r="Y210" s="3" t="str">
        <f t="shared" si="3"/>
        <v>Jeremy Barkley</v>
      </c>
      <c r="Z210" s="3" t="s">
        <v>889</v>
      </c>
      <c r="AA210" s="4" t="s">
        <v>889</v>
      </c>
      <c r="AB210" s="4" t="s">
        <v>6</v>
      </c>
      <c r="AC210" s="4" t="s">
        <v>1054</v>
      </c>
    </row>
    <row r="211" spans="2:29" x14ac:dyDescent="0.2">
      <c r="B211" s="3" t="s">
        <v>924</v>
      </c>
      <c r="C211" s="3" t="s">
        <v>81</v>
      </c>
      <c r="D211" s="3" t="s">
        <v>51</v>
      </c>
      <c r="E211" s="3" t="s">
        <v>31</v>
      </c>
      <c r="F211" s="3" t="s">
        <v>32</v>
      </c>
      <c r="G211" s="4">
        <v>1200</v>
      </c>
      <c r="H211" s="4">
        <v>25</v>
      </c>
      <c r="I211" s="4">
        <v>0</v>
      </c>
      <c r="J211" s="4">
        <v>0</v>
      </c>
      <c r="K211" s="3" t="s">
        <v>34</v>
      </c>
      <c r="L211" s="3" t="s">
        <v>34</v>
      </c>
      <c r="M211" s="4">
        <v>65556</v>
      </c>
      <c r="N211" s="4">
        <v>0</v>
      </c>
      <c r="O211" s="4">
        <v>288</v>
      </c>
      <c r="P211" s="4">
        <v>10</v>
      </c>
      <c r="Q211" s="4">
        <v>1</v>
      </c>
      <c r="R211" s="4">
        <v>4000</v>
      </c>
      <c r="S211" s="4">
        <v>800</v>
      </c>
      <c r="T211" s="3" t="s">
        <v>33</v>
      </c>
      <c r="U211" s="3" t="s">
        <v>33</v>
      </c>
      <c r="V211" s="3" t="s">
        <v>35</v>
      </c>
      <c r="W211" s="3" t="s">
        <v>967</v>
      </c>
      <c r="X211" s="3" t="s">
        <v>1393</v>
      </c>
      <c r="Y211" s="3" t="str">
        <f t="shared" si="3"/>
        <v>Ray Anzevino</v>
      </c>
      <c r="Z211" s="3" t="s">
        <v>91</v>
      </c>
      <c r="AA211" s="4" t="s">
        <v>92</v>
      </c>
      <c r="AB211" s="4" t="s">
        <v>93</v>
      </c>
      <c r="AC211" s="4" t="s">
        <v>930</v>
      </c>
    </row>
    <row r="212" spans="2:29" x14ac:dyDescent="0.2">
      <c r="B212" s="3" t="s">
        <v>924</v>
      </c>
      <c r="C212" s="3" t="s">
        <v>81</v>
      </c>
      <c r="D212" s="3" t="s">
        <v>51</v>
      </c>
      <c r="E212" s="3" t="s">
        <v>31</v>
      </c>
      <c r="F212" s="3" t="s">
        <v>32</v>
      </c>
      <c r="G212" s="4">
        <v>1200</v>
      </c>
      <c r="H212" s="4">
        <v>25</v>
      </c>
      <c r="I212" s="4">
        <v>0</v>
      </c>
      <c r="J212" s="4">
        <v>0</v>
      </c>
      <c r="K212" s="3" t="s">
        <v>34</v>
      </c>
      <c r="L212" s="3" t="s">
        <v>34</v>
      </c>
      <c r="M212" s="4">
        <v>65556</v>
      </c>
      <c r="N212" s="4">
        <v>0</v>
      </c>
      <c r="O212" s="4">
        <v>288</v>
      </c>
      <c r="P212" s="4">
        <v>10</v>
      </c>
      <c r="Q212" s="4">
        <v>1</v>
      </c>
      <c r="R212" s="4">
        <v>4000</v>
      </c>
      <c r="S212" s="4">
        <v>800</v>
      </c>
      <c r="T212" s="3" t="s">
        <v>33</v>
      </c>
      <c r="U212" s="3" t="s">
        <v>33</v>
      </c>
      <c r="V212" s="3" t="s">
        <v>35</v>
      </c>
      <c r="W212" s="3" t="s">
        <v>925</v>
      </c>
      <c r="X212" s="3" t="s">
        <v>926</v>
      </c>
      <c r="Y212" s="3" t="str">
        <f t="shared" si="3"/>
        <v>Bryan Binek</v>
      </c>
      <c r="Z212" s="3" t="s">
        <v>927</v>
      </c>
      <c r="AA212" s="4" t="s">
        <v>928</v>
      </c>
      <c r="AB212" s="4" t="s">
        <v>929</v>
      </c>
      <c r="AC212" s="4" t="s">
        <v>930</v>
      </c>
    </row>
    <row r="213" spans="2:29" x14ac:dyDescent="0.2">
      <c r="B213" s="3" t="s">
        <v>45</v>
      </c>
      <c r="C213" s="3" t="s">
        <v>46</v>
      </c>
      <c r="D213" s="3" t="s">
        <v>47</v>
      </c>
      <c r="E213" s="3" t="s">
        <v>31</v>
      </c>
      <c r="F213" s="3" t="s">
        <v>32</v>
      </c>
      <c r="G213" s="4">
        <v>1200</v>
      </c>
      <c r="H213" s="4">
        <v>28</v>
      </c>
      <c r="I213" s="4">
        <v>0</v>
      </c>
      <c r="J213" s="4">
        <v>450</v>
      </c>
      <c r="K213" s="3" t="s">
        <v>34</v>
      </c>
      <c r="L213" s="3" t="s">
        <v>33</v>
      </c>
      <c r="M213" s="4">
        <v>52500</v>
      </c>
      <c r="N213" s="4">
        <v>0</v>
      </c>
      <c r="O213" s="4">
        <v>150</v>
      </c>
      <c r="P213" s="4">
        <v>7</v>
      </c>
      <c r="Q213" s="4">
        <v>0</v>
      </c>
      <c r="R213" s="4">
        <v>1500</v>
      </c>
      <c r="S213" s="4">
        <v>700</v>
      </c>
      <c r="T213" s="3" t="s">
        <v>34</v>
      </c>
      <c r="U213" s="3" t="s">
        <v>34</v>
      </c>
      <c r="V213" s="3" t="s">
        <v>35</v>
      </c>
      <c r="W213" s="3" t="s">
        <v>680</v>
      </c>
      <c r="X213" s="3" t="s">
        <v>1480</v>
      </c>
      <c r="Y213" s="3" t="str">
        <f t="shared" si="3"/>
        <v>Craig Fuller</v>
      </c>
      <c r="Z213" s="3" t="s">
        <v>1479</v>
      </c>
      <c r="AA213" s="4" t="s">
        <v>1478</v>
      </c>
      <c r="AB213" s="4" t="s">
        <v>93</v>
      </c>
      <c r="AC213" s="4" t="s">
        <v>48</v>
      </c>
    </row>
    <row r="214" spans="2:29" x14ac:dyDescent="0.2">
      <c r="B214" s="3" t="s">
        <v>45</v>
      </c>
      <c r="C214" s="3" t="s">
        <v>46</v>
      </c>
      <c r="D214" s="3" t="s">
        <v>47</v>
      </c>
      <c r="E214" s="3" t="s">
        <v>31</v>
      </c>
      <c r="F214" s="3" t="s">
        <v>32</v>
      </c>
      <c r="G214" s="4">
        <v>1200</v>
      </c>
      <c r="H214" s="4">
        <v>28</v>
      </c>
      <c r="I214" s="4">
        <v>0</v>
      </c>
      <c r="J214" s="4">
        <v>450</v>
      </c>
      <c r="K214" s="3" t="s">
        <v>34</v>
      </c>
      <c r="L214" s="3" t="s">
        <v>33</v>
      </c>
      <c r="M214" s="4">
        <v>52500</v>
      </c>
      <c r="N214" s="4">
        <v>0</v>
      </c>
      <c r="O214" s="4">
        <v>150</v>
      </c>
      <c r="P214" s="4">
        <v>7</v>
      </c>
      <c r="Q214" s="4">
        <v>0</v>
      </c>
      <c r="R214" s="4">
        <v>1500</v>
      </c>
      <c r="S214" s="4">
        <v>700</v>
      </c>
      <c r="T214" s="3" t="s">
        <v>34</v>
      </c>
      <c r="U214" s="3" t="s">
        <v>34</v>
      </c>
      <c r="V214" s="3" t="s">
        <v>35</v>
      </c>
      <c r="W214" s="3" t="s">
        <v>1268</v>
      </c>
      <c r="X214" s="3" t="s">
        <v>1267</v>
      </c>
      <c r="Y214" s="3" t="str">
        <f t="shared" si="3"/>
        <v>Janique Odjick</v>
      </c>
      <c r="Z214" s="3" t="s">
        <v>889</v>
      </c>
      <c r="AA214" s="4" t="s">
        <v>889</v>
      </c>
      <c r="AB214" s="4" t="s">
        <v>6</v>
      </c>
      <c r="AC214" s="4" t="s">
        <v>48</v>
      </c>
    </row>
    <row r="215" spans="2:29" x14ac:dyDescent="0.2">
      <c r="B215" s="3" t="s">
        <v>677</v>
      </c>
      <c r="C215" s="3" t="s">
        <v>285</v>
      </c>
      <c r="D215" s="3" t="s">
        <v>286</v>
      </c>
      <c r="E215" s="3" t="s">
        <v>180</v>
      </c>
      <c r="F215" s="3" t="s">
        <v>32</v>
      </c>
      <c r="G215" s="4">
        <v>1200</v>
      </c>
      <c r="H215" s="4">
        <v>39</v>
      </c>
      <c r="I215" s="4">
        <v>5</v>
      </c>
      <c r="J215" s="4">
        <v>480</v>
      </c>
      <c r="K215" s="3" t="s">
        <v>33</v>
      </c>
      <c r="L215" s="3" t="s">
        <v>33</v>
      </c>
      <c r="M215" s="4">
        <v>174000</v>
      </c>
      <c r="N215" s="4">
        <v>3900</v>
      </c>
      <c r="O215" s="4">
        <v>0</v>
      </c>
      <c r="P215" s="4">
        <v>2</v>
      </c>
      <c r="Q215" s="4">
        <v>1</v>
      </c>
      <c r="R215" s="4">
        <v>2800</v>
      </c>
      <c r="S215" s="4">
        <v>600</v>
      </c>
      <c r="T215" s="3" t="s">
        <v>33</v>
      </c>
      <c r="U215" s="3" t="s">
        <v>33</v>
      </c>
      <c r="V215" s="3" t="s">
        <v>35</v>
      </c>
      <c r="W215" s="3" t="s">
        <v>1426</v>
      </c>
      <c r="X215" s="3" t="s">
        <v>1425</v>
      </c>
      <c r="Y215" s="3" t="str">
        <f t="shared" si="3"/>
        <v>Shelley Tinck</v>
      </c>
      <c r="Z215" s="3" t="s">
        <v>1400</v>
      </c>
      <c r="AA215" s="4" t="s">
        <v>1400</v>
      </c>
      <c r="AB215" s="4" t="s">
        <v>93</v>
      </c>
      <c r="AC215" s="4" t="s">
        <v>288</v>
      </c>
    </row>
    <row r="216" spans="2:29" x14ac:dyDescent="0.2">
      <c r="B216" s="3" t="s">
        <v>805</v>
      </c>
      <c r="C216" s="3" t="s">
        <v>806</v>
      </c>
      <c r="D216" s="3" t="s">
        <v>427</v>
      </c>
      <c r="E216" s="3" t="s">
        <v>31</v>
      </c>
      <c r="F216" s="3" t="s">
        <v>32</v>
      </c>
      <c r="G216" s="4">
        <v>1194</v>
      </c>
      <c r="H216" s="4">
        <v>25</v>
      </c>
      <c r="I216" s="4">
        <v>0</v>
      </c>
      <c r="J216" s="4">
        <v>400</v>
      </c>
      <c r="K216" s="3" t="s">
        <v>34</v>
      </c>
      <c r="L216" s="3" t="s">
        <v>33</v>
      </c>
      <c r="M216" s="4">
        <v>35000</v>
      </c>
      <c r="N216" s="4">
        <v>12000</v>
      </c>
      <c r="O216" s="4">
        <v>371</v>
      </c>
      <c r="P216" s="4">
        <v>6</v>
      </c>
      <c r="Q216" s="4">
        <v>0</v>
      </c>
      <c r="R216" s="4">
        <v>1092</v>
      </c>
      <c r="S216" s="4">
        <v>721</v>
      </c>
      <c r="T216" s="3" t="s">
        <v>34</v>
      </c>
      <c r="U216" s="3" t="s">
        <v>34</v>
      </c>
      <c r="V216" s="3" t="s">
        <v>35</v>
      </c>
      <c r="W216" s="3" t="s">
        <v>406</v>
      </c>
      <c r="X216" s="3" t="s">
        <v>1482</v>
      </c>
      <c r="Y216" s="3" t="str">
        <f t="shared" si="3"/>
        <v>Chris Garrow</v>
      </c>
      <c r="Z216" s="3" t="s">
        <v>1278</v>
      </c>
      <c r="AA216" s="4" t="s">
        <v>1278</v>
      </c>
      <c r="AB216" s="4" t="s">
        <v>1481</v>
      </c>
      <c r="AC216" s="4" t="s">
        <v>807</v>
      </c>
    </row>
    <row r="217" spans="2:29" x14ac:dyDescent="0.2">
      <c r="B217" s="3" t="s">
        <v>808</v>
      </c>
      <c r="C217" s="3" t="s">
        <v>809</v>
      </c>
      <c r="D217" s="3" t="s">
        <v>56</v>
      </c>
      <c r="E217" s="3" t="s">
        <v>31</v>
      </c>
      <c r="F217" s="3" t="s">
        <v>32</v>
      </c>
      <c r="G217" s="4">
        <v>1193</v>
      </c>
      <c r="H217" s="4">
        <v>40</v>
      </c>
      <c r="I217" s="4">
        <v>7</v>
      </c>
      <c r="J217" s="4">
        <v>0</v>
      </c>
      <c r="K217" s="3" t="s">
        <v>34</v>
      </c>
      <c r="L217" s="3" t="s">
        <v>34</v>
      </c>
      <c r="M217" s="4">
        <v>82283</v>
      </c>
      <c r="N217" s="4">
        <v>34775</v>
      </c>
      <c r="O217" s="4">
        <v>168</v>
      </c>
      <c r="P217" s="4">
        <v>7</v>
      </c>
      <c r="Q217" s="4">
        <v>3</v>
      </c>
      <c r="R217" s="4">
        <v>3649</v>
      </c>
      <c r="S217" s="4">
        <v>1326</v>
      </c>
      <c r="T217" s="3" t="s">
        <v>33</v>
      </c>
      <c r="U217" s="3" t="s">
        <v>33</v>
      </c>
      <c r="V217" s="3" t="s">
        <v>103</v>
      </c>
      <c r="W217" s="3" t="s">
        <v>1361</v>
      </c>
      <c r="X217" s="3" t="s">
        <v>1360</v>
      </c>
      <c r="Y217" s="3" t="str">
        <f t="shared" si="3"/>
        <v>Rod Suhr</v>
      </c>
      <c r="Z217" s="3" t="s">
        <v>109</v>
      </c>
      <c r="AA217" s="4" t="s">
        <v>109</v>
      </c>
      <c r="AB217" s="4" t="s">
        <v>1359</v>
      </c>
      <c r="AC217" s="4" t="s">
        <v>810</v>
      </c>
    </row>
    <row r="218" spans="2:29" x14ac:dyDescent="0.2">
      <c r="B218" s="3" t="s">
        <v>999</v>
      </c>
      <c r="C218" s="3" t="s">
        <v>81</v>
      </c>
      <c r="D218" s="3" t="s">
        <v>51</v>
      </c>
      <c r="E218" s="3" t="s">
        <v>31</v>
      </c>
      <c r="F218" s="3" t="s">
        <v>32</v>
      </c>
      <c r="G218" s="4">
        <v>1190</v>
      </c>
      <c r="H218" s="4">
        <v>108</v>
      </c>
      <c r="I218" s="4">
        <v>0</v>
      </c>
      <c r="J218" s="4">
        <v>0</v>
      </c>
      <c r="K218" s="3" t="s">
        <v>34</v>
      </c>
      <c r="L218" s="3" t="s">
        <v>34</v>
      </c>
      <c r="M218" s="4">
        <v>73915</v>
      </c>
      <c r="N218" s="4">
        <v>200000</v>
      </c>
      <c r="O218" s="4">
        <v>3000</v>
      </c>
      <c r="P218" s="4">
        <v>20</v>
      </c>
      <c r="Q218" s="4">
        <v>2</v>
      </c>
      <c r="R218" s="4">
        <v>3500</v>
      </c>
      <c r="S218" s="4">
        <v>5040</v>
      </c>
      <c r="T218" s="3" t="s">
        <v>33</v>
      </c>
      <c r="U218" s="3" t="s">
        <v>33</v>
      </c>
      <c r="V218" s="3" t="s">
        <v>35</v>
      </c>
      <c r="W218" s="3" t="s">
        <v>117</v>
      </c>
      <c r="X218" s="3" t="s">
        <v>98</v>
      </c>
      <c r="Y218" s="3" t="str">
        <f t="shared" si="3"/>
        <v>Ronald Gordon</v>
      </c>
      <c r="Z218" s="3" t="s">
        <v>801</v>
      </c>
      <c r="AA218" s="4" t="s">
        <v>801</v>
      </c>
      <c r="AB218" s="4" t="s">
        <v>93</v>
      </c>
      <c r="AC218" s="4" t="s">
        <v>1000</v>
      </c>
    </row>
    <row r="219" spans="2:29" x14ac:dyDescent="0.2">
      <c r="B219" s="3" t="s">
        <v>187</v>
      </c>
      <c r="C219" s="3" t="s">
        <v>50</v>
      </c>
      <c r="D219" s="3" t="s">
        <v>51</v>
      </c>
      <c r="E219" s="3" t="s">
        <v>31</v>
      </c>
      <c r="F219" s="3" t="s">
        <v>32</v>
      </c>
      <c r="G219" s="4">
        <v>1180</v>
      </c>
      <c r="H219" s="4">
        <v>21</v>
      </c>
      <c r="I219" s="4">
        <v>0</v>
      </c>
      <c r="J219" s="4">
        <v>200</v>
      </c>
      <c r="K219" s="3" t="s">
        <v>34</v>
      </c>
      <c r="L219" s="3" t="s">
        <v>34</v>
      </c>
      <c r="M219" s="4">
        <v>72000</v>
      </c>
      <c r="N219" s="4">
        <v>7500</v>
      </c>
      <c r="O219" s="4">
        <v>207</v>
      </c>
      <c r="P219" s="4">
        <v>7</v>
      </c>
      <c r="Q219" s="4">
        <v>1</v>
      </c>
      <c r="R219" s="4">
        <v>0</v>
      </c>
      <c r="S219" s="4">
        <v>959</v>
      </c>
      <c r="T219" s="3" t="s">
        <v>33</v>
      </c>
      <c r="U219" s="3" t="s">
        <v>33</v>
      </c>
      <c r="V219" s="3" t="s">
        <v>35</v>
      </c>
      <c r="W219" s="3" t="s">
        <v>76</v>
      </c>
      <c r="X219" s="3" t="s">
        <v>1464</v>
      </c>
      <c r="Y219" s="3" t="str">
        <f t="shared" si="3"/>
        <v>Mike Connors</v>
      </c>
      <c r="Z219" s="3" t="s">
        <v>1335</v>
      </c>
      <c r="AA219" s="4" t="s">
        <v>1335</v>
      </c>
      <c r="AB219" s="4" t="s">
        <v>93</v>
      </c>
      <c r="AC219" s="4" t="s">
        <v>53</v>
      </c>
    </row>
    <row r="220" spans="2:29" x14ac:dyDescent="0.2">
      <c r="B220" s="3" t="s">
        <v>344</v>
      </c>
      <c r="C220" s="3" t="s">
        <v>81</v>
      </c>
      <c r="D220" s="3" t="s">
        <v>51</v>
      </c>
      <c r="E220" s="3" t="s">
        <v>31</v>
      </c>
      <c r="F220" s="3" t="s">
        <v>32</v>
      </c>
      <c r="G220" s="4">
        <v>1161</v>
      </c>
      <c r="H220" s="4">
        <v>30</v>
      </c>
      <c r="I220" s="4">
        <v>0</v>
      </c>
      <c r="J220" s="4">
        <v>0</v>
      </c>
      <c r="K220" s="3" t="s">
        <v>34</v>
      </c>
      <c r="L220" s="3" t="s">
        <v>34</v>
      </c>
      <c r="M220" s="4">
        <v>41842</v>
      </c>
      <c r="N220" s="4">
        <v>2000</v>
      </c>
      <c r="O220" s="4">
        <v>361</v>
      </c>
      <c r="P220" s="4">
        <v>8</v>
      </c>
      <c r="Q220" s="4">
        <v>0</v>
      </c>
      <c r="R220" s="4">
        <v>850</v>
      </c>
      <c r="S220" s="4">
        <v>700</v>
      </c>
      <c r="T220" s="3" t="s">
        <v>33</v>
      </c>
      <c r="U220" s="3" t="s">
        <v>33</v>
      </c>
      <c r="V220" s="3" t="s">
        <v>35</v>
      </c>
      <c r="W220" s="3" t="s">
        <v>383</v>
      </c>
      <c r="X220" s="3" t="s">
        <v>1453</v>
      </c>
      <c r="Y220" s="3" t="str">
        <f t="shared" si="3"/>
        <v>Patrick Lazarus</v>
      </c>
      <c r="Z220" s="3" t="s">
        <v>109</v>
      </c>
      <c r="AA220" s="4" t="s">
        <v>109</v>
      </c>
      <c r="AB220" s="4" t="s">
        <v>93</v>
      </c>
      <c r="AC220" s="4" t="s">
        <v>0</v>
      </c>
    </row>
    <row r="221" spans="2:29" x14ac:dyDescent="0.2">
      <c r="B221" s="3" t="s">
        <v>344</v>
      </c>
      <c r="C221" s="3" t="s">
        <v>81</v>
      </c>
      <c r="D221" s="3" t="s">
        <v>51</v>
      </c>
      <c r="E221" s="3" t="s">
        <v>31</v>
      </c>
      <c r="F221" s="3" t="s">
        <v>32</v>
      </c>
      <c r="G221" s="4">
        <v>1161</v>
      </c>
      <c r="H221" s="4">
        <v>30</v>
      </c>
      <c r="I221" s="4">
        <v>0</v>
      </c>
      <c r="J221" s="4">
        <v>0</v>
      </c>
      <c r="K221" s="3" t="s">
        <v>34</v>
      </c>
      <c r="L221" s="3" t="s">
        <v>34</v>
      </c>
      <c r="M221" s="4">
        <v>41842</v>
      </c>
      <c r="N221" s="4">
        <v>2000</v>
      </c>
      <c r="O221" s="4">
        <v>361</v>
      </c>
      <c r="P221" s="4">
        <v>8</v>
      </c>
      <c r="Q221" s="4">
        <v>0</v>
      </c>
      <c r="R221" s="4">
        <v>850</v>
      </c>
      <c r="S221" s="4">
        <v>700</v>
      </c>
      <c r="T221" s="3" t="s">
        <v>33</v>
      </c>
      <c r="U221" s="3" t="s">
        <v>33</v>
      </c>
      <c r="V221" s="3" t="s">
        <v>35</v>
      </c>
      <c r="W221" s="3" t="s">
        <v>292</v>
      </c>
      <c r="X221" s="3" t="s">
        <v>1232</v>
      </c>
      <c r="Y221" s="3" t="str">
        <f t="shared" si="3"/>
        <v>Rick Ronca</v>
      </c>
      <c r="Z221" s="3" t="s">
        <v>1094</v>
      </c>
      <c r="AA221" s="4" t="s">
        <v>1094</v>
      </c>
      <c r="AB221" s="4" t="s">
        <v>6</v>
      </c>
      <c r="AC221" s="4" t="s">
        <v>0</v>
      </c>
    </row>
    <row r="222" spans="2:29" x14ac:dyDescent="0.2">
      <c r="B222" s="3" t="s">
        <v>28</v>
      </c>
      <c r="C222" s="3" t="s">
        <v>29</v>
      </c>
      <c r="D222" s="3" t="s">
        <v>30</v>
      </c>
      <c r="E222" s="3" t="s">
        <v>31</v>
      </c>
      <c r="F222" s="3" t="s">
        <v>32</v>
      </c>
      <c r="G222" s="4">
        <v>1160</v>
      </c>
      <c r="H222" s="4">
        <v>11</v>
      </c>
      <c r="I222" s="4">
        <v>0</v>
      </c>
      <c r="J222" s="4">
        <v>0</v>
      </c>
      <c r="K222" s="3" t="s">
        <v>33</v>
      </c>
      <c r="L222" s="3" t="s">
        <v>33</v>
      </c>
      <c r="M222" s="4">
        <v>0</v>
      </c>
      <c r="N222" s="4">
        <v>0</v>
      </c>
      <c r="O222" s="4">
        <v>86</v>
      </c>
      <c r="P222" s="4">
        <v>6</v>
      </c>
      <c r="Q222" s="4">
        <v>1</v>
      </c>
      <c r="R222" s="4">
        <v>0</v>
      </c>
      <c r="S222" s="4">
        <v>0</v>
      </c>
      <c r="T222" s="3" t="s">
        <v>34</v>
      </c>
      <c r="U222" s="3" t="s">
        <v>34</v>
      </c>
      <c r="V222" s="3" t="s">
        <v>35</v>
      </c>
      <c r="W222" s="3" t="s">
        <v>1269</v>
      </c>
      <c r="X222" s="3" t="s">
        <v>63</v>
      </c>
      <c r="Y222" s="3" t="str">
        <f t="shared" si="3"/>
        <v>Ruth Brown</v>
      </c>
      <c r="Z222" s="3" t="s">
        <v>1098</v>
      </c>
      <c r="AA222" s="4" t="s">
        <v>1098</v>
      </c>
      <c r="AB222" s="4" t="s">
        <v>6</v>
      </c>
      <c r="AC222" s="4" t="s">
        <v>36</v>
      </c>
    </row>
    <row r="223" spans="2:29" x14ac:dyDescent="0.2">
      <c r="B223" s="3" t="s">
        <v>431</v>
      </c>
      <c r="C223" s="3" t="s">
        <v>432</v>
      </c>
      <c r="D223" s="3" t="s">
        <v>129</v>
      </c>
      <c r="E223" s="3" t="s">
        <v>31</v>
      </c>
      <c r="F223" s="3" t="s">
        <v>32</v>
      </c>
      <c r="G223" s="4">
        <v>1150</v>
      </c>
      <c r="H223" s="4">
        <v>25</v>
      </c>
      <c r="I223" s="4">
        <v>14</v>
      </c>
      <c r="J223" s="4">
        <v>0</v>
      </c>
      <c r="K223" s="3" t="s">
        <v>34</v>
      </c>
      <c r="L223" s="3" t="s">
        <v>33</v>
      </c>
      <c r="M223" s="4">
        <v>70000</v>
      </c>
      <c r="N223" s="4">
        <v>11000</v>
      </c>
      <c r="O223" s="4">
        <v>595</v>
      </c>
      <c r="P223" s="4">
        <v>9</v>
      </c>
      <c r="Q223" s="4">
        <v>1</v>
      </c>
      <c r="R223" s="4">
        <v>3500</v>
      </c>
      <c r="S223" s="4">
        <v>1900</v>
      </c>
      <c r="T223" s="3" t="s">
        <v>34</v>
      </c>
      <c r="U223" s="3" t="s">
        <v>34</v>
      </c>
      <c r="V223" s="3" t="s">
        <v>35</v>
      </c>
      <c r="W223" s="3" t="s">
        <v>719</v>
      </c>
      <c r="X223" s="3" t="s">
        <v>376</v>
      </c>
      <c r="Y223" s="3" t="str">
        <f t="shared" si="3"/>
        <v>Kristine Walker</v>
      </c>
      <c r="Z223" s="3" t="s">
        <v>1098</v>
      </c>
      <c r="AA223" s="4" t="s">
        <v>1098</v>
      </c>
      <c r="AB223" s="4" t="s">
        <v>6</v>
      </c>
      <c r="AC223" s="4" t="s">
        <v>434</v>
      </c>
    </row>
    <row r="224" spans="2:29" x14ac:dyDescent="0.2">
      <c r="B224" s="3" t="s">
        <v>589</v>
      </c>
      <c r="C224" s="3" t="s">
        <v>590</v>
      </c>
      <c r="D224" s="3" t="s">
        <v>387</v>
      </c>
      <c r="E224" s="3" t="s">
        <v>31</v>
      </c>
      <c r="F224" s="3" t="s">
        <v>32</v>
      </c>
      <c r="G224" s="4">
        <v>1145</v>
      </c>
      <c r="H224" s="4">
        <v>13</v>
      </c>
      <c r="I224" s="4">
        <v>8</v>
      </c>
      <c r="J224" s="4">
        <v>200</v>
      </c>
      <c r="K224" s="3" t="s">
        <v>33</v>
      </c>
      <c r="L224" s="3" t="s">
        <v>33</v>
      </c>
      <c r="M224" s="4">
        <v>50000</v>
      </c>
      <c r="N224" s="4">
        <v>13000</v>
      </c>
      <c r="O224" s="4">
        <v>326</v>
      </c>
      <c r="P224" s="4">
        <v>7</v>
      </c>
      <c r="Q224" s="4">
        <v>2</v>
      </c>
      <c r="R224" s="4">
        <v>1000</v>
      </c>
      <c r="S224" s="4">
        <v>650</v>
      </c>
      <c r="T224" s="3" t="s">
        <v>34</v>
      </c>
      <c r="U224" s="3" t="s">
        <v>34</v>
      </c>
      <c r="V224" s="3" t="s">
        <v>35</v>
      </c>
      <c r="W224" s="3" t="s">
        <v>1180</v>
      </c>
      <c r="X224" s="3" t="s">
        <v>1179</v>
      </c>
      <c r="Y224" s="3" t="str">
        <f t="shared" si="3"/>
        <v>Terry Carlson</v>
      </c>
      <c r="Z224" s="3" t="s">
        <v>1098</v>
      </c>
      <c r="AA224" s="4" t="s">
        <v>1098</v>
      </c>
      <c r="AB224" s="4" t="s">
        <v>6</v>
      </c>
      <c r="AC224" s="4" t="s">
        <v>591</v>
      </c>
    </row>
    <row r="225" spans="2:29" x14ac:dyDescent="0.2">
      <c r="B225" s="3" t="s">
        <v>172</v>
      </c>
      <c r="C225" s="3" t="s">
        <v>173</v>
      </c>
      <c r="D225" s="3" t="s">
        <v>174</v>
      </c>
      <c r="E225" s="3" t="s">
        <v>31</v>
      </c>
      <c r="F225" s="3" t="s">
        <v>32</v>
      </c>
      <c r="G225" s="4">
        <v>1145</v>
      </c>
      <c r="H225" s="4">
        <v>116</v>
      </c>
      <c r="I225" s="4">
        <v>21</v>
      </c>
      <c r="J225" s="4">
        <v>0</v>
      </c>
      <c r="K225" s="3" t="s">
        <v>34</v>
      </c>
      <c r="L225" s="3" t="s">
        <v>33</v>
      </c>
      <c r="M225" s="4">
        <v>90000</v>
      </c>
      <c r="N225" s="4">
        <v>50000</v>
      </c>
      <c r="O225" s="4">
        <v>320</v>
      </c>
      <c r="P225" s="4">
        <v>0</v>
      </c>
      <c r="Q225" s="4">
        <v>0</v>
      </c>
      <c r="R225" s="4">
        <v>1500</v>
      </c>
      <c r="S225" s="4">
        <v>0</v>
      </c>
      <c r="T225" s="3" t="s">
        <v>34</v>
      </c>
      <c r="U225" s="3" t="s">
        <v>33</v>
      </c>
      <c r="V225" s="3" t="s">
        <v>35</v>
      </c>
      <c r="W225" s="3" t="s">
        <v>1248</v>
      </c>
      <c r="X225" s="3" t="s">
        <v>1247</v>
      </c>
      <c r="Y225" s="3" t="str">
        <f t="shared" si="3"/>
        <v>Matthew Kern</v>
      </c>
      <c r="Z225" s="3" t="s">
        <v>1119</v>
      </c>
      <c r="AA225" s="4" t="s">
        <v>1119</v>
      </c>
      <c r="AB225" s="4" t="s">
        <v>6</v>
      </c>
      <c r="AC225" s="4" t="s">
        <v>176</v>
      </c>
    </row>
    <row r="226" spans="2:29" x14ac:dyDescent="0.2">
      <c r="B226" s="3" t="s">
        <v>588</v>
      </c>
      <c r="C226" s="3" t="s">
        <v>128</v>
      </c>
      <c r="D226" s="3" t="s">
        <v>129</v>
      </c>
      <c r="E226" s="3" t="s">
        <v>31</v>
      </c>
      <c r="F226" s="3" t="s">
        <v>32</v>
      </c>
      <c r="G226" s="4">
        <v>1142</v>
      </c>
      <c r="H226" s="4">
        <v>45</v>
      </c>
      <c r="I226" s="4">
        <v>6</v>
      </c>
      <c r="J226" s="4">
        <v>0</v>
      </c>
      <c r="K226" s="3" t="s">
        <v>34</v>
      </c>
      <c r="L226" s="3" t="s">
        <v>33</v>
      </c>
      <c r="M226" s="4">
        <v>85340</v>
      </c>
      <c r="N226" s="4">
        <v>65000</v>
      </c>
      <c r="O226" s="4">
        <v>1088</v>
      </c>
      <c r="P226" s="4">
        <v>7</v>
      </c>
      <c r="Q226" s="4">
        <v>4</v>
      </c>
      <c r="R226" s="4">
        <v>3400</v>
      </c>
      <c r="S226" s="4">
        <v>1159</v>
      </c>
      <c r="T226" s="3" t="s">
        <v>33</v>
      </c>
      <c r="U226" s="3" t="s">
        <v>33</v>
      </c>
      <c r="V226" s="3" t="s">
        <v>35</v>
      </c>
      <c r="W226" s="3" t="s">
        <v>1371</v>
      </c>
      <c r="X226" s="3" t="s">
        <v>1370</v>
      </c>
      <c r="Y226" s="3" t="str">
        <f t="shared" si="3"/>
        <v>Herb Gee</v>
      </c>
      <c r="Z226" s="3" t="s">
        <v>109</v>
      </c>
      <c r="AA226" s="4" t="s">
        <v>109</v>
      </c>
      <c r="AB226" s="4" t="s">
        <v>356</v>
      </c>
      <c r="AC226" s="4" t="s">
        <v>53</v>
      </c>
    </row>
    <row r="227" spans="2:29" x14ac:dyDescent="0.2">
      <c r="B227" s="3" t="s">
        <v>588</v>
      </c>
      <c r="C227" s="3" t="s">
        <v>128</v>
      </c>
      <c r="D227" s="3" t="s">
        <v>129</v>
      </c>
      <c r="E227" s="3" t="s">
        <v>31</v>
      </c>
      <c r="F227" s="3" t="s">
        <v>32</v>
      </c>
      <c r="G227" s="4">
        <v>1142</v>
      </c>
      <c r="H227" s="4">
        <v>45</v>
      </c>
      <c r="I227" s="4">
        <v>6</v>
      </c>
      <c r="J227" s="4">
        <v>0</v>
      </c>
      <c r="K227" s="3" t="s">
        <v>34</v>
      </c>
      <c r="L227" s="3" t="s">
        <v>33</v>
      </c>
      <c r="M227" s="4">
        <v>85340</v>
      </c>
      <c r="N227" s="4">
        <v>65000</v>
      </c>
      <c r="O227" s="4">
        <v>1088</v>
      </c>
      <c r="P227" s="4">
        <v>7</v>
      </c>
      <c r="Q227" s="4">
        <v>4</v>
      </c>
      <c r="R227" s="4">
        <v>3400</v>
      </c>
      <c r="S227" s="4">
        <v>1159</v>
      </c>
      <c r="T227" s="3" t="s">
        <v>33</v>
      </c>
      <c r="U227" s="3" t="s">
        <v>33</v>
      </c>
      <c r="V227" s="3" t="s">
        <v>35</v>
      </c>
      <c r="W227" s="3" t="s">
        <v>326</v>
      </c>
      <c r="X227" s="3" t="s">
        <v>1326</v>
      </c>
      <c r="Y227" s="3" t="str">
        <f t="shared" si="3"/>
        <v>Mark McCrindle</v>
      </c>
      <c r="Z227" s="3" t="s">
        <v>109</v>
      </c>
      <c r="AA227" s="4" t="s">
        <v>109</v>
      </c>
      <c r="AB227" s="4" t="s">
        <v>340</v>
      </c>
      <c r="AC227" s="4" t="s">
        <v>53</v>
      </c>
    </row>
    <row r="228" spans="2:29" x14ac:dyDescent="0.2">
      <c r="B228" s="3" t="s">
        <v>193</v>
      </c>
      <c r="C228" s="3" t="s">
        <v>194</v>
      </c>
      <c r="D228" s="3" t="s">
        <v>51</v>
      </c>
      <c r="E228" s="3" t="s">
        <v>31</v>
      </c>
      <c r="F228" s="3" t="s">
        <v>32</v>
      </c>
      <c r="G228" s="4">
        <v>1140</v>
      </c>
      <c r="H228" s="4">
        <v>16</v>
      </c>
      <c r="I228" s="4">
        <v>0</v>
      </c>
      <c r="J228" s="4">
        <v>0</v>
      </c>
      <c r="K228" s="3" t="s">
        <v>34</v>
      </c>
      <c r="L228" s="3" t="s">
        <v>34</v>
      </c>
      <c r="M228" s="4">
        <v>27000</v>
      </c>
      <c r="N228" s="4">
        <v>10000</v>
      </c>
      <c r="O228" s="4">
        <v>618</v>
      </c>
      <c r="P228" s="4">
        <v>5</v>
      </c>
      <c r="Q228" s="4">
        <v>3</v>
      </c>
      <c r="R228" s="4">
        <v>1750</v>
      </c>
      <c r="S228" s="4">
        <v>986</v>
      </c>
      <c r="T228" s="3" t="s">
        <v>33</v>
      </c>
      <c r="U228" s="3" t="s">
        <v>33</v>
      </c>
      <c r="V228" s="3" t="s">
        <v>35</v>
      </c>
      <c r="W228" s="3" t="s">
        <v>1385</v>
      </c>
      <c r="X228" s="3" t="s">
        <v>1384</v>
      </c>
      <c r="Y228" s="3" t="str">
        <f t="shared" si="3"/>
        <v>Vinny Barile</v>
      </c>
      <c r="Z228" s="3" t="s">
        <v>1383</v>
      </c>
      <c r="AA228" s="4" t="s">
        <v>1382</v>
      </c>
      <c r="AB228" s="4" t="s">
        <v>93</v>
      </c>
      <c r="AC228" s="4" t="s">
        <v>195</v>
      </c>
    </row>
    <row r="229" spans="2:29" x14ac:dyDescent="0.2">
      <c r="B229" s="3" t="s">
        <v>193</v>
      </c>
      <c r="C229" s="3" t="s">
        <v>194</v>
      </c>
      <c r="D229" s="3" t="s">
        <v>51</v>
      </c>
      <c r="E229" s="3" t="s">
        <v>31</v>
      </c>
      <c r="F229" s="3" t="s">
        <v>32</v>
      </c>
      <c r="G229" s="4">
        <v>1140</v>
      </c>
      <c r="H229" s="4">
        <v>16</v>
      </c>
      <c r="I229" s="4">
        <v>0</v>
      </c>
      <c r="J229" s="4">
        <v>0</v>
      </c>
      <c r="K229" s="3" t="s">
        <v>34</v>
      </c>
      <c r="L229" s="3" t="s">
        <v>34</v>
      </c>
      <c r="M229" s="4">
        <v>27000</v>
      </c>
      <c r="N229" s="4">
        <v>10000</v>
      </c>
      <c r="O229" s="4">
        <v>618</v>
      </c>
      <c r="P229" s="4">
        <v>5</v>
      </c>
      <c r="Q229" s="4">
        <v>3</v>
      </c>
      <c r="R229" s="4">
        <v>1750</v>
      </c>
      <c r="S229" s="4">
        <v>986</v>
      </c>
      <c r="T229" s="3" t="s">
        <v>33</v>
      </c>
      <c r="U229" s="3" t="s">
        <v>33</v>
      </c>
      <c r="V229" s="3" t="s">
        <v>35</v>
      </c>
      <c r="W229" s="3" t="s">
        <v>1100</v>
      </c>
      <c r="X229" s="3" t="s">
        <v>1099</v>
      </c>
      <c r="Y229" s="3" t="str">
        <f t="shared" si="3"/>
        <v>Tarek Cluff</v>
      </c>
      <c r="Z229" s="3" t="s">
        <v>1098</v>
      </c>
      <c r="AA229" s="4" t="s">
        <v>1098</v>
      </c>
      <c r="AB229" s="4" t="s">
        <v>6</v>
      </c>
      <c r="AC229" s="4" t="s">
        <v>195</v>
      </c>
    </row>
    <row r="230" spans="2:29" x14ac:dyDescent="0.2">
      <c r="B230" s="3" t="s">
        <v>994</v>
      </c>
      <c r="C230" s="3" t="s">
        <v>995</v>
      </c>
      <c r="D230" s="3" t="s">
        <v>996</v>
      </c>
      <c r="E230" s="3" t="s">
        <v>997</v>
      </c>
      <c r="F230" s="3" t="s">
        <v>32</v>
      </c>
      <c r="G230" s="4">
        <v>1140</v>
      </c>
      <c r="H230" s="4">
        <v>119</v>
      </c>
      <c r="I230" s="4">
        <v>0</v>
      </c>
      <c r="J230" s="4">
        <v>0</v>
      </c>
      <c r="K230" s="3" t="s">
        <v>33</v>
      </c>
      <c r="L230" s="3" t="s">
        <v>33</v>
      </c>
      <c r="M230" s="4">
        <v>100000</v>
      </c>
      <c r="N230" s="4">
        <v>200000</v>
      </c>
      <c r="O230" s="4">
        <v>0</v>
      </c>
      <c r="P230" s="4">
        <v>18</v>
      </c>
      <c r="Q230" s="4">
        <v>0</v>
      </c>
      <c r="R230" s="4">
        <v>0</v>
      </c>
      <c r="S230" s="4">
        <v>0</v>
      </c>
      <c r="T230" s="3" t="s">
        <v>33</v>
      </c>
      <c r="U230" s="3" t="s">
        <v>33</v>
      </c>
      <c r="V230" s="3" t="s">
        <v>35</v>
      </c>
      <c r="W230" s="3" t="s">
        <v>456</v>
      </c>
      <c r="X230" s="3" t="s">
        <v>1388</v>
      </c>
      <c r="Y230" s="3" t="str">
        <f t="shared" si="3"/>
        <v>John Zaremba</v>
      </c>
      <c r="Z230" s="3" t="s">
        <v>624</v>
      </c>
      <c r="AA230" s="4" t="s">
        <v>625</v>
      </c>
      <c r="AB230" s="4" t="s">
        <v>93</v>
      </c>
      <c r="AC230" s="4" t="s">
        <v>998</v>
      </c>
    </row>
    <row r="231" spans="2:29" x14ac:dyDescent="0.2">
      <c r="B231" s="3" t="s">
        <v>86</v>
      </c>
      <c r="C231" s="3" t="s">
        <v>87</v>
      </c>
      <c r="D231" s="3" t="s">
        <v>88</v>
      </c>
      <c r="E231" s="3" t="s">
        <v>31</v>
      </c>
      <c r="F231" s="3" t="s">
        <v>32</v>
      </c>
      <c r="G231" s="4">
        <v>1122</v>
      </c>
      <c r="H231" s="4">
        <v>82</v>
      </c>
      <c r="I231" s="4">
        <v>0</v>
      </c>
      <c r="J231" s="4">
        <v>0</v>
      </c>
      <c r="K231" s="3" t="s">
        <v>34</v>
      </c>
      <c r="L231" s="3" t="s">
        <v>34</v>
      </c>
      <c r="M231" s="4">
        <v>127247</v>
      </c>
      <c r="N231" s="4">
        <v>225340</v>
      </c>
      <c r="O231" s="4">
        <v>1214</v>
      </c>
      <c r="P231" s="4">
        <v>15</v>
      </c>
      <c r="Q231" s="4">
        <v>6</v>
      </c>
      <c r="R231" s="4">
        <v>3478</v>
      </c>
      <c r="S231" s="4">
        <v>2298</v>
      </c>
      <c r="T231" s="3" t="s">
        <v>33</v>
      </c>
      <c r="U231" s="3" t="s">
        <v>33</v>
      </c>
      <c r="V231" s="3" t="s">
        <v>35</v>
      </c>
      <c r="W231" s="3" t="s">
        <v>89</v>
      </c>
      <c r="X231" s="3" t="s">
        <v>90</v>
      </c>
      <c r="Y231" s="3" t="str">
        <f t="shared" si="3"/>
        <v>Frank Policastro</v>
      </c>
      <c r="Z231" s="3" t="s">
        <v>91</v>
      </c>
      <c r="AA231" s="4" t="s">
        <v>92</v>
      </c>
      <c r="AB231" s="4" t="s">
        <v>93</v>
      </c>
      <c r="AC231" s="4" t="s">
        <v>94</v>
      </c>
    </row>
    <row r="232" spans="2:29" x14ac:dyDescent="0.2">
      <c r="B232" s="3" t="s">
        <v>1037</v>
      </c>
      <c r="C232" s="3" t="s">
        <v>1038</v>
      </c>
      <c r="D232" s="3" t="s">
        <v>387</v>
      </c>
      <c r="E232" s="3" t="s">
        <v>31</v>
      </c>
      <c r="F232" s="3" t="s">
        <v>32</v>
      </c>
      <c r="G232" s="4">
        <v>1112</v>
      </c>
      <c r="H232" s="4">
        <v>24</v>
      </c>
      <c r="I232" s="4">
        <v>5</v>
      </c>
      <c r="J232" s="4">
        <v>0</v>
      </c>
      <c r="K232" s="3" t="s">
        <v>34</v>
      </c>
      <c r="L232" s="3" t="s">
        <v>33</v>
      </c>
      <c r="M232" s="4">
        <v>56000</v>
      </c>
      <c r="N232" s="4">
        <v>72000</v>
      </c>
      <c r="O232" s="4">
        <v>137</v>
      </c>
      <c r="P232" s="4">
        <v>7</v>
      </c>
      <c r="Q232" s="4">
        <v>0</v>
      </c>
      <c r="R232" s="4">
        <v>1484</v>
      </c>
      <c r="S232" s="4">
        <v>900</v>
      </c>
      <c r="T232" s="3" t="s">
        <v>34</v>
      </c>
      <c r="U232" s="3" t="s">
        <v>34</v>
      </c>
      <c r="V232" s="3" t="s">
        <v>35</v>
      </c>
      <c r="W232" s="3" t="s">
        <v>1105</v>
      </c>
      <c r="X232" s="3" t="s">
        <v>586</v>
      </c>
      <c r="Y232" s="3" t="str">
        <f t="shared" si="3"/>
        <v>Casey Wilson</v>
      </c>
      <c r="Z232" s="3" t="s">
        <v>889</v>
      </c>
      <c r="AA232" s="4" t="s">
        <v>889</v>
      </c>
      <c r="AB232" s="4" t="s">
        <v>6</v>
      </c>
      <c r="AC232" s="4" t="s">
        <v>1039</v>
      </c>
    </row>
    <row r="233" spans="2:29" x14ac:dyDescent="0.2">
      <c r="B233" s="3" t="s">
        <v>763</v>
      </c>
      <c r="C233" s="3" t="s">
        <v>764</v>
      </c>
      <c r="D233" s="3" t="s">
        <v>387</v>
      </c>
      <c r="E233" s="3" t="s">
        <v>31</v>
      </c>
      <c r="F233" s="3" t="s">
        <v>32</v>
      </c>
      <c r="G233" s="4">
        <v>1100</v>
      </c>
      <c r="H233" s="4">
        <v>23</v>
      </c>
      <c r="I233" s="4">
        <v>4</v>
      </c>
      <c r="J233" s="4">
        <v>0</v>
      </c>
      <c r="K233" s="3" t="s">
        <v>33</v>
      </c>
      <c r="L233" s="3" t="s">
        <v>33</v>
      </c>
      <c r="M233" s="4">
        <v>33000</v>
      </c>
      <c r="N233" s="4">
        <v>2700</v>
      </c>
      <c r="O233" s="4">
        <v>137</v>
      </c>
      <c r="P233" s="4">
        <v>6</v>
      </c>
      <c r="Q233" s="4">
        <v>1</v>
      </c>
      <c r="R233" s="4">
        <v>800</v>
      </c>
      <c r="S233" s="4">
        <v>1000</v>
      </c>
      <c r="T233" s="3" t="s">
        <v>34</v>
      </c>
      <c r="U233" s="3" t="s">
        <v>34</v>
      </c>
      <c r="V233" s="3" t="s">
        <v>35</v>
      </c>
      <c r="W233" s="3" t="s">
        <v>312</v>
      </c>
      <c r="X233" s="3" t="s">
        <v>75</v>
      </c>
      <c r="Y233" s="3" t="str">
        <f t="shared" si="3"/>
        <v>Barry Laughlin</v>
      </c>
      <c r="Z233" s="3" t="s">
        <v>1407</v>
      </c>
      <c r="AA233" s="4" t="s">
        <v>1407</v>
      </c>
      <c r="AB233" s="4" t="s">
        <v>93</v>
      </c>
      <c r="AC233" s="4" t="s">
        <v>765</v>
      </c>
    </row>
    <row r="234" spans="2:29" x14ac:dyDescent="0.2">
      <c r="B234" s="3" t="s">
        <v>763</v>
      </c>
      <c r="C234" s="3" t="s">
        <v>764</v>
      </c>
      <c r="D234" s="3" t="s">
        <v>387</v>
      </c>
      <c r="E234" s="3" t="s">
        <v>31</v>
      </c>
      <c r="F234" s="3" t="s">
        <v>32</v>
      </c>
      <c r="G234" s="4">
        <v>1100</v>
      </c>
      <c r="H234" s="4">
        <v>23</v>
      </c>
      <c r="I234" s="4">
        <v>4</v>
      </c>
      <c r="J234" s="4">
        <v>0</v>
      </c>
      <c r="K234" s="3" t="s">
        <v>33</v>
      </c>
      <c r="L234" s="3" t="s">
        <v>33</v>
      </c>
      <c r="M234" s="4">
        <v>33000</v>
      </c>
      <c r="N234" s="4">
        <v>2700</v>
      </c>
      <c r="O234" s="4">
        <v>137</v>
      </c>
      <c r="P234" s="4">
        <v>6</v>
      </c>
      <c r="Q234" s="4">
        <v>1</v>
      </c>
      <c r="R234" s="4">
        <v>800</v>
      </c>
      <c r="S234" s="4">
        <v>1000</v>
      </c>
      <c r="T234" s="3" t="s">
        <v>34</v>
      </c>
      <c r="U234" s="3" t="s">
        <v>34</v>
      </c>
      <c r="V234" s="3" t="s">
        <v>35</v>
      </c>
      <c r="W234" s="3" t="s">
        <v>339</v>
      </c>
      <c r="X234" s="3" t="s">
        <v>1156</v>
      </c>
      <c r="Y234" s="3" t="str">
        <f t="shared" si="3"/>
        <v>Dennis Shananaquet</v>
      </c>
      <c r="Z234" s="3" t="s">
        <v>889</v>
      </c>
      <c r="AA234" s="4" t="s">
        <v>889</v>
      </c>
      <c r="AB234" s="4" t="s">
        <v>6</v>
      </c>
      <c r="AC234" s="4" t="s">
        <v>765</v>
      </c>
    </row>
    <row r="235" spans="2:29" x14ac:dyDescent="0.2">
      <c r="B235" s="3" t="s">
        <v>141</v>
      </c>
      <c r="C235" s="3" t="s">
        <v>142</v>
      </c>
      <c r="D235" s="3" t="s">
        <v>39</v>
      </c>
      <c r="E235" s="3" t="s">
        <v>31</v>
      </c>
      <c r="F235" s="3" t="s">
        <v>32</v>
      </c>
      <c r="G235" s="4">
        <v>1100</v>
      </c>
      <c r="H235" s="4">
        <v>22</v>
      </c>
      <c r="I235" s="4">
        <v>6</v>
      </c>
      <c r="J235" s="4">
        <v>0</v>
      </c>
      <c r="K235" s="3" t="s">
        <v>33</v>
      </c>
      <c r="L235" s="3" t="s">
        <v>33</v>
      </c>
      <c r="M235" s="4">
        <v>65000</v>
      </c>
      <c r="N235" s="4">
        <v>6000</v>
      </c>
      <c r="O235" s="4">
        <v>148</v>
      </c>
      <c r="P235" s="4">
        <v>7</v>
      </c>
      <c r="Q235" s="4">
        <v>1</v>
      </c>
      <c r="R235" s="4">
        <v>1000</v>
      </c>
      <c r="S235" s="4">
        <v>902</v>
      </c>
      <c r="T235" s="3" t="s">
        <v>34</v>
      </c>
      <c r="U235" s="3" t="s">
        <v>34</v>
      </c>
      <c r="V235" s="3" t="s">
        <v>35</v>
      </c>
      <c r="W235" s="3" t="s">
        <v>1257</v>
      </c>
      <c r="X235" s="3" t="s">
        <v>1256</v>
      </c>
      <c r="Y235" s="3" t="str">
        <f t="shared" si="3"/>
        <v>Rob McQueary</v>
      </c>
      <c r="Z235" s="3" t="s">
        <v>1094</v>
      </c>
      <c r="AA235" s="4" t="s">
        <v>1094</v>
      </c>
      <c r="AB235" s="4" t="s">
        <v>6</v>
      </c>
      <c r="AC235" s="4" t="s">
        <v>143</v>
      </c>
    </row>
    <row r="236" spans="2:29" x14ac:dyDescent="0.2">
      <c r="B236" s="3" t="s">
        <v>133</v>
      </c>
      <c r="C236" s="3" t="s">
        <v>134</v>
      </c>
      <c r="D236" s="3" t="s">
        <v>135</v>
      </c>
      <c r="E236" s="3" t="s">
        <v>31</v>
      </c>
      <c r="F236" s="3" t="s">
        <v>32</v>
      </c>
      <c r="G236" s="4">
        <v>1100</v>
      </c>
      <c r="H236" s="4">
        <v>0</v>
      </c>
      <c r="I236" s="4">
        <v>0</v>
      </c>
      <c r="J236" s="4">
        <v>0</v>
      </c>
      <c r="K236" s="3" t="s">
        <v>34</v>
      </c>
      <c r="L236" s="3" t="s">
        <v>34</v>
      </c>
      <c r="M236" s="4">
        <v>0</v>
      </c>
      <c r="N236" s="4">
        <v>0</v>
      </c>
      <c r="O236" s="4">
        <v>0</v>
      </c>
      <c r="P236" s="4">
        <v>6</v>
      </c>
      <c r="Q236" s="4">
        <v>1</v>
      </c>
      <c r="R236" s="4">
        <v>1374</v>
      </c>
      <c r="S236" s="4">
        <v>650</v>
      </c>
      <c r="T236" s="3" t="s">
        <v>33</v>
      </c>
      <c r="U236" s="3" t="s">
        <v>33</v>
      </c>
      <c r="V236" s="3" t="s">
        <v>103</v>
      </c>
      <c r="W236" s="3" t="s">
        <v>125</v>
      </c>
      <c r="X236" s="3" t="s">
        <v>29</v>
      </c>
      <c r="Y236" s="3" t="str">
        <f t="shared" si="3"/>
        <v>Jason Newkirk</v>
      </c>
      <c r="Z236" s="3" t="s">
        <v>1258</v>
      </c>
      <c r="AA236" s="4" t="s">
        <v>1258</v>
      </c>
      <c r="AB236" s="4" t="s">
        <v>6</v>
      </c>
      <c r="AC236" s="4" t="s">
        <v>64</v>
      </c>
    </row>
    <row r="237" spans="2:29" x14ac:dyDescent="0.2">
      <c r="B237" s="3" t="s">
        <v>568</v>
      </c>
      <c r="C237" s="3" t="s">
        <v>569</v>
      </c>
      <c r="D237" s="3" t="s">
        <v>135</v>
      </c>
      <c r="E237" s="3" t="s">
        <v>31</v>
      </c>
      <c r="F237" s="3" t="s">
        <v>32</v>
      </c>
      <c r="G237" s="4">
        <v>1100</v>
      </c>
      <c r="H237" s="4">
        <v>0</v>
      </c>
      <c r="I237" s="4">
        <v>0</v>
      </c>
      <c r="J237" s="4">
        <v>0</v>
      </c>
      <c r="K237" s="3" t="s">
        <v>33</v>
      </c>
      <c r="L237" s="3" t="s">
        <v>33</v>
      </c>
      <c r="M237" s="4">
        <v>50000</v>
      </c>
      <c r="N237" s="4">
        <v>0</v>
      </c>
      <c r="O237" s="4">
        <v>0</v>
      </c>
      <c r="P237" s="4">
        <v>7</v>
      </c>
      <c r="Q237" s="4">
        <v>0</v>
      </c>
      <c r="R237" s="4">
        <v>0</v>
      </c>
      <c r="S237" s="4">
        <v>496</v>
      </c>
      <c r="T237" s="3" t="s">
        <v>33</v>
      </c>
      <c r="U237" s="3" t="s">
        <v>33</v>
      </c>
      <c r="V237" s="3" t="s">
        <v>103</v>
      </c>
      <c r="W237" s="3" t="s">
        <v>1186</v>
      </c>
      <c r="X237" s="3" t="s">
        <v>1185</v>
      </c>
      <c r="Y237" s="3" t="str">
        <f t="shared" si="3"/>
        <v>Wade Avery</v>
      </c>
      <c r="Z237" s="3" t="s">
        <v>1184</v>
      </c>
      <c r="AA237" s="4" t="s">
        <v>1184</v>
      </c>
      <c r="AB237" s="4" t="s">
        <v>6</v>
      </c>
      <c r="AC237" s="4" t="s">
        <v>59</v>
      </c>
    </row>
    <row r="238" spans="2:29" x14ac:dyDescent="0.2">
      <c r="B238" s="3" t="s">
        <v>1040</v>
      </c>
      <c r="C238" s="3" t="s">
        <v>1041</v>
      </c>
      <c r="D238" s="3" t="s">
        <v>325</v>
      </c>
      <c r="E238" s="3" t="s">
        <v>31</v>
      </c>
      <c r="F238" s="3" t="s">
        <v>32</v>
      </c>
      <c r="G238" s="4">
        <v>1097</v>
      </c>
      <c r="H238" s="4">
        <v>10</v>
      </c>
      <c r="I238" s="4">
        <v>0</v>
      </c>
      <c r="J238" s="4">
        <v>100</v>
      </c>
      <c r="K238" s="3" t="s">
        <v>33</v>
      </c>
      <c r="L238" s="3" t="s">
        <v>33</v>
      </c>
      <c r="M238" s="4">
        <v>36000</v>
      </c>
      <c r="N238" s="4">
        <v>16000</v>
      </c>
      <c r="O238" s="4">
        <v>200</v>
      </c>
      <c r="P238" s="4">
        <v>6</v>
      </c>
      <c r="Q238" s="4">
        <v>1</v>
      </c>
      <c r="R238" s="4">
        <v>0</v>
      </c>
      <c r="S238" s="4">
        <v>600</v>
      </c>
      <c r="T238" s="3" t="s">
        <v>34</v>
      </c>
      <c r="U238" s="3" t="s">
        <v>34</v>
      </c>
      <c r="V238" s="3" t="s">
        <v>35</v>
      </c>
      <c r="W238" s="3" t="s">
        <v>456</v>
      </c>
      <c r="X238" s="3" t="s">
        <v>1104</v>
      </c>
      <c r="Y238" s="3" t="str">
        <f t="shared" si="3"/>
        <v>John Menthen</v>
      </c>
      <c r="Z238" s="3" t="s">
        <v>889</v>
      </c>
      <c r="AA238" s="4" t="s">
        <v>889</v>
      </c>
      <c r="AB238" s="4" t="s">
        <v>6</v>
      </c>
      <c r="AC238" s="4" t="s">
        <v>1042</v>
      </c>
    </row>
    <row r="239" spans="2:29" x14ac:dyDescent="0.2">
      <c r="B239" s="3" t="s">
        <v>783</v>
      </c>
      <c r="C239" s="3" t="s">
        <v>784</v>
      </c>
      <c r="D239" s="3" t="s">
        <v>106</v>
      </c>
      <c r="E239" s="3" t="s">
        <v>31</v>
      </c>
      <c r="F239" s="3" t="s">
        <v>32</v>
      </c>
      <c r="G239" s="4">
        <v>1095</v>
      </c>
      <c r="H239" s="4">
        <v>32</v>
      </c>
      <c r="I239" s="4">
        <v>7</v>
      </c>
      <c r="J239" s="4">
        <v>0</v>
      </c>
      <c r="K239" s="3" t="s">
        <v>33</v>
      </c>
      <c r="L239" s="3" t="s">
        <v>34</v>
      </c>
      <c r="M239" s="4">
        <v>72120</v>
      </c>
      <c r="N239" s="4">
        <v>25000</v>
      </c>
      <c r="O239" s="4">
        <v>531</v>
      </c>
      <c r="P239" s="4">
        <v>10</v>
      </c>
      <c r="Q239" s="4">
        <v>1</v>
      </c>
      <c r="R239" s="4">
        <v>2500</v>
      </c>
      <c r="S239" s="4">
        <v>1600</v>
      </c>
      <c r="T239" s="3" t="s">
        <v>34</v>
      </c>
      <c r="U239" s="3" t="s">
        <v>34</v>
      </c>
      <c r="V239" s="3" t="s">
        <v>35</v>
      </c>
      <c r="W239" s="3" t="s">
        <v>560</v>
      </c>
      <c r="X239" s="3" t="s">
        <v>1281</v>
      </c>
      <c r="Y239" s="3" t="str">
        <f t="shared" si="3"/>
        <v>Jack Crane</v>
      </c>
      <c r="Z239" s="3" t="s">
        <v>1278</v>
      </c>
      <c r="AA239" s="4" t="s">
        <v>1278</v>
      </c>
      <c r="AB239" s="4" t="s">
        <v>1275</v>
      </c>
      <c r="AC239" s="4" t="s">
        <v>785</v>
      </c>
    </row>
    <row r="240" spans="2:29" x14ac:dyDescent="0.2">
      <c r="B240" s="3" t="s">
        <v>921</v>
      </c>
      <c r="C240" s="3" t="s">
        <v>922</v>
      </c>
      <c r="D240" s="3" t="s">
        <v>70</v>
      </c>
      <c r="E240" s="3" t="s">
        <v>31</v>
      </c>
      <c r="F240" s="3" t="s">
        <v>32</v>
      </c>
      <c r="G240" s="4">
        <v>1094</v>
      </c>
      <c r="H240" s="4">
        <v>16</v>
      </c>
      <c r="I240" s="4">
        <v>0</v>
      </c>
      <c r="J240" s="4">
        <v>0</v>
      </c>
      <c r="K240" s="3" t="s">
        <v>33</v>
      </c>
      <c r="L240" s="3" t="s">
        <v>33</v>
      </c>
      <c r="M240" s="4">
        <v>50000</v>
      </c>
      <c r="N240" s="4">
        <v>25000</v>
      </c>
      <c r="O240" s="4">
        <v>206</v>
      </c>
      <c r="P240" s="4">
        <v>9</v>
      </c>
      <c r="Q240" s="4">
        <v>2</v>
      </c>
      <c r="R240" s="4">
        <v>1184</v>
      </c>
      <c r="S240" s="4">
        <v>683</v>
      </c>
      <c r="T240" s="3" t="s">
        <v>34</v>
      </c>
      <c r="U240" s="3" t="s">
        <v>34</v>
      </c>
      <c r="V240" s="3" t="s">
        <v>35</v>
      </c>
      <c r="W240" s="3" t="s">
        <v>1127</v>
      </c>
      <c r="X240" s="3" t="s">
        <v>1126</v>
      </c>
      <c r="Y240" s="3" t="str">
        <f t="shared" si="3"/>
        <v>Wayne Moenoa</v>
      </c>
      <c r="Z240" s="3" t="s">
        <v>1094</v>
      </c>
      <c r="AA240" s="4" t="s">
        <v>1094</v>
      </c>
      <c r="AB240" s="4" t="s">
        <v>6</v>
      </c>
      <c r="AC240" s="4" t="s">
        <v>923</v>
      </c>
    </row>
    <row r="241" spans="2:29" x14ac:dyDescent="0.2">
      <c r="B241" s="3" t="s">
        <v>244</v>
      </c>
      <c r="C241" s="3" t="s">
        <v>245</v>
      </c>
      <c r="D241" s="3" t="s">
        <v>246</v>
      </c>
      <c r="E241" s="3" t="s">
        <v>31</v>
      </c>
      <c r="F241" s="3" t="s">
        <v>32</v>
      </c>
      <c r="G241" s="4">
        <v>1080</v>
      </c>
      <c r="H241" s="4">
        <v>19</v>
      </c>
      <c r="I241" s="4">
        <v>8</v>
      </c>
      <c r="J241" s="4">
        <v>400</v>
      </c>
      <c r="K241" s="3" t="s">
        <v>34</v>
      </c>
      <c r="L241" s="3" t="s">
        <v>33</v>
      </c>
      <c r="M241" s="4">
        <v>30000</v>
      </c>
      <c r="N241" s="4">
        <v>35000</v>
      </c>
      <c r="O241" s="4">
        <v>243</v>
      </c>
      <c r="P241" s="4">
        <v>8</v>
      </c>
      <c r="Q241" s="4">
        <v>1</v>
      </c>
      <c r="R241" s="4">
        <v>1550</v>
      </c>
      <c r="S241" s="4">
        <v>884</v>
      </c>
      <c r="T241" s="3" t="s">
        <v>34</v>
      </c>
      <c r="U241" s="3" t="s">
        <v>34</v>
      </c>
      <c r="V241" s="3" t="s">
        <v>35</v>
      </c>
      <c r="W241" s="3" t="s">
        <v>748</v>
      </c>
      <c r="X241" s="3" t="s">
        <v>1460</v>
      </c>
      <c r="Y241" s="3" t="str">
        <f t="shared" si="3"/>
        <v>Chad Mccormick</v>
      </c>
      <c r="Z241" s="3" t="s">
        <v>1335</v>
      </c>
      <c r="AA241" s="4" t="s">
        <v>1335</v>
      </c>
      <c r="AB241" s="4" t="s">
        <v>93</v>
      </c>
      <c r="AC241" s="4" t="s">
        <v>247</v>
      </c>
    </row>
    <row r="242" spans="2:29" x14ac:dyDescent="0.2">
      <c r="B242" s="3" t="s">
        <v>244</v>
      </c>
      <c r="C242" s="3" t="s">
        <v>245</v>
      </c>
      <c r="D242" s="3" t="s">
        <v>246</v>
      </c>
      <c r="E242" s="3" t="s">
        <v>31</v>
      </c>
      <c r="F242" s="3" t="s">
        <v>32</v>
      </c>
      <c r="G242" s="4">
        <v>1080</v>
      </c>
      <c r="H242" s="4">
        <v>19</v>
      </c>
      <c r="I242" s="4">
        <v>8</v>
      </c>
      <c r="J242" s="4">
        <v>400</v>
      </c>
      <c r="K242" s="3" t="s">
        <v>34</v>
      </c>
      <c r="L242" s="3" t="s">
        <v>33</v>
      </c>
      <c r="M242" s="4">
        <v>30000</v>
      </c>
      <c r="N242" s="4">
        <v>35000</v>
      </c>
      <c r="O242" s="4">
        <v>243</v>
      </c>
      <c r="P242" s="4">
        <v>8</v>
      </c>
      <c r="Q242" s="4">
        <v>1</v>
      </c>
      <c r="R242" s="4">
        <v>1550</v>
      </c>
      <c r="S242" s="4">
        <v>884</v>
      </c>
      <c r="T242" s="3" t="s">
        <v>34</v>
      </c>
      <c r="U242" s="3" t="s">
        <v>34</v>
      </c>
      <c r="V242" s="3" t="s">
        <v>35</v>
      </c>
      <c r="W242" s="3" t="s">
        <v>175</v>
      </c>
      <c r="X242" s="3" t="s">
        <v>658</v>
      </c>
      <c r="Y242" s="3" t="str">
        <f t="shared" si="3"/>
        <v>Wendy Hall</v>
      </c>
      <c r="Z242" s="3" t="s">
        <v>889</v>
      </c>
      <c r="AA242" s="4" t="s">
        <v>889</v>
      </c>
      <c r="AB242" s="4" t="s">
        <v>6</v>
      </c>
      <c r="AC242" s="4" t="s">
        <v>247</v>
      </c>
    </row>
    <row r="243" spans="2:29" x14ac:dyDescent="0.2">
      <c r="B243" s="3" t="s">
        <v>1049</v>
      </c>
      <c r="C243" s="3" t="s">
        <v>194</v>
      </c>
      <c r="D243" s="3" t="s">
        <v>51</v>
      </c>
      <c r="E243" s="3" t="s">
        <v>31</v>
      </c>
      <c r="F243" s="3" t="s">
        <v>32</v>
      </c>
      <c r="G243" s="4">
        <v>1080</v>
      </c>
      <c r="H243" s="4">
        <v>16</v>
      </c>
      <c r="I243" s="4">
        <v>0</v>
      </c>
      <c r="J243" s="4">
        <v>0</v>
      </c>
      <c r="K243" s="3" t="s">
        <v>34</v>
      </c>
      <c r="L243" s="3" t="s">
        <v>34</v>
      </c>
      <c r="M243" s="4">
        <v>37000</v>
      </c>
      <c r="N243" s="4">
        <v>3000</v>
      </c>
      <c r="O243" s="4">
        <v>792</v>
      </c>
      <c r="P243" s="4">
        <v>3</v>
      </c>
      <c r="Q243" s="4">
        <v>1</v>
      </c>
      <c r="R243" s="4">
        <v>1600</v>
      </c>
      <c r="S243" s="4">
        <v>774</v>
      </c>
      <c r="T243" s="3" t="s">
        <v>33</v>
      </c>
      <c r="U243" s="3" t="s">
        <v>33</v>
      </c>
      <c r="V243" s="3" t="s">
        <v>35</v>
      </c>
      <c r="W243" s="3" t="s">
        <v>1385</v>
      </c>
      <c r="X243" s="3" t="s">
        <v>1384</v>
      </c>
      <c r="Y243" s="3" t="str">
        <f t="shared" si="3"/>
        <v>Vinny Barile</v>
      </c>
      <c r="Z243" s="3" t="s">
        <v>1383</v>
      </c>
      <c r="AA243" s="4" t="s">
        <v>1382</v>
      </c>
      <c r="AB243" s="4" t="s">
        <v>93</v>
      </c>
      <c r="AC243" s="4" t="s">
        <v>195</v>
      </c>
    </row>
    <row r="244" spans="2:29" x14ac:dyDescent="0.2">
      <c r="B244" s="3" t="s">
        <v>1049</v>
      </c>
      <c r="C244" s="3" t="s">
        <v>194</v>
      </c>
      <c r="D244" s="3" t="s">
        <v>51</v>
      </c>
      <c r="E244" s="3" t="s">
        <v>31</v>
      </c>
      <c r="F244" s="3" t="s">
        <v>32</v>
      </c>
      <c r="G244" s="4">
        <v>1080</v>
      </c>
      <c r="H244" s="4">
        <v>16</v>
      </c>
      <c r="I244" s="4">
        <v>0</v>
      </c>
      <c r="J244" s="4">
        <v>0</v>
      </c>
      <c r="K244" s="3" t="s">
        <v>34</v>
      </c>
      <c r="L244" s="3" t="s">
        <v>34</v>
      </c>
      <c r="M244" s="4">
        <v>37000</v>
      </c>
      <c r="N244" s="4">
        <v>3000</v>
      </c>
      <c r="O244" s="4">
        <v>792</v>
      </c>
      <c r="P244" s="4">
        <v>3</v>
      </c>
      <c r="Q244" s="4">
        <v>1</v>
      </c>
      <c r="R244" s="4">
        <v>1600</v>
      </c>
      <c r="S244" s="4">
        <v>774</v>
      </c>
      <c r="T244" s="3" t="s">
        <v>33</v>
      </c>
      <c r="U244" s="3" t="s">
        <v>33</v>
      </c>
      <c r="V244" s="3" t="s">
        <v>35</v>
      </c>
      <c r="W244" s="3" t="s">
        <v>1100</v>
      </c>
      <c r="X244" s="3" t="s">
        <v>1099</v>
      </c>
      <c r="Y244" s="3" t="str">
        <f t="shared" si="3"/>
        <v>Tarek Cluff</v>
      </c>
      <c r="Z244" s="3" t="s">
        <v>1098</v>
      </c>
      <c r="AA244" s="4" t="s">
        <v>1098</v>
      </c>
      <c r="AB244" s="4" t="s">
        <v>6</v>
      </c>
      <c r="AC244" s="4" t="s">
        <v>195</v>
      </c>
    </row>
    <row r="245" spans="2:29" x14ac:dyDescent="0.2">
      <c r="B245" s="3" t="s">
        <v>566</v>
      </c>
      <c r="C245" s="3" t="s">
        <v>567</v>
      </c>
      <c r="D245" s="3" t="s">
        <v>135</v>
      </c>
      <c r="E245" s="3" t="s">
        <v>31</v>
      </c>
      <c r="F245" s="3" t="s">
        <v>32</v>
      </c>
      <c r="G245" s="4">
        <v>1077</v>
      </c>
      <c r="H245" s="4">
        <v>0</v>
      </c>
      <c r="I245" s="4">
        <v>0</v>
      </c>
      <c r="J245" s="4">
        <v>0</v>
      </c>
      <c r="K245" s="3" t="s">
        <v>33</v>
      </c>
      <c r="L245" s="3" t="s">
        <v>34</v>
      </c>
      <c r="M245" s="4">
        <v>30000</v>
      </c>
      <c r="N245" s="4">
        <v>92000</v>
      </c>
      <c r="O245" s="4">
        <v>0</v>
      </c>
      <c r="P245" s="4">
        <v>4</v>
      </c>
      <c r="Q245" s="4">
        <v>0</v>
      </c>
      <c r="R245" s="4">
        <v>1800</v>
      </c>
      <c r="S245" s="4">
        <v>465</v>
      </c>
      <c r="T245" s="3" t="s">
        <v>33</v>
      </c>
      <c r="U245" s="3" t="s">
        <v>33</v>
      </c>
      <c r="V245" s="3" t="s">
        <v>103</v>
      </c>
      <c r="W245" s="3" t="s">
        <v>1303</v>
      </c>
      <c r="X245" s="3" t="s">
        <v>1302</v>
      </c>
      <c r="Y245" s="3" t="str">
        <f t="shared" si="3"/>
        <v>Alicia Tai</v>
      </c>
      <c r="Z245" s="3" t="s">
        <v>1258</v>
      </c>
      <c r="AA245" s="4" t="s">
        <v>1258</v>
      </c>
      <c r="AB245" s="4" t="s">
        <v>1301</v>
      </c>
      <c r="AC245" s="4" t="s">
        <v>59</v>
      </c>
    </row>
    <row r="246" spans="2:29" x14ac:dyDescent="0.2">
      <c r="B246" s="3" t="s">
        <v>268</v>
      </c>
      <c r="C246" s="3" t="s">
        <v>81</v>
      </c>
      <c r="D246" s="3" t="s">
        <v>51</v>
      </c>
      <c r="E246" s="3" t="s">
        <v>31</v>
      </c>
      <c r="F246" s="3" t="s">
        <v>32</v>
      </c>
      <c r="G246" s="4">
        <v>1060</v>
      </c>
      <c r="H246" s="4">
        <v>25</v>
      </c>
      <c r="I246" s="4">
        <v>0</v>
      </c>
      <c r="J246" s="4">
        <v>0</v>
      </c>
      <c r="K246" s="3" t="s">
        <v>34</v>
      </c>
      <c r="L246" s="3" t="s">
        <v>34</v>
      </c>
      <c r="M246" s="4">
        <v>123928</v>
      </c>
      <c r="N246" s="4">
        <v>21400</v>
      </c>
      <c r="O246" s="4">
        <v>3763</v>
      </c>
      <c r="P246" s="4">
        <v>15</v>
      </c>
      <c r="Q246" s="4">
        <v>1</v>
      </c>
      <c r="R246" s="4">
        <v>5719</v>
      </c>
      <c r="S246" s="4">
        <v>1634</v>
      </c>
      <c r="T246" s="3" t="s">
        <v>33</v>
      </c>
      <c r="U246" s="3" t="s">
        <v>33</v>
      </c>
      <c r="V246" s="3" t="s">
        <v>35</v>
      </c>
      <c r="W246" s="3" t="s">
        <v>146</v>
      </c>
      <c r="X246" s="3" t="s">
        <v>498</v>
      </c>
      <c r="Y246" s="3" t="str">
        <f t="shared" si="3"/>
        <v>IN Choi</v>
      </c>
      <c r="Z246" s="3" t="s">
        <v>889</v>
      </c>
      <c r="AA246" s="4" t="s">
        <v>889</v>
      </c>
      <c r="AB246" s="4" t="s">
        <v>6</v>
      </c>
      <c r="AC246" s="4" t="s">
        <v>269</v>
      </c>
    </row>
    <row r="247" spans="2:29" x14ac:dyDescent="0.2">
      <c r="B247" s="3" t="s">
        <v>574</v>
      </c>
      <c r="C247" s="3" t="s">
        <v>575</v>
      </c>
      <c r="D247" s="3" t="s">
        <v>106</v>
      </c>
      <c r="E247" s="3" t="s">
        <v>31</v>
      </c>
      <c r="F247" s="3" t="s">
        <v>32</v>
      </c>
      <c r="G247" s="4">
        <v>1060</v>
      </c>
      <c r="H247" s="4">
        <v>60</v>
      </c>
      <c r="I247" s="4">
        <v>0</v>
      </c>
      <c r="J247" s="4">
        <v>0</v>
      </c>
      <c r="K247" s="3" t="s">
        <v>34</v>
      </c>
      <c r="L247" s="3" t="s">
        <v>33</v>
      </c>
      <c r="M247" s="4">
        <v>28300</v>
      </c>
      <c r="N247" s="4">
        <v>2500</v>
      </c>
      <c r="O247" s="4">
        <v>600</v>
      </c>
      <c r="P247" s="4">
        <v>5</v>
      </c>
      <c r="Q247" s="4">
        <v>2</v>
      </c>
      <c r="R247" s="4">
        <v>3282</v>
      </c>
      <c r="S247" s="4">
        <v>1096</v>
      </c>
      <c r="T247" s="3" t="s">
        <v>33</v>
      </c>
      <c r="U247" s="3" t="s">
        <v>33</v>
      </c>
      <c r="V247" s="3" t="s">
        <v>57</v>
      </c>
      <c r="W247" s="3" t="s">
        <v>1171</v>
      </c>
      <c r="X247" s="3" t="s">
        <v>1170</v>
      </c>
      <c r="Y247" s="3" t="str">
        <f t="shared" ref="Y247:Y270" si="4">W247&amp;" "&amp;X247</f>
        <v>Doug Jager</v>
      </c>
      <c r="Z247" s="3" t="s">
        <v>889</v>
      </c>
      <c r="AA247" s="4" t="s">
        <v>889</v>
      </c>
      <c r="AB247" s="4" t="s">
        <v>6</v>
      </c>
      <c r="AC247" s="4" t="s">
        <v>167</v>
      </c>
    </row>
    <row r="248" spans="2:29" x14ac:dyDescent="0.2">
      <c r="B248" s="3" t="s">
        <v>706</v>
      </c>
      <c r="C248" s="3" t="s">
        <v>707</v>
      </c>
      <c r="D248" s="3" t="s">
        <v>708</v>
      </c>
      <c r="E248" s="3" t="s">
        <v>31</v>
      </c>
      <c r="F248" s="3" t="s">
        <v>32</v>
      </c>
      <c r="G248" s="4">
        <v>1053</v>
      </c>
      <c r="H248" s="4">
        <v>43</v>
      </c>
      <c r="I248" s="4">
        <v>16</v>
      </c>
      <c r="J248" s="4">
        <v>0</v>
      </c>
      <c r="K248" s="3" t="s">
        <v>33</v>
      </c>
      <c r="L248" s="3" t="s">
        <v>33</v>
      </c>
      <c r="M248" s="4">
        <v>32000</v>
      </c>
      <c r="N248" s="4">
        <v>0</v>
      </c>
      <c r="O248" s="4">
        <v>0</v>
      </c>
      <c r="P248" s="4">
        <v>2</v>
      </c>
      <c r="Q248" s="4">
        <v>1</v>
      </c>
      <c r="R248" s="4">
        <v>500</v>
      </c>
      <c r="S248" s="4">
        <v>250</v>
      </c>
      <c r="T248" s="3" t="s">
        <v>33</v>
      </c>
      <c r="U248" s="3" t="s">
        <v>33</v>
      </c>
      <c r="V248" s="3" t="s">
        <v>35</v>
      </c>
      <c r="W248" s="3" t="s">
        <v>1163</v>
      </c>
      <c r="X248" s="3" t="s">
        <v>1162</v>
      </c>
      <c r="Y248" s="3" t="str">
        <f t="shared" si="4"/>
        <v>Trevor Ferguson</v>
      </c>
      <c r="Z248" s="3" t="s">
        <v>1094</v>
      </c>
      <c r="AA248" s="4" t="s">
        <v>1094</v>
      </c>
      <c r="AB248" s="4" t="s">
        <v>6</v>
      </c>
      <c r="AC248" s="4" t="s">
        <v>85</v>
      </c>
    </row>
    <row r="249" spans="2:29" x14ac:dyDescent="0.2">
      <c r="B249" s="3" t="s">
        <v>860</v>
      </c>
      <c r="C249" s="3" t="s">
        <v>861</v>
      </c>
      <c r="D249" s="3" t="s">
        <v>47</v>
      </c>
      <c r="E249" s="3" t="s">
        <v>31</v>
      </c>
      <c r="F249" s="3" t="s">
        <v>32</v>
      </c>
      <c r="G249" s="4">
        <v>1051</v>
      </c>
      <c r="H249" s="4">
        <v>62</v>
      </c>
      <c r="I249" s="4">
        <v>16</v>
      </c>
      <c r="J249" s="4">
        <v>0</v>
      </c>
      <c r="K249" s="3" t="s">
        <v>34</v>
      </c>
      <c r="L249" s="3" t="s">
        <v>34</v>
      </c>
      <c r="M249" s="4">
        <v>50000</v>
      </c>
      <c r="N249" s="4">
        <v>13000</v>
      </c>
      <c r="O249" s="4">
        <v>185</v>
      </c>
      <c r="P249" s="4">
        <v>6</v>
      </c>
      <c r="Q249" s="4">
        <v>0</v>
      </c>
      <c r="R249" s="4">
        <v>0</v>
      </c>
      <c r="S249" s="4">
        <v>834</v>
      </c>
      <c r="T249" s="3" t="s">
        <v>33</v>
      </c>
      <c r="U249" s="3" t="s">
        <v>33</v>
      </c>
      <c r="V249" s="3" t="s">
        <v>35</v>
      </c>
      <c r="W249" s="3" t="s">
        <v>1147</v>
      </c>
      <c r="X249" s="3" t="s">
        <v>1146</v>
      </c>
      <c r="Y249" s="3" t="str">
        <f t="shared" si="4"/>
        <v>Kristin Lindwall</v>
      </c>
      <c r="Z249" s="3" t="s">
        <v>889</v>
      </c>
      <c r="AA249" s="4" t="s">
        <v>889</v>
      </c>
      <c r="AB249" s="4" t="s">
        <v>6</v>
      </c>
      <c r="AC249" s="4" t="s">
        <v>862</v>
      </c>
    </row>
    <row r="250" spans="2:29" x14ac:dyDescent="0.2">
      <c r="B250" s="3" t="s">
        <v>74</v>
      </c>
      <c r="C250" s="3" t="s">
        <v>75</v>
      </c>
      <c r="D250" s="3" t="s">
        <v>51</v>
      </c>
      <c r="E250" s="3" t="s">
        <v>31</v>
      </c>
      <c r="F250" s="3" t="s">
        <v>32</v>
      </c>
      <c r="G250" s="4">
        <v>1050</v>
      </c>
      <c r="H250" s="4">
        <v>29</v>
      </c>
      <c r="I250" s="4">
        <v>0</v>
      </c>
      <c r="J250" s="4">
        <v>0</v>
      </c>
      <c r="K250" s="3" t="s">
        <v>34</v>
      </c>
      <c r="L250" s="3" t="s">
        <v>34</v>
      </c>
      <c r="M250" s="4">
        <v>71720</v>
      </c>
      <c r="N250" s="4">
        <v>35000</v>
      </c>
      <c r="O250" s="4">
        <v>1906</v>
      </c>
      <c r="P250" s="4">
        <v>11</v>
      </c>
      <c r="Q250" s="4">
        <v>3</v>
      </c>
      <c r="R250" s="4">
        <v>3000</v>
      </c>
      <c r="S250" s="4">
        <v>1635</v>
      </c>
      <c r="T250" s="3" t="s">
        <v>33</v>
      </c>
      <c r="U250" s="3" t="s">
        <v>33</v>
      </c>
      <c r="V250" s="3" t="s">
        <v>35</v>
      </c>
      <c r="W250" s="3" t="s">
        <v>1474</v>
      </c>
      <c r="X250" s="3" t="s">
        <v>1473</v>
      </c>
      <c r="Y250" s="3" t="str">
        <f t="shared" si="4"/>
        <v>Nelia Martinez</v>
      </c>
      <c r="Z250" s="3" t="s">
        <v>109</v>
      </c>
      <c r="AA250" s="4" t="s">
        <v>109</v>
      </c>
      <c r="AB250" s="4" t="s">
        <v>93</v>
      </c>
      <c r="AC250" s="4" t="s">
        <v>77</v>
      </c>
    </row>
    <row r="251" spans="2:29" x14ac:dyDescent="0.2">
      <c r="B251" s="3" t="s">
        <v>74</v>
      </c>
      <c r="C251" s="3" t="s">
        <v>75</v>
      </c>
      <c r="D251" s="3" t="s">
        <v>51</v>
      </c>
      <c r="E251" s="3" t="s">
        <v>31</v>
      </c>
      <c r="F251" s="3" t="s">
        <v>32</v>
      </c>
      <c r="G251" s="4">
        <v>1050</v>
      </c>
      <c r="H251" s="4">
        <v>29</v>
      </c>
      <c r="I251" s="4">
        <v>0</v>
      </c>
      <c r="J251" s="4">
        <v>0</v>
      </c>
      <c r="K251" s="3" t="s">
        <v>34</v>
      </c>
      <c r="L251" s="3" t="s">
        <v>34</v>
      </c>
      <c r="M251" s="4">
        <v>71720</v>
      </c>
      <c r="N251" s="4">
        <v>35000</v>
      </c>
      <c r="O251" s="4">
        <v>1906</v>
      </c>
      <c r="P251" s="4">
        <v>11</v>
      </c>
      <c r="Q251" s="4">
        <v>3</v>
      </c>
      <c r="R251" s="4">
        <v>3000</v>
      </c>
      <c r="S251" s="4">
        <v>1635</v>
      </c>
      <c r="T251" s="3" t="s">
        <v>33</v>
      </c>
      <c r="U251" s="3" t="s">
        <v>33</v>
      </c>
      <c r="V251" s="3" t="s">
        <v>35</v>
      </c>
      <c r="W251" s="3" t="s">
        <v>1333</v>
      </c>
      <c r="X251" s="3" t="s">
        <v>1332</v>
      </c>
      <c r="Y251" s="3" t="str">
        <f t="shared" si="4"/>
        <v>Dana Kissinger</v>
      </c>
      <c r="Z251" s="3" t="s">
        <v>91</v>
      </c>
      <c r="AA251" s="4" t="s">
        <v>92</v>
      </c>
      <c r="AB251" s="4" t="s">
        <v>340</v>
      </c>
      <c r="AC251" s="4" t="s">
        <v>77</v>
      </c>
    </row>
    <row r="252" spans="2:29" x14ac:dyDescent="0.2">
      <c r="B252" s="3" t="s">
        <v>992</v>
      </c>
      <c r="C252" s="3" t="s">
        <v>993</v>
      </c>
      <c r="D252" s="3" t="s">
        <v>146</v>
      </c>
      <c r="E252" s="3" t="s">
        <v>31</v>
      </c>
      <c r="F252" s="3" t="s">
        <v>32</v>
      </c>
      <c r="G252" s="4">
        <v>1042</v>
      </c>
      <c r="H252" s="4">
        <v>36</v>
      </c>
      <c r="I252" s="4">
        <v>6</v>
      </c>
      <c r="J252" s="4">
        <v>0</v>
      </c>
      <c r="K252" s="3" t="s">
        <v>34</v>
      </c>
      <c r="L252" s="3" t="s">
        <v>33</v>
      </c>
      <c r="M252" s="4">
        <v>46000</v>
      </c>
      <c r="N252" s="4">
        <v>0</v>
      </c>
      <c r="O252" s="4">
        <v>122</v>
      </c>
      <c r="P252" s="4">
        <v>7</v>
      </c>
      <c r="Q252" s="4">
        <v>0</v>
      </c>
      <c r="R252" s="4">
        <v>0</v>
      </c>
      <c r="S252" s="4">
        <v>0</v>
      </c>
      <c r="T252" s="3" t="s">
        <v>33</v>
      </c>
      <c r="U252" s="3" t="s">
        <v>33</v>
      </c>
      <c r="V252" s="3" t="s">
        <v>35</v>
      </c>
      <c r="W252" s="3" t="s">
        <v>685</v>
      </c>
      <c r="X252" s="3" t="s">
        <v>1111</v>
      </c>
      <c r="Y252" s="3" t="str">
        <f t="shared" si="4"/>
        <v>William Kee</v>
      </c>
      <c r="Z252" s="3" t="s">
        <v>1110</v>
      </c>
      <c r="AA252" s="4" t="s">
        <v>1110</v>
      </c>
      <c r="AB252" s="4" t="s">
        <v>6</v>
      </c>
      <c r="AC252" s="4" t="s">
        <v>186</v>
      </c>
    </row>
    <row r="253" spans="2:29" x14ac:dyDescent="0.2">
      <c r="B253" s="3" t="s">
        <v>220</v>
      </c>
      <c r="C253" s="3" t="s">
        <v>221</v>
      </c>
      <c r="D253" s="3" t="s">
        <v>39</v>
      </c>
      <c r="E253" s="3" t="s">
        <v>31</v>
      </c>
      <c r="F253" s="3" t="s">
        <v>32</v>
      </c>
      <c r="G253" s="4">
        <v>1039</v>
      </c>
      <c r="H253" s="4">
        <v>18</v>
      </c>
      <c r="I253" s="4">
        <v>5</v>
      </c>
      <c r="J253" s="4">
        <v>0</v>
      </c>
      <c r="K253" s="3" t="s">
        <v>33</v>
      </c>
      <c r="L253" s="3" t="s">
        <v>33</v>
      </c>
      <c r="M253" s="4">
        <v>42500</v>
      </c>
      <c r="N253" s="4">
        <v>0</v>
      </c>
      <c r="O253" s="4">
        <v>0</v>
      </c>
      <c r="P253" s="4">
        <v>5</v>
      </c>
      <c r="Q253" s="4">
        <v>1</v>
      </c>
      <c r="R253" s="4">
        <v>1100</v>
      </c>
      <c r="S253" s="4">
        <v>437</v>
      </c>
      <c r="T253" s="3" t="s">
        <v>34</v>
      </c>
      <c r="U253" s="3" t="s">
        <v>34</v>
      </c>
      <c r="V253" s="3" t="s">
        <v>35</v>
      </c>
      <c r="W253" s="3" t="s">
        <v>1463</v>
      </c>
      <c r="X253" s="3" t="s">
        <v>1462</v>
      </c>
      <c r="Y253" s="3" t="str">
        <f t="shared" si="4"/>
        <v>Gabriel Rodarte</v>
      </c>
      <c r="Z253" s="3" t="s">
        <v>1278</v>
      </c>
      <c r="AA253" s="4" t="s">
        <v>1278</v>
      </c>
      <c r="AB253" s="4" t="s">
        <v>93</v>
      </c>
      <c r="AC253" s="4" t="s">
        <v>223</v>
      </c>
    </row>
    <row r="254" spans="2:29" x14ac:dyDescent="0.2">
      <c r="B254" s="3" t="s">
        <v>435</v>
      </c>
      <c r="C254" s="3" t="s">
        <v>87</v>
      </c>
      <c r="D254" s="3" t="s">
        <v>88</v>
      </c>
      <c r="E254" s="3" t="s">
        <v>31</v>
      </c>
      <c r="F254" s="3" t="s">
        <v>32</v>
      </c>
      <c r="G254" s="4">
        <v>1037</v>
      </c>
      <c r="H254" s="4">
        <v>78</v>
      </c>
      <c r="I254" s="4">
        <v>0</v>
      </c>
      <c r="J254" s="4">
        <v>0</v>
      </c>
      <c r="K254" s="3" t="s">
        <v>34</v>
      </c>
      <c r="L254" s="3" t="s">
        <v>33</v>
      </c>
      <c r="M254" s="4">
        <v>80000</v>
      </c>
      <c r="N254" s="4">
        <v>30500</v>
      </c>
      <c r="O254" s="4">
        <v>717</v>
      </c>
      <c r="P254" s="4">
        <v>12</v>
      </c>
      <c r="Q254" s="4">
        <v>4</v>
      </c>
      <c r="R254" s="4">
        <v>3015</v>
      </c>
      <c r="S254" s="4">
        <v>2201</v>
      </c>
      <c r="T254" s="3" t="s">
        <v>33</v>
      </c>
      <c r="U254" s="3" t="s">
        <v>33</v>
      </c>
      <c r="V254" s="3" t="s">
        <v>35</v>
      </c>
      <c r="W254" s="3" t="s">
        <v>1209</v>
      </c>
      <c r="X254" s="3" t="s">
        <v>1208</v>
      </c>
      <c r="Y254" s="3" t="str">
        <f t="shared" si="4"/>
        <v>Bart Algozzini</v>
      </c>
      <c r="Z254" s="3" t="s">
        <v>1207</v>
      </c>
      <c r="AA254" s="4" t="s">
        <v>1206</v>
      </c>
      <c r="AB254" s="4" t="s">
        <v>6</v>
      </c>
      <c r="AC254" s="4" t="s">
        <v>436</v>
      </c>
    </row>
    <row r="255" spans="2:29" x14ac:dyDescent="0.2">
      <c r="B255" s="3" t="s">
        <v>657</v>
      </c>
      <c r="C255" s="3" t="s">
        <v>575</v>
      </c>
      <c r="D255" s="3" t="s">
        <v>106</v>
      </c>
      <c r="E255" s="3" t="s">
        <v>31</v>
      </c>
      <c r="F255" s="3" t="s">
        <v>32</v>
      </c>
      <c r="G255" s="4">
        <v>1036</v>
      </c>
      <c r="H255" s="4">
        <v>0</v>
      </c>
      <c r="I255" s="4">
        <v>0</v>
      </c>
      <c r="J255" s="4">
        <v>0</v>
      </c>
      <c r="K255" s="3" t="s">
        <v>34</v>
      </c>
      <c r="L255" s="3" t="s">
        <v>34</v>
      </c>
      <c r="M255" s="4">
        <v>11976</v>
      </c>
      <c r="N255" s="4">
        <v>0</v>
      </c>
      <c r="O255" s="4">
        <v>0</v>
      </c>
      <c r="P255" s="4">
        <v>5</v>
      </c>
      <c r="Q255" s="4">
        <v>0</v>
      </c>
      <c r="R255" s="4">
        <v>0</v>
      </c>
      <c r="S255" s="4">
        <v>196</v>
      </c>
      <c r="T255" s="3" t="s">
        <v>33</v>
      </c>
      <c r="U255" s="3" t="s">
        <v>33</v>
      </c>
      <c r="V255" s="3" t="s">
        <v>103</v>
      </c>
      <c r="W255" s="3" t="s">
        <v>1433</v>
      </c>
      <c r="X255" s="3" t="s">
        <v>1432</v>
      </c>
      <c r="Y255" s="3" t="str">
        <f t="shared" si="4"/>
        <v>Naomi Ragland</v>
      </c>
      <c r="Z255" s="3" t="s">
        <v>109</v>
      </c>
      <c r="AA255" s="4" t="s">
        <v>109</v>
      </c>
      <c r="AB255" s="4" t="s">
        <v>93</v>
      </c>
      <c r="AC255" s="4" t="s">
        <v>659</v>
      </c>
    </row>
    <row r="256" spans="2:29" x14ac:dyDescent="0.2">
      <c r="B256" s="3" t="s">
        <v>657</v>
      </c>
      <c r="C256" s="3" t="s">
        <v>575</v>
      </c>
      <c r="D256" s="3" t="s">
        <v>106</v>
      </c>
      <c r="E256" s="3" t="s">
        <v>31</v>
      </c>
      <c r="F256" s="3" t="s">
        <v>32</v>
      </c>
      <c r="G256" s="4">
        <v>1036</v>
      </c>
      <c r="H256" s="4">
        <v>0</v>
      </c>
      <c r="I256" s="4">
        <v>0</v>
      </c>
      <c r="J256" s="4">
        <v>0</v>
      </c>
      <c r="K256" s="3" t="s">
        <v>34</v>
      </c>
      <c r="L256" s="3" t="s">
        <v>34</v>
      </c>
      <c r="M256" s="4">
        <v>11976</v>
      </c>
      <c r="N256" s="4">
        <v>0</v>
      </c>
      <c r="O256" s="4">
        <v>0</v>
      </c>
      <c r="P256" s="4">
        <v>5</v>
      </c>
      <c r="Q256" s="4">
        <v>0</v>
      </c>
      <c r="R256" s="4">
        <v>0</v>
      </c>
      <c r="S256" s="4">
        <v>196</v>
      </c>
      <c r="T256" s="3" t="s">
        <v>33</v>
      </c>
      <c r="U256" s="3" t="s">
        <v>33</v>
      </c>
      <c r="V256" s="3" t="s">
        <v>103</v>
      </c>
      <c r="W256" s="3" t="s">
        <v>1171</v>
      </c>
      <c r="X256" s="3" t="s">
        <v>1170</v>
      </c>
      <c r="Y256" s="3" t="str">
        <f t="shared" si="4"/>
        <v>Doug Jager</v>
      </c>
      <c r="Z256" s="3" t="s">
        <v>889</v>
      </c>
      <c r="AA256" s="4" t="s">
        <v>889</v>
      </c>
      <c r="AB256" s="4" t="s">
        <v>6</v>
      </c>
      <c r="AC256" s="4" t="s">
        <v>659</v>
      </c>
    </row>
    <row r="257" spans="2:29" x14ac:dyDescent="0.2">
      <c r="B257" s="3" t="s">
        <v>641</v>
      </c>
      <c r="C257" s="3" t="s">
        <v>642</v>
      </c>
      <c r="D257" s="3" t="s">
        <v>70</v>
      </c>
      <c r="E257" s="3" t="s">
        <v>31</v>
      </c>
      <c r="F257" s="3" t="s">
        <v>32</v>
      </c>
      <c r="G257" s="4">
        <v>1025</v>
      </c>
      <c r="H257" s="4">
        <v>16</v>
      </c>
      <c r="I257" s="4">
        <v>5</v>
      </c>
      <c r="J257" s="4">
        <v>300</v>
      </c>
      <c r="K257" s="3" t="s">
        <v>34</v>
      </c>
      <c r="L257" s="3" t="s">
        <v>34</v>
      </c>
      <c r="M257" s="4">
        <v>21000</v>
      </c>
      <c r="N257" s="4">
        <v>33000</v>
      </c>
      <c r="O257" s="4">
        <v>198</v>
      </c>
      <c r="P257" s="4">
        <v>8</v>
      </c>
      <c r="Q257" s="4">
        <v>1</v>
      </c>
      <c r="R257" s="4">
        <v>1250</v>
      </c>
      <c r="S257" s="4">
        <v>773</v>
      </c>
      <c r="T257" s="3" t="s">
        <v>34</v>
      </c>
      <c r="U257" s="3" t="s">
        <v>34</v>
      </c>
      <c r="V257" s="3" t="s">
        <v>35</v>
      </c>
      <c r="W257" s="3" t="s">
        <v>1173</v>
      </c>
      <c r="X257" s="3" t="s">
        <v>1172</v>
      </c>
      <c r="Y257" s="3" t="str">
        <f t="shared" si="4"/>
        <v>Cheryl Hantel</v>
      </c>
      <c r="Z257" s="3" t="s">
        <v>1098</v>
      </c>
      <c r="AA257" s="4" t="s">
        <v>1098</v>
      </c>
      <c r="AB257" s="4" t="s">
        <v>6</v>
      </c>
      <c r="AC257" s="4" t="s">
        <v>643</v>
      </c>
    </row>
    <row r="258" spans="2:29" x14ac:dyDescent="0.2">
      <c r="B258" s="3" t="s">
        <v>669</v>
      </c>
      <c r="C258" s="3" t="s">
        <v>670</v>
      </c>
      <c r="D258" s="3" t="s">
        <v>185</v>
      </c>
      <c r="E258" s="3" t="s">
        <v>31</v>
      </c>
      <c r="F258" s="3" t="s">
        <v>32</v>
      </c>
      <c r="G258" s="4">
        <v>1022</v>
      </c>
      <c r="H258" s="4">
        <v>0</v>
      </c>
      <c r="I258" s="4">
        <v>19</v>
      </c>
      <c r="J258" s="4">
        <v>0</v>
      </c>
      <c r="K258" s="3" t="s">
        <v>33</v>
      </c>
      <c r="L258" s="3" t="s">
        <v>34</v>
      </c>
      <c r="M258" s="4">
        <v>40000</v>
      </c>
      <c r="N258" s="4">
        <v>0</v>
      </c>
      <c r="O258" s="4">
        <v>0</v>
      </c>
      <c r="P258" s="4">
        <v>3</v>
      </c>
      <c r="Q258" s="4">
        <v>1</v>
      </c>
      <c r="R258" s="4">
        <v>2000</v>
      </c>
      <c r="S258" s="4">
        <v>500</v>
      </c>
      <c r="T258" s="3" t="s">
        <v>34</v>
      </c>
      <c r="U258" s="3" t="s">
        <v>33</v>
      </c>
      <c r="V258" s="3" t="s">
        <v>428</v>
      </c>
      <c r="W258" s="3" t="s">
        <v>522</v>
      </c>
      <c r="X258" s="3" t="s">
        <v>1431</v>
      </c>
      <c r="Y258" s="3" t="str">
        <f t="shared" si="4"/>
        <v>Robert Heck</v>
      </c>
      <c r="Z258" s="3" t="s">
        <v>1278</v>
      </c>
      <c r="AA258" s="4" t="s">
        <v>1278</v>
      </c>
      <c r="AB258" s="4" t="s">
        <v>93</v>
      </c>
      <c r="AC258" s="4" t="s">
        <v>672</v>
      </c>
    </row>
    <row r="259" spans="2:29" x14ac:dyDescent="0.2">
      <c r="B259" s="3" t="s">
        <v>811</v>
      </c>
      <c r="C259" s="3" t="s">
        <v>812</v>
      </c>
      <c r="D259" s="3" t="s">
        <v>139</v>
      </c>
      <c r="E259" s="3" t="s">
        <v>31</v>
      </c>
      <c r="F259" s="3" t="s">
        <v>32</v>
      </c>
      <c r="G259" s="4">
        <v>1014</v>
      </c>
      <c r="H259" s="4">
        <v>8</v>
      </c>
      <c r="I259" s="4">
        <v>0</v>
      </c>
      <c r="J259" s="4">
        <v>0</v>
      </c>
      <c r="K259" s="3" t="s">
        <v>33</v>
      </c>
      <c r="L259" s="3" t="s">
        <v>33</v>
      </c>
      <c r="M259" s="4">
        <v>52000</v>
      </c>
      <c r="N259" s="4">
        <v>15000</v>
      </c>
      <c r="O259" s="4">
        <v>166</v>
      </c>
      <c r="P259" s="4">
        <v>3</v>
      </c>
      <c r="Q259" s="4">
        <v>2</v>
      </c>
      <c r="R259" s="4">
        <v>0</v>
      </c>
      <c r="S259" s="4">
        <v>370</v>
      </c>
      <c r="T259" s="3" t="s">
        <v>34</v>
      </c>
      <c r="U259" s="3" t="s">
        <v>34</v>
      </c>
      <c r="V259" s="3" t="s">
        <v>35</v>
      </c>
      <c r="W259" s="3" t="s">
        <v>741</v>
      </c>
      <c r="X259" s="3" t="s">
        <v>1137</v>
      </c>
      <c r="Y259" s="3" t="str">
        <f t="shared" si="4"/>
        <v>Stephen Moritz</v>
      </c>
      <c r="Z259" s="3" t="s">
        <v>1098</v>
      </c>
      <c r="AA259" s="4" t="s">
        <v>1098</v>
      </c>
      <c r="AB259" s="4" t="s">
        <v>6</v>
      </c>
      <c r="AC259" s="4" t="s">
        <v>813</v>
      </c>
    </row>
    <row r="260" spans="2:29" x14ac:dyDescent="0.2">
      <c r="B260" s="3" t="s">
        <v>1026</v>
      </c>
      <c r="C260" s="3" t="s">
        <v>81</v>
      </c>
      <c r="D260" s="3" t="s">
        <v>51</v>
      </c>
      <c r="E260" s="3" t="s">
        <v>31</v>
      </c>
      <c r="F260" s="3" t="s">
        <v>32</v>
      </c>
      <c r="G260" s="4">
        <v>1013</v>
      </c>
      <c r="H260" s="4">
        <v>47</v>
      </c>
      <c r="I260" s="4">
        <v>0</v>
      </c>
      <c r="J260" s="4">
        <v>0</v>
      </c>
      <c r="K260" s="3" t="s">
        <v>34</v>
      </c>
      <c r="L260" s="3" t="s">
        <v>34</v>
      </c>
      <c r="M260" s="4">
        <v>47927</v>
      </c>
      <c r="N260" s="4">
        <v>18000</v>
      </c>
      <c r="O260" s="4">
        <v>2884</v>
      </c>
      <c r="P260" s="4">
        <v>11</v>
      </c>
      <c r="Q260" s="4">
        <v>4</v>
      </c>
      <c r="R260" s="4">
        <v>5799</v>
      </c>
      <c r="S260" s="4">
        <v>3300</v>
      </c>
      <c r="T260" s="3" t="s">
        <v>33</v>
      </c>
      <c r="U260" s="3" t="s">
        <v>33</v>
      </c>
      <c r="V260" s="3" t="s">
        <v>35</v>
      </c>
      <c r="W260" s="3" t="s">
        <v>654</v>
      </c>
      <c r="X260" s="3" t="s">
        <v>1387</v>
      </c>
      <c r="Y260" s="3" t="str">
        <f t="shared" si="4"/>
        <v>Bill MacDonald</v>
      </c>
      <c r="Z260" s="3" t="s">
        <v>1383</v>
      </c>
      <c r="AA260" s="4" t="s">
        <v>1382</v>
      </c>
      <c r="AB260" s="4" t="s">
        <v>93</v>
      </c>
      <c r="AC260" s="4" t="s">
        <v>269</v>
      </c>
    </row>
    <row r="261" spans="2:29" x14ac:dyDescent="0.2">
      <c r="B261" s="3" t="s">
        <v>331</v>
      </c>
      <c r="C261" s="3" t="s">
        <v>75</v>
      </c>
      <c r="D261" s="3" t="s">
        <v>51</v>
      </c>
      <c r="E261" s="3" t="s">
        <v>31</v>
      </c>
      <c r="F261" s="3" t="s">
        <v>32</v>
      </c>
      <c r="G261" s="4">
        <v>1005</v>
      </c>
      <c r="H261" s="4">
        <v>24</v>
      </c>
      <c r="I261" s="4">
        <v>9</v>
      </c>
      <c r="J261" s="4">
        <v>300</v>
      </c>
      <c r="K261" s="3" t="s">
        <v>34</v>
      </c>
      <c r="L261" s="3" t="s">
        <v>34</v>
      </c>
      <c r="M261" s="4">
        <v>89106</v>
      </c>
      <c r="N261" s="4">
        <v>13852</v>
      </c>
      <c r="O261" s="4">
        <v>1404</v>
      </c>
      <c r="P261" s="4">
        <v>10</v>
      </c>
      <c r="Q261" s="4">
        <v>4</v>
      </c>
      <c r="R261" s="4">
        <v>2872</v>
      </c>
      <c r="S261" s="4">
        <v>2000</v>
      </c>
      <c r="T261" s="3" t="s">
        <v>33</v>
      </c>
      <c r="U261" s="3" t="s">
        <v>33</v>
      </c>
      <c r="V261" s="3" t="s">
        <v>35</v>
      </c>
      <c r="W261" s="3" t="s">
        <v>1233</v>
      </c>
      <c r="X261" s="3" t="s">
        <v>1230</v>
      </c>
      <c r="Y261" s="3" t="str">
        <f t="shared" si="4"/>
        <v>Donald Nelson</v>
      </c>
      <c r="Z261" s="3" t="s">
        <v>889</v>
      </c>
      <c r="AA261" s="4" t="s">
        <v>889</v>
      </c>
      <c r="AB261" s="4" t="s">
        <v>6</v>
      </c>
      <c r="AC261" s="4" t="s">
        <v>0</v>
      </c>
    </row>
    <row r="262" spans="2:29" x14ac:dyDescent="0.2">
      <c r="B262" s="3" t="s">
        <v>1007</v>
      </c>
      <c r="C262" s="3" t="s">
        <v>81</v>
      </c>
      <c r="D262" s="3" t="s">
        <v>51</v>
      </c>
      <c r="E262" s="3" t="s">
        <v>31</v>
      </c>
      <c r="F262" s="3" t="s">
        <v>32</v>
      </c>
      <c r="G262" s="4">
        <v>1002</v>
      </c>
      <c r="H262" s="4">
        <v>132</v>
      </c>
      <c r="I262" s="4">
        <v>0</v>
      </c>
      <c r="J262" s="4">
        <v>0</v>
      </c>
      <c r="K262" s="3" t="s">
        <v>34</v>
      </c>
      <c r="L262" s="3" t="s">
        <v>34</v>
      </c>
      <c r="M262" s="4">
        <v>66127</v>
      </c>
      <c r="N262" s="4">
        <v>850000</v>
      </c>
      <c r="O262" s="4">
        <v>3075</v>
      </c>
      <c r="P262" s="4">
        <v>15</v>
      </c>
      <c r="Q262" s="4">
        <v>1</v>
      </c>
      <c r="R262" s="4">
        <v>4000</v>
      </c>
      <c r="S262" s="4">
        <v>0</v>
      </c>
      <c r="T262" s="3" t="s">
        <v>33</v>
      </c>
      <c r="U262" s="3" t="s">
        <v>33</v>
      </c>
      <c r="V262" s="3" t="s">
        <v>35</v>
      </c>
      <c r="W262" s="3" t="s">
        <v>1109</v>
      </c>
      <c r="X262" s="3" t="s">
        <v>1108</v>
      </c>
      <c r="Y262" s="3" t="str">
        <f t="shared" si="4"/>
        <v>Richard Luthy</v>
      </c>
      <c r="Z262" s="3" t="s">
        <v>1089</v>
      </c>
      <c r="AA262" s="4" t="s">
        <v>1088</v>
      </c>
      <c r="AB262" s="4" t="s">
        <v>6</v>
      </c>
      <c r="AC262" s="4" t="s">
        <v>1008</v>
      </c>
    </row>
    <row r="263" spans="2:29" x14ac:dyDescent="0.2">
      <c r="B263" s="3" t="s">
        <v>370</v>
      </c>
      <c r="C263" s="3" t="s">
        <v>81</v>
      </c>
      <c r="D263" s="3" t="s">
        <v>51</v>
      </c>
      <c r="E263" s="3" t="s">
        <v>31</v>
      </c>
      <c r="F263" s="3" t="s">
        <v>32</v>
      </c>
      <c r="G263" s="4">
        <v>1000</v>
      </c>
      <c r="H263" s="4">
        <v>128</v>
      </c>
      <c r="I263" s="4">
        <v>0</v>
      </c>
      <c r="J263" s="4">
        <v>0</v>
      </c>
      <c r="K263" s="3" t="s">
        <v>34</v>
      </c>
      <c r="L263" s="3" t="s">
        <v>34</v>
      </c>
      <c r="M263" s="4">
        <v>96943</v>
      </c>
      <c r="N263" s="4">
        <v>60000</v>
      </c>
      <c r="O263" s="4">
        <v>2034</v>
      </c>
      <c r="P263" s="4">
        <v>5</v>
      </c>
      <c r="Q263" s="4">
        <v>4</v>
      </c>
      <c r="R263" s="4">
        <v>0</v>
      </c>
      <c r="S263" s="4">
        <v>5000</v>
      </c>
      <c r="T263" s="3" t="s">
        <v>33</v>
      </c>
      <c r="U263" s="3" t="s">
        <v>33</v>
      </c>
      <c r="V263" s="3" t="s">
        <v>35</v>
      </c>
      <c r="W263" s="3" t="s">
        <v>1377</v>
      </c>
      <c r="X263" s="3" t="s">
        <v>781</v>
      </c>
      <c r="Y263" s="3" t="str">
        <f t="shared" si="4"/>
        <v>Charlie Stone</v>
      </c>
      <c r="Z263" s="3" t="s">
        <v>1376</v>
      </c>
      <c r="AA263" s="4" t="s">
        <v>1375</v>
      </c>
      <c r="AB263" s="4" t="s">
        <v>93</v>
      </c>
      <c r="AC263" s="4" t="s">
        <v>371</v>
      </c>
    </row>
    <row r="264" spans="2:29" x14ac:dyDescent="0.2">
      <c r="B264" s="3" t="s">
        <v>345</v>
      </c>
      <c r="C264" s="3" t="s">
        <v>84</v>
      </c>
      <c r="D264" s="3" t="s">
        <v>51</v>
      </c>
      <c r="E264" s="3" t="s">
        <v>31</v>
      </c>
      <c r="F264" s="3" t="s">
        <v>32</v>
      </c>
      <c r="G264" s="4">
        <v>1000</v>
      </c>
      <c r="H264" s="4">
        <v>36</v>
      </c>
      <c r="I264" s="4">
        <v>0</v>
      </c>
      <c r="J264" s="4">
        <v>0</v>
      </c>
      <c r="K264" s="3" t="s">
        <v>34</v>
      </c>
      <c r="L264" s="3" t="s">
        <v>34</v>
      </c>
      <c r="M264" s="4">
        <v>70000</v>
      </c>
      <c r="N264" s="4">
        <v>10175</v>
      </c>
      <c r="O264" s="4">
        <v>900</v>
      </c>
      <c r="P264" s="4">
        <v>10</v>
      </c>
      <c r="Q264" s="4">
        <v>7</v>
      </c>
      <c r="R264" s="4">
        <v>1190</v>
      </c>
      <c r="S264" s="4">
        <v>856</v>
      </c>
      <c r="T264" s="3" t="s">
        <v>33</v>
      </c>
      <c r="U264" s="3" t="s">
        <v>33</v>
      </c>
      <c r="V264" s="3" t="s">
        <v>35</v>
      </c>
      <c r="W264" s="3" t="s">
        <v>462</v>
      </c>
      <c r="X264" s="3" t="s">
        <v>1025</v>
      </c>
      <c r="Y264" s="3" t="str">
        <f t="shared" si="4"/>
        <v>Tony Marini</v>
      </c>
      <c r="Z264" s="3" t="s">
        <v>91</v>
      </c>
      <c r="AA264" s="4" t="s">
        <v>92</v>
      </c>
      <c r="AB264" s="4" t="s">
        <v>1320</v>
      </c>
      <c r="AC264" s="4" t="s">
        <v>267</v>
      </c>
    </row>
    <row r="265" spans="2:29" x14ac:dyDescent="0.2">
      <c r="B265" s="3" t="s">
        <v>647</v>
      </c>
      <c r="C265" s="3" t="s">
        <v>575</v>
      </c>
      <c r="D265" s="3" t="s">
        <v>106</v>
      </c>
      <c r="E265" s="3" t="s">
        <v>31</v>
      </c>
      <c r="F265" s="3" t="s">
        <v>32</v>
      </c>
      <c r="G265" s="4">
        <v>1000</v>
      </c>
      <c r="H265" s="4">
        <v>40</v>
      </c>
      <c r="I265" s="4">
        <v>0</v>
      </c>
      <c r="J265" s="4">
        <v>0</v>
      </c>
      <c r="K265" s="3" t="s">
        <v>34</v>
      </c>
      <c r="L265" s="3" t="s">
        <v>33</v>
      </c>
      <c r="M265" s="4">
        <v>47000</v>
      </c>
      <c r="N265" s="4">
        <v>0</v>
      </c>
      <c r="O265" s="4">
        <v>580</v>
      </c>
      <c r="P265" s="4">
        <v>7</v>
      </c>
      <c r="Q265" s="4">
        <v>0</v>
      </c>
      <c r="R265" s="4">
        <v>0</v>
      </c>
      <c r="S265" s="4">
        <v>800</v>
      </c>
      <c r="T265" s="3" t="s">
        <v>33</v>
      </c>
      <c r="U265" s="3" t="s">
        <v>33</v>
      </c>
      <c r="V265" s="3" t="s">
        <v>35</v>
      </c>
      <c r="W265" s="3" t="s">
        <v>925</v>
      </c>
      <c r="X265" s="3" t="s">
        <v>1434</v>
      </c>
      <c r="Y265" s="3" t="str">
        <f t="shared" si="4"/>
        <v>Bryan Prettyman</v>
      </c>
      <c r="Z265" s="3" t="s">
        <v>429</v>
      </c>
      <c r="AA265" s="4" t="s">
        <v>430</v>
      </c>
      <c r="AB265" s="4" t="s">
        <v>93</v>
      </c>
      <c r="AC265" s="4" t="s">
        <v>648</v>
      </c>
    </row>
    <row r="266" spans="2:29" x14ac:dyDescent="0.2">
      <c r="B266" s="3" t="s">
        <v>647</v>
      </c>
      <c r="C266" s="3" t="s">
        <v>575</v>
      </c>
      <c r="D266" s="3" t="s">
        <v>106</v>
      </c>
      <c r="E266" s="3" t="s">
        <v>31</v>
      </c>
      <c r="F266" s="3" t="s">
        <v>32</v>
      </c>
      <c r="G266" s="4">
        <v>1000</v>
      </c>
      <c r="H266" s="4">
        <v>40</v>
      </c>
      <c r="I266" s="4">
        <v>0</v>
      </c>
      <c r="J266" s="4">
        <v>0</v>
      </c>
      <c r="K266" s="3" t="s">
        <v>34</v>
      </c>
      <c r="L266" s="3" t="s">
        <v>33</v>
      </c>
      <c r="M266" s="4">
        <v>47000</v>
      </c>
      <c r="N266" s="4">
        <v>0</v>
      </c>
      <c r="O266" s="4">
        <v>580</v>
      </c>
      <c r="P266" s="4">
        <v>7</v>
      </c>
      <c r="Q266" s="4">
        <v>0</v>
      </c>
      <c r="R266" s="4">
        <v>0</v>
      </c>
      <c r="S266" s="4">
        <v>800</v>
      </c>
      <c r="T266" s="3" t="s">
        <v>33</v>
      </c>
      <c r="U266" s="3" t="s">
        <v>33</v>
      </c>
      <c r="V266" s="3" t="s">
        <v>35</v>
      </c>
      <c r="W266" s="3" t="s">
        <v>522</v>
      </c>
      <c r="X266" s="3" t="s">
        <v>149</v>
      </c>
      <c r="Y266" s="3" t="str">
        <f t="shared" si="4"/>
        <v>Robert Williams</v>
      </c>
      <c r="Z266" s="3" t="s">
        <v>1299</v>
      </c>
      <c r="AA266" s="4" t="s">
        <v>1298</v>
      </c>
      <c r="AB266" s="4" t="s">
        <v>93</v>
      </c>
      <c r="AC266" s="4" t="s">
        <v>648</v>
      </c>
    </row>
    <row r="267" spans="2:29" x14ac:dyDescent="0.2">
      <c r="B267" s="3" t="s">
        <v>609</v>
      </c>
      <c r="C267" s="3" t="s">
        <v>610</v>
      </c>
      <c r="D267" s="3" t="s">
        <v>47</v>
      </c>
      <c r="E267" s="3" t="s">
        <v>31</v>
      </c>
      <c r="F267" s="3" t="s">
        <v>32</v>
      </c>
      <c r="G267" s="4">
        <v>1000</v>
      </c>
      <c r="H267" s="4">
        <v>0</v>
      </c>
      <c r="I267" s="4">
        <v>0</v>
      </c>
      <c r="J267" s="4">
        <v>0</v>
      </c>
      <c r="K267" s="3" t="s">
        <v>33</v>
      </c>
      <c r="L267" s="3" t="s">
        <v>34</v>
      </c>
      <c r="M267" s="4">
        <v>64142</v>
      </c>
      <c r="N267" s="4">
        <v>0</v>
      </c>
      <c r="O267" s="4">
        <v>228</v>
      </c>
      <c r="P267" s="4">
        <v>1</v>
      </c>
      <c r="Q267" s="4">
        <v>0</v>
      </c>
      <c r="R267" s="4">
        <v>0</v>
      </c>
      <c r="S267" s="4">
        <v>667</v>
      </c>
      <c r="T267" s="3" t="s">
        <v>33</v>
      </c>
      <c r="U267" s="3" t="s">
        <v>33</v>
      </c>
      <c r="V267" s="3" t="s">
        <v>35</v>
      </c>
      <c r="W267" s="3" t="s">
        <v>1288</v>
      </c>
      <c r="X267" s="3" t="s">
        <v>1287</v>
      </c>
      <c r="Y267" s="3" t="str">
        <f t="shared" si="4"/>
        <v>Cynthia Kessler</v>
      </c>
      <c r="Z267" s="3" t="s">
        <v>1278</v>
      </c>
      <c r="AA267" s="4" t="s">
        <v>1278</v>
      </c>
      <c r="AB267" s="4" t="s">
        <v>1275</v>
      </c>
      <c r="AC267" s="4" t="s">
        <v>611</v>
      </c>
    </row>
    <row r="268" spans="2:29" x14ac:dyDescent="0.2">
      <c r="B268" s="3" t="s">
        <v>111</v>
      </c>
      <c r="C268" s="3" t="s">
        <v>112</v>
      </c>
      <c r="D268" s="3" t="s">
        <v>113</v>
      </c>
      <c r="E268" s="3" t="s">
        <v>31</v>
      </c>
      <c r="F268" s="3" t="s">
        <v>32</v>
      </c>
      <c r="G268" s="4">
        <v>1000</v>
      </c>
      <c r="H268" s="4">
        <v>32</v>
      </c>
      <c r="I268" s="4">
        <v>0</v>
      </c>
      <c r="J268" s="4">
        <v>0</v>
      </c>
      <c r="K268" s="3" t="s">
        <v>34</v>
      </c>
      <c r="L268" s="3" t="s">
        <v>34</v>
      </c>
      <c r="M268" s="4">
        <v>33600</v>
      </c>
      <c r="N268" s="4">
        <v>0</v>
      </c>
      <c r="O268" s="4">
        <v>84</v>
      </c>
      <c r="P268" s="4">
        <v>7</v>
      </c>
      <c r="Q268" s="4">
        <v>0</v>
      </c>
      <c r="R268" s="4">
        <v>0</v>
      </c>
      <c r="S268" s="4">
        <v>579</v>
      </c>
      <c r="T268" s="3" t="s">
        <v>33</v>
      </c>
      <c r="U268" s="3" t="s">
        <v>33</v>
      </c>
      <c r="V268" s="3" t="s">
        <v>35</v>
      </c>
      <c r="W268" s="3" t="s">
        <v>481</v>
      </c>
      <c r="X268" s="3" t="s">
        <v>1261</v>
      </c>
      <c r="Y268" s="3" t="str">
        <f t="shared" si="4"/>
        <v>Gary Liberatore</v>
      </c>
      <c r="Z268" s="3" t="s">
        <v>1260</v>
      </c>
      <c r="AA268" s="4" t="s">
        <v>1260</v>
      </c>
      <c r="AB268" s="4" t="s">
        <v>6</v>
      </c>
      <c r="AC268" s="4" t="s">
        <v>99</v>
      </c>
    </row>
    <row r="269" spans="2:29" x14ac:dyDescent="0.2">
      <c r="B269" s="3" t="s">
        <v>900</v>
      </c>
      <c r="C269" s="3" t="s">
        <v>901</v>
      </c>
      <c r="D269" s="3" t="s">
        <v>185</v>
      </c>
      <c r="E269" s="3" t="s">
        <v>31</v>
      </c>
      <c r="F269" s="3" t="s">
        <v>32</v>
      </c>
      <c r="G269" s="4">
        <v>1000</v>
      </c>
      <c r="H269" s="4">
        <v>38</v>
      </c>
      <c r="I269" s="4">
        <v>0</v>
      </c>
      <c r="J269" s="4">
        <v>298</v>
      </c>
      <c r="K269" s="3" t="s">
        <v>34</v>
      </c>
      <c r="L269" s="3" t="s">
        <v>33</v>
      </c>
      <c r="M269" s="4">
        <v>50000</v>
      </c>
      <c r="N269" s="4">
        <v>0</v>
      </c>
      <c r="O269" s="4">
        <v>0</v>
      </c>
      <c r="P269" s="4">
        <v>3</v>
      </c>
      <c r="Q269" s="4">
        <v>0</v>
      </c>
      <c r="R269" s="4">
        <v>900</v>
      </c>
      <c r="S269" s="4">
        <v>550</v>
      </c>
      <c r="T269" s="3" t="s">
        <v>34</v>
      </c>
      <c r="U269" s="3" t="s">
        <v>34</v>
      </c>
      <c r="V269" s="3" t="s">
        <v>35</v>
      </c>
      <c r="W269" s="3" t="s">
        <v>462</v>
      </c>
      <c r="X269" s="3" t="s">
        <v>1279</v>
      </c>
      <c r="Y269" s="3" t="str">
        <f t="shared" si="4"/>
        <v>Tony Presutti</v>
      </c>
      <c r="Z269" s="3" t="s">
        <v>1278</v>
      </c>
      <c r="AA269" s="4" t="s">
        <v>1278</v>
      </c>
      <c r="AB269" s="4" t="s">
        <v>1275</v>
      </c>
      <c r="AC269" s="4" t="s">
        <v>482</v>
      </c>
    </row>
    <row r="270" spans="2:29" x14ac:dyDescent="0.2">
      <c r="B270" s="3" t="s">
        <v>910</v>
      </c>
      <c r="C270" s="3" t="s">
        <v>911</v>
      </c>
      <c r="D270" s="3" t="s">
        <v>47</v>
      </c>
      <c r="E270" s="3" t="s">
        <v>31</v>
      </c>
      <c r="F270" s="3" t="s">
        <v>32</v>
      </c>
      <c r="G270" s="4">
        <v>1000</v>
      </c>
      <c r="H270" s="4">
        <v>30</v>
      </c>
      <c r="I270" s="4">
        <v>0</v>
      </c>
      <c r="J270" s="4">
        <v>0</v>
      </c>
      <c r="K270" s="3" t="s">
        <v>34</v>
      </c>
      <c r="L270" s="3" t="s">
        <v>33</v>
      </c>
      <c r="M270" s="4">
        <v>67000</v>
      </c>
      <c r="N270" s="4">
        <v>0</v>
      </c>
      <c r="O270" s="4">
        <v>0</v>
      </c>
      <c r="P270" s="4">
        <v>5</v>
      </c>
      <c r="Q270" s="4">
        <v>0</v>
      </c>
      <c r="R270" s="4">
        <v>1085</v>
      </c>
      <c r="S270" s="4">
        <v>500</v>
      </c>
      <c r="T270" s="3" t="s">
        <v>34</v>
      </c>
      <c r="U270" s="3" t="s">
        <v>34</v>
      </c>
      <c r="V270" s="3" t="s">
        <v>35</v>
      </c>
      <c r="W270" s="3" t="s">
        <v>570</v>
      </c>
      <c r="X270" s="3" t="s">
        <v>1128</v>
      </c>
      <c r="Y270" s="3" t="str">
        <f t="shared" si="4"/>
        <v>Kevin Kuczka</v>
      </c>
      <c r="Z270" s="3" t="s">
        <v>889</v>
      </c>
      <c r="AA270" s="4" t="s">
        <v>889</v>
      </c>
      <c r="AB270" s="4" t="s">
        <v>6</v>
      </c>
      <c r="AC270" s="4" t="s">
        <v>909</v>
      </c>
    </row>
    <row r="271" spans="2:29" x14ac:dyDescent="0.2">
      <c r="G271" s="4"/>
      <c r="H271" s="4"/>
      <c r="I271" s="4"/>
      <c r="J271" s="4"/>
      <c r="M271" s="4"/>
      <c r="N271" s="4"/>
      <c r="O271" s="4"/>
      <c r="P271" s="4"/>
      <c r="Q271" s="4"/>
      <c r="R271" s="4"/>
      <c r="S271" s="4"/>
      <c r="AA271" s="4"/>
      <c r="AB271" s="4"/>
      <c r="AC271" s="4"/>
    </row>
    <row r="272" spans="2:29" x14ac:dyDescent="0.2">
      <c r="G272" s="4"/>
      <c r="H272" s="4"/>
      <c r="I272" s="4"/>
      <c r="J272" s="4"/>
      <c r="M272" s="4"/>
      <c r="N272" s="4"/>
      <c r="O272" s="4"/>
      <c r="P272" s="4"/>
      <c r="Q272" s="4"/>
      <c r="R272" s="4"/>
      <c r="S272" s="4"/>
      <c r="AA272" s="4"/>
      <c r="AB272" s="4"/>
      <c r="AC272" s="4"/>
    </row>
    <row r="273" spans="7:29" x14ac:dyDescent="0.2">
      <c r="G273" s="4"/>
      <c r="H273" s="4"/>
      <c r="I273" s="4"/>
      <c r="J273" s="4"/>
      <c r="M273" s="4"/>
      <c r="N273" s="4"/>
      <c r="O273" s="4"/>
      <c r="P273" s="4"/>
      <c r="Q273" s="4"/>
      <c r="R273" s="4"/>
      <c r="S273" s="4"/>
      <c r="AA273" s="4"/>
      <c r="AB273" s="4"/>
      <c r="AC273" s="4"/>
    </row>
    <row r="274" spans="7:29" x14ac:dyDescent="0.2">
      <c r="G274" s="4"/>
      <c r="H274" s="4"/>
      <c r="I274" s="4"/>
      <c r="J274" s="4"/>
      <c r="M274" s="4"/>
      <c r="N274" s="4"/>
      <c r="O274" s="4"/>
      <c r="P274" s="4"/>
      <c r="Q274" s="4"/>
      <c r="R274" s="4"/>
      <c r="S274" s="4"/>
      <c r="AA274" s="4"/>
      <c r="AB274" s="4"/>
      <c r="AC274" s="4"/>
    </row>
    <row r="275" spans="7:29" x14ac:dyDescent="0.2">
      <c r="G275" s="4"/>
      <c r="H275" s="4"/>
      <c r="I275" s="4"/>
      <c r="J275" s="4"/>
      <c r="M275" s="4"/>
      <c r="N275" s="4"/>
      <c r="O275" s="4"/>
      <c r="P275" s="4"/>
      <c r="Q275" s="4"/>
      <c r="R275" s="4"/>
      <c r="S275" s="4"/>
      <c r="AA275" s="4"/>
      <c r="AB275" s="4"/>
      <c r="AC275" s="4"/>
    </row>
    <row r="276" spans="7:29" x14ac:dyDescent="0.2">
      <c r="G276" s="4"/>
      <c r="H276" s="4"/>
      <c r="I276" s="4"/>
      <c r="J276" s="4"/>
      <c r="M276" s="4"/>
      <c r="N276" s="4"/>
      <c r="O276" s="4"/>
      <c r="P276" s="4"/>
      <c r="Q276" s="4"/>
      <c r="R276" s="4"/>
      <c r="S276" s="4"/>
      <c r="AA276" s="4"/>
      <c r="AB276" s="4"/>
      <c r="AC276" s="4"/>
    </row>
    <row r="277" spans="7:29" x14ac:dyDescent="0.2">
      <c r="G277" s="4"/>
      <c r="H277" s="4"/>
      <c r="I277" s="4"/>
      <c r="J277" s="4"/>
      <c r="M277" s="4"/>
      <c r="N277" s="4"/>
      <c r="O277" s="4"/>
      <c r="P277" s="4"/>
      <c r="Q277" s="4"/>
      <c r="R277" s="4"/>
      <c r="S277" s="4"/>
      <c r="AA277" s="4"/>
      <c r="AB277" s="4"/>
      <c r="AC277" s="4"/>
    </row>
    <row r="278" spans="7:29" x14ac:dyDescent="0.2">
      <c r="G278" s="4"/>
      <c r="H278" s="4"/>
      <c r="I278" s="4"/>
      <c r="J278" s="4"/>
      <c r="M278" s="4"/>
      <c r="N278" s="4"/>
      <c r="O278" s="4"/>
      <c r="P278" s="4"/>
      <c r="Q278" s="4"/>
      <c r="R278" s="4"/>
      <c r="S278" s="4"/>
      <c r="AA278" s="4"/>
      <c r="AB278" s="4"/>
      <c r="AC278" s="4"/>
    </row>
    <row r="279" spans="7:29" x14ac:dyDescent="0.2">
      <c r="G279" s="4"/>
      <c r="H279" s="4"/>
      <c r="I279" s="4"/>
      <c r="J279" s="4"/>
      <c r="M279" s="4"/>
      <c r="N279" s="4"/>
      <c r="O279" s="4"/>
      <c r="P279" s="4"/>
      <c r="Q279" s="4"/>
      <c r="R279" s="4"/>
      <c r="S279" s="4"/>
      <c r="AA279" s="4"/>
      <c r="AB279" s="4"/>
      <c r="AC279" s="4"/>
    </row>
    <row r="280" spans="7:29" x14ac:dyDescent="0.2">
      <c r="G280" s="4"/>
      <c r="H280" s="4"/>
      <c r="I280" s="4"/>
      <c r="J280" s="4"/>
      <c r="M280" s="4"/>
      <c r="N280" s="4"/>
      <c r="O280" s="4"/>
      <c r="P280" s="4"/>
      <c r="Q280" s="4"/>
      <c r="R280" s="4"/>
      <c r="S280" s="4"/>
      <c r="AA280" s="4"/>
      <c r="AB280" s="4"/>
      <c r="AC280" s="4"/>
    </row>
    <row r="281" spans="7:29" x14ac:dyDescent="0.2">
      <c r="G281" s="4"/>
      <c r="H281" s="4"/>
      <c r="I281" s="4"/>
      <c r="J281" s="4"/>
      <c r="M281" s="4"/>
      <c r="N281" s="4"/>
      <c r="O281" s="4"/>
      <c r="P281" s="4"/>
      <c r="Q281" s="4"/>
      <c r="R281" s="4"/>
      <c r="S281" s="4"/>
      <c r="AA281" s="4"/>
      <c r="AB281" s="4"/>
      <c r="AC281" s="4"/>
    </row>
    <row r="282" spans="7:29" x14ac:dyDescent="0.2">
      <c r="G282" s="4"/>
      <c r="H282" s="4"/>
      <c r="I282" s="4"/>
      <c r="J282" s="4"/>
      <c r="M282" s="4"/>
      <c r="N282" s="4"/>
      <c r="O282" s="4"/>
      <c r="P282" s="4"/>
      <c r="Q282" s="4"/>
      <c r="R282" s="4"/>
      <c r="S282" s="4"/>
      <c r="AA282" s="4"/>
      <c r="AB282" s="4"/>
      <c r="AC282" s="4"/>
    </row>
    <row r="283" spans="7:29" x14ac:dyDescent="0.2">
      <c r="G283" s="4"/>
      <c r="H283" s="4"/>
      <c r="I283" s="4"/>
      <c r="J283" s="4"/>
      <c r="M283" s="4"/>
      <c r="N283" s="4"/>
      <c r="O283" s="4"/>
      <c r="P283" s="4"/>
      <c r="Q283" s="4"/>
      <c r="R283" s="4"/>
      <c r="S283" s="4"/>
      <c r="AA283" s="4"/>
      <c r="AB283" s="4"/>
      <c r="AC283" s="4"/>
    </row>
    <row r="284" spans="7:29" x14ac:dyDescent="0.2">
      <c r="G284" s="4"/>
      <c r="H284" s="4"/>
      <c r="I284" s="4"/>
      <c r="J284" s="4"/>
      <c r="M284" s="4"/>
      <c r="N284" s="4"/>
      <c r="O284" s="4"/>
      <c r="P284" s="4"/>
      <c r="Q284" s="4"/>
      <c r="R284" s="4"/>
      <c r="S284" s="4"/>
      <c r="AA284" s="4"/>
      <c r="AB284" s="4"/>
      <c r="AC284" s="4"/>
    </row>
    <row r="285" spans="7:29" x14ac:dyDescent="0.2">
      <c r="G285" s="4"/>
      <c r="H285" s="4"/>
      <c r="I285" s="4"/>
      <c r="J285" s="4"/>
      <c r="M285" s="4"/>
      <c r="N285" s="4"/>
      <c r="O285" s="4"/>
      <c r="P285" s="4"/>
      <c r="Q285" s="4"/>
      <c r="R285" s="4"/>
      <c r="S285" s="4"/>
      <c r="AA285" s="4"/>
      <c r="AB285" s="4"/>
      <c r="AC285" s="4"/>
    </row>
    <row r="286" spans="7:29" x14ac:dyDescent="0.2">
      <c r="G286" s="4"/>
      <c r="H286" s="4"/>
      <c r="I286" s="4"/>
      <c r="J286" s="4"/>
      <c r="M286" s="4"/>
      <c r="N286" s="4"/>
      <c r="O286" s="4"/>
      <c r="P286" s="4"/>
      <c r="Q286" s="4"/>
      <c r="R286" s="4"/>
      <c r="S286" s="4"/>
      <c r="AA286" s="4"/>
      <c r="AB286" s="4"/>
      <c r="AC286" s="4"/>
    </row>
    <row r="287" spans="7:29" x14ac:dyDescent="0.2">
      <c r="G287" s="4"/>
      <c r="H287" s="4"/>
      <c r="I287" s="4"/>
      <c r="J287" s="4"/>
      <c r="M287" s="4"/>
      <c r="N287" s="4"/>
      <c r="O287" s="4"/>
      <c r="P287" s="4"/>
      <c r="Q287" s="4"/>
      <c r="R287" s="4"/>
      <c r="S287" s="4"/>
      <c r="AA287" s="4"/>
      <c r="AB287" s="4"/>
      <c r="AC287" s="4"/>
    </row>
    <row r="288" spans="7:29" x14ac:dyDescent="0.2">
      <c r="G288" s="4"/>
      <c r="H288" s="4"/>
      <c r="I288" s="4"/>
      <c r="J288" s="4"/>
      <c r="M288" s="4"/>
      <c r="N288" s="4"/>
      <c r="O288" s="4"/>
      <c r="P288" s="4"/>
      <c r="Q288" s="4"/>
      <c r="R288" s="4"/>
      <c r="S288" s="4"/>
      <c r="AA288" s="4"/>
      <c r="AB288" s="4"/>
      <c r="AC288" s="4"/>
    </row>
    <row r="289" spans="7:29" x14ac:dyDescent="0.2">
      <c r="G289" s="4"/>
      <c r="H289" s="4"/>
      <c r="I289" s="4"/>
      <c r="J289" s="4"/>
      <c r="M289" s="4"/>
      <c r="N289" s="4"/>
      <c r="O289" s="4"/>
      <c r="P289" s="4"/>
      <c r="Q289" s="4"/>
      <c r="R289" s="4"/>
      <c r="S289" s="4"/>
      <c r="AA289" s="4"/>
      <c r="AB289" s="4"/>
      <c r="AC289" s="4"/>
    </row>
    <row r="290" spans="7:29" x14ac:dyDescent="0.2">
      <c r="G290" s="4"/>
      <c r="H290" s="4"/>
      <c r="I290" s="4"/>
      <c r="J290" s="4"/>
      <c r="M290" s="4"/>
      <c r="N290" s="4"/>
      <c r="O290" s="4"/>
      <c r="P290" s="4"/>
      <c r="Q290" s="4"/>
      <c r="R290" s="4"/>
      <c r="S290" s="4"/>
      <c r="AA290" s="4"/>
      <c r="AB290" s="4"/>
      <c r="AC290" s="4"/>
    </row>
    <row r="291" spans="7:29" x14ac:dyDescent="0.2">
      <c r="G291" s="4"/>
      <c r="H291" s="4"/>
      <c r="I291" s="4"/>
      <c r="J291" s="4"/>
      <c r="M291" s="4"/>
      <c r="N291" s="4"/>
      <c r="O291" s="4"/>
      <c r="P291" s="4"/>
      <c r="Q291" s="4"/>
      <c r="R291" s="4"/>
      <c r="S291" s="4"/>
      <c r="AA291" s="4"/>
      <c r="AB291" s="4"/>
      <c r="AC291" s="4"/>
    </row>
    <row r="292" spans="7:29" x14ac:dyDescent="0.2">
      <c r="G292" s="4"/>
      <c r="H292" s="4"/>
      <c r="I292" s="4"/>
      <c r="J292" s="4"/>
      <c r="M292" s="4"/>
      <c r="N292" s="4"/>
      <c r="O292" s="4"/>
      <c r="P292" s="4"/>
      <c r="Q292" s="4"/>
      <c r="R292" s="4"/>
      <c r="S292" s="4"/>
      <c r="AA292" s="4"/>
      <c r="AB292" s="4"/>
      <c r="AC292" s="4"/>
    </row>
    <row r="293" spans="7:29" x14ac:dyDescent="0.2">
      <c r="G293" s="4"/>
      <c r="H293" s="4"/>
      <c r="I293" s="4"/>
      <c r="J293" s="4"/>
      <c r="M293" s="4"/>
      <c r="N293" s="4"/>
      <c r="O293" s="4"/>
      <c r="P293" s="4"/>
      <c r="Q293" s="4"/>
      <c r="R293" s="4"/>
      <c r="S293" s="4"/>
      <c r="AA293" s="4"/>
      <c r="AB293" s="4"/>
      <c r="AC293" s="4"/>
    </row>
    <row r="294" spans="7:29" x14ac:dyDescent="0.2">
      <c r="G294" s="4"/>
      <c r="H294" s="4"/>
      <c r="I294" s="4"/>
      <c r="J294" s="4"/>
      <c r="M294" s="4"/>
      <c r="N294" s="4"/>
      <c r="O294" s="4"/>
      <c r="P294" s="4"/>
      <c r="Q294" s="4"/>
      <c r="R294" s="4"/>
      <c r="S294" s="4"/>
      <c r="AA294" s="4"/>
      <c r="AB294" s="4"/>
      <c r="AC294" s="4"/>
    </row>
    <row r="295" spans="7:29" x14ac:dyDescent="0.2">
      <c r="G295" s="4"/>
      <c r="H295" s="4"/>
      <c r="I295" s="4"/>
      <c r="J295" s="4"/>
      <c r="M295" s="4"/>
      <c r="N295" s="4"/>
      <c r="O295" s="4"/>
      <c r="P295" s="4"/>
      <c r="Q295" s="4"/>
      <c r="R295" s="4"/>
      <c r="S295" s="4"/>
      <c r="AA295" s="4"/>
      <c r="AB295" s="4"/>
      <c r="AC295" s="4"/>
    </row>
    <row r="296" spans="7:29" x14ac:dyDescent="0.2">
      <c r="G296" s="4"/>
      <c r="H296" s="4"/>
      <c r="I296" s="4"/>
      <c r="J296" s="4"/>
      <c r="M296" s="4"/>
      <c r="N296" s="4"/>
      <c r="O296" s="4"/>
      <c r="P296" s="4"/>
      <c r="Q296" s="4"/>
      <c r="R296" s="4"/>
      <c r="S296" s="4"/>
      <c r="AA296" s="4"/>
      <c r="AB296" s="4"/>
      <c r="AC296" s="4"/>
    </row>
    <row r="297" spans="7:29" x14ac:dyDescent="0.2">
      <c r="G297" s="4"/>
      <c r="H297" s="4"/>
      <c r="I297" s="4"/>
      <c r="J297" s="4"/>
      <c r="M297" s="4"/>
      <c r="N297" s="4"/>
      <c r="O297" s="4"/>
      <c r="P297" s="4"/>
      <c r="Q297" s="4"/>
      <c r="R297" s="4"/>
      <c r="S297" s="4"/>
      <c r="AA297" s="4"/>
      <c r="AB297" s="4"/>
      <c r="AC297" s="4"/>
    </row>
    <row r="298" spans="7:29" x14ac:dyDescent="0.2">
      <c r="G298" s="4"/>
      <c r="H298" s="4"/>
      <c r="I298" s="4"/>
      <c r="J298" s="4"/>
      <c r="M298" s="4"/>
      <c r="N298" s="4"/>
      <c r="O298" s="4"/>
      <c r="P298" s="4"/>
      <c r="Q298" s="4"/>
      <c r="R298" s="4"/>
      <c r="S298" s="4"/>
      <c r="AA298" s="4"/>
      <c r="AB298" s="4"/>
      <c r="AC298" s="4"/>
    </row>
    <row r="299" spans="7:29" x14ac:dyDescent="0.2">
      <c r="G299" s="4"/>
      <c r="H299" s="4"/>
      <c r="I299" s="4"/>
      <c r="J299" s="4"/>
      <c r="M299" s="4"/>
      <c r="N299" s="4"/>
      <c r="O299" s="4"/>
      <c r="P299" s="4"/>
      <c r="Q299" s="4"/>
      <c r="R299" s="4"/>
      <c r="S299" s="4"/>
      <c r="AA299" s="4"/>
      <c r="AB299" s="4"/>
      <c r="AC299" s="4"/>
    </row>
    <row r="300" spans="7:29" x14ac:dyDescent="0.2">
      <c r="G300" s="4"/>
      <c r="H300" s="4"/>
      <c r="I300" s="4"/>
      <c r="J300" s="4"/>
      <c r="M300" s="4"/>
      <c r="N300" s="4"/>
      <c r="O300" s="4"/>
      <c r="P300" s="4"/>
      <c r="Q300" s="4"/>
      <c r="R300" s="4"/>
      <c r="S300" s="4"/>
      <c r="AA300" s="4"/>
      <c r="AB300" s="4"/>
      <c r="AC300" s="4"/>
    </row>
    <row r="301" spans="7:29" x14ac:dyDescent="0.2">
      <c r="G301" s="4"/>
      <c r="H301" s="4"/>
      <c r="I301" s="4"/>
      <c r="J301" s="4"/>
      <c r="M301" s="4"/>
      <c r="N301" s="4"/>
      <c r="O301" s="4"/>
      <c r="P301" s="4"/>
      <c r="Q301" s="4"/>
      <c r="R301" s="4"/>
      <c r="S301" s="4"/>
      <c r="AA301" s="4"/>
      <c r="AB301" s="4"/>
      <c r="AC301" s="4"/>
    </row>
    <row r="302" spans="7:29" x14ac:dyDescent="0.2">
      <c r="G302" s="4"/>
      <c r="H302" s="4"/>
      <c r="I302" s="4"/>
      <c r="J302" s="4"/>
      <c r="M302" s="4"/>
      <c r="N302" s="4"/>
      <c r="O302" s="4"/>
      <c r="P302" s="4"/>
      <c r="Q302" s="4"/>
      <c r="R302" s="4"/>
      <c r="S302" s="4"/>
      <c r="AA302" s="4"/>
      <c r="AB302" s="4"/>
      <c r="AC302" s="4"/>
    </row>
    <row r="303" spans="7:29" x14ac:dyDescent="0.2">
      <c r="G303" s="4"/>
      <c r="H303" s="4"/>
      <c r="I303" s="4"/>
      <c r="J303" s="4"/>
      <c r="M303" s="4"/>
      <c r="N303" s="4"/>
      <c r="O303" s="4"/>
      <c r="P303" s="4"/>
      <c r="Q303" s="4"/>
      <c r="R303" s="4"/>
      <c r="S303" s="4"/>
      <c r="AA303" s="4"/>
      <c r="AB303" s="4"/>
      <c r="AC303" s="4"/>
    </row>
    <row r="304" spans="7:29" x14ac:dyDescent="0.2">
      <c r="G304" s="4"/>
      <c r="H304" s="4"/>
      <c r="I304" s="4"/>
      <c r="J304" s="4"/>
      <c r="M304" s="4"/>
      <c r="N304" s="4"/>
      <c r="O304" s="4"/>
      <c r="P304" s="4"/>
      <c r="Q304" s="4"/>
      <c r="R304" s="4"/>
      <c r="S304" s="4"/>
      <c r="AA304" s="4"/>
      <c r="AB304" s="4"/>
      <c r="AC304" s="4"/>
    </row>
    <row r="305" spans="7:29" x14ac:dyDescent="0.2">
      <c r="G305" s="4"/>
      <c r="H305" s="4"/>
      <c r="I305" s="4"/>
      <c r="J305" s="4"/>
      <c r="M305" s="4"/>
      <c r="N305" s="4"/>
      <c r="O305" s="4"/>
      <c r="P305" s="4"/>
      <c r="Q305" s="4"/>
      <c r="R305" s="4"/>
      <c r="S305" s="4"/>
      <c r="AA305" s="4"/>
      <c r="AB305" s="4"/>
      <c r="AC305" s="4"/>
    </row>
    <row r="306" spans="7:29" x14ac:dyDescent="0.2">
      <c r="G306" s="4"/>
      <c r="H306" s="4"/>
      <c r="I306" s="4"/>
      <c r="J306" s="4"/>
      <c r="M306" s="4"/>
      <c r="N306" s="4"/>
      <c r="O306" s="4"/>
      <c r="P306" s="4"/>
      <c r="Q306" s="4"/>
      <c r="R306" s="4"/>
      <c r="S306" s="4"/>
      <c r="AA306" s="4"/>
      <c r="AB306" s="4"/>
      <c r="AC306" s="4"/>
    </row>
    <row r="307" spans="7:29" x14ac:dyDescent="0.2">
      <c r="G307" s="4"/>
      <c r="H307" s="4"/>
      <c r="I307" s="4"/>
      <c r="J307" s="4"/>
      <c r="M307" s="4"/>
      <c r="N307" s="4"/>
      <c r="O307" s="4"/>
      <c r="P307" s="4"/>
      <c r="Q307" s="4"/>
      <c r="R307" s="4"/>
      <c r="S307" s="4"/>
      <c r="AA307" s="4"/>
      <c r="AB307" s="4"/>
      <c r="AC307" s="4"/>
    </row>
    <row r="308" spans="7:29" x14ac:dyDescent="0.2">
      <c r="G308" s="4"/>
      <c r="H308" s="4"/>
      <c r="I308" s="4"/>
      <c r="J308" s="4"/>
      <c r="M308" s="4"/>
      <c r="N308" s="4"/>
      <c r="O308" s="4"/>
      <c r="P308" s="4"/>
      <c r="Q308" s="4"/>
      <c r="R308" s="4"/>
      <c r="S308" s="4"/>
      <c r="AA308" s="4"/>
      <c r="AB308" s="4"/>
      <c r="AC308" s="4"/>
    </row>
    <row r="309" spans="7:29" x14ac:dyDescent="0.2">
      <c r="G309" s="4"/>
      <c r="H309" s="4"/>
      <c r="I309" s="4"/>
      <c r="J309" s="4"/>
      <c r="M309" s="4"/>
      <c r="N309" s="4"/>
      <c r="O309" s="4"/>
      <c r="P309" s="4"/>
      <c r="Q309" s="4"/>
      <c r="R309" s="4"/>
      <c r="S309" s="4"/>
      <c r="AA309" s="4"/>
      <c r="AB309" s="4"/>
      <c r="AC309" s="4"/>
    </row>
    <row r="310" spans="7:29" x14ac:dyDescent="0.2">
      <c r="G310" s="4"/>
      <c r="H310" s="4"/>
      <c r="I310" s="4"/>
      <c r="J310" s="4"/>
      <c r="M310" s="4"/>
      <c r="N310" s="4"/>
      <c r="O310" s="4"/>
      <c r="P310" s="4"/>
      <c r="Q310" s="4"/>
      <c r="R310" s="4"/>
      <c r="S310" s="4"/>
      <c r="AA310" s="4"/>
      <c r="AB310" s="4"/>
      <c r="AC310" s="4"/>
    </row>
    <row r="311" spans="7:29" x14ac:dyDescent="0.2">
      <c r="G311" s="4"/>
      <c r="H311" s="4"/>
      <c r="I311" s="4"/>
      <c r="J311" s="4"/>
      <c r="M311" s="4"/>
      <c r="N311" s="4"/>
      <c r="O311" s="4"/>
      <c r="P311" s="4"/>
      <c r="Q311" s="4"/>
      <c r="R311" s="4"/>
      <c r="S311" s="4"/>
      <c r="AA311" s="4"/>
      <c r="AB311" s="4"/>
      <c r="AC311" s="4"/>
    </row>
    <row r="312" spans="7:29" x14ac:dyDescent="0.2">
      <c r="G312" s="4"/>
      <c r="H312" s="4"/>
      <c r="I312" s="4"/>
      <c r="J312" s="4"/>
      <c r="M312" s="4"/>
      <c r="N312" s="4"/>
      <c r="O312" s="4"/>
      <c r="P312" s="4"/>
      <c r="Q312" s="4"/>
      <c r="R312" s="4"/>
      <c r="S312" s="4"/>
      <c r="AA312" s="4"/>
      <c r="AB312" s="4"/>
      <c r="AC312" s="4"/>
    </row>
    <row r="313" spans="7:29" x14ac:dyDescent="0.2">
      <c r="G313" s="4"/>
      <c r="H313" s="4"/>
      <c r="I313" s="4"/>
      <c r="J313" s="4"/>
      <c r="M313" s="4"/>
      <c r="N313" s="4"/>
      <c r="O313" s="4"/>
      <c r="P313" s="4"/>
      <c r="Q313" s="4"/>
      <c r="R313" s="4"/>
      <c r="S313" s="4"/>
      <c r="AA313" s="4"/>
      <c r="AB313" s="4"/>
      <c r="AC313" s="4"/>
    </row>
    <row r="314" spans="7:29" x14ac:dyDescent="0.2">
      <c r="G314" s="4"/>
      <c r="H314" s="4"/>
      <c r="I314" s="4"/>
      <c r="J314" s="4"/>
      <c r="M314" s="4"/>
      <c r="N314" s="4"/>
      <c r="O314" s="4"/>
      <c r="P314" s="4"/>
      <c r="Q314" s="4"/>
      <c r="R314" s="4"/>
      <c r="S314" s="4"/>
      <c r="AA314" s="4"/>
      <c r="AB314" s="4"/>
      <c r="AC314" s="4"/>
    </row>
    <row r="315" spans="7:29" x14ac:dyDescent="0.2">
      <c r="G315" s="4"/>
      <c r="H315" s="4"/>
      <c r="I315" s="4"/>
      <c r="J315" s="4"/>
      <c r="M315" s="4"/>
      <c r="N315" s="4"/>
      <c r="O315" s="4"/>
      <c r="P315" s="4"/>
      <c r="Q315" s="4"/>
      <c r="R315" s="4"/>
      <c r="S315" s="4"/>
      <c r="AA315" s="4"/>
      <c r="AB315" s="4"/>
      <c r="AC315" s="4"/>
    </row>
    <row r="316" spans="7:29" x14ac:dyDescent="0.2">
      <c r="G316" s="4"/>
      <c r="H316" s="4"/>
      <c r="I316" s="4"/>
      <c r="J316" s="4"/>
      <c r="M316" s="4"/>
      <c r="N316" s="4"/>
      <c r="O316" s="4"/>
      <c r="P316" s="4"/>
      <c r="Q316" s="4"/>
      <c r="R316" s="4"/>
      <c r="S316" s="4"/>
      <c r="AA316" s="4"/>
      <c r="AB316" s="4"/>
      <c r="AC316" s="4"/>
    </row>
    <row r="317" spans="7:29" x14ac:dyDescent="0.2">
      <c r="G317" s="4"/>
      <c r="H317" s="4"/>
      <c r="I317" s="4"/>
      <c r="J317" s="4"/>
      <c r="M317" s="4"/>
      <c r="N317" s="4"/>
      <c r="O317" s="4"/>
      <c r="P317" s="4"/>
      <c r="Q317" s="4"/>
      <c r="R317" s="4"/>
      <c r="S317" s="4"/>
      <c r="AA317" s="4"/>
      <c r="AB317" s="4"/>
      <c r="AC317" s="4"/>
    </row>
    <row r="318" spans="7:29" x14ac:dyDescent="0.2">
      <c r="G318" s="4"/>
      <c r="H318" s="4"/>
      <c r="I318" s="4"/>
      <c r="J318" s="4"/>
      <c r="M318" s="4"/>
      <c r="N318" s="4"/>
      <c r="O318" s="4"/>
      <c r="P318" s="4"/>
      <c r="Q318" s="4"/>
      <c r="R318" s="4"/>
      <c r="S318" s="4"/>
      <c r="AA318" s="4"/>
      <c r="AB318" s="4"/>
      <c r="AC318" s="4"/>
    </row>
    <row r="319" spans="7:29" x14ac:dyDescent="0.2">
      <c r="G319" s="4"/>
      <c r="H319" s="4"/>
      <c r="I319" s="4"/>
      <c r="J319" s="4"/>
      <c r="M319" s="4"/>
      <c r="N319" s="4"/>
      <c r="O319" s="4"/>
      <c r="P319" s="4"/>
      <c r="Q319" s="4"/>
      <c r="R319" s="4"/>
      <c r="S319" s="4"/>
      <c r="AA319" s="4"/>
      <c r="AB319" s="4"/>
      <c r="AC319" s="4"/>
    </row>
    <row r="320" spans="7:29" x14ac:dyDescent="0.2">
      <c r="G320" s="4"/>
      <c r="H320" s="4"/>
      <c r="I320" s="4"/>
      <c r="J320" s="4"/>
      <c r="M320" s="4"/>
      <c r="N320" s="4"/>
      <c r="O320" s="4"/>
      <c r="P320" s="4"/>
      <c r="Q320" s="4"/>
      <c r="R320" s="4"/>
      <c r="S320" s="4"/>
      <c r="AA320" s="4"/>
      <c r="AB320" s="4"/>
      <c r="AC320" s="4"/>
    </row>
    <row r="321" spans="7:29" x14ac:dyDescent="0.2">
      <c r="G321" s="4"/>
      <c r="H321" s="4"/>
      <c r="I321" s="4"/>
      <c r="J321" s="4"/>
      <c r="M321" s="4"/>
      <c r="N321" s="4"/>
      <c r="O321" s="4"/>
      <c r="P321" s="4"/>
      <c r="Q321" s="4"/>
      <c r="R321" s="4"/>
      <c r="S321" s="4"/>
      <c r="AA321" s="4"/>
      <c r="AB321" s="4"/>
      <c r="AC321" s="4"/>
    </row>
    <row r="322" spans="7:29" x14ac:dyDescent="0.2">
      <c r="G322" s="4"/>
      <c r="H322" s="4"/>
      <c r="I322" s="4"/>
      <c r="J322" s="4"/>
      <c r="M322" s="4"/>
      <c r="N322" s="4"/>
      <c r="O322" s="4"/>
      <c r="P322" s="4"/>
      <c r="Q322" s="4"/>
      <c r="R322" s="4"/>
      <c r="S322" s="4"/>
      <c r="AA322" s="4"/>
      <c r="AB322" s="4"/>
      <c r="AC322" s="4"/>
    </row>
    <row r="323" spans="7:29" x14ac:dyDescent="0.2">
      <c r="G323" s="4"/>
      <c r="H323" s="4"/>
      <c r="I323" s="4"/>
      <c r="J323" s="4"/>
      <c r="M323" s="4"/>
      <c r="N323" s="4"/>
      <c r="O323" s="4"/>
      <c r="P323" s="4"/>
      <c r="Q323" s="4"/>
      <c r="R323" s="4"/>
      <c r="S323" s="4"/>
      <c r="AA323" s="4"/>
      <c r="AB323" s="4"/>
      <c r="AC323" s="4"/>
    </row>
    <row r="324" spans="7:29" x14ac:dyDescent="0.2">
      <c r="G324" s="4"/>
      <c r="H324" s="4"/>
      <c r="I324" s="4"/>
      <c r="J324" s="4"/>
      <c r="M324" s="4"/>
      <c r="N324" s="4"/>
      <c r="O324" s="4"/>
      <c r="P324" s="4"/>
      <c r="Q324" s="4"/>
      <c r="R324" s="4"/>
      <c r="S324" s="4"/>
      <c r="AA324" s="4"/>
      <c r="AB324" s="4"/>
      <c r="AC324" s="4"/>
    </row>
    <row r="325" spans="7:29" x14ac:dyDescent="0.2">
      <c r="G325" s="4"/>
      <c r="H325" s="4"/>
      <c r="I325" s="4"/>
      <c r="J325" s="4"/>
      <c r="M325" s="4"/>
      <c r="N325" s="4"/>
      <c r="O325" s="4"/>
      <c r="P325" s="4"/>
      <c r="Q325" s="4"/>
      <c r="R325" s="4"/>
      <c r="S325" s="4"/>
      <c r="AA325" s="4"/>
      <c r="AB325" s="4"/>
      <c r="AC325" s="4"/>
    </row>
    <row r="326" spans="7:29" x14ac:dyDescent="0.2">
      <c r="G326" s="4"/>
      <c r="H326" s="4"/>
      <c r="I326" s="4"/>
      <c r="J326" s="4"/>
      <c r="M326" s="4"/>
      <c r="N326" s="4"/>
      <c r="O326" s="4"/>
      <c r="P326" s="4"/>
      <c r="Q326" s="4"/>
      <c r="R326" s="4"/>
      <c r="S326" s="4"/>
      <c r="AA326" s="4"/>
      <c r="AB326" s="4"/>
      <c r="AC326" s="4"/>
    </row>
    <row r="327" spans="7:29" x14ac:dyDescent="0.2">
      <c r="G327" s="4"/>
      <c r="H327" s="4"/>
      <c r="I327" s="4"/>
      <c r="J327" s="4"/>
      <c r="M327" s="4"/>
      <c r="N327" s="4"/>
      <c r="O327" s="4"/>
      <c r="P327" s="4"/>
      <c r="Q327" s="4"/>
      <c r="R327" s="4"/>
      <c r="S327" s="4"/>
      <c r="AA327" s="4"/>
      <c r="AB327" s="4"/>
      <c r="AC327" s="4"/>
    </row>
    <row r="328" spans="7:29" x14ac:dyDescent="0.2">
      <c r="G328" s="4"/>
      <c r="H328" s="4"/>
      <c r="I328" s="4"/>
      <c r="J328" s="4"/>
      <c r="M328" s="4"/>
      <c r="N328" s="4"/>
      <c r="O328" s="4"/>
      <c r="P328" s="4"/>
      <c r="Q328" s="4"/>
      <c r="R328" s="4"/>
      <c r="S328" s="4"/>
      <c r="AA328" s="4"/>
      <c r="AB328" s="4"/>
      <c r="AC328" s="4"/>
    </row>
    <row r="329" spans="7:29" x14ac:dyDescent="0.2">
      <c r="G329" s="4"/>
      <c r="H329" s="4"/>
      <c r="I329" s="4"/>
      <c r="J329" s="4"/>
      <c r="M329" s="4"/>
      <c r="N329" s="4"/>
      <c r="O329" s="4"/>
      <c r="P329" s="4"/>
      <c r="Q329" s="4"/>
      <c r="R329" s="4"/>
      <c r="S329" s="4"/>
      <c r="AA329" s="4"/>
      <c r="AB329" s="4"/>
      <c r="AC329" s="4"/>
    </row>
    <row r="330" spans="7:29" x14ac:dyDescent="0.2">
      <c r="G330" s="4"/>
      <c r="H330" s="4"/>
      <c r="I330" s="4"/>
      <c r="J330" s="4"/>
      <c r="M330" s="4"/>
      <c r="N330" s="4"/>
      <c r="O330" s="4"/>
      <c r="P330" s="4"/>
      <c r="Q330" s="4"/>
      <c r="R330" s="4"/>
      <c r="S330" s="4"/>
      <c r="AA330" s="4"/>
      <c r="AB330" s="4"/>
      <c r="AC330" s="4"/>
    </row>
    <row r="331" spans="7:29" x14ac:dyDescent="0.2">
      <c r="G331" s="4"/>
      <c r="H331" s="4"/>
      <c r="I331" s="4"/>
      <c r="J331" s="4"/>
      <c r="M331" s="4"/>
      <c r="N331" s="4"/>
      <c r="O331" s="4"/>
      <c r="P331" s="4"/>
      <c r="Q331" s="4"/>
      <c r="R331" s="4"/>
      <c r="S331" s="4"/>
      <c r="AA331" s="4"/>
      <c r="AB331" s="4"/>
      <c r="AC331" s="4"/>
    </row>
    <row r="332" spans="7:29" x14ac:dyDescent="0.2">
      <c r="G332" s="4"/>
      <c r="H332" s="4"/>
      <c r="I332" s="4"/>
      <c r="J332" s="4"/>
      <c r="M332" s="4"/>
      <c r="N332" s="4"/>
      <c r="O332" s="4"/>
      <c r="P332" s="4"/>
      <c r="Q332" s="4"/>
      <c r="R332" s="4"/>
      <c r="S332" s="4"/>
      <c r="AA332" s="4"/>
      <c r="AB332" s="4"/>
      <c r="AC332" s="4"/>
    </row>
    <row r="333" spans="7:29" x14ac:dyDescent="0.2">
      <c r="G333" s="4"/>
      <c r="H333" s="4"/>
      <c r="I333" s="4"/>
      <c r="J333" s="4"/>
      <c r="M333" s="4"/>
      <c r="N333" s="4"/>
      <c r="O333" s="4"/>
      <c r="P333" s="4"/>
      <c r="Q333" s="4"/>
      <c r="R333" s="4"/>
      <c r="S333" s="4"/>
      <c r="AA333" s="4"/>
      <c r="AB333" s="4"/>
      <c r="AC333" s="4"/>
    </row>
    <row r="334" spans="7:29" x14ac:dyDescent="0.2">
      <c r="G334" s="4"/>
      <c r="H334" s="4"/>
      <c r="I334" s="4"/>
      <c r="J334" s="4"/>
      <c r="M334" s="4"/>
      <c r="N334" s="4"/>
      <c r="O334" s="4"/>
      <c r="P334" s="4"/>
      <c r="Q334" s="4"/>
      <c r="R334" s="4"/>
      <c r="S334" s="4"/>
      <c r="AA334" s="4"/>
      <c r="AB334" s="4"/>
      <c r="AC334" s="4"/>
    </row>
    <row r="335" spans="7:29" x14ac:dyDescent="0.2">
      <c r="G335" s="4"/>
      <c r="H335" s="4"/>
      <c r="I335" s="4"/>
      <c r="J335" s="4"/>
      <c r="M335" s="4"/>
      <c r="N335" s="4"/>
      <c r="O335" s="4"/>
      <c r="P335" s="4"/>
      <c r="Q335" s="4"/>
      <c r="R335" s="4"/>
      <c r="S335" s="4"/>
      <c r="AA335" s="4"/>
      <c r="AB335" s="4"/>
      <c r="AC335" s="4"/>
    </row>
    <row r="336" spans="7:29" x14ac:dyDescent="0.2">
      <c r="G336" s="4"/>
      <c r="H336" s="4"/>
      <c r="I336" s="4"/>
      <c r="J336" s="4"/>
      <c r="M336" s="4"/>
      <c r="N336" s="4"/>
      <c r="O336" s="4"/>
      <c r="P336" s="4"/>
      <c r="Q336" s="4"/>
      <c r="R336" s="4"/>
      <c r="S336" s="4"/>
      <c r="AA336" s="4"/>
      <c r="AB336" s="4"/>
      <c r="AC336" s="4"/>
    </row>
    <row r="337" spans="7:29" x14ac:dyDescent="0.2">
      <c r="G337" s="4"/>
      <c r="H337" s="4"/>
      <c r="I337" s="4"/>
      <c r="J337" s="4"/>
      <c r="M337" s="4"/>
      <c r="N337" s="4"/>
      <c r="O337" s="4"/>
      <c r="P337" s="4"/>
      <c r="Q337" s="4"/>
      <c r="R337" s="4"/>
      <c r="S337" s="4"/>
      <c r="AA337" s="4"/>
      <c r="AB337" s="4"/>
      <c r="AC337" s="4"/>
    </row>
    <row r="338" spans="7:29" x14ac:dyDescent="0.2">
      <c r="G338" s="4"/>
      <c r="H338" s="4"/>
      <c r="I338" s="4"/>
      <c r="J338" s="4"/>
      <c r="M338" s="4"/>
      <c r="N338" s="4"/>
      <c r="O338" s="4"/>
      <c r="P338" s="4"/>
      <c r="Q338" s="4"/>
      <c r="R338" s="4"/>
      <c r="S338" s="4"/>
      <c r="AA338" s="4"/>
      <c r="AB338" s="4"/>
      <c r="AC338" s="4"/>
    </row>
    <row r="339" spans="7:29" x14ac:dyDescent="0.2">
      <c r="G339" s="4"/>
      <c r="H339" s="4"/>
      <c r="I339" s="4"/>
      <c r="J339" s="4"/>
      <c r="M339" s="4"/>
      <c r="N339" s="4"/>
      <c r="O339" s="4"/>
      <c r="P339" s="4"/>
      <c r="Q339" s="4"/>
      <c r="R339" s="4"/>
      <c r="S339" s="4"/>
      <c r="AA339" s="4"/>
      <c r="AB339" s="4"/>
      <c r="AC339" s="4"/>
    </row>
    <row r="340" spans="7:29" x14ac:dyDescent="0.2">
      <c r="G340" s="4"/>
      <c r="H340" s="4"/>
      <c r="I340" s="4"/>
      <c r="J340" s="4"/>
      <c r="M340" s="4"/>
      <c r="N340" s="4"/>
      <c r="O340" s="4"/>
      <c r="P340" s="4"/>
      <c r="Q340" s="4"/>
      <c r="R340" s="4"/>
      <c r="S340" s="4"/>
      <c r="AA340" s="4"/>
      <c r="AB340" s="4"/>
      <c r="AC340" s="4"/>
    </row>
    <row r="341" spans="7:29" x14ac:dyDescent="0.2">
      <c r="G341" s="4"/>
      <c r="H341" s="4"/>
      <c r="I341" s="4"/>
      <c r="J341" s="4"/>
      <c r="M341" s="4"/>
      <c r="N341" s="4"/>
      <c r="O341" s="4"/>
      <c r="P341" s="4"/>
      <c r="Q341" s="4"/>
      <c r="R341" s="4"/>
      <c r="S341" s="4"/>
      <c r="AA341" s="4"/>
      <c r="AB341" s="4"/>
      <c r="AC341" s="4"/>
    </row>
    <row r="342" spans="7:29" x14ac:dyDescent="0.2">
      <c r="G342" s="4"/>
      <c r="H342" s="4"/>
      <c r="I342" s="4"/>
      <c r="J342" s="4"/>
      <c r="M342" s="4"/>
      <c r="N342" s="4"/>
      <c r="O342" s="4"/>
      <c r="P342" s="4"/>
      <c r="Q342" s="4"/>
      <c r="R342" s="4"/>
      <c r="S342" s="4"/>
      <c r="AA342" s="4"/>
      <c r="AB342" s="4"/>
      <c r="AC342" s="4"/>
    </row>
    <row r="343" spans="7:29" x14ac:dyDescent="0.2">
      <c r="G343" s="4"/>
      <c r="H343" s="4"/>
      <c r="I343" s="4"/>
      <c r="J343" s="4"/>
      <c r="M343" s="4"/>
      <c r="N343" s="4"/>
      <c r="O343" s="4"/>
      <c r="P343" s="4"/>
      <c r="Q343" s="4"/>
      <c r="R343" s="4"/>
      <c r="S343" s="4"/>
      <c r="AA343" s="4"/>
      <c r="AB343" s="4"/>
      <c r="AC343" s="4"/>
    </row>
    <row r="344" spans="7:29" x14ac:dyDescent="0.2">
      <c r="G344" s="4"/>
      <c r="H344" s="4"/>
      <c r="I344" s="4"/>
      <c r="J344" s="4"/>
      <c r="M344" s="4"/>
      <c r="N344" s="4"/>
      <c r="O344" s="4"/>
      <c r="P344" s="4"/>
      <c r="Q344" s="4"/>
      <c r="R344" s="4"/>
      <c r="S344" s="4"/>
      <c r="AA344" s="4"/>
      <c r="AB344" s="4"/>
      <c r="AC344" s="4"/>
    </row>
    <row r="345" spans="7:29" x14ac:dyDescent="0.2">
      <c r="G345" s="4"/>
      <c r="H345" s="4"/>
      <c r="I345" s="4"/>
      <c r="J345" s="4"/>
      <c r="M345" s="4"/>
      <c r="N345" s="4"/>
      <c r="O345" s="4"/>
      <c r="P345" s="4"/>
      <c r="Q345" s="4"/>
      <c r="R345" s="4"/>
      <c r="S345" s="4"/>
      <c r="AA345" s="4"/>
      <c r="AB345" s="4"/>
      <c r="AC345" s="4"/>
    </row>
    <row r="346" spans="7:29" x14ac:dyDescent="0.2">
      <c r="G346" s="4"/>
      <c r="H346" s="4"/>
      <c r="I346" s="4"/>
      <c r="J346" s="4"/>
      <c r="M346" s="4"/>
      <c r="N346" s="4"/>
      <c r="O346" s="4"/>
      <c r="P346" s="4"/>
      <c r="Q346" s="4"/>
      <c r="R346" s="4"/>
      <c r="S346" s="4"/>
      <c r="AA346" s="4"/>
      <c r="AB346" s="4"/>
      <c r="AC346" s="4"/>
    </row>
    <row r="347" spans="7:29" x14ac:dyDescent="0.2">
      <c r="G347" s="4"/>
      <c r="H347" s="4"/>
      <c r="I347" s="4"/>
      <c r="J347" s="4"/>
      <c r="M347" s="4"/>
      <c r="N347" s="4"/>
      <c r="O347" s="4"/>
      <c r="P347" s="4"/>
      <c r="Q347" s="4"/>
      <c r="R347" s="4"/>
      <c r="S347" s="4"/>
      <c r="AA347" s="4"/>
      <c r="AB347" s="4"/>
      <c r="AC347" s="4"/>
    </row>
    <row r="348" spans="7:29" x14ac:dyDescent="0.2">
      <c r="G348" s="4"/>
      <c r="H348" s="4"/>
      <c r="I348" s="4"/>
      <c r="J348" s="4"/>
      <c r="M348" s="4"/>
      <c r="N348" s="4"/>
      <c r="O348" s="4"/>
      <c r="P348" s="4"/>
      <c r="Q348" s="4"/>
      <c r="R348" s="4"/>
      <c r="S348" s="4"/>
      <c r="AA348" s="4"/>
      <c r="AB348" s="4"/>
      <c r="AC348" s="4"/>
    </row>
    <row r="349" spans="7:29" x14ac:dyDescent="0.2">
      <c r="G349" s="4"/>
      <c r="H349" s="4"/>
      <c r="I349" s="4"/>
      <c r="J349" s="4"/>
      <c r="M349" s="4"/>
      <c r="N349" s="4"/>
      <c r="O349" s="4"/>
      <c r="P349" s="4"/>
      <c r="Q349" s="4"/>
      <c r="R349" s="4"/>
      <c r="S349" s="4"/>
      <c r="AA349" s="4"/>
      <c r="AB349" s="4"/>
      <c r="AC349" s="4"/>
    </row>
    <row r="350" spans="7:29" x14ac:dyDescent="0.2">
      <c r="G350" s="4"/>
      <c r="H350" s="4"/>
      <c r="I350" s="4"/>
      <c r="J350" s="4"/>
      <c r="M350" s="4"/>
      <c r="N350" s="4"/>
      <c r="O350" s="4"/>
      <c r="P350" s="4"/>
      <c r="Q350" s="4"/>
      <c r="R350" s="4"/>
      <c r="S350" s="4"/>
      <c r="AA350" s="4"/>
      <c r="AB350" s="4"/>
      <c r="AC350" s="4"/>
    </row>
    <row r="351" spans="7:29" x14ac:dyDescent="0.2">
      <c r="G351" s="4"/>
      <c r="H351" s="4"/>
      <c r="I351" s="4"/>
      <c r="J351" s="4"/>
      <c r="M351" s="4"/>
      <c r="N351" s="4"/>
      <c r="O351" s="4"/>
      <c r="P351" s="4"/>
      <c r="Q351" s="4"/>
      <c r="R351" s="4"/>
      <c r="S351" s="4"/>
      <c r="AA351" s="4"/>
      <c r="AB351" s="4"/>
      <c r="AC351" s="4"/>
    </row>
    <row r="352" spans="7:29" x14ac:dyDescent="0.2">
      <c r="G352" s="4"/>
      <c r="H352" s="4"/>
      <c r="I352" s="4"/>
      <c r="J352" s="4"/>
      <c r="M352" s="4"/>
      <c r="N352" s="4"/>
      <c r="O352" s="4"/>
      <c r="P352" s="4"/>
      <c r="Q352" s="4"/>
      <c r="R352" s="4"/>
      <c r="S352" s="4"/>
      <c r="AA352" s="4"/>
      <c r="AB352" s="4"/>
      <c r="AC352" s="4"/>
    </row>
  </sheetData>
  <autoFilter ref="B1:BE1" xr:uid="{AB775CC5-3C64-4490-84DB-B1EDB567B61A}">
    <sortState xmlns:xlrd2="http://schemas.microsoft.com/office/spreadsheetml/2017/richdata2" ref="B2:AC283">
      <sortCondition descending="1" ref="G1"/>
    </sortState>
  </autoFilter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1B48-A2FE-4935-A66E-733DEB7280F7}">
  <dimension ref="A3:X9"/>
  <sheetViews>
    <sheetView workbookViewId="0">
      <selection activeCell="G21" sqref="G21"/>
    </sheetView>
  </sheetViews>
  <sheetFormatPr defaultRowHeight="12.75" x14ac:dyDescent="0.2"/>
  <sheetData>
    <row r="3" spans="1:24" ht="38.25" x14ac:dyDescent="0.2">
      <c r="A3" s="2"/>
      <c r="B3" s="2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1077</v>
      </c>
      <c r="J3" s="2" t="s">
        <v>1078</v>
      </c>
      <c r="K3" s="2" t="s">
        <v>1079</v>
      </c>
      <c r="L3" s="2" t="s">
        <v>1080</v>
      </c>
      <c r="M3" s="2" t="s">
        <v>1081</v>
      </c>
      <c r="N3" s="2" t="s">
        <v>1082</v>
      </c>
      <c r="O3" s="2" t="s">
        <v>1083</v>
      </c>
      <c r="P3" s="2" t="s">
        <v>14</v>
      </c>
      <c r="Q3" s="2" t="s">
        <v>15</v>
      </c>
      <c r="R3" s="2" t="s">
        <v>1084</v>
      </c>
      <c r="S3" s="2" t="s">
        <v>1085</v>
      </c>
      <c r="T3" s="2" t="s">
        <v>18</v>
      </c>
      <c r="U3" s="2" t="s">
        <v>1086</v>
      </c>
      <c r="V3" s="2" t="s">
        <v>20</v>
      </c>
      <c r="W3" s="2" t="s">
        <v>1087</v>
      </c>
      <c r="X3" s="2" t="s">
        <v>27</v>
      </c>
    </row>
    <row r="4" spans="1:24" x14ac:dyDescent="0.2">
      <c r="A4" s="22" t="e">
        <v>#N/A</v>
      </c>
      <c r="B4" s="22"/>
      <c r="C4" s="22" t="s">
        <v>766</v>
      </c>
      <c r="D4" s="22" t="s">
        <v>279</v>
      </c>
      <c r="E4" s="22" t="s">
        <v>0</v>
      </c>
      <c r="F4" s="22" t="s">
        <v>280</v>
      </c>
      <c r="G4" s="22" t="s">
        <v>32</v>
      </c>
      <c r="H4" s="27">
        <v>3000</v>
      </c>
      <c r="I4" s="27">
        <v>330</v>
      </c>
      <c r="J4" s="27">
        <v>0</v>
      </c>
      <c r="K4" s="27">
        <v>0</v>
      </c>
      <c r="L4" s="22" t="s">
        <v>33</v>
      </c>
      <c r="M4" s="22" t="s">
        <v>33</v>
      </c>
      <c r="N4" s="27">
        <v>0</v>
      </c>
      <c r="O4" s="27">
        <v>0</v>
      </c>
      <c r="P4" s="27">
        <v>993</v>
      </c>
      <c r="Q4" s="27">
        <v>4</v>
      </c>
      <c r="R4" s="27">
        <v>0</v>
      </c>
      <c r="S4" s="27">
        <v>0</v>
      </c>
      <c r="T4" s="27">
        <v>8000</v>
      </c>
      <c r="U4" s="22" t="s">
        <v>33</v>
      </c>
      <c r="V4" s="22" t="s">
        <v>33</v>
      </c>
      <c r="W4" s="22" t="s">
        <v>35</v>
      </c>
      <c r="X4" s="22" t="s">
        <v>767</v>
      </c>
    </row>
    <row r="5" spans="1:24" x14ac:dyDescent="0.2">
      <c r="A5" s="22" t="e">
        <v>#N/A</v>
      </c>
      <c r="B5" s="22"/>
      <c r="C5" s="22" t="s">
        <v>952</v>
      </c>
      <c r="D5" s="22" t="s">
        <v>953</v>
      </c>
      <c r="E5" s="22" t="s">
        <v>0</v>
      </c>
      <c r="F5" s="22" t="s">
        <v>280</v>
      </c>
      <c r="G5" s="22" t="s">
        <v>32</v>
      </c>
      <c r="H5" s="27">
        <v>2669</v>
      </c>
      <c r="I5" s="27">
        <v>163</v>
      </c>
      <c r="J5" s="27">
        <v>0</v>
      </c>
      <c r="K5" s="27">
        <v>0</v>
      </c>
      <c r="L5" s="22" t="s">
        <v>33</v>
      </c>
      <c r="M5" s="22" t="s">
        <v>33</v>
      </c>
      <c r="N5" s="27">
        <v>140000</v>
      </c>
      <c r="O5" s="27">
        <v>0</v>
      </c>
      <c r="P5" s="27">
        <v>526</v>
      </c>
      <c r="Q5" s="27">
        <v>0</v>
      </c>
      <c r="R5" s="27">
        <v>0</v>
      </c>
      <c r="S5" s="27">
        <v>0</v>
      </c>
      <c r="T5" s="27">
        <v>0</v>
      </c>
      <c r="U5" s="22" t="s">
        <v>33</v>
      </c>
      <c r="V5" s="22" t="s">
        <v>33</v>
      </c>
      <c r="W5" s="22" t="s">
        <v>35</v>
      </c>
      <c r="X5" s="22" t="s">
        <v>951</v>
      </c>
    </row>
    <row r="6" spans="1:24" x14ac:dyDescent="0.2">
      <c r="A6" s="22" t="e">
        <v>#N/A</v>
      </c>
      <c r="B6" s="22"/>
      <c r="C6" s="22" t="s">
        <v>278</v>
      </c>
      <c r="D6" s="22" t="s">
        <v>279</v>
      </c>
      <c r="E6" s="22" t="s">
        <v>0</v>
      </c>
      <c r="F6" s="22" t="s">
        <v>280</v>
      </c>
      <c r="G6" s="22" t="s">
        <v>32</v>
      </c>
      <c r="H6" s="27">
        <v>1680</v>
      </c>
      <c r="I6" s="27">
        <v>365</v>
      </c>
      <c r="J6" s="27">
        <v>14</v>
      </c>
      <c r="K6" s="27">
        <v>0</v>
      </c>
      <c r="L6" s="22" t="s">
        <v>33</v>
      </c>
      <c r="M6" s="22" t="s">
        <v>33</v>
      </c>
      <c r="N6" s="27">
        <v>0</v>
      </c>
      <c r="O6" s="27">
        <v>0</v>
      </c>
      <c r="P6" s="27">
        <v>946</v>
      </c>
      <c r="Q6" s="27">
        <v>8</v>
      </c>
      <c r="R6" s="27">
        <v>6</v>
      </c>
      <c r="S6" s="27">
        <v>0</v>
      </c>
      <c r="T6" s="27">
        <v>4000</v>
      </c>
      <c r="U6" s="22" t="s">
        <v>33</v>
      </c>
      <c r="V6" s="22" t="s">
        <v>33</v>
      </c>
      <c r="W6" s="22" t="s">
        <v>35</v>
      </c>
      <c r="X6" s="22" t="s">
        <v>277</v>
      </c>
    </row>
    <row r="7" spans="1:24" x14ac:dyDescent="0.2">
      <c r="A7" s="22" t="e">
        <v>#N/A</v>
      </c>
      <c r="B7" s="22"/>
      <c r="C7" s="22" t="s">
        <v>739</v>
      </c>
      <c r="D7" s="22" t="s">
        <v>740</v>
      </c>
      <c r="E7" s="22" t="s">
        <v>0</v>
      </c>
      <c r="F7" s="22" t="s">
        <v>280</v>
      </c>
      <c r="G7" s="22" t="s">
        <v>32</v>
      </c>
      <c r="H7" s="27">
        <v>1500</v>
      </c>
      <c r="I7" s="27">
        <v>300</v>
      </c>
      <c r="J7" s="27">
        <v>0</v>
      </c>
      <c r="K7" s="27">
        <v>0</v>
      </c>
      <c r="L7" s="22" t="s">
        <v>33</v>
      </c>
      <c r="M7" s="22" t="s">
        <v>33</v>
      </c>
      <c r="N7" s="27">
        <v>323000</v>
      </c>
      <c r="O7" s="27">
        <v>0</v>
      </c>
      <c r="P7" s="27">
        <v>1226</v>
      </c>
      <c r="Q7" s="27">
        <v>0</v>
      </c>
      <c r="R7" s="27">
        <v>0</v>
      </c>
      <c r="S7" s="27">
        <v>0</v>
      </c>
      <c r="T7" s="27">
        <v>0</v>
      </c>
      <c r="U7" s="22" t="s">
        <v>33</v>
      </c>
      <c r="V7" s="22" t="s">
        <v>33</v>
      </c>
      <c r="W7" s="22" t="s">
        <v>35</v>
      </c>
      <c r="X7" s="22" t="s">
        <v>742</v>
      </c>
    </row>
    <row r="8" spans="1:24" x14ac:dyDescent="0.2">
      <c r="A8" s="22" t="e">
        <v>#N/A</v>
      </c>
      <c r="B8" s="22"/>
      <c r="C8" s="22" t="s">
        <v>950</v>
      </c>
      <c r="D8" s="22" t="s">
        <v>279</v>
      </c>
      <c r="E8" s="22" t="s">
        <v>0</v>
      </c>
      <c r="F8" s="22" t="s">
        <v>280</v>
      </c>
      <c r="G8" s="22" t="s">
        <v>32</v>
      </c>
      <c r="H8" s="27">
        <v>1200</v>
      </c>
      <c r="I8" s="27">
        <v>295</v>
      </c>
      <c r="J8" s="27">
        <v>0</v>
      </c>
      <c r="K8" s="27">
        <v>0</v>
      </c>
      <c r="L8" s="22" t="s">
        <v>33</v>
      </c>
      <c r="M8" s="22" t="s">
        <v>33</v>
      </c>
      <c r="N8" s="27">
        <v>27500</v>
      </c>
      <c r="O8" s="27">
        <v>0</v>
      </c>
      <c r="P8" s="27">
        <v>800</v>
      </c>
      <c r="Q8" s="27">
        <v>4</v>
      </c>
      <c r="R8" s="27">
        <v>0</v>
      </c>
      <c r="S8" s="27">
        <v>3000</v>
      </c>
      <c r="T8" s="27">
        <v>5000</v>
      </c>
      <c r="U8" s="22" t="s">
        <v>33</v>
      </c>
      <c r="V8" s="22" t="s">
        <v>33</v>
      </c>
      <c r="W8" s="22" t="s">
        <v>35</v>
      </c>
      <c r="X8" s="22" t="s">
        <v>951</v>
      </c>
    </row>
    <row r="9" spans="1:24" x14ac:dyDescent="0.2">
      <c r="A9" s="22" t="e">
        <v>#N/A</v>
      </c>
      <c r="B9" s="22"/>
      <c r="C9" s="22" t="s">
        <v>1050</v>
      </c>
      <c r="D9" s="22" t="s">
        <v>279</v>
      </c>
      <c r="E9" s="22" t="s">
        <v>0</v>
      </c>
      <c r="F9" s="22" t="s">
        <v>280</v>
      </c>
      <c r="G9" s="22" t="s">
        <v>40</v>
      </c>
      <c r="H9" s="27">
        <v>1200</v>
      </c>
      <c r="I9" s="27">
        <v>400</v>
      </c>
      <c r="J9" s="27">
        <v>0</v>
      </c>
      <c r="K9" s="27">
        <v>0</v>
      </c>
      <c r="L9" s="22" t="s">
        <v>33</v>
      </c>
      <c r="M9" s="22" t="s">
        <v>33</v>
      </c>
      <c r="N9" s="27">
        <v>0</v>
      </c>
      <c r="O9" s="27">
        <v>0</v>
      </c>
      <c r="P9" s="27">
        <v>475</v>
      </c>
      <c r="Q9" s="27">
        <v>0</v>
      </c>
      <c r="R9" s="27">
        <v>0</v>
      </c>
      <c r="S9" s="27">
        <v>1000</v>
      </c>
      <c r="T9" s="27">
        <v>0</v>
      </c>
      <c r="U9" s="22" t="s">
        <v>33</v>
      </c>
      <c r="V9" s="22" t="s">
        <v>33</v>
      </c>
      <c r="W9" s="22" t="s">
        <v>35</v>
      </c>
      <c r="X9" s="22" t="s">
        <v>1051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CA1C-E72A-4C49-A10C-C93E0641DA1B}">
  <dimension ref="B3:I390"/>
  <sheetViews>
    <sheetView workbookViewId="0">
      <selection activeCell="B3" sqref="B3:I5"/>
    </sheetView>
  </sheetViews>
  <sheetFormatPr defaultRowHeight="12.75" x14ac:dyDescent="0.2"/>
  <cols>
    <col min="2" max="2" width="65.140625" bestFit="1" customWidth="1"/>
    <col min="3" max="3" width="11.140625" bestFit="1" customWidth="1"/>
    <col min="7" max="7" width="13.42578125" bestFit="1" customWidth="1"/>
    <col min="8" max="8" width="14.28515625" bestFit="1" customWidth="1"/>
  </cols>
  <sheetData>
    <row r="3" spans="2:9" x14ac:dyDescent="0.2">
      <c r="B3" t="s">
        <v>1493</v>
      </c>
      <c r="C3" t="s">
        <v>1494</v>
      </c>
      <c r="D3" t="s">
        <v>1494</v>
      </c>
      <c r="E3" t="s">
        <v>1499</v>
      </c>
      <c r="F3" t="s">
        <v>1499</v>
      </c>
      <c r="G3" t="s">
        <v>1500</v>
      </c>
      <c r="H3" t="s">
        <v>1501</v>
      </c>
      <c r="I3" t="s">
        <v>3</v>
      </c>
    </row>
    <row r="4" spans="2:9" x14ac:dyDescent="0.2">
      <c r="C4" t="s">
        <v>1495</v>
      </c>
      <c r="D4" t="s">
        <v>1497</v>
      </c>
      <c r="E4" t="s">
        <v>1495</v>
      </c>
      <c r="F4" t="s">
        <v>1497</v>
      </c>
    </row>
    <row r="5" spans="2:9" x14ac:dyDescent="0.2">
      <c r="C5" t="s">
        <v>1496</v>
      </c>
      <c r="D5" t="s">
        <v>1498</v>
      </c>
      <c r="E5" t="s">
        <v>1496</v>
      </c>
      <c r="F5" t="s">
        <v>1498</v>
      </c>
    </row>
    <row r="6" spans="2:9" x14ac:dyDescent="0.2">
      <c r="B6" t="s">
        <v>1502</v>
      </c>
      <c r="C6" s="1">
        <v>87546</v>
      </c>
      <c r="D6">
        <v>55</v>
      </c>
      <c r="E6" s="1">
        <v>87546</v>
      </c>
      <c r="F6">
        <v>55</v>
      </c>
      <c r="G6" t="s">
        <v>1503</v>
      </c>
      <c r="H6" t="s">
        <v>31</v>
      </c>
      <c r="I6" t="s">
        <v>1504</v>
      </c>
    </row>
    <row r="7" spans="2:9" x14ac:dyDescent="0.2">
      <c r="B7" t="s">
        <v>1505</v>
      </c>
      <c r="C7" s="1">
        <v>86462</v>
      </c>
      <c r="D7">
        <v>67</v>
      </c>
      <c r="E7" s="1">
        <v>86462</v>
      </c>
      <c r="F7">
        <v>67</v>
      </c>
      <c r="G7" t="s">
        <v>1503</v>
      </c>
      <c r="H7" t="s">
        <v>31</v>
      </c>
      <c r="I7" t="s">
        <v>1506</v>
      </c>
    </row>
    <row r="8" spans="2:9" x14ac:dyDescent="0.2">
      <c r="B8" t="s">
        <v>1507</v>
      </c>
      <c r="C8" s="1">
        <v>84694</v>
      </c>
      <c r="D8">
        <v>119</v>
      </c>
      <c r="E8" s="1">
        <v>84694</v>
      </c>
      <c r="F8">
        <v>119</v>
      </c>
      <c r="G8" t="s">
        <v>1503</v>
      </c>
      <c r="H8" t="s">
        <v>1508</v>
      </c>
    </row>
    <row r="9" spans="2:9" x14ac:dyDescent="0.2">
      <c r="B9" t="s">
        <v>1509</v>
      </c>
      <c r="C9" s="1">
        <v>76987</v>
      </c>
      <c r="D9">
        <v>63</v>
      </c>
      <c r="E9" s="1">
        <v>76987</v>
      </c>
      <c r="F9">
        <v>63</v>
      </c>
      <c r="G9" t="s">
        <v>1503</v>
      </c>
      <c r="H9" t="s">
        <v>31</v>
      </c>
      <c r="I9" t="s">
        <v>1510</v>
      </c>
    </row>
    <row r="10" spans="2:9" x14ac:dyDescent="0.2">
      <c r="B10" t="s">
        <v>1511</v>
      </c>
      <c r="C10" s="1">
        <v>71716</v>
      </c>
      <c r="D10">
        <v>151</v>
      </c>
      <c r="E10" s="1">
        <v>71716</v>
      </c>
      <c r="F10">
        <v>151</v>
      </c>
      <c r="G10" t="s">
        <v>1503</v>
      </c>
      <c r="H10" t="s">
        <v>1512</v>
      </c>
      <c r="I10" t="s">
        <v>1513</v>
      </c>
    </row>
    <row r="11" spans="2:9" x14ac:dyDescent="0.2">
      <c r="B11" t="s">
        <v>1514</v>
      </c>
      <c r="C11" s="1">
        <v>63212</v>
      </c>
      <c r="D11">
        <v>84</v>
      </c>
      <c r="E11" s="1">
        <v>63212</v>
      </c>
      <c r="F11">
        <v>84</v>
      </c>
      <c r="G11" t="s">
        <v>1503</v>
      </c>
      <c r="H11" t="s">
        <v>1512</v>
      </c>
      <c r="I11" t="s">
        <v>1513</v>
      </c>
    </row>
    <row r="12" spans="2:9" x14ac:dyDescent="0.2">
      <c r="B12" t="s">
        <v>1515</v>
      </c>
      <c r="C12" s="1">
        <v>51348</v>
      </c>
      <c r="D12">
        <v>43</v>
      </c>
      <c r="E12" s="1">
        <v>51348</v>
      </c>
      <c r="F12">
        <v>43</v>
      </c>
      <c r="G12" t="s">
        <v>1503</v>
      </c>
      <c r="H12" t="s">
        <v>31</v>
      </c>
      <c r="I12" t="s">
        <v>1506</v>
      </c>
    </row>
    <row r="13" spans="2:9" x14ac:dyDescent="0.2">
      <c r="B13" t="s">
        <v>1516</v>
      </c>
      <c r="C13" s="1">
        <v>41955</v>
      </c>
      <c r="D13">
        <v>34</v>
      </c>
      <c r="E13" s="1">
        <v>41955</v>
      </c>
      <c r="F13">
        <v>34</v>
      </c>
      <c r="G13" t="s">
        <v>1503</v>
      </c>
      <c r="H13" t="s">
        <v>31</v>
      </c>
      <c r="I13" t="s">
        <v>1510</v>
      </c>
    </row>
    <row r="14" spans="2:9" x14ac:dyDescent="0.2">
      <c r="B14" t="s">
        <v>1517</v>
      </c>
      <c r="C14" s="1">
        <v>41327</v>
      </c>
      <c r="D14">
        <v>21</v>
      </c>
      <c r="E14" s="1">
        <v>41327</v>
      </c>
      <c r="F14">
        <v>21</v>
      </c>
      <c r="G14" t="s">
        <v>1518</v>
      </c>
      <c r="H14" t="s">
        <v>31</v>
      </c>
      <c r="I14" t="s">
        <v>1519</v>
      </c>
    </row>
    <row r="15" spans="2:9" x14ac:dyDescent="0.2">
      <c r="B15" t="s">
        <v>1520</v>
      </c>
      <c r="C15" s="1">
        <v>41327</v>
      </c>
      <c r="D15">
        <v>21</v>
      </c>
      <c r="E15" s="1">
        <v>41327</v>
      </c>
      <c r="F15">
        <v>21</v>
      </c>
      <c r="G15" t="s">
        <v>1518</v>
      </c>
      <c r="H15" t="s">
        <v>31</v>
      </c>
      <c r="I15" t="s">
        <v>1519</v>
      </c>
    </row>
    <row r="16" spans="2:9" x14ac:dyDescent="0.2">
      <c r="B16" t="s">
        <v>1521</v>
      </c>
      <c r="C16" s="1">
        <v>41327</v>
      </c>
      <c r="D16">
        <v>21</v>
      </c>
      <c r="E16" s="1">
        <v>41327</v>
      </c>
      <c r="F16">
        <v>21</v>
      </c>
      <c r="G16" t="s">
        <v>1518</v>
      </c>
      <c r="H16" t="s">
        <v>31</v>
      </c>
      <c r="I16" t="s">
        <v>1519</v>
      </c>
    </row>
    <row r="17" spans="2:9" x14ac:dyDescent="0.2">
      <c r="B17" t="s">
        <v>82</v>
      </c>
      <c r="C17" s="1">
        <v>40014</v>
      </c>
      <c r="D17">
        <v>21</v>
      </c>
      <c r="E17" s="1">
        <v>40014</v>
      </c>
      <c r="F17">
        <v>21</v>
      </c>
      <c r="G17" t="s">
        <v>1503</v>
      </c>
      <c r="H17" t="s">
        <v>31</v>
      </c>
      <c r="I17" t="s">
        <v>1510</v>
      </c>
    </row>
    <row r="18" spans="2:9" x14ac:dyDescent="0.2">
      <c r="B18" t="s">
        <v>633</v>
      </c>
      <c r="C18" s="1">
        <v>31640</v>
      </c>
      <c r="D18">
        <v>30</v>
      </c>
      <c r="E18" s="1">
        <v>31640</v>
      </c>
      <c r="F18">
        <v>30</v>
      </c>
      <c r="G18" t="s">
        <v>1518</v>
      </c>
      <c r="H18" t="s">
        <v>31</v>
      </c>
      <c r="I18" t="s">
        <v>1522</v>
      </c>
    </row>
    <row r="19" spans="2:9" x14ac:dyDescent="0.2">
      <c r="B19" t="s">
        <v>1523</v>
      </c>
      <c r="C19" s="1">
        <v>29988</v>
      </c>
      <c r="D19">
        <v>25</v>
      </c>
      <c r="E19" s="1">
        <v>29988</v>
      </c>
      <c r="F19">
        <v>25</v>
      </c>
      <c r="G19" t="s">
        <v>1503</v>
      </c>
      <c r="H19" t="s">
        <v>31</v>
      </c>
      <c r="I19" t="s">
        <v>1504</v>
      </c>
    </row>
    <row r="20" spans="2:9" x14ac:dyDescent="0.2">
      <c r="B20" t="s">
        <v>1524</v>
      </c>
      <c r="C20" s="1">
        <v>29478</v>
      </c>
      <c r="D20">
        <v>55</v>
      </c>
      <c r="E20" s="1">
        <v>29478</v>
      </c>
      <c r="F20">
        <v>55</v>
      </c>
      <c r="G20" t="s">
        <v>1503</v>
      </c>
      <c r="H20" t="s">
        <v>31</v>
      </c>
      <c r="I20" t="s">
        <v>1525</v>
      </c>
    </row>
    <row r="21" spans="2:9" x14ac:dyDescent="0.2">
      <c r="B21" t="s">
        <v>1526</v>
      </c>
      <c r="C21" s="1">
        <v>28092</v>
      </c>
      <c r="D21">
        <v>28</v>
      </c>
      <c r="E21" s="1">
        <v>28092</v>
      </c>
      <c r="F21">
        <v>28</v>
      </c>
      <c r="G21" t="s">
        <v>1518</v>
      </c>
      <c r="H21" t="s">
        <v>31</v>
      </c>
      <c r="I21" t="s">
        <v>1522</v>
      </c>
    </row>
    <row r="22" spans="2:9" x14ac:dyDescent="0.2">
      <c r="B22" t="s">
        <v>1527</v>
      </c>
      <c r="C22" s="1">
        <v>26746</v>
      </c>
      <c r="D22">
        <v>24</v>
      </c>
      <c r="E22" s="1">
        <v>26746</v>
      </c>
      <c r="F22">
        <v>24</v>
      </c>
      <c r="G22" t="s">
        <v>1503</v>
      </c>
      <c r="H22" t="s">
        <v>31</v>
      </c>
      <c r="I22" t="s">
        <v>1510</v>
      </c>
    </row>
    <row r="23" spans="2:9" x14ac:dyDescent="0.2">
      <c r="B23" t="s">
        <v>1528</v>
      </c>
      <c r="C23" s="1">
        <v>25913</v>
      </c>
      <c r="D23">
        <v>24</v>
      </c>
      <c r="E23" s="1">
        <v>25913</v>
      </c>
      <c r="F23">
        <v>24</v>
      </c>
      <c r="G23" t="s">
        <v>1503</v>
      </c>
      <c r="H23" t="s">
        <v>31</v>
      </c>
      <c r="I23" t="s">
        <v>1529</v>
      </c>
    </row>
    <row r="24" spans="2:9" x14ac:dyDescent="0.2">
      <c r="B24" t="s">
        <v>350</v>
      </c>
      <c r="C24" s="1">
        <v>23864</v>
      </c>
      <c r="D24">
        <v>23</v>
      </c>
      <c r="E24" s="1">
        <v>23864</v>
      </c>
      <c r="F24">
        <v>23</v>
      </c>
      <c r="G24" t="s">
        <v>1503</v>
      </c>
      <c r="H24" t="s">
        <v>180</v>
      </c>
      <c r="I24" t="s">
        <v>1530</v>
      </c>
    </row>
    <row r="25" spans="2:9" x14ac:dyDescent="0.2">
      <c r="B25" t="s">
        <v>1531</v>
      </c>
      <c r="C25" s="1">
        <v>22514</v>
      </c>
      <c r="D25">
        <v>12</v>
      </c>
      <c r="E25" s="1">
        <v>22514</v>
      </c>
      <c r="F25">
        <v>12</v>
      </c>
      <c r="G25" t="s">
        <v>1503</v>
      </c>
      <c r="H25" t="s">
        <v>675</v>
      </c>
    </row>
    <row r="26" spans="2:9" x14ac:dyDescent="0.2">
      <c r="B26" t="s">
        <v>1532</v>
      </c>
      <c r="C26" s="1">
        <v>22329</v>
      </c>
      <c r="D26">
        <v>32</v>
      </c>
      <c r="E26" s="1">
        <v>22329</v>
      </c>
      <c r="F26">
        <v>32</v>
      </c>
      <c r="G26" t="s">
        <v>1503</v>
      </c>
      <c r="H26" t="s">
        <v>190</v>
      </c>
    </row>
    <row r="27" spans="2:9" x14ac:dyDescent="0.2">
      <c r="B27" t="s">
        <v>1533</v>
      </c>
      <c r="C27" s="1">
        <v>21980</v>
      </c>
      <c r="D27">
        <v>7</v>
      </c>
      <c r="E27" s="1">
        <v>21980</v>
      </c>
      <c r="F27">
        <v>7</v>
      </c>
      <c r="G27" t="s">
        <v>1503</v>
      </c>
      <c r="H27" t="s">
        <v>31</v>
      </c>
      <c r="I27" t="s">
        <v>1510</v>
      </c>
    </row>
    <row r="28" spans="2:9" x14ac:dyDescent="0.2">
      <c r="B28" t="s">
        <v>1534</v>
      </c>
      <c r="C28" s="1">
        <v>20661</v>
      </c>
      <c r="D28">
        <v>10</v>
      </c>
      <c r="E28" s="1">
        <v>20661</v>
      </c>
      <c r="F28">
        <v>10</v>
      </c>
      <c r="G28" t="s">
        <v>1518</v>
      </c>
      <c r="H28" t="s">
        <v>31</v>
      </c>
      <c r="I28" t="s">
        <v>1535</v>
      </c>
    </row>
    <row r="29" spans="2:9" x14ac:dyDescent="0.2">
      <c r="B29" t="s">
        <v>1536</v>
      </c>
      <c r="C29" s="1">
        <v>20661</v>
      </c>
      <c r="D29">
        <v>10</v>
      </c>
      <c r="E29" s="1">
        <v>20661</v>
      </c>
      <c r="F29">
        <v>10</v>
      </c>
      <c r="G29" t="s">
        <v>1518</v>
      </c>
      <c r="H29" t="s">
        <v>31</v>
      </c>
      <c r="I29" t="s">
        <v>1535</v>
      </c>
    </row>
    <row r="30" spans="2:9" x14ac:dyDescent="0.2">
      <c r="B30" t="s">
        <v>1537</v>
      </c>
      <c r="C30" s="1">
        <v>19230</v>
      </c>
      <c r="D30">
        <v>10</v>
      </c>
      <c r="E30" s="1">
        <v>19230</v>
      </c>
      <c r="F30">
        <v>10</v>
      </c>
      <c r="G30" t="s">
        <v>1503</v>
      </c>
      <c r="H30" t="s">
        <v>180</v>
      </c>
      <c r="I30" t="s">
        <v>1530</v>
      </c>
    </row>
    <row r="31" spans="2:9" x14ac:dyDescent="0.2">
      <c r="B31" t="s">
        <v>1538</v>
      </c>
      <c r="C31" s="1">
        <v>19019</v>
      </c>
      <c r="D31">
        <v>18</v>
      </c>
      <c r="E31" s="1">
        <v>19019</v>
      </c>
      <c r="F31">
        <v>18</v>
      </c>
      <c r="G31" t="s">
        <v>1503</v>
      </c>
      <c r="H31" t="s">
        <v>1539</v>
      </c>
    </row>
    <row r="32" spans="2:9" x14ac:dyDescent="0.2">
      <c r="B32" t="s">
        <v>1540</v>
      </c>
      <c r="C32" s="1">
        <v>19019</v>
      </c>
      <c r="D32">
        <v>19</v>
      </c>
      <c r="E32" s="1">
        <v>19019</v>
      </c>
      <c r="F32">
        <v>19</v>
      </c>
      <c r="G32" t="s">
        <v>1503</v>
      </c>
      <c r="H32" t="s">
        <v>275</v>
      </c>
    </row>
    <row r="33" spans="2:9" x14ac:dyDescent="0.2">
      <c r="B33" t="s">
        <v>1541</v>
      </c>
      <c r="C33" s="1">
        <v>18144</v>
      </c>
      <c r="D33">
        <v>32</v>
      </c>
      <c r="E33" s="1">
        <v>18144</v>
      </c>
      <c r="F33">
        <v>32</v>
      </c>
      <c r="G33" t="s">
        <v>1503</v>
      </c>
      <c r="H33" t="s">
        <v>180</v>
      </c>
      <c r="I33" t="s">
        <v>1542</v>
      </c>
    </row>
    <row r="34" spans="2:9" x14ac:dyDescent="0.2">
      <c r="B34" t="s">
        <v>1543</v>
      </c>
      <c r="C34" s="1">
        <v>17078</v>
      </c>
      <c r="D34">
        <v>7</v>
      </c>
      <c r="E34" s="1">
        <v>17078</v>
      </c>
      <c r="F34">
        <v>7</v>
      </c>
      <c r="G34" t="s">
        <v>1503</v>
      </c>
      <c r="H34" t="s">
        <v>837</v>
      </c>
    </row>
    <row r="35" spans="2:9" x14ac:dyDescent="0.2">
      <c r="B35" t="s">
        <v>1544</v>
      </c>
      <c r="C35" s="1">
        <v>16662</v>
      </c>
      <c r="D35">
        <v>14</v>
      </c>
      <c r="E35" s="1">
        <v>16662</v>
      </c>
      <c r="F35">
        <v>14</v>
      </c>
      <c r="G35" t="s">
        <v>1503</v>
      </c>
      <c r="H35" t="s">
        <v>31</v>
      </c>
      <c r="I35" t="s">
        <v>1504</v>
      </c>
    </row>
    <row r="36" spans="2:9" x14ac:dyDescent="0.2">
      <c r="B36" t="s">
        <v>1545</v>
      </c>
      <c r="C36" s="1">
        <v>16491</v>
      </c>
      <c r="D36">
        <v>6</v>
      </c>
      <c r="E36" s="1">
        <v>16491</v>
      </c>
      <c r="F36">
        <v>6</v>
      </c>
      <c r="G36" t="s">
        <v>1503</v>
      </c>
      <c r="H36" t="s">
        <v>31</v>
      </c>
      <c r="I36" t="s">
        <v>1504</v>
      </c>
    </row>
    <row r="37" spans="2:9" x14ac:dyDescent="0.2">
      <c r="B37" t="s">
        <v>1546</v>
      </c>
      <c r="C37" s="1">
        <v>15639</v>
      </c>
      <c r="D37">
        <v>12</v>
      </c>
      <c r="E37" s="1">
        <v>15639</v>
      </c>
      <c r="F37">
        <v>12</v>
      </c>
      <c r="G37" t="s">
        <v>1518</v>
      </c>
      <c r="H37" t="s">
        <v>31</v>
      </c>
      <c r="I37" t="s">
        <v>1547</v>
      </c>
    </row>
    <row r="38" spans="2:9" x14ac:dyDescent="0.2">
      <c r="B38" t="s">
        <v>1548</v>
      </c>
      <c r="C38" s="1">
        <v>15639</v>
      </c>
      <c r="D38">
        <v>12</v>
      </c>
      <c r="E38" s="1">
        <v>15639</v>
      </c>
      <c r="F38">
        <v>12</v>
      </c>
      <c r="G38" t="s">
        <v>1518</v>
      </c>
      <c r="H38" t="s">
        <v>31</v>
      </c>
      <c r="I38" t="s">
        <v>1522</v>
      </c>
    </row>
    <row r="39" spans="2:9" x14ac:dyDescent="0.2">
      <c r="B39" t="s">
        <v>1549</v>
      </c>
      <c r="C39" s="1">
        <v>15478</v>
      </c>
      <c r="D39">
        <v>6</v>
      </c>
      <c r="E39" s="1">
        <v>15478</v>
      </c>
      <c r="F39">
        <v>6</v>
      </c>
      <c r="G39" t="s">
        <v>1518</v>
      </c>
      <c r="H39" t="s">
        <v>31</v>
      </c>
      <c r="I39" t="s">
        <v>1522</v>
      </c>
    </row>
    <row r="40" spans="2:9" x14ac:dyDescent="0.2">
      <c r="B40" t="s">
        <v>1550</v>
      </c>
      <c r="C40" s="1">
        <v>15435</v>
      </c>
      <c r="D40">
        <v>15</v>
      </c>
      <c r="E40" s="1">
        <v>15435</v>
      </c>
      <c r="F40">
        <v>15</v>
      </c>
      <c r="G40" t="s">
        <v>1503</v>
      </c>
      <c r="H40" t="s">
        <v>275</v>
      </c>
    </row>
    <row r="41" spans="2:9" x14ac:dyDescent="0.2">
      <c r="B41" t="s">
        <v>1551</v>
      </c>
      <c r="C41" s="1">
        <v>14439</v>
      </c>
      <c r="D41">
        <v>9</v>
      </c>
      <c r="E41" s="1">
        <v>14439</v>
      </c>
      <c r="F41">
        <v>9</v>
      </c>
      <c r="G41" t="s">
        <v>1503</v>
      </c>
      <c r="H41" t="s">
        <v>31</v>
      </c>
      <c r="I41" t="s">
        <v>1510</v>
      </c>
    </row>
    <row r="42" spans="2:9" x14ac:dyDescent="0.2">
      <c r="B42" t="s">
        <v>1552</v>
      </c>
      <c r="C42" s="1">
        <v>13682</v>
      </c>
      <c r="D42">
        <v>77</v>
      </c>
      <c r="E42" s="1">
        <v>13682</v>
      </c>
      <c r="F42">
        <v>94</v>
      </c>
      <c r="G42" t="s">
        <v>1503</v>
      </c>
      <c r="H42" t="s">
        <v>31</v>
      </c>
      <c r="I42" t="s">
        <v>1519</v>
      </c>
    </row>
    <row r="43" spans="2:9" x14ac:dyDescent="0.2">
      <c r="B43" t="s">
        <v>1553</v>
      </c>
      <c r="C43" s="1">
        <v>13554</v>
      </c>
      <c r="D43">
        <v>216</v>
      </c>
      <c r="E43" s="1">
        <v>13554</v>
      </c>
      <c r="F43">
        <v>216</v>
      </c>
      <c r="G43" t="s">
        <v>1503</v>
      </c>
      <c r="H43" t="s">
        <v>1554</v>
      </c>
    </row>
    <row r="44" spans="2:9" x14ac:dyDescent="0.2">
      <c r="B44" t="s">
        <v>648</v>
      </c>
      <c r="C44" s="1">
        <v>13286</v>
      </c>
      <c r="D44">
        <v>12</v>
      </c>
      <c r="E44" s="1">
        <v>13286</v>
      </c>
      <c r="F44">
        <v>12</v>
      </c>
      <c r="G44" t="s">
        <v>1503</v>
      </c>
      <c r="H44" t="s">
        <v>31</v>
      </c>
      <c r="I44" t="s">
        <v>1555</v>
      </c>
    </row>
    <row r="45" spans="2:9" x14ac:dyDescent="0.2">
      <c r="B45" t="s">
        <v>1556</v>
      </c>
      <c r="C45" s="1">
        <v>12554</v>
      </c>
      <c r="D45">
        <v>14</v>
      </c>
      <c r="E45" s="1">
        <v>12554</v>
      </c>
      <c r="F45">
        <v>14</v>
      </c>
      <c r="G45" t="s">
        <v>1503</v>
      </c>
      <c r="H45" t="s">
        <v>1557</v>
      </c>
    </row>
    <row r="46" spans="2:9" x14ac:dyDescent="0.2">
      <c r="B46" t="s">
        <v>1558</v>
      </c>
      <c r="C46" s="1">
        <v>12072</v>
      </c>
      <c r="D46">
        <v>4</v>
      </c>
      <c r="E46" s="1">
        <v>12072</v>
      </c>
      <c r="F46">
        <v>4</v>
      </c>
      <c r="G46" t="s">
        <v>1503</v>
      </c>
      <c r="H46" t="s">
        <v>311</v>
      </c>
      <c r="I46" t="s">
        <v>1559</v>
      </c>
    </row>
    <row r="47" spans="2:9" x14ac:dyDescent="0.2">
      <c r="B47" t="s">
        <v>424</v>
      </c>
      <c r="C47" s="1">
        <v>11797</v>
      </c>
      <c r="D47">
        <v>15</v>
      </c>
      <c r="E47" s="1">
        <v>11797</v>
      </c>
      <c r="F47">
        <v>15</v>
      </c>
      <c r="G47" t="s">
        <v>1503</v>
      </c>
      <c r="H47" t="s">
        <v>190</v>
      </c>
    </row>
    <row r="48" spans="2:9" x14ac:dyDescent="0.2">
      <c r="B48" t="s">
        <v>1560</v>
      </c>
      <c r="C48" s="1">
        <v>11784</v>
      </c>
      <c r="D48">
        <v>5</v>
      </c>
      <c r="E48" s="1">
        <v>11784</v>
      </c>
      <c r="F48">
        <v>5</v>
      </c>
      <c r="G48" t="s">
        <v>1503</v>
      </c>
      <c r="H48" t="s">
        <v>180</v>
      </c>
      <c r="I48" t="s">
        <v>1530</v>
      </c>
    </row>
    <row r="49" spans="2:9" x14ac:dyDescent="0.2">
      <c r="B49" t="s">
        <v>1561</v>
      </c>
      <c r="C49" s="1">
        <v>11715</v>
      </c>
      <c r="D49">
        <v>27</v>
      </c>
      <c r="E49" s="1">
        <v>11715</v>
      </c>
      <c r="F49">
        <v>27</v>
      </c>
      <c r="G49" t="s">
        <v>1503</v>
      </c>
      <c r="H49" t="s">
        <v>198</v>
      </c>
    </row>
    <row r="50" spans="2:9" x14ac:dyDescent="0.2">
      <c r="B50" t="s">
        <v>1562</v>
      </c>
      <c r="C50" s="1">
        <v>11413</v>
      </c>
      <c r="D50">
        <v>65</v>
      </c>
      <c r="E50" s="1">
        <v>11413</v>
      </c>
      <c r="F50">
        <v>65</v>
      </c>
      <c r="G50" t="s">
        <v>1503</v>
      </c>
      <c r="H50" t="s">
        <v>1554</v>
      </c>
    </row>
    <row r="51" spans="2:9" x14ac:dyDescent="0.2">
      <c r="B51" t="s">
        <v>842</v>
      </c>
      <c r="C51" s="1">
        <v>11316</v>
      </c>
      <c r="D51">
        <v>3</v>
      </c>
      <c r="E51" s="1">
        <v>11316</v>
      </c>
      <c r="F51">
        <v>3</v>
      </c>
      <c r="G51" t="s">
        <v>1503</v>
      </c>
      <c r="H51" t="s">
        <v>837</v>
      </c>
    </row>
    <row r="52" spans="2:9" x14ac:dyDescent="0.2">
      <c r="B52" t="s">
        <v>1563</v>
      </c>
      <c r="C52" s="1">
        <v>10954</v>
      </c>
      <c r="D52">
        <v>5</v>
      </c>
      <c r="E52" s="1">
        <v>10954</v>
      </c>
      <c r="F52">
        <v>5</v>
      </c>
      <c r="G52" t="s">
        <v>1503</v>
      </c>
      <c r="H52" t="s">
        <v>31</v>
      </c>
      <c r="I52" t="s">
        <v>1564</v>
      </c>
    </row>
    <row r="53" spans="2:9" x14ac:dyDescent="0.2">
      <c r="B53" t="s">
        <v>1565</v>
      </c>
      <c r="C53" s="1">
        <v>10880</v>
      </c>
      <c r="D53">
        <v>4</v>
      </c>
      <c r="E53" s="1">
        <v>10880</v>
      </c>
      <c r="F53">
        <v>4</v>
      </c>
      <c r="G53" t="s">
        <v>1503</v>
      </c>
      <c r="H53" t="s">
        <v>1539</v>
      </c>
    </row>
    <row r="54" spans="2:9" x14ac:dyDescent="0.2">
      <c r="B54" t="s">
        <v>1566</v>
      </c>
      <c r="C54" s="1">
        <v>10602</v>
      </c>
      <c r="D54">
        <v>121</v>
      </c>
      <c r="E54" s="1">
        <v>10602</v>
      </c>
      <c r="F54">
        <v>121</v>
      </c>
      <c r="G54" t="s">
        <v>1503</v>
      </c>
      <c r="H54" t="s">
        <v>1567</v>
      </c>
    </row>
    <row r="55" spans="2:9" x14ac:dyDescent="0.2">
      <c r="B55" t="s">
        <v>1568</v>
      </c>
      <c r="C55" s="1">
        <v>10518</v>
      </c>
      <c r="D55">
        <v>4</v>
      </c>
      <c r="E55" s="1">
        <v>10518</v>
      </c>
      <c r="F55">
        <v>4</v>
      </c>
      <c r="G55" t="s">
        <v>1503</v>
      </c>
      <c r="H55" t="s">
        <v>180</v>
      </c>
      <c r="I55" t="s">
        <v>1530</v>
      </c>
    </row>
    <row r="56" spans="2:9" x14ac:dyDescent="0.2">
      <c r="B56" t="s">
        <v>251</v>
      </c>
      <c r="C56" s="1">
        <v>10392</v>
      </c>
      <c r="D56">
        <v>23</v>
      </c>
      <c r="E56" s="1">
        <v>10392</v>
      </c>
      <c r="F56">
        <v>23</v>
      </c>
      <c r="G56" t="s">
        <v>1518</v>
      </c>
      <c r="H56" t="s">
        <v>31</v>
      </c>
      <c r="I56" t="s">
        <v>1522</v>
      </c>
    </row>
    <row r="57" spans="2:9" x14ac:dyDescent="0.2">
      <c r="B57" t="s">
        <v>1569</v>
      </c>
      <c r="C57" s="1">
        <v>10119</v>
      </c>
      <c r="D57">
        <v>5</v>
      </c>
      <c r="E57" s="1">
        <v>10119</v>
      </c>
      <c r="F57">
        <v>5</v>
      </c>
      <c r="G57" t="s">
        <v>1518</v>
      </c>
      <c r="H57" t="s">
        <v>31</v>
      </c>
      <c r="I57" t="s">
        <v>1570</v>
      </c>
    </row>
    <row r="58" spans="2:9" x14ac:dyDescent="0.2">
      <c r="B58" t="s">
        <v>1571</v>
      </c>
      <c r="C58" s="1">
        <v>9978</v>
      </c>
      <c r="D58">
        <v>2</v>
      </c>
      <c r="E58" s="1">
        <v>9978</v>
      </c>
      <c r="F58">
        <v>2</v>
      </c>
      <c r="G58" t="s">
        <v>1518</v>
      </c>
      <c r="H58" t="s">
        <v>31</v>
      </c>
      <c r="I58" t="s">
        <v>1572</v>
      </c>
    </row>
    <row r="59" spans="2:9" x14ac:dyDescent="0.2">
      <c r="B59" t="s">
        <v>1573</v>
      </c>
      <c r="C59" s="1">
        <v>9657</v>
      </c>
      <c r="D59">
        <v>13</v>
      </c>
      <c r="E59" s="1">
        <v>9657</v>
      </c>
      <c r="F59">
        <v>13</v>
      </c>
      <c r="G59" t="s">
        <v>1518</v>
      </c>
      <c r="H59" t="s">
        <v>31</v>
      </c>
      <c r="I59" t="s">
        <v>1522</v>
      </c>
    </row>
    <row r="60" spans="2:9" x14ac:dyDescent="0.2">
      <c r="B60" t="s">
        <v>1574</v>
      </c>
      <c r="C60" s="1">
        <v>9657</v>
      </c>
      <c r="D60">
        <v>13</v>
      </c>
      <c r="E60" s="1">
        <v>9657</v>
      </c>
      <c r="F60">
        <v>13</v>
      </c>
      <c r="G60" t="s">
        <v>1518</v>
      </c>
      <c r="H60" t="s">
        <v>31</v>
      </c>
      <c r="I60" t="s">
        <v>1522</v>
      </c>
    </row>
    <row r="61" spans="2:9" x14ac:dyDescent="0.2">
      <c r="B61" t="s">
        <v>404</v>
      </c>
      <c r="C61" s="1">
        <v>9494</v>
      </c>
      <c r="D61">
        <v>3</v>
      </c>
      <c r="E61" s="1">
        <v>9494</v>
      </c>
      <c r="F61">
        <v>3</v>
      </c>
      <c r="G61" t="s">
        <v>1518</v>
      </c>
      <c r="H61" t="s">
        <v>31</v>
      </c>
      <c r="I61" t="s">
        <v>1535</v>
      </c>
    </row>
    <row r="62" spans="2:9" x14ac:dyDescent="0.2">
      <c r="B62" t="s">
        <v>1575</v>
      </c>
      <c r="C62" s="1">
        <v>9234</v>
      </c>
      <c r="D62">
        <v>15</v>
      </c>
      <c r="E62" s="1">
        <v>9234</v>
      </c>
      <c r="F62">
        <v>15</v>
      </c>
      <c r="G62" t="s">
        <v>1503</v>
      </c>
      <c r="H62" t="s">
        <v>31</v>
      </c>
      <c r="I62" t="s">
        <v>1576</v>
      </c>
    </row>
    <row r="63" spans="2:9" x14ac:dyDescent="0.2">
      <c r="B63" t="s">
        <v>1577</v>
      </c>
      <c r="C63" s="1">
        <v>9081</v>
      </c>
      <c r="D63">
        <v>31</v>
      </c>
      <c r="E63" s="1">
        <v>9081</v>
      </c>
      <c r="F63">
        <v>31</v>
      </c>
      <c r="G63" t="s">
        <v>1503</v>
      </c>
      <c r="H63" t="s">
        <v>1578</v>
      </c>
    </row>
    <row r="64" spans="2:9" x14ac:dyDescent="0.2">
      <c r="B64" t="s">
        <v>1579</v>
      </c>
      <c r="C64" s="1">
        <v>8871</v>
      </c>
      <c r="D64">
        <v>9</v>
      </c>
      <c r="E64" s="1">
        <v>8871</v>
      </c>
      <c r="F64">
        <v>9</v>
      </c>
      <c r="G64" t="s">
        <v>1503</v>
      </c>
      <c r="H64" t="s">
        <v>31</v>
      </c>
      <c r="I64" t="s">
        <v>1510</v>
      </c>
    </row>
    <row r="65" spans="2:9" x14ac:dyDescent="0.2">
      <c r="B65" t="s">
        <v>1580</v>
      </c>
      <c r="C65" s="1">
        <v>8623</v>
      </c>
      <c r="D65">
        <v>43</v>
      </c>
      <c r="E65" s="1">
        <v>8623</v>
      </c>
      <c r="F65">
        <v>43</v>
      </c>
      <c r="G65" t="s">
        <v>1503</v>
      </c>
      <c r="H65" t="s">
        <v>1578</v>
      </c>
    </row>
    <row r="66" spans="2:9" x14ac:dyDescent="0.2">
      <c r="B66" t="s">
        <v>540</v>
      </c>
      <c r="C66" s="1">
        <v>8491</v>
      </c>
      <c r="D66">
        <v>7</v>
      </c>
      <c r="E66" s="1">
        <v>8491</v>
      </c>
      <c r="F66">
        <v>7</v>
      </c>
      <c r="G66" t="s">
        <v>1518</v>
      </c>
      <c r="H66" t="s">
        <v>31</v>
      </c>
      <c r="I66" t="s">
        <v>1581</v>
      </c>
    </row>
    <row r="67" spans="2:9" x14ac:dyDescent="0.2">
      <c r="B67" t="s">
        <v>1582</v>
      </c>
      <c r="C67" s="1">
        <v>8421</v>
      </c>
      <c r="D67">
        <v>54</v>
      </c>
      <c r="E67" s="1">
        <v>8421</v>
      </c>
      <c r="F67">
        <v>54</v>
      </c>
      <c r="G67" t="s">
        <v>1503</v>
      </c>
      <c r="H67" t="s">
        <v>31</v>
      </c>
      <c r="I67" t="s">
        <v>1519</v>
      </c>
    </row>
    <row r="68" spans="2:9" x14ac:dyDescent="0.2">
      <c r="B68" t="s">
        <v>233</v>
      </c>
      <c r="C68" s="1">
        <v>8212</v>
      </c>
      <c r="D68">
        <v>9</v>
      </c>
      <c r="E68" s="1">
        <v>8212</v>
      </c>
      <c r="F68">
        <v>9</v>
      </c>
      <c r="G68" t="s">
        <v>1503</v>
      </c>
      <c r="H68" t="s">
        <v>232</v>
      </c>
    </row>
    <row r="69" spans="2:9" x14ac:dyDescent="0.2">
      <c r="B69" t="s">
        <v>1583</v>
      </c>
      <c r="C69" s="1">
        <v>8105</v>
      </c>
      <c r="D69">
        <v>42</v>
      </c>
      <c r="E69" s="1">
        <v>8105</v>
      </c>
      <c r="F69">
        <v>42</v>
      </c>
      <c r="G69" t="s">
        <v>1503</v>
      </c>
      <c r="H69" t="s">
        <v>280</v>
      </c>
    </row>
    <row r="70" spans="2:9" x14ac:dyDescent="0.2">
      <c r="B70" t="s">
        <v>1584</v>
      </c>
      <c r="C70" s="1">
        <v>8068</v>
      </c>
      <c r="D70">
        <v>7</v>
      </c>
      <c r="E70" s="1">
        <v>8068</v>
      </c>
      <c r="F70">
        <v>7</v>
      </c>
      <c r="G70" t="s">
        <v>1518</v>
      </c>
      <c r="H70" t="s">
        <v>31</v>
      </c>
      <c r="I70" t="s">
        <v>1504</v>
      </c>
    </row>
    <row r="71" spans="2:9" x14ac:dyDescent="0.2">
      <c r="B71" t="s">
        <v>1585</v>
      </c>
      <c r="C71" s="1">
        <v>8068</v>
      </c>
      <c r="D71">
        <v>7</v>
      </c>
      <c r="E71" s="1">
        <v>8068</v>
      </c>
      <c r="F71">
        <v>7</v>
      </c>
      <c r="G71" t="s">
        <v>1518</v>
      </c>
      <c r="H71" t="s">
        <v>31</v>
      </c>
      <c r="I71" t="s">
        <v>1504</v>
      </c>
    </row>
    <row r="72" spans="2:9" x14ac:dyDescent="0.2">
      <c r="B72" t="s">
        <v>1586</v>
      </c>
      <c r="C72" s="1">
        <v>8040</v>
      </c>
      <c r="D72">
        <v>5</v>
      </c>
      <c r="E72" s="1">
        <v>8040</v>
      </c>
      <c r="F72">
        <v>5</v>
      </c>
      <c r="G72" t="s">
        <v>1503</v>
      </c>
      <c r="H72" t="s">
        <v>1539</v>
      </c>
    </row>
    <row r="73" spans="2:9" x14ac:dyDescent="0.2">
      <c r="B73" t="s">
        <v>1587</v>
      </c>
      <c r="C73" s="1">
        <v>8024</v>
      </c>
      <c r="D73">
        <v>24</v>
      </c>
      <c r="E73" s="1">
        <v>8024</v>
      </c>
      <c r="F73">
        <v>24</v>
      </c>
      <c r="G73" t="s">
        <v>1503</v>
      </c>
      <c r="H73" t="s">
        <v>1588</v>
      </c>
    </row>
    <row r="74" spans="2:9" x14ac:dyDescent="0.2">
      <c r="B74" t="s">
        <v>1589</v>
      </c>
      <c r="C74" s="1">
        <v>7896</v>
      </c>
      <c r="D74">
        <v>2</v>
      </c>
      <c r="E74" s="1">
        <v>7896</v>
      </c>
      <c r="F74">
        <v>2</v>
      </c>
      <c r="G74" t="s">
        <v>1503</v>
      </c>
      <c r="H74" t="s">
        <v>180</v>
      </c>
      <c r="I74" t="s">
        <v>1530</v>
      </c>
    </row>
    <row r="75" spans="2:9" x14ac:dyDescent="0.2">
      <c r="B75" t="s">
        <v>206</v>
      </c>
      <c r="C75" s="1">
        <v>7886</v>
      </c>
      <c r="D75">
        <v>6</v>
      </c>
      <c r="E75" s="1">
        <v>7886</v>
      </c>
      <c r="F75">
        <v>6</v>
      </c>
      <c r="G75" t="s">
        <v>1503</v>
      </c>
      <c r="H75" t="s">
        <v>180</v>
      </c>
      <c r="I75" t="s">
        <v>1590</v>
      </c>
    </row>
    <row r="76" spans="2:9" x14ac:dyDescent="0.2">
      <c r="B76" t="s">
        <v>1591</v>
      </c>
      <c r="C76" s="1">
        <v>7467</v>
      </c>
      <c r="D76">
        <v>6</v>
      </c>
      <c r="E76" s="1">
        <v>7467</v>
      </c>
      <c r="F76">
        <v>6</v>
      </c>
      <c r="G76" t="s">
        <v>1503</v>
      </c>
      <c r="H76" t="s">
        <v>31</v>
      </c>
      <c r="I76" t="s">
        <v>1510</v>
      </c>
    </row>
    <row r="77" spans="2:9" x14ac:dyDescent="0.2">
      <c r="B77" t="s">
        <v>1592</v>
      </c>
      <c r="C77" s="1">
        <v>7394</v>
      </c>
      <c r="D77">
        <v>3</v>
      </c>
      <c r="E77" s="1">
        <v>7394</v>
      </c>
      <c r="F77">
        <v>3</v>
      </c>
      <c r="G77" t="s">
        <v>1503</v>
      </c>
      <c r="H77" t="s">
        <v>311</v>
      </c>
      <c r="I77" t="s">
        <v>1593</v>
      </c>
    </row>
    <row r="78" spans="2:9" x14ac:dyDescent="0.2">
      <c r="B78" t="s">
        <v>1594</v>
      </c>
      <c r="C78" s="1">
        <v>7388</v>
      </c>
      <c r="D78">
        <v>1</v>
      </c>
      <c r="E78" s="1">
        <v>7388</v>
      </c>
      <c r="F78">
        <v>1</v>
      </c>
      <c r="G78" t="s">
        <v>1518</v>
      </c>
      <c r="H78" t="s">
        <v>31</v>
      </c>
      <c r="I78" t="s">
        <v>1572</v>
      </c>
    </row>
    <row r="79" spans="2:9" x14ac:dyDescent="0.2">
      <c r="B79" t="s">
        <v>1595</v>
      </c>
      <c r="C79" s="1">
        <v>7388</v>
      </c>
      <c r="D79">
        <v>1</v>
      </c>
      <c r="E79" s="1">
        <v>7388</v>
      </c>
      <c r="F79">
        <v>1</v>
      </c>
      <c r="G79" t="s">
        <v>1518</v>
      </c>
      <c r="H79" t="s">
        <v>31</v>
      </c>
      <c r="I79" t="s">
        <v>1572</v>
      </c>
    </row>
    <row r="80" spans="2:9" x14ac:dyDescent="0.2">
      <c r="B80" t="s">
        <v>859</v>
      </c>
      <c r="C80" s="1">
        <v>7307</v>
      </c>
      <c r="D80">
        <v>13</v>
      </c>
      <c r="E80" s="1">
        <v>7307</v>
      </c>
      <c r="F80">
        <v>13</v>
      </c>
      <c r="G80" t="s">
        <v>1518</v>
      </c>
      <c r="H80" t="s">
        <v>31</v>
      </c>
      <c r="I80" t="s">
        <v>1522</v>
      </c>
    </row>
    <row r="81" spans="2:9" x14ac:dyDescent="0.2">
      <c r="B81" t="s">
        <v>1596</v>
      </c>
      <c r="C81" s="1">
        <v>7098</v>
      </c>
      <c r="D81">
        <v>79</v>
      </c>
      <c r="E81" s="1">
        <v>7098</v>
      </c>
      <c r="F81">
        <v>79</v>
      </c>
      <c r="G81" t="s">
        <v>1503</v>
      </c>
      <c r="H81" t="s">
        <v>31</v>
      </c>
      <c r="I81" t="s">
        <v>1510</v>
      </c>
    </row>
    <row r="82" spans="2:9" x14ac:dyDescent="0.2">
      <c r="B82" t="s">
        <v>1597</v>
      </c>
      <c r="C82" s="1">
        <v>7095</v>
      </c>
      <c r="D82">
        <v>58</v>
      </c>
      <c r="E82" s="1">
        <v>7095</v>
      </c>
      <c r="F82">
        <v>58</v>
      </c>
      <c r="G82" t="s">
        <v>1503</v>
      </c>
      <c r="H82" t="s">
        <v>1512</v>
      </c>
      <c r="I82" t="s">
        <v>1513</v>
      </c>
    </row>
    <row r="83" spans="2:9" x14ac:dyDescent="0.2">
      <c r="B83" t="s">
        <v>951</v>
      </c>
      <c r="C83" s="1">
        <v>6781</v>
      </c>
      <c r="D83">
        <v>4</v>
      </c>
      <c r="E83" s="1">
        <v>6781</v>
      </c>
      <c r="F83">
        <v>4</v>
      </c>
      <c r="G83" t="s">
        <v>1503</v>
      </c>
      <c r="H83" t="s">
        <v>280</v>
      </c>
    </row>
    <row r="84" spans="2:9" x14ac:dyDescent="0.2">
      <c r="B84" t="s">
        <v>1598</v>
      </c>
      <c r="C84" s="1">
        <v>6664</v>
      </c>
      <c r="D84">
        <v>25</v>
      </c>
      <c r="E84" s="1">
        <v>6664</v>
      </c>
      <c r="F84">
        <v>25</v>
      </c>
      <c r="G84" t="s">
        <v>1503</v>
      </c>
      <c r="H84" t="s">
        <v>180</v>
      </c>
      <c r="I84" t="s">
        <v>1530</v>
      </c>
    </row>
    <row r="85" spans="2:9" x14ac:dyDescent="0.2">
      <c r="B85" t="s">
        <v>1599</v>
      </c>
      <c r="C85" s="1">
        <v>6656</v>
      </c>
      <c r="D85">
        <v>4</v>
      </c>
      <c r="E85" s="1">
        <v>6656</v>
      </c>
      <c r="F85">
        <v>4</v>
      </c>
      <c r="G85" t="s">
        <v>1518</v>
      </c>
      <c r="H85" t="s">
        <v>31</v>
      </c>
      <c r="I85" t="s">
        <v>1600</v>
      </c>
    </row>
    <row r="86" spans="2:9" x14ac:dyDescent="0.2">
      <c r="B86" t="s">
        <v>1601</v>
      </c>
      <c r="C86" s="1">
        <v>6656</v>
      </c>
      <c r="D86">
        <v>4</v>
      </c>
      <c r="E86" s="1">
        <v>6656</v>
      </c>
      <c r="F86">
        <v>4</v>
      </c>
      <c r="G86" t="s">
        <v>1518</v>
      </c>
      <c r="H86" t="s">
        <v>31</v>
      </c>
      <c r="I86" t="s">
        <v>1600</v>
      </c>
    </row>
    <row r="87" spans="2:9" x14ac:dyDescent="0.2">
      <c r="B87" t="s">
        <v>1602</v>
      </c>
      <c r="C87" s="1">
        <v>6555</v>
      </c>
      <c r="D87">
        <v>8</v>
      </c>
      <c r="E87" s="1">
        <v>6555</v>
      </c>
      <c r="F87">
        <v>8</v>
      </c>
      <c r="G87" t="s">
        <v>1503</v>
      </c>
      <c r="H87" t="s">
        <v>31</v>
      </c>
      <c r="I87" t="s">
        <v>1603</v>
      </c>
    </row>
    <row r="88" spans="2:9" x14ac:dyDescent="0.2">
      <c r="B88" t="s">
        <v>1604</v>
      </c>
      <c r="C88" s="1">
        <v>6535</v>
      </c>
      <c r="D88">
        <v>2</v>
      </c>
      <c r="E88" s="1">
        <v>6535</v>
      </c>
      <c r="F88">
        <v>2</v>
      </c>
      <c r="G88" t="s">
        <v>1503</v>
      </c>
      <c r="H88" t="s">
        <v>31</v>
      </c>
      <c r="I88" t="s">
        <v>1572</v>
      </c>
    </row>
    <row r="89" spans="2:9" x14ac:dyDescent="0.2">
      <c r="B89" t="s">
        <v>1605</v>
      </c>
      <c r="C89" s="1">
        <v>6356</v>
      </c>
      <c r="D89">
        <v>2</v>
      </c>
      <c r="E89" s="1">
        <v>6356</v>
      </c>
      <c r="F89">
        <v>2</v>
      </c>
      <c r="G89" t="s">
        <v>1503</v>
      </c>
      <c r="H89" t="s">
        <v>734</v>
      </c>
    </row>
    <row r="90" spans="2:9" x14ac:dyDescent="0.2">
      <c r="B90" t="s">
        <v>1606</v>
      </c>
      <c r="C90" s="1">
        <v>6338</v>
      </c>
      <c r="D90">
        <v>3</v>
      </c>
      <c r="E90" s="1">
        <v>6338</v>
      </c>
      <c r="F90">
        <v>3</v>
      </c>
      <c r="G90" t="s">
        <v>1518</v>
      </c>
      <c r="H90" t="s">
        <v>31</v>
      </c>
      <c r="I90" t="s">
        <v>71</v>
      </c>
    </row>
    <row r="91" spans="2:9" x14ac:dyDescent="0.2">
      <c r="B91" t="s">
        <v>1607</v>
      </c>
      <c r="C91" s="1">
        <v>6050</v>
      </c>
      <c r="D91">
        <v>171</v>
      </c>
      <c r="E91" s="1">
        <v>6050</v>
      </c>
      <c r="F91">
        <v>171</v>
      </c>
      <c r="G91" t="s">
        <v>1503</v>
      </c>
      <c r="H91" t="s">
        <v>31</v>
      </c>
      <c r="I91" t="s">
        <v>1510</v>
      </c>
    </row>
    <row r="92" spans="2:9" x14ac:dyDescent="0.2">
      <c r="B92" t="s">
        <v>1608</v>
      </c>
      <c r="C92" s="1">
        <v>5900</v>
      </c>
      <c r="D92">
        <v>2</v>
      </c>
      <c r="E92" s="1">
        <v>5900</v>
      </c>
      <c r="F92">
        <v>2</v>
      </c>
      <c r="G92" t="s">
        <v>1518</v>
      </c>
      <c r="H92" t="s">
        <v>31</v>
      </c>
      <c r="I92" t="s">
        <v>1609</v>
      </c>
    </row>
    <row r="93" spans="2:9" x14ac:dyDescent="0.2">
      <c r="B93" t="s">
        <v>1610</v>
      </c>
      <c r="C93" s="1">
        <v>5877</v>
      </c>
      <c r="D93">
        <v>2</v>
      </c>
      <c r="E93" s="1">
        <v>5877</v>
      </c>
      <c r="F93">
        <v>2</v>
      </c>
      <c r="G93" t="s">
        <v>1503</v>
      </c>
      <c r="H93" t="s">
        <v>275</v>
      </c>
    </row>
    <row r="94" spans="2:9" x14ac:dyDescent="0.2">
      <c r="B94" t="s">
        <v>975</v>
      </c>
      <c r="C94" s="1">
        <v>5830</v>
      </c>
      <c r="D94">
        <v>3</v>
      </c>
      <c r="E94" s="1">
        <v>5830</v>
      </c>
      <c r="F94">
        <v>3</v>
      </c>
      <c r="G94" t="s">
        <v>1503</v>
      </c>
      <c r="H94" t="s">
        <v>1611</v>
      </c>
    </row>
    <row r="95" spans="2:9" x14ac:dyDescent="0.2">
      <c r="B95" t="s">
        <v>357</v>
      </c>
      <c r="C95" s="1">
        <v>5722</v>
      </c>
      <c r="D95">
        <v>3</v>
      </c>
      <c r="E95" s="1">
        <v>5722</v>
      </c>
      <c r="F95">
        <v>3</v>
      </c>
      <c r="G95" t="s">
        <v>1518</v>
      </c>
      <c r="H95" t="s">
        <v>31</v>
      </c>
      <c r="I95" t="s">
        <v>71</v>
      </c>
    </row>
    <row r="96" spans="2:9" x14ac:dyDescent="0.2">
      <c r="B96" t="s">
        <v>1612</v>
      </c>
      <c r="C96" s="1">
        <v>5612</v>
      </c>
      <c r="D96">
        <v>2</v>
      </c>
      <c r="E96" s="1">
        <v>5612</v>
      </c>
      <c r="F96">
        <v>2</v>
      </c>
      <c r="G96" t="s">
        <v>1518</v>
      </c>
      <c r="H96" t="s">
        <v>31</v>
      </c>
      <c r="I96" t="s">
        <v>1613</v>
      </c>
    </row>
    <row r="97" spans="2:9" x14ac:dyDescent="0.2">
      <c r="B97" t="s">
        <v>1614</v>
      </c>
      <c r="C97" s="1">
        <v>5612</v>
      </c>
      <c r="D97">
        <v>2</v>
      </c>
      <c r="E97" s="1">
        <v>5612</v>
      </c>
      <c r="F97">
        <v>2</v>
      </c>
      <c r="G97" t="s">
        <v>1518</v>
      </c>
      <c r="H97" t="s">
        <v>31</v>
      </c>
      <c r="I97" t="s">
        <v>1613</v>
      </c>
    </row>
    <row r="98" spans="2:9" x14ac:dyDescent="0.2">
      <c r="B98" t="s">
        <v>717</v>
      </c>
      <c r="C98" s="1">
        <v>5475</v>
      </c>
      <c r="D98">
        <v>4</v>
      </c>
      <c r="E98" s="1">
        <v>5475</v>
      </c>
      <c r="F98">
        <v>4</v>
      </c>
      <c r="G98" t="s">
        <v>1518</v>
      </c>
      <c r="H98" t="s">
        <v>31</v>
      </c>
      <c r="I98" t="s">
        <v>1572</v>
      </c>
    </row>
    <row r="99" spans="2:9" x14ac:dyDescent="0.2">
      <c r="B99" t="s">
        <v>1615</v>
      </c>
      <c r="C99" s="1">
        <v>5460</v>
      </c>
      <c r="D99">
        <v>10</v>
      </c>
      <c r="E99" s="1">
        <v>5460</v>
      </c>
      <c r="F99">
        <v>10</v>
      </c>
      <c r="G99" t="s">
        <v>1518</v>
      </c>
      <c r="H99" t="s">
        <v>31</v>
      </c>
      <c r="I99" t="s">
        <v>1504</v>
      </c>
    </row>
    <row r="100" spans="2:9" x14ac:dyDescent="0.2">
      <c r="B100" t="s">
        <v>1616</v>
      </c>
      <c r="C100" s="1">
        <v>5460</v>
      </c>
      <c r="D100">
        <v>10</v>
      </c>
      <c r="E100" s="1">
        <v>5460</v>
      </c>
      <c r="F100">
        <v>10</v>
      </c>
      <c r="G100" t="s">
        <v>1518</v>
      </c>
      <c r="H100" t="s">
        <v>31</v>
      </c>
      <c r="I100" t="s">
        <v>1504</v>
      </c>
    </row>
    <row r="101" spans="2:9" x14ac:dyDescent="0.2">
      <c r="B101" t="s">
        <v>728</v>
      </c>
      <c r="C101" s="1">
        <v>5458</v>
      </c>
      <c r="D101">
        <v>3</v>
      </c>
      <c r="E101" s="1">
        <v>5458</v>
      </c>
      <c r="F101">
        <v>3</v>
      </c>
      <c r="G101" t="s">
        <v>1518</v>
      </c>
      <c r="H101" t="s">
        <v>31</v>
      </c>
      <c r="I101" t="s">
        <v>71</v>
      </c>
    </row>
    <row r="102" spans="2:9" x14ac:dyDescent="0.2">
      <c r="B102" t="s">
        <v>1617</v>
      </c>
      <c r="C102" s="1">
        <v>5400</v>
      </c>
      <c r="D102">
        <v>2</v>
      </c>
      <c r="E102" s="1">
        <v>5400</v>
      </c>
      <c r="F102">
        <v>2</v>
      </c>
      <c r="G102" t="s">
        <v>1503</v>
      </c>
      <c r="H102" t="s">
        <v>31</v>
      </c>
      <c r="I102" t="s">
        <v>1618</v>
      </c>
    </row>
    <row r="103" spans="2:9" x14ac:dyDescent="0.2">
      <c r="B103" t="s">
        <v>946</v>
      </c>
      <c r="C103" s="1">
        <v>5354</v>
      </c>
      <c r="D103">
        <v>3</v>
      </c>
      <c r="E103" s="1">
        <v>5354</v>
      </c>
      <c r="F103">
        <v>3</v>
      </c>
      <c r="G103" t="s">
        <v>1518</v>
      </c>
      <c r="H103" t="s">
        <v>31</v>
      </c>
      <c r="I103" t="s">
        <v>1618</v>
      </c>
    </row>
    <row r="104" spans="2:9" x14ac:dyDescent="0.2">
      <c r="B104" t="s">
        <v>1022</v>
      </c>
      <c r="C104" s="1">
        <v>5304</v>
      </c>
      <c r="D104">
        <v>1</v>
      </c>
      <c r="E104" s="1">
        <v>5304</v>
      </c>
      <c r="F104">
        <v>1</v>
      </c>
      <c r="G104" t="s">
        <v>1518</v>
      </c>
      <c r="H104" t="s">
        <v>31</v>
      </c>
      <c r="I104" t="s">
        <v>1572</v>
      </c>
    </row>
    <row r="105" spans="2:9" x14ac:dyDescent="0.2">
      <c r="B105" t="s">
        <v>1619</v>
      </c>
      <c r="C105" s="1">
        <v>5144</v>
      </c>
      <c r="D105">
        <v>9</v>
      </c>
      <c r="E105" s="1">
        <v>5144</v>
      </c>
      <c r="F105">
        <v>9</v>
      </c>
      <c r="G105" t="s">
        <v>1503</v>
      </c>
      <c r="H105" t="s">
        <v>1620</v>
      </c>
    </row>
    <row r="106" spans="2:9" x14ac:dyDescent="0.2">
      <c r="B106" t="s">
        <v>1621</v>
      </c>
      <c r="C106" s="1">
        <v>5113</v>
      </c>
      <c r="D106">
        <v>27</v>
      </c>
      <c r="E106" s="1">
        <v>5113</v>
      </c>
      <c r="F106">
        <v>27</v>
      </c>
      <c r="G106" t="s">
        <v>1503</v>
      </c>
      <c r="H106" t="s">
        <v>31</v>
      </c>
      <c r="I106" t="s">
        <v>1622</v>
      </c>
    </row>
    <row r="107" spans="2:9" x14ac:dyDescent="0.2">
      <c r="B107" t="s">
        <v>397</v>
      </c>
      <c r="C107" s="1">
        <v>5075</v>
      </c>
      <c r="D107">
        <v>4</v>
      </c>
      <c r="E107" s="1">
        <v>5075</v>
      </c>
      <c r="F107">
        <v>4</v>
      </c>
      <c r="G107" t="s">
        <v>1518</v>
      </c>
      <c r="H107" t="s">
        <v>31</v>
      </c>
      <c r="I107" t="s">
        <v>1618</v>
      </c>
    </row>
    <row r="108" spans="2:9" x14ac:dyDescent="0.2">
      <c r="B108" t="s">
        <v>1623</v>
      </c>
      <c r="C108" s="1">
        <v>5060</v>
      </c>
      <c r="D108">
        <v>2</v>
      </c>
      <c r="E108" s="1">
        <v>5060</v>
      </c>
      <c r="F108">
        <v>2</v>
      </c>
      <c r="G108" t="s">
        <v>1518</v>
      </c>
      <c r="H108" t="s">
        <v>31</v>
      </c>
      <c r="I108" t="s">
        <v>1581</v>
      </c>
    </row>
    <row r="109" spans="2:9" x14ac:dyDescent="0.2">
      <c r="B109" t="s">
        <v>1624</v>
      </c>
      <c r="C109" s="1">
        <v>5060</v>
      </c>
      <c r="D109">
        <v>2</v>
      </c>
      <c r="E109" s="1">
        <v>5060</v>
      </c>
      <c r="F109">
        <v>2</v>
      </c>
      <c r="G109" t="s">
        <v>1518</v>
      </c>
      <c r="H109" t="s">
        <v>31</v>
      </c>
      <c r="I109" t="s">
        <v>1581</v>
      </c>
    </row>
    <row r="110" spans="2:9" x14ac:dyDescent="0.2">
      <c r="B110" t="s">
        <v>1625</v>
      </c>
      <c r="C110" s="1">
        <v>5000</v>
      </c>
      <c r="D110">
        <v>10</v>
      </c>
      <c r="E110" s="1">
        <v>5000</v>
      </c>
      <c r="F110">
        <v>10</v>
      </c>
      <c r="G110" t="s">
        <v>1503</v>
      </c>
      <c r="H110" t="s">
        <v>1512</v>
      </c>
      <c r="I110" t="s">
        <v>1513</v>
      </c>
    </row>
    <row r="111" spans="2:9" x14ac:dyDescent="0.2">
      <c r="B111" t="s">
        <v>1626</v>
      </c>
      <c r="C111" s="1">
        <v>4980</v>
      </c>
      <c r="D111">
        <v>1</v>
      </c>
      <c r="E111" s="1">
        <v>4980</v>
      </c>
      <c r="F111">
        <v>1</v>
      </c>
      <c r="G111" t="s">
        <v>1503</v>
      </c>
      <c r="H111" t="s">
        <v>1627</v>
      </c>
    </row>
    <row r="112" spans="2:9" x14ac:dyDescent="0.2">
      <c r="B112" t="s">
        <v>1628</v>
      </c>
      <c r="C112" s="1">
        <v>4791</v>
      </c>
      <c r="D112">
        <v>58</v>
      </c>
      <c r="E112" s="1">
        <v>4791</v>
      </c>
      <c r="F112">
        <v>58</v>
      </c>
      <c r="G112" t="s">
        <v>1503</v>
      </c>
      <c r="H112" t="s">
        <v>1629</v>
      </c>
    </row>
    <row r="113" spans="2:9" x14ac:dyDescent="0.2">
      <c r="B113" t="s">
        <v>327</v>
      </c>
      <c r="C113" s="1">
        <v>4766</v>
      </c>
      <c r="D113">
        <v>5</v>
      </c>
      <c r="E113" s="1">
        <v>4766</v>
      </c>
      <c r="F113">
        <v>5</v>
      </c>
      <c r="G113" t="s">
        <v>1518</v>
      </c>
      <c r="H113" t="s">
        <v>31</v>
      </c>
      <c r="I113" t="s">
        <v>1600</v>
      </c>
    </row>
    <row r="114" spans="2:9" x14ac:dyDescent="0.2">
      <c r="B114" t="s">
        <v>335</v>
      </c>
      <c r="C114" s="1">
        <v>4746</v>
      </c>
      <c r="D114">
        <v>4</v>
      </c>
      <c r="E114" s="1">
        <v>4746</v>
      </c>
      <c r="F114">
        <v>4</v>
      </c>
      <c r="G114" t="s">
        <v>1518</v>
      </c>
      <c r="H114" t="s">
        <v>31</v>
      </c>
      <c r="I114" t="s">
        <v>1522</v>
      </c>
    </row>
    <row r="115" spans="2:9" x14ac:dyDescent="0.2">
      <c r="B115" t="s">
        <v>1630</v>
      </c>
      <c r="C115" s="1">
        <v>4685</v>
      </c>
      <c r="D115">
        <v>11</v>
      </c>
      <c r="E115" s="1">
        <v>4685</v>
      </c>
      <c r="F115">
        <v>11</v>
      </c>
      <c r="G115" t="s">
        <v>1503</v>
      </c>
      <c r="H115" t="s">
        <v>31</v>
      </c>
      <c r="I115" t="s">
        <v>1555</v>
      </c>
    </row>
    <row r="116" spans="2:9" x14ac:dyDescent="0.2">
      <c r="B116" t="s">
        <v>1631</v>
      </c>
      <c r="C116" s="1">
        <v>4651</v>
      </c>
      <c r="D116">
        <v>27</v>
      </c>
      <c r="E116" s="1">
        <v>4651</v>
      </c>
      <c r="F116">
        <v>27</v>
      </c>
      <c r="G116" t="s">
        <v>1503</v>
      </c>
      <c r="H116" t="s">
        <v>31</v>
      </c>
      <c r="I116" t="s">
        <v>71</v>
      </c>
    </row>
    <row r="117" spans="2:9" x14ac:dyDescent="0.2">
      <c r="B117" t="s">
        <v>1632</v>
      </c>
      <c r="C117" s="1">
        <v>4645</v>
      </c>
      <c r="D117">
        <v>4</v>
      </c>
      <c r="E117" s="1">
        <v>4645</v>
      </c>
      <c r="F117">
        <v>4</v>
      </c>
      <c r="G117" t="s">
        <v>1503</v>
      </c>
      <c r="H117" t="s">
        <v>31</v>
      </c>
      <c r="I117" t="s">
        <v>1506</v>
      </c>
    </row>
    <row r="118" spans="2:9" x14ac:dyDescent="0.2">
      <c r="B118" t="s">
        <v>1633</v>
      </c>
      <c r="C118" s="1">
        <v>4543</v>
      </c>
      <c r="D118">
        <v>4</v>
      </c>
      <c r="E118" s="1">
        <v>4543</v>
      </c>
      <c r="F118">
        <v>4</v>
      </c>
      <c r="G118" t="s">
        <v>1518</v>
      </c>
      <c r="H118" t="s">
        <v>31</v>
      </c>
      <c r="I118" t="s">
        <v>1572</v>
      </c>
    </row>
    <row r="119" spans="2:9" x14ac:dyDescent="0.2">
      <c r="B119" t="s">
        <v>1634</v>
      </c>
      <c r="C119" s="1">
        <v>4543</v>
      </c>
      <c r="D119">
        <v>4</v>
      </c>
      <c r="E119" s="1">
        <v>4543</v>
      </c>
      <c r="F119">
        <v>4</v>
      </c>
      <c r="G119" t="s">
        <v>1518</v>
      </c>
      <c r="H119" t="s">
        <v>31</v>
      </c>
      <c r="I119" t="s">
        <v>1572</v>
      </c>
    </row>
    <row r="120" spans="2:9" x14ac:dyDescent="0.2">
      <c r="B120" t="s">
        <v>269</v>
      </c>
      <c r="C120" s="1">
        <v>4511</v>
      </c>
      <c r="D120">
        <v>4</v>
      </c>
      <c r="E120" s="1">
        <v>4511</v>
      </c>
      <c r="F120">
        <v>4</v>
      </c>
      <c r="G120" t="s">
        <v>1503</v>
      </c>
      <c r="H120" t="s">
        <v>31</v>
      </c>
      <c r="I120" t="s">
        <v>1635</v>
      </c>
    </row>
    <row r="121" spans="2:9" x14ac:dyDescent="0.2">
      <c r="B121" t="s">
        <v>1636</v>
      </c>
      <c r="C121" s="1">
        <v>4497</v>
      </c>
      <c r="D121">
        <v>10</v>
      </c>
      <c r="E121" s="1">
        <v>4497</v>
      </c>
      <c r="F121">
        <v>10</v>
      </c>
      <c r="G121" t="s">
        <v>1503</v>
      </c>
      <c r="H121" t="s">
        <v>1003</v>
      </c>
    </row>
    <row r="122" spans="2:9" x14ac:dyDescent="0.2">
      <c r="B122" t="s">
        <v>1637</v>
      </c>
      <c r="C122" s="1">
        <v>4469</v>
      </c>
      <c r="D122">
        <v>32</v>
      </c>
      <c r="E122" s="1">
        <v>4469</v>
      </c>
      <c r="F122">
        <v>32</v>
      </c>
      <c r="G122" t="s">
        <v>1503</v>
      </c>
      <c r="H122" t="s">
        <v>31</v>
      </c>
      <c r="I122" t="s">
        <v>1576</v>
      </c>
    </row>
    <row r="123" spans="2:9" x14ac:dyDescent="0.2">
      <c r="B123" t="s">
        <v>1638</v>
      </c>
      <c r="C123" s="1">
        <v>4461</v>
      </c>
      <c r="D123">
        <v>5</v>
      </c>
      <c r="E123" s="1">
        <v>4461</v>
      </c>
      <c r="F123">
        <v>5</v>
      </c>
      <c r="G123" t="s">
        <v>1503</v>
      </c>
      <c r="H123" t="s">
        <v>198</v>
      </c>
    </row>
    <row r="124" spans="2:9" x14ac:dyDescent="0.2">
      <c r="B124" t="s">
        <v>1639</v>
      </c>
      <c r="C124" s="1">
        <v>4433</v>
      </c>
      <c r="D124">
        <v>26</v>
      </c>
      <c r="E124" s="1">
        <v>4433</v>
      </c>
      <c r="F124">
        <v>26</v>
      </c>
      <c r="G124" t="s">
        <v>1503</v>
      </c>
      <c r="H124" t="s">
        <v>31</v>
      </c>
      <c r="I124" t="s">
        <v>1510</v>
      </c>
    </row>
    <row r="125" spans="2:9" x14ac:dyDescent="0.2">
      <c r="B125" t="s">
        <v>1640</v>
      </c>
      <c r="C125" s="1">
        <v>4344</v>
      </c>
      <c r="D125">
        <v>2</v>
      </c>
      <c r="E125" s="1">
        <v>4344</v>
      </c>
      <c r="F125">
        <v>2</v>
      </c>
      <c r="G125" t="s">
        <v>1518</v>
      </c>
      <c r="H125" t="s">
        <v>31</v>
      </c>
      <c r="I125" t="s">
        <v>1613</v>
      </c>
    </row>
    <row r="126" spans="2:9" x14ac:dyDescent="0.2">
      <c r="B126" t="s">
        <v>1641</v>
      </c>
      <c r="C126" s="1">
        <v>4344</v>
      </c>
      <c r="D126">
        <v>2</v>
      </c>
      <c r="E126" s="1">
        <v>4344</v>
      </c>
      <c r="F126">
        <v>2</v>
      </c>
      <c r="G126" t="s">
        <v>1518</v>
      </c>
      <c r="H126" t="s">
        <v>31</v>
      </c>
      <c r="I126" t="s">
        <v>1613</v>
      </c>
    </row>
    <row r="127" spans="2:9" x14ac:dyDescent="0.2">
      <c r="B127" t="s">
        <v>771</v>
      </c>
      <c r="C127" s="1">
        <v>4290</v>
      </c>
      <c r="D127">
        <v>7</v>
      </c>
      <c r="E127" s="1">
        <v>4290</v>
      </c>
      <c r="F127">
        <v>7</v>
      </c>
      <c r="G127" t="s">
        <v>1518</v>
      </c>
      <c r="H127" t="s">
        <v>31</v>
      </c>
      <c r="I127" t="s">
        <v>1522</v>
      </c>
    </row>
    <row r="128" spans="2:9" x14ac:dyDescent="0.2">
      <c r="B128" t="s">
        <v>363</v>
      </c>
      <c r="C128" s="1">
        <v>4289</v>
      </c>
      <c r="D128">
        <v>9</v>
      </c>
      <c r="E128" s="1">
        <v>4289</v>
      </c>
      <c r="F128">
        <v>9</v>
      </c>
      <c r="G128" t="s">
        <v>1503</v>
      </c>
      <c r="H128" t="s">
        <v>190</v>
      </c>
    </row>
    <row r="129" spans="2:9" x14ac:dyDescent="0.2">
      <c r="B129" t="s">
        <v>1642</v>
      </c>
      <c r="C129" s="1">
        <v>4259</v>
      </c>
      <c r="D129">
        <v>3</v>
      </c>
      <c r="E129" s="1">
        <v>4259</v>
      </c>
      <c r="F129">
        <v>3</v>
      </c>
      <c r="G129" t="s">
        <v>1518</v>
      </c>
      <c r="H129" t="s">
        <v>31</v>
      </c>
      <c r="I129" t="s">
        <v>1570</v>
      </c>
    </row>
    <row r="130" spans="2:9" x14ac:dyDescent="0.2">
      <c r="B130" t="s">
        <v>1643</v>
      </c>
      <c r="C130" s="1">
        <v>4234</v>
      </c>
      <c r="D130">
        <v>43</v>
      </c>
      <c r="E130" s="1">
        <v>4234</v>
      </c>
      <c r="F130">
        <v>43</v>
      </c>
      <c r="G130" t="s">
        <v>1503</v>
      </c>
      <c r="H130" t="s">
        <v>1512</v>
      </c>
      <c r="I130" t="s">
        <v>1513</v>
      </c>
    </row>
    <row r="131" spans="2:9" x14ac:dyDescent="0.2">
      <c r="B131" t="s">
        <v>665</v>
      </c>
      <c r="C131" s="1">
        <v>4225</v>
      </c>
      <c r="D131">
        <v>6</v>
      </c>
      <c r="E131" s="1">
        <v>4225</v>
      </c>
      <c r="F131">
        <v>6</v>
      </c>
      <c r="G131" t="s">
        <v>1518</v>
      </c>
      <c r="H131" t="s">
        <v>31</v>
      </c>
      <c r="I131" t="s">
        <v>1522</v>
      </c>
    </row>
    <row r="132" spans="2:9" x14ac:dyDescent="0.2">
      <c r="B132" t="s">
        <v>1644</v>
      </c>
      <c r="C132" s="1">
        <v>4150</v>
      </c>
      <c r="D132">
        <v>6</v>
      </c>
      <c r="E132" s="1">
        <v>4150</v>
      </c>
      <c r="F132">
        <v>6</v>
      </c>
      <c r="G132" t="s">
        <v>1503</v>
      </c>
      <c r="H132" t="s">
        <v>232</v>
      </c>
    </row>
    <row r="133" spans="2:9" x14ac:dyDescent="0.2">
      <c r="B133" t="s">
        <v>985</v>
      </c>
      <c r="C133" s="1">
        <v>4084</v>
      </c>
      <c r="D133">
        <v>1</v>
      </c>
      <c r="E133" s="1">
        <v>4084</v>
      </c>
      <c r="F133">
        <v>1</v>
      </c>
      <c r="G133" t="s">
        <v>1518</v>
      </c>
      <c r="H133" t="s">
        <v>31</v>
      </c>
      <c r="I133" t="s">
        <v>1572</v>
      </c>
    </row>
    <row r="134" spans="2:9" x14ac:dyDescent="0.2">
      <c r="B134" t="s">
        <v>1645</v>
      </c>
      <c r="C134" s="1">
        <v>4059</v>
      </c>
      <c r="D134">
        <v>106</v>
      </c>
      <c r="E134" s="1">
        <v>4059</v>
      </c>
      <c r="F134">
        <v>106</v>
      </c>
      <c r="G134" t="s">
        <v>1503</v>
      </c>
      <c r="H134" t="s">
        <v>1567</v>
      </c>
    </row>
    <row r="135" spans="2:9" x14ac:dyDescent="0.2">
      <c r="B135" t="s">
        <v>1646</v>
      </c>
      <c r="C135" s="1">
        <v>3939</v>
      </c>
      <c r="D135">
        <v>20</v>
      </c>
      <c r="E135" s="1">
        <v>3939</v>
      </c>
      <c r="F135">
        <v>20</v>
      </c>
      <c r="G135" t="s">
        <v>1503</v>
      </c>
      <c r="H135" t="s">
        <v>31</v>
      </c>
      <c r="I135" t="s">
        <v>1609</v>
      </c>
    </row>
    <row r="136" spans="2:9" x14ac:dyDescent="0.2">
      <c r="B136" t="s">
        <v>1647</v>
      </c>
      <c r="C136" s="1">
        <v>3915</v>
      </c>
      <c r="D136">
        <v>5</v>
      </c>
      <c r="E136" s="1">
        <v>3915</v>
      </c>
      <c r="F136">
        <v>5</v>
      </c>
      <c r="G136" t="s">
        <v>1518</v>
      </c>
      <c r="H136" t="s">
        <v>31</v>
      </c>
      <c r="I136" t="s">
        <v>1581</v>
      </c>
    </row>
    <row r="137" spans="2:9" x14ac:dyDescent="0.2">
      <c r="B137" t="s">
        <v>247</v>
      </c>
      <c r="C137" s="1">
        <v>3912</v>
      </c>
      <c r="D137">
        <v>2</v>
      </c>
      <c r="E137" s="1">
        <v>3912</v>
      </c>
      <c r="F137">
        <v>2</v>
      </c>
      <c r="G137" t="s">
        <v>1518</v>
      </c>
      <c r="H137" t="s">
        <v>31</v>
      </c>
      <c r="I137" t="s">
        <v>1648</v>
      </c>
    </row>
    <row r="138" spans="2:9" x14ac:dyDescent="0.2">
      <c r="B138" t="s">
        <v>1649</v>
      </c>
      <c r="C138" s="1">
        <v>3878</v>
      </c>
      <c r="D138">
        <v>23</v>
      </c>
      <c r="E138" s="1">
        <v>3878</v>
      </c>
      <c r="F138">
        <v>23</v>
      </c>
      <c r="G138" t="s">
        <v>1518</v>
      </c>
      <c r="H138" t="s">
        <v>31</v>
      </c>
      <c r="I138" t="s">
        <v>1613</v>
      </c>
    </row>
    <row r="139" spans="2:9" x14ac:dyDescent="0.2">
      <c r="B139" t="s">
        <v>1650</v>
      </c>
      <c r="C139" s="1">
        <v>3872</v>
      </c>
      <c r="D139">
        <v>2</v>
      </c>
      <c r="E139" s="1">
        <v>3872</v>
      </c>
      <c r="F139">
        <v>2</v>
      </c>
      <c r="G139" t="s">
        <v>1503</v>
      </c>
      <c r="H139" t="s">
        <v>180</v>
      </c>
      <c r="I139" t="s">
        <v>1651</v>
      </c>
    </row>
    <row r="140" spans="2:9" x14ac:dyDescent="0.2">
      <c r="B140" t="s">
        <v>1652</v>
      </c>
      <c r="C140" s="1">
        <v>3835</v>
      </c>
      <c r="D140">
        <v>6</v>
      </c>
      <c r="E140" s="1">
        <v>3835</v>
      </c>
      <c r="F140">
        <v>6</v>
      </c>
      <c r="G140" t="s">
        <v>1518</v>
      </c>
      <c r="H140" t="s">
        <v>31</v>
      </c>
      <c r="I140" t="s">
        <v>1600</v>
      </c>
    </row>
    <row r="141" spans="2:9" x14ac:dyDescent="0.2">
      <c r="B141" t="s">
        <v>1653</v>
      </c>
      <c r="C141" s="1">
        <v>3835</v>
      </c>
      <c r="D141">
        <v>6</v>
      </c>
      <c r="E141" s="1">
        <v>3835</v>
      </c>
      <c r="F141">
        <v>6</v>
      </c>
      <c r="G141" t="s">
        <v>1518</v>
      </c>
      <c r="H141" t="s">
        <v>31</v>
      </c>
      <c r="I141" t="s">
        <v>1654</v>
      </c>
    </row>
    <row r="142" spans="2:9" x14ac:dyDescent="0.2">
      <c r="B142" t="s">
        <v>1655</v>
      </c>
      <c r="C142" s="1">
        <v>3825</v>
      </c>
      <c r="D142">
        <v>13</v>
      </c>
      <c r="E142" s="1">
        <v>3825</v>
      </c>
      <c r="F142">
        <v>13</v>
      </c>
      <c r="G142" t="s">
        <v>1503</v>
      </c>
      <c r="H142" t="s">
        <v>31</v>
      </c>
      <c r="I142" t="s">
        <v>1519</v>
      </c>
    </row>
    <row r="143" spans="2:9" x14ac:dyDescent="0.2">
      <c r="B143" t="s">
        <v>389</v>
      </c>
      <c r="C143" s="1">
        <v>3726</v>
      </c>
      <c r="D143">
        <v>1</v>
      </c>
      <c r="E143" s="1">
        <v>3726</v>
      </c>
      <c r="F143">
        <v>1</v>
      </c>
      <c r="G143" t="s">
        <v>1518</v>
      </c>
      <c r="H143" t="s">
        <v>31</v>
      </c>
      <c r="I143" t="s">
        <v>1618</v>
      </c>
    </row>
    <row r="144" spans="2:9" x14ac:dyDescent="0.2">
      <c r="B144" t="s">
        <v>44</v>
      </c>
      <c r="C144" s="1">
        <v>3721</v>
      </c>
      <c r="D144">
        <v>4</v>
      </c>
      <c r="E144" s="1">
        <v>3721</v>
      </c>
      <c r="F144">
        <v>4</v>
      </c>
      <c r="G144" t="s">
        <v>1518</v>
      </c>
      <c r="H144" t="s">
        <v>31</v>
      </c>
      <c r="I144" t="s">
        <v>1572</v>
      </c>
    </row>
    <row r="145" spans="2:9" x14ac:dyDescent="0.2">
      <c r="B145" t="s">
        <v>1656</v>
      </c>
      <c r="C145" s="1">
        <v>3720</v>
      </c>
      <c r="D145">
        <v>1</v>
      </c>
      <c r="E145" s="1">
        <v>3720</v>
      </c>
      <c r="F145">
        <v>1</v>
      </c>
      <c r="G145" t="s">
        <v>1518</v>
      </c>
      <c r="H145" t="s">
        <v>31</v>
      </c>
      <c r="I145" t="s">
        <v>1572</v>
      </c>
    </row>
    <row r="146" spans="2:9" x14ac:dyDescent="0.2">
      <c r="B146" t="s">
        <v>594</v>
      </c>
      <c r="C146" s="1">
        <v>3683</v>
      </c>
      <c r="D146">
        <v>2</v>
      </c>
      <c r="E146" s="1">
        <v>3683</v>
      </c>
      <c r="F146">
        <v>2</v>
      </c>
      <c r="G146" t="s">
        <v>1503</v>
      </c>
      <c r="H146" t="s">
        <v>31</v>
      </c>
      <c r="I146" t="s">
        <v>1613</v>
      </c>
    </row>
    <row r="147" spans="2:9" x14ac:dyDescent="0.2">
      <c r="B147" t="s">
        <v>1657</v>
      </c>
      <c r="C147" s="1">
        <v>3682</v>
      </c>
      <c r="D147">
        <v>4</v>
      </c>
      <c r="E147" s="1">
        <v>3682</v>
      </c>
      <c r="F147">
        <v>4</v>
      </c>
      <c r="G147" t="s">
        <v>1503</v>
      </c>
      <c r="H147" t="s">
        <v>180</v>
      </c>
      <c r="I147" t="s">
        <v>1658</v>
      </c>
    </row>
    <row r="148" spans="2:9" x14ac:dyDescent="0.2">
      <c r="B148" t="s">
        <v>1659</v>
      </c>
      <c r="C148" s="1">
        <v>3682</v>
      </c>
      <c r="D148">
        <v>4</v>
      </c>
      <c r="E148" s="1">
        <v>3682</v>
      </c>
      <c r="F148">
        <v>4</v>
      </c>
      <c r="G148" t="s">
        <v>1518</v>
      </c>
      <c r="H148" t="s">
        <v>180</v>
      </c>
      <c r="I148" t="s">
        <v>1660</v>
      </c>
    </row>
    <row r="149" spans="2:9" x14ac:dyDescent="0.2">
      <c r="B149" t="s">
        <v>1661</v>
      </c>
      <c r="C149" s="1">
        <v>3643</v>
      </c>
      <c r="D149">
        <v>6</v>
      </c>
      <c r="E149" s="1">
        <v>3643</v>
      </c>
      <c r="F149">
        <v>6</v>
      </c>
      <c r="G149" t="s">
        <v>1518</v>
      </c>
      <c r="H149" t="s">
        <v>31</v>
      </c>
      <c r="I149" t="s">
        <v>1662</v>
      </c>
    </row>
    <row r="150" spans="2:9" x14ac:dyDescent="0.2">
      <c r="B150" t="s">
        <v>262</v>
      </c>
      <c r="C150" s="1">
        <v>3642</v>
      </c>
      <c r="D150">
        <v>1</v>
      </c>
      <c r="E150" s="1">
        <v>3642</v>
      </c>
      <c r="F150">
        <v>1</v>
      </c>
      <c r="G150" t="s">
        <v>1518</v>
      </c>
      <c r="H150" t="s">
        <v>31</v>
      </c>
      <c r="I150" t="s">
        <v>1572</v>
      </c>
    </row>
    <row r="151" spans="2:9" x14ac:dyDescent="0.2">
      <c r="B151" t="s">
        <v>1663</v>
      </c>
      <c r="C151" s="1">
        <v>3635</v>
      </c>
      <c r="D151">
        <v>2</v>
      </c>
      <c r="E151" s="1">
        <v>3635</v>
      </c>
      <c r="F151">
        <v>2</v>
      </c>
      <c r="G151" t="s">
        <v>1518</v>
      </c>
      <c r="H151" t="s">
        <v>31</v>
      </c>
      <c r="I151" t="s">
        <v>1600</v>
      </c>
    </row>
    <row r="152" spans="2:9" x14ac:dyDescent="0.2">
      <c r="B152" t="s">
        <v>1664</v>
      </c>
      <c r="C152" s="1">
        <v>3627</v>
      </c>
      <c r="D152">
        <v>8</v>
      </c>
      <c r="E152" s="1">
        <v>3627</v>
      </c>
      <c r="F152">
        <v>8</v>
      </c>
      <c r="G152" t="s">
        <v>1503</v>
      </c>
      <c r="H152" t="s">
        <v>31</v>
      </c>
      <c r="I152" t="s">
        <v>1510</v>
      </c>
    </row>
    <row r="153" spans="2:9" x14ac:dyDescent="0.2">
      <c r="B153" t="s">
        <v>630</v>
      </c>
      <c r="C153" s="1">
        <v>3602</v>
      </c>
      <c r="D153">
        <v>1</v>
      </c>
      <c r="E153" s="1">
        <v>3602</v>
      </c>
      <c r="F153">
        <v>1</v>
      </c>
      <c r="G153" t="s">
        <v>1518</v>
      </c>
      <c r="H153" t="s">
        <v>31</v>
      </c>
      <c r="I153" t="s">
        <v>1622</v>
      </c>
    </row>
    <row r="154" spans="2:9" x14ac:dyDescent="0.2">
      <c r="B154" t="s">
        <v>1665</v>
      </c>
      <c r="C154" s="1">
        <v>3600</v>
      </c>
      <c r="D154">
        <v>1</v>
      </c>
      <c r="E154" s="1">
        <v>3600</v>
      </c>
      <c r="F154">
        <v>1</v>
      </c>
      <c r="G154" t="s">
        <v>1503</v>
      </c>
      <c r="H154" t="s">
        <v>280</v>
      </c>
    </row>
    <row r="155" spans="2:9" x14ac:dyDescent="0.2">
      <c r="B155" t="s">
        <v>1666</v>
      </c>
      <c r="C155" s="1">
        <v>3585</v>
      </c>
      <c r="D155">
        <v>8</v>
      </c>
      <c r="E155" s="1">
        <v>3585</v>
      </c>
      <c r="F155">
        <v>8</v>
      </c>
      <c r="G155" t="s">
        <v>1503</v>
      </c>
      <c r="H155" t="s">
        <v>198</v>
      </c>
    </row>
    <row r="156" spans="2:9" x14ac:dyDescent="0.2">
      <c r="B156" t="s">
        <v>1048</v>
      </c>
      <c r="C156" s="1">
        <v>3542</v>
      </c>
      <c r="D156">
        <v>2</v>
      </c>
      <c r="E156" s="1">
        <v>3542</v>
      </c>
      <c r="F156">
        <v>2</v>
      </c>
      <c r="G156" t="s">
        <v>1518</v>
      </c>
      <c r="H156" t="s">
        <v>31</v>
      </c>
      <c r="I156" t="s">
        <v>1572</v>
      </c>
    </row>
    <row r="157" spans="2:9" x14ac:dyDescent="0.2">
      <c r="B157" t="s">
        <v>1667</v>
      </c>
      <c r="C157" s="1">
        <v>3533</v>
      </c>
      <c r="D157">
        <v>57</v>
      </c>
      <c r="E157" s="1">
        <v>3533</v>
      </c>
      <c r="F157">
        <v>57</v>
      </c>
      <c r="G157" t="s">
        <v>1503</v>
      </c>
      <c r="H157" t="s">
        <v>1668</v>
      </c>
    </row>
    <row r="158" spans="2:9" x14ac:dyDescent="0.2">
      <c r="B158" t="s">
        <v>1669</v>
      </c>
      <c r="C158" s="1">
        <v>3476</v>
      </c>
      <c r="D158">
        <v>26</v>
      </c>
      <c r="E158" s="1">
        <v>3476</v>
      </c>
      <c r="F158">
        <v>26</v>
      </c>
      <c r="G158" t="s">
        <v>1503</v>
      </c>
      <c r="H158" t="s">
        <v>1578</v>
      </c>
    </row>
    <row r="159" spans="2:9" x14ac:dyDescent="0.2">
      <c r="B159" t="s">
        <v>1670</v>
      </c>
      <c r="C159" s="1">
        <v>3473</v>
      </c>
      <c r="D159">
        <v>4</v>
      </c>
      <c r="E159" s="1">
        <v>3473</v>
      </c>
      <c r="F159">
        <v>4</v>
      </c>
      <c r="G159" t="s">
        <v>1518</v>
      </c>
      <c r="H159" t="s">
        <v>31</v>
      </c>
      <c r="I159" t="s">
        <v>1671</v>
      </c>
    </row>
    <row r="160" spans="2:9" x14ac:dyDescent="0.2">
      <c r="B160" t="s">
        <v>1672</v>
      </c>
      <c r="C160" s="1">
        <v>3473</v>
      </c>
      <c r="D160">
        <v>4</v>
      </c>
      <c r="E160" s="1">
        <v>3473</v>
      </c>
      <c r="F160">
        <v>4</v>
      </c>
      <c r="G160" t="s">
        <v>1518</v>
      </c>
      <c r="H160" t="s">
        <v>31</v>
      </c>
      <c r="I160" t="s">
        <v>1671</v>
      </c>
    </row>
    <row r="161" spans="2:9" x14ac:dyDescent="0.2">
      <c r="B161" t="s">
        <v>1673</v>
      </c>
      <c r="C161" s="1">
        <v>3450</v>
      </c>
      <c r="D161">
        <v>1</v>
      </c>
      <c r="E161" s="1">
        <v>3450</v>
      </c>
      <c r="F161">
        <v>1</v>
      </c>
      <c r="G161" t="s">
        <v>1518</v>
      </c>
      <c r="H161" t="s">
        <v>31</v>
      </c>
      <c r="I161" t="s">
        <v>71</v>
      </c>
    </row>
    <row r="162" spans="2:9" x14ac:dyDescent="0.2">
      <c r="B162" t="s">
        <v>1674</v>
      </c>
      <c r="C162" s="1">
        <v>3440</v>
      </c>
      <c r="D162">
        <v>4</v>
      </c>
      <c r="E162" s="1">
        <v>3440</v>
      </c>
      <c r="F162">
        <v>4</v>
      </c>
      <c r="G162" t="s">
        <v>1503</v>
      </c>
      <c r="H162" t="s">
        <v>31</v>
      </c>
      <c r="I162" t="s">
        <v>1510</v>
      </c>
    </row>
    <row r="163" spans="2:9" x14ac:dyDescent="0.2">
      <c r="B163" t="s">
        <v>1675</v>
      </c>
      <c r="C163" s="1">
        <v>3415</v>
      </c>
      <c r="D163">
        <v>2</v>
      </c>
      <c r="E163" s="1">
        <v>3415</v>
      </c>
      <c r="F163">
        <v>2</v>
      </c>
      <c r="G163" t="s">
        <v>1503</v>
      </c>
      <c r="H163" t="s">
        <v>31</v>
      </c>
      <c r="I163" t="s">
        <v>1676</v>
      </c>
    </row>
    <row r="164" spans="2:9" x14ac:dyDescent="0.2">
      <c r="B164" t="s">
        <v>1677</v>
      </c>
      <c r="C164" s="1">
        <v>3323</v>
      </c>
      <c r="D164">
        <v>1</v>
      </c>
      <c r="E164" s="1">
        <v>3323</v>
      </c>
      <c r="F164">
        <v>1</v>
      </c>
      <c r="G164" t="s">
        <v>1503</v>
      </c>
      <c r="H164" t="s">
        <v>31</v>
      </c>
      <c r="I164" t="s">
        <v>1510</v>
      </c>
    </row>
    <row r="165" spans="2:9" x14ac:dyDescent="0.2">
      <c r="B165" t="s">
        <v>1678</v>
      </c>
      <c r="C165" s="1">
        <v>3317</v>
      </c>
      <c r="D165">
        <v>3</v>
      </c>
      <c r="E165" s="1">
        <v>3317</v>
      </c>
      <c r="F165">
        <v>3</v>
      </c>
      <c r="G165" t="s">
        <v>1503</v>
      </c>
      <c r="H165" t="s">
        <v>31</v>
      </c>
      <c r="I165" t="s">
        <v>1679</v>
      </c>
    </row>
    <row r="166" spans="2:9" x14ac:dyDescent="0.2">
      <c r="B166" t="s">
        <v>1680</v>
      </c>
      <c r="C166" s="1">
        <v>3300</v>
      </c>
      <c r="D166">
        <v>1</v>
      </c>
      <c r="E166" s="1">
        <v>3300</v>
      </c>
      <c r="F166">
        <v>1</v>
      </c>
      <c r="G166" t="s">
        <v>1503</v>
      </c>
      <c r="H166" t="s">
        <v>280</v>
      </c>
    </row>
    <row r="167" spans="2:9" x14ac:dyDescent="0.2">
      <c r="B167" t="s">
        <v>445</v>
      </c>
      <c r="C167" s="1">
        <v>3157</v>
      </c>
      <c r="D167">
        <v>4</v>
      </c>
      <c r="E167" s="1">
        <v>3157</v>
      </c>
      <c r="F167">
        <v>4</v>
      </c>
      <c r="G167" t="s">
        <v>1518</v>
      </c>
      <c r="H167" t="s">
        <v>31</v>
      </c>
      <c r="I167" t="s">
        <v>1522</v>
      </c>
    </row>
    <row r="168" spans="2:9" x14ac:dyDescent="0.2">
      <c r="B168" t="s">
        <v>140</v>
      </c>
      <c r="C168" s="1">
        <v>3138</v>
      </c>
      <c r="D168">
        <v>2</v>
      </c>
      <c r="E168" s="1">
        <v>3138</v>
      </c>
      <c r="F168">
        <v>2</v>
      </c>
      <c r="G168" t="s">
        <v>1518</v>
      </c>
      <c r="H168" t="s">
        <v>31</v>
      </c>
      <c r="I168" t="s">
        <v>1613</v>
      </c>
    </row>
    <row r="169" spans="2:9" x14ac:dyDescent="0.2">
      <c r="B169" t="s">
        <v>1681</v>
      </c>
      <c r="C169" s="1">
        <v>3107</v>
      </c>
      <c r="D169">
        <v>7</v>
      </c>
      <c r="E169" s="1">
        <v>3107</v>
      </c>
      <c r="F169">
        <v>7</v>
      </c>
      <c r="G169" t="s">
        <v>1503</v>
      </c>
      <c r="H169" t="s">
        <v>31</v>
      </c>
      <c r="I169" t="s">
        <v>1510</v>
      </c>
    </row>
    <row r="170" spans="2:9" x14ac:dyDescent="0.2">
      <c r="B170" t="s">
        <v>264</v>
      </c>
      <c r="C170" s="1">
        <v>3092</v>
      </c>
      <c r="D170">
        <v>4</v>
      </c>
      <c r="E170" s="1">
        <v>3092</v>
      </c>
      <c r="F170">
        <v>4</v>
      </c>
      <c r="G170" t="s">
        <v>1503</v>
      </c>
      <c r="H170" t="s">
        <v>31</v>
      </c>
      <c r="I170" t="s">
        <v>1510</v>
      </c>
    </row>
    <row r="171" spans="2:9" x14ac:dyDescent="0.2">
      <c r="B171" t="s">
        <v>774</v>
      </c>
      <c r="C171" s="1">
        <v>3090</v>
      </c>
      <c r="D171">
        <v>1</v>
      </c>
      <c r="E171" s="1">
        <v>3090</v>
      </c>
      <c r="F171">
        <v>1</v>
      </c>
      <c r="G171" t="s">
        <v>1518</v>
      </c>
      <c r="H171" t="s">
        <v>31</v>
      </c>
      <c r="I171" t="s">
        <v>1572</v>
      </c>
    </row>
    <row r="172" spans="2:9" x14ac:dyDescent="0.2">
      <c r="B172" t="s">
        <v>725</v>
      </c>
      <c r="C172" s="1">
        <v>3065</v>
      </c>
      <c r="D172">
        <v>4</v>
      </c>
      <c r="E172" s="1">
        <v>3065</v>
      </c>
      <c r="F172">
        <v>4</v>
      </c>
      <c r="G172" t="s">
        <v>1518</v>
      </c>
      <c r="H172" t="s">
        <v>31</v>
      </c>
      <c r="I172" t="s">
        <v>1682</v>
      </c>
    </row>
    <row r="173" spans="2:9" x14ac:dyDescent="0.2">
      <c r="B173" t="s">
        <v>163</v>
      </c>
      <c r="C173" s="1">
        <v>3020</v>
      </c>
      <c r="D173">
        <v>1</v>
      </c>
      <c r="E173" s="1">
        <v>3020</v>
      </c>
      <c r="F173">
        <v>1</v>
      </c>
      <c r="G173" t="s">
        <v>1518</v>
      </c>
      <c r="H173" t="s">
        <v>31</v>
      </c>
      <c r="I173" t="s">
        <v>1572</v>
      </c>
    </row>
    <row r="174" spans="2:9" x14ac:dyDescent="0.2">
      <c r="B174" t="s">
        <v>1683</v>
      </c>
      <c r="C174" s="1">
        <v>3014</v>
      </c>
      <c r="D174">
        <v>360</v>
      </c>
      <c r="E174" s="1">
        <v>3014</v>
      </c>
      <c r="F174">
        <v>360</v>
      </c>
      <c r="G174" t="s">
        <v>1503</v>
      </c>
      <c r="H174" t="s">
        <v>1684</v>
      </c>
    </row>
    <row r="175" spans="2:9" x14ac:dyDescent="0.2">
      <c r="B175" t="s">
        <v>1685</v>
      </c>
      <c r="C175" s="1">
        <v>3000</v>
      </c>
      <c r="D175">
        <v>1</v>
      </c>
      <c r="E175" s="1">
        <v>3000</v>
      </c>
      <c r="F175">
        <v>1</v>
      </c>
      <c r="G175" t="s">
        <v>1518</v>
      </c>
      <c r="H175" t="s">
        <v>31</v>
      </c>
      <c r="I175" t="s">
        <v>1572</v>
      </c>
    </row>
    <row r="176" spans="2:9" x14ac:dyDescent="0.2">
      <c r="B176" t="s">
        <v>1686</v>
      </c>
      <c r="C176" s="1">
        <v>2876</v>
      </c>
      <c r="D176">
        <v>9</v>
      </c>
      <c r="E176" s="1">
        <v>2876</v>
      </c>
      <c r="F176">
        <v>9</v>
      </c>
      <c r="G176" t="s">
        <v>1503</v>
      </c>
      <c r="H176" t="s">
        <v>180</v>
      </c>
      <c r="I176" t="s">
        <v>1542</v>
      </c>
    </row>
    <row r="177" spans="2:9" x14ac:dyDescent="0.2">
      <c r="B177" t="s">
        <v>699</v>
      </c>
      <c r="C177" s="1">
        <v>2870</v>
      </c>
      <c r="D177">
        <v>2</v>
      </c>
      <c r="E177" s="1">
        <v>2870</v>
      </c>
      <c r="F177">
        <v>2</v>
      </c>
      <c r="G177" t="s">
        <v>1518</v>
      </c>
      <c r="H177" t="s">
        <v>31</v>
      </c>
      <c r="I177" t="s">
        <v>1519</v>
      </c>
    </row>
    <row r="178" spans="2:9" x14ac:dyDescent="0.2">
      <c r="B178" t="s">
        <v>1687</v>
      </c>
      <c r="C178" s="1">
        <v>2854</v>
      </c>
      <c r="D178">
        <v>26</v>
      </c>
      <c r="E178" s="1">
        <v>2854</v>
      </c>
      <c r="F178">
        <v>26</v>
      </c>
      <c r="G178" t="s">
        <v>1503</v>
      </c>
      <c r="H178" t="s">
        <v>31</v>
      </c>
      <c r="I178" t="s">
        <v>1519</v>
      </c>
    </row>
    <row r="179" spans="2:9" x14ac:dyDescent="0.2">
      <c r="B179" t="s">
        <v>1688</v>
      </c>
      <c r="C179" s="1">
        <v>2848</v>
      </c>
      <c r="D179">
        <v>1</v>
      </c>
      <c r="E179" s="1">
        <v>2848</v>
      </c>
      <c r="F179">
        <v>1</v>
      </c>
      <c r="G179" t="s">
        <v>1518</v>
      </c>
      <c r="H179" t="s">
        <v>31</v>
      </c>
      <c r="I179" t="s">
        <v>1618</v>
      </c>
    </row>
    <row r="180" spans="2:9" x14ac:dyDescent="0.2">
      <c r="B180" t="s">
        <v>1689</v>
      </c>
      <c r="C180" s="1">
        <v>2845</v>
      </c>
      <c r="D180">
        <v>2</v>
      </c>
      <c r="E180" s="1">
        <v>2845</v>
      </c>
      <c r="F180">
        <v>2</v>
      </c>
      <c r="G180" t="s">
        <v>1503</v>
      </c>
      <c r="H180" t="s">
        <v>31</v>
      </c>
      <c r="I180" t="s">
        <v>1510</v>
      </c>
    </row>
    <row r="181" spans="2:9" x14ac:dyDescent="0.2">
      <c r="B181" t="s">
        <v>1690</v>
      </c>
      <c r="C181" s="1">
        <v>2829</v>
      </c>
      <c r="D181">
        <v>3</v>
      </c>
      <c r="E181" s="1">
        <v>2829</v>
      </c>
      <c r="F181">
        <v>3</v>
      </c>
      <c r="G181" t="s">
        <v>1518</v>
      </c>
      <c r="H181" t="s">
        <v>31</v>
      </c>
      <c r="I181" t="s">
        <v>1581</v>
      </c>
    </row>
    <row r="182" spans="2:9" x14ac:dyDescent="0.2">
      <c r="B182" t="s">
        <v>1069</v>
      </c>
      <c r="C182" s="1">
        <v>2821</v>
      </c>
      <c r="D182">
        <v>2</v>
      </c>
      <c r="E182" s="1">
        <v>2821</v>
      </c>
      <c r="F182">
        <v>2</v>
      </c>
      <c r="G182" t="s">
        <v>1518</v>
      </c>
      <c r="H182" t="s">
        <v>31</v>
      </c>
      <c r="I182" t="s">
        <v>1572</v>
      </c>
    </row>
    <row r="183" spans="2:9" x14ac:dyDescent="0.2">
      <c r="B183" t="s">
        <v>1691</v>
      </c>
      <c r="C183" s="1">
        <v>2795</v>
      </c>
      <c r="D183">
        <v>10</v>
      </c>
      <c r="E183" s="1">
        <v>2795</v>
      </c>
      <c r="F183">
        <v>10</v>
      </c>
      <c r="G183" t="s">
        <v>1503</v>
      </c>
      <c r="H183" t="s">
        <v>31</v>
      </c>
      <c r="I183" t="s">
        <v>1510</v>
      </c>
    </row>
    <row r="184" spans="2:9" x14ac:dyDescent="0.2">
      <c r="B184" t="s">
        <v>380</v>
      </c>
      <c r="C184" s="1">
        <v>2790</v>
      </c>
      <c r="D184">
        <v>1</v>
      </c>
      <c r="E184" s="1">
        <v>2790</v>
      </c>
      <c r="F184">
        <v>1</v>
      </c>
      <c r="G184" t="s">
        <v>1518</v>
      </c>
      <c r="H184" t="s">
        <v>31</v>
      </c>
      <c r="I184" t="s">
        <v>1572</v>
      </c>
    </row>
    <row r="185" spans="2:9" x14ac:dyDescent="0.2">
      <c r="B185" t="s">
        <v>1692</v>
      </c>
      <c r="C185" s="1">
        <v>2786</v>
      </c>
      <c r="D185">
        <v>3</v>
      </c>
      <c r="E185" s="1">
        <v>2786</v>
      </c>
      <c r="F185">
        <v>3</v>
      </c>
      <c r="G185" t="s">
        <v>1503</v>
      </c>
      <c r="H185" t="s">
        <v>215</v>
      </c>
    </row>
    <row r="186" spans="2:9" x14ac:dyDescent="0.2">
      <c r="B186" t="s">
        <v>1693</v>
      </c>
      <c r="C186" s="1">
        <v>2768</v>
      </c>
      <c r="D186">
        <v>16</v>
      </c>
      <c r="E186" s="1">
        <v>2768</v>
      </c>
      <c r="F186">
        <v>16</v>
      </c>
      <c r="G186" t="s">
        <v>1503</v>
      </c>
      <c r="H186" t="s">
        <v>1578</v>
      </c>
    </row>
    <row r="187" spans="2:9" x14ac:dyDescent="0.2">
      <c r="B187" t="s">
        <v>1694</v>
      </c>
      <c r="C187" s="1">
        <v>2754</v>
      </c>
      <c r="D187">
        <v>1</v>
      </c>
      <c r="E187" s="1">
        <v>2754</v>
      </c>
      <c r="F187">
        <v>1</v>
      </c>
      <c r="G187" t="s">
        <v>1503</v>
      </c>
      <c r="H187" t="s">
        <v>31</v>
      </c>
      <c r="I187" t="s">
        <v>1618</v>
      </c>
    </row>
    <row r="188" spans="2:9" x14ac:dyDescent="0.2">
      <c r="B188" t="s">
        <v>1695</v>
      </c>
      <c r="C188" s="1">
        <v>2752</v>
      </c>
      <c r="D188">
        <v>7</v>
      </c>
      <c r="E188" s="1">
        <v>2752</v>
      </c>
      <c r="F188">
        <v>7</v>
      </c>
      <c r="G188" t="s">
        <v>1696</v>
      </c>
      <c r="H188" t="s">
        <v>180</v>
      </c>
      <c r="I188" t="s">
        <v>1697</v>
      </c>
    </row>
    <row r="189" spans="2:9" x14ac:dyDescent="0.2">
      <c r="B189" t="s">
        <v>307</v>
      </c>
      <c r="C189" s="1">
        <v>2740</v>
      </c>
      <c r="D189">
        <v>1</v>
      </c>
      <c r="E189" s="1">
        <v>2740</v>
      </c>
      <c r="F189">
        <v>1</v>
      </c>
      <c r="G189" t="s">
        <v>1518</v>
      </c>
      <c r="H189" t="s">
        <v>31</v>
      </c>
      <c r="I189" t="s">
        <v>1679</v>
      </c>
    </row>
    <row r="190" spans="2:9" x14ac:dyDescent="0.2">
      <c r="B190" t="s">
        <v>1698</v>
      </c>
      <c r="C190" s="1">
        <v>2738</v>
      </c>
      <c r="D190">
        <v>7</v>
      </c>
      <c r="E190" s="1">
        <v>2738</v>
      </c>
      <c r="F190">
        <v>7</v>
      </c>
      <c r="G190" t="s">
        <v>1518</v>
      </c>
      <c r="H190" t="s">
        <v>31</v>
      </c>
      <c r="I190" t="s">
        <v>1522</v>
      </c>
    </row>
    <row r="191" spans="2:9" x14ac:dyDescent="0.2">
      <c r="B191" t="s">
        <v>1699</v>
      </c>
      <c r="C191" s="1">
        <v>2738</v>
      </c>
      <c r="D191">
        <v>7</v>
      </c>
      <c r="E191" s="1">
        <v>2738</v>
      </c>
      <c r="F191">
        <v>7</v>
      </c>
      <c r="G191" t="s">
        <v>1518</v>
      </c>
      <c r="H191" t="s">
        <v>31</v>
      </c>
      <c r="I191" t="s">
        <v>1522</v>
      </c>
    </row>
    <row r="192" spans="2:9" x14ac:dyDescent="0.2">
      <c r="B192" t="s">
        <v>1700</v>
      </c>
      <c r="C192" s="1">
        <v>2733</v>
      </c>
      <c r="D192">
        <v>5</v>
      </c>
      <c r="E192" s="1">
        <v>2733</v>
      </c>
      <c r="F192">
        <v>5</v>
      </c>
      <c r="G192" t="s">
        <v>1503</v>
      </c>
      <c r="H192" t="s">
        <v>215</v>
      </c>
    </row>
    <row r="193" spans="2:9" x14ac:dyDescent="0.2">
      <c r="B193" t="s">
        <v>1701</v>
      </c>
      <c r="C193" s="1">
        <v>2646</v>
      </c>
      <c r="D193">
        <v>1</v>
      </c>
      <c r="E193" s="1">
        <v>2646</v>
      </c>
      <c r="F193">
        <v>1</v>
      </c>
      <c r="G193" t="s">
        <v>1503</v>
      </c>
      <c r="H193" t="s">
        <v>31</v>
      </c>
      <c r="I193" t="s">
        <v>1504</v>
      </c>
    </row>
    <row r="194" spans="2:9" x14ac:dyDescent="0.2">
      <c r="B194" t="s">
        <v>855</v>
      </c>
      <c r="C194" s="1">
        <v>2606</v>
      </c>
      <c r="D194">
        <v>2</v>
      </c>
      <c r="E194" s="1">
        <v>2606</v>
      </c>
      <c r="F194">
        <v>2</v>
      </c>
      <c r="G194" t="s">
        <v>1518</v>
      </c>
      <c r="H194" t="s">
        <v>31</v>
      </c>
      <c r="I194" t="s">
        <v>1572</v>
      </c>
    </row>
    <row r="195" spans="2:9" x14ac:dyDescent="0.2">
      <c r="B195" t="s">
        <v>930</v>
      </c>
      <c r="C195" s="1">
        <v>2606</v>
      </c>
      <c r="D195">
        <v>2</v>
      </c>
      <c r="E195" s="1">
        <v>2606</v>
      </c>
      <c r="F195">
        <v>2</v>
      </c>
      <c r="G195" t="s">
        <v>1503</v>
      </c>
      <c r="H195" t="s">
        <v>31</v>
      </c>
      <c r="I195" t="s">
        <v>1572</v>
      </c>
    </row>
    <row r="196" spans="2:9" x14ac:dyDescent="0.2">
      <c r="B196" t="s">
        <v>121</v>
      </c>
      <c r="C196" s="1">
        <v>2590</v>
      </c>
      <c r="D196">
        <v>1</v>
      </c>
      <c r="E196" s="1">
        <v>2590</v>
      </c>
      <c r="F196">
        <v>1</v>
      </c>
      <c r="G196" t="s">
        <v>1518</v>
      </c>
      <c r="H196" t="s">
        <v>31</v>
      </c>
      <c r="I196" t="s">
        <v>1572</v>
      </c>
    </row>
    <row r="197" spans="2:9" x14ac:dyDescent="0.2">
      <c r="B197" t="s">
        <v>1702</v>
      </c>
      <c r="C197" s="1">
        <v>2586</v>
      </c>
      <c r="D197">
        <v>1</v>
      </c>
      <c r="E197" s="1">
        <v>2586</v>
      </c>
      <c r="F197">
        <v>1</v>
      </c>
      <c r="G197" t="s">
        <v>1503</v>
      </c>
      <c r="H197" t="s">
        <v>31</v>
      </c>
      <c r="I197" t="s">
        <v>1510</v>
      </c>
    </row>
    <row r="198" spans="2:9" x14ac:dyDescent="0.2">
      <c r="B198" t="s">
        <v>1030</v>
      </c>
      <c r="C198" s="1">
        <v>2582</v>
      </c>
      <c r="D198">
        <v>1</v>
      </c>
      <c r="E198" s="1">
        <v>2582</v>
      </c>
      <c r="F198">
        <v>1</v>
      </c>
      <c r="G198" t="s">
        <v>1518</v>
      </c>
      <c r="H198" t="s">
        <v>31</v>
      </c>
      <c r="I198" t="s">
        <v>1613</v>
      </c>
    </row>
    <row r="199" spans="2:9" x14ac:dyDescent="0.2">
      <c r="B199" t="s">
        <v>1703</v>
      </c>
      <c r="C199" s="1">
        <v>2580</v>
      </c>
      <c r="D199">
        <v>1</v>
      </c>
      <c r="E199" s="1">
        <v>2580</v>
      </c>
      <c r="F199">
        <v>1</v>
      </c>
      <c r="G199" t="s">
        <v>1518</v>
      </c>
      <c r="H199" t="s">
        <v>31</v>
      </c>
      <c r="I199" t="s">
        <v>1572</v>
      </c>
    </row>
    <row r="200" spans="2:9" x14ac:dyDescent="0.2">
      <c r="B200" t="s">
        <v>1704</v>
      </c>
      <c r="C200" s="1">
        <v>2580</v>
      </c>
      <c r="D200">
        <v>1</v>
      </c>
      <c r="E200" s="1">
        <v>2580</v>
      </c>
      <c r="F200">
        <v>1</v>
      </c>
      <c r="G200" t="s">
        <v>1503</v>
      </c>
      <c r="H200" t="s">
        <v>494</v>
      </c>
    </row>
    <row r="201" spans="2:9" x14ac:dyDescent="0.2">
      <c r="B201" t="s">
        <v>1705</v>
      </c>
      <c r="C201" s="1">
        <v>2560</v>
      </c>
      <c r="D201">
        <v>1</v>
      </c>
      <c r="E201" s="1">
        <v>2560</v>
      </c>
      <c r="F201">
        <v>1</v>
      </c>
      <c r="G201" t="s">
        <v>1503</v>
      </c>
      <c r="H201" t="s">
        <v>1706</v>
      </c>
    </row>
    <row r="202" spans="2:9" x14ac:dyDescent="0.2">
      <c r="B202" t="s">
        <v>988</v>
      </c>
      <c r="C202" s="1">
        <v>2534</v>
      </c>
      <c r="D202">
        <v>1</v>
      </c>
      <c r="E202" s="1">
        <v>2534</v>
      </c>
      <c r="F202">
        <v>1</v>
      </c>
      <c r="G202" t="s">
        <v>1518</v>
      </c>
      <c r="H202" t="s">
        <v>31</v>
      </c>
      <c r="I202" t="s">
        <v>1572</v>
      </c>
    </row>
    <row r="203" spans="2:9" x14ac:dyDescent="0.2">
      <c r="B203" t="s">
        <v>825</v>
      </c>
      <c r="C203" s="1">
        <v>2520</v>
      </c>
      <c r="D203">
        <v>1</v>
      </c>
      <c r="E203" s="1">
        <v>2520</v>
      </c>
      <c r="F203">
        <v>1</v>
      </c>
      <c r="G203" t="s">
        <v>1518</v>
      </c>
      <c r="H203" t="s">
        <v>31</v>
      </c>
      <c r="I203" t="s">
        <v>1572</v>
      </c>
    </row>
    <row r="204" spans="2:9" x14ac:dyDescent="0.2">
      <c r="B204" t="s">
        <v>1707</v>
      </c>
      <c r="C204" s="1">
        <v>2500</v>
      </c>
      <c r="D204">
        <v>1</v>
      </c>
      <c r="E204" s="1">
        <v>2500</v>
      </c>
      <c r="F204">
        <v>1</v>
      </c>
      <c r="G204" t="s">
        <v>1503</v>
      </c>
      <c r="H204" t="s">
        <v>31</v>
      </c>
      <c r="I204" t="s">
        <v>1572</v>
      </c>
    </row>
    <row r="205" spans="2:9" x14ac:dyDescent="0.2">
      <c r="B205" t="s">
        <v>881</v>
      </c>
      <c r="C205" s="1">
        <v>2488</v>
      </c>
      <c r="D205">
        <v>1</v>
      </c>
      <c r="E205" s="1">
        <v>2488</v>
      </c>
      <c r="F205">
        <v>1</v>
      </c>
      <c r="G205" t="s">
        <v>1518</v>
      </c>
      <c r="H205" t="s">
        <v>31</v>
      </c>
      <c r="I205" t="s">
        <v>1654</v>
      </c>
    </row>
    <row r="206" spans="2:9" x14ac:dyDescent="0.2">
      <c r="B206" t="s">
        <v>452</v>
      </c>
      <c r="C206" s="1">
        <v>2463</v>
      </c>
      <c r="D206">
        <v>2</v>
      </c>
      <c r="E206" s="1">
        <v>2463</v>
      </c>
      <c r="F206">
        <v>2</v>
      </c>
      <c r="G206" t="s">
        <v>1503</v>
      </c>
      <c r="H206" t="s">
        <v>31</v>
      </c>
      <c r="I206" t="s">
        <v>1572</v>
      </c>
    </row>
    <row r="207" spans="2:9" x14ac:dyDescent="0.2">
      <c r="B207" t="s">
        <v>1708</v>
      </c>
      <c r="C207" s="1">
        <v>2450</v>
      </c>
      <c r="D207">
        <v>1</v>
      </c>
      <c r="E207" s="1">
        <v>2450</v>
      </c>
      <c r="F207">
        <v>1</v>
      </c>
      <c r="G207" t="s">
        <v>1503</v>
      </c>
      <c r="H207" t="s">
        <v>31</v>
      </c>
      <c r="I207" t="s">
        <v>1671</v>
      </c>
    </row>
    <row r="208" spans="2:9" x14ac:dyDescent="0.2">
      <c r="B208" t="s">
        <v>1709</v>
      </c>
      <c r="C208" s="1">
        <v>2443</v>
      </c>
      <c r="D208">
        <v>5</v>
      </c>
      <c r="E208" s="1">
        <v>2443</v>
      </c>
      <c r="F208">
        <v>5</v>
      </c>
      <c r="G208" t="s">
        <v>1503</v>
      </c>
      <c r="H208" t="s">
        <v>1710</v>
      </c>
    </row>
    <row r="209" spans="2:9" x14ac:dyDescent="0.2">
      <c r="B209" t="s">
        <v>1711</v>
      </c>
      <c r="C209" s="1">
        <v>2424</v>
      </c>
      <c r="D209">
        <v>1</v>
      </c>
      <c r="E209" s="1">
        <v>2424</v>
      </c>
      <c r="F209">
        <v>1</v>
      </c>
      <c r="G209" t="s">
        <v>1696</v>
      </c>
      <c r="H209" t="s">
        <v>180</v>
      </c>
      <c r="I209" t="s">
        <v>1530</v>
      </c>
    </row>
    <row r="210" spans="2:9" x14ac:dyDescent="0.2">
      <c r="B210" t="s">
        <v>1712</v>
      </c>
      <c r="C210" s="1">
        <v>2412</v>
      </c>
      <c r="D210">
        <v>2</v>
      </c>
      <c r="E210" s="1">
        <v>2412</v>
      </c>
      <c r="F210">
        <v>2</v>
      </c>
      <c r="G210" t="s">
        <v>1503</v>
      </c>
      <c r="H210" t="s">
        <v>31</v>
      </c>
      <c r="I210" t="s">
        <v>1510</v>
      </c>
    </row>
    <row r="211" spans="2:9" x14ac:dyDescent="0.2">
      <c r="B211" t="s">
        <v>1713</v>
      </c>
      <c r="C211" s="1">
        <v>2382</v>
      </c>
      <c r="D211">
        <v>5</v>
      </c>
      <c r="E211" s="1">
        <v>2382</v>
      </c>
      <c r="F211">
        <v>5</v>
      </c>
      <c r="G211" t="s">
        <v>1518</v>
      </c>
      <c r="H211" t="s">
        <v>31</v>
      </c>
      <c r="I211" t="s">
        <v>1618</v>
      </c>
    </row>
    <row r="212" spans="2:9" x14ac:dyDescent="0.2">
      <c r="B212" t="s">
        <v>1714</v>
      </c>
      <c r="C212" s="1">
        <v>2367</v>
      </c>
      <c r="D212">
        <v>5</v>
      </c>
      <c r="E212" s="1">
        <v>2367</v>
      </c>
      <c r="F212">
        <v>5</v>
      </c>
      <c r="G212" t="s">
        <v>1503</v>
      </c>
      <c r="H212" t="s">
        <v>31</v>
      </c>
      <c r="I212" t="s">
        <v>1671</v>
      </c>
    </row>
    <row r="213" spans="2:9" x14ac:dyDescent="0.2">
      <c r="B213" t="s">
        <v>1715</v>
      </c>
      <c r="C213" s="1">
        <v>2337</v>
      </c>
      <c r="D213">
        <v>42</v>
      </c>
      <c r="E213" s="1">
        <v>2337</v>
      </c>
      <c r="F213">
        <v>42</v>
      </c>
      <c r="G213" t="s">
        <v>1503</v>
      </c>
      <c r="H213" t="s">
        <v>1557</v>
      </c>
    </row>
    <row r="214" spans="2:9" x14ac:dyDescent="0.2">
      <c r="B214" t="s">
        <v>36</v>
      </c>
      <c r="C214" s="1">
        <v>2332</v>
      </c>
      <c r="D214">
        <v>5</v>
      </c>
      <c r="E214" s="1">
        <v>2332</v>
      </c>
      <c r="F214">
        <v>5</v>
      </c>
      <c r="G214" t="s">
        <v>1518</v>
      </c>
      <c r="H214" t="s">
        <v>31</v>
      </c>
      <c r="I214" t="s">
        <v>1522</v>
      </c>
    </row>
    <row r="215" spans="2:9" x14ac:dyDescent="0.2">
      <c r="B215" t="s">
        <v>1716</v>
      </c>
      <c r="C215" s="1">
        <v>2300</v>
      </c>
      <c r="D215">
        <v>2</v>
      </c>
      <c r="E215" s="1">
        <v>2300</v>
      </c>
      <c r="F215">
        <v>2</v>
      </c>
      <c r="G215" t="s">
        <v>1518</v>
      </c>
      <c r="H215" t="s">
        <v>31</v>
      </c>
      <c r="I215" t="s">
        <v>1717</v>
      </c>
    </row>
    <row r="216" spans="2:9" x14ac:dyDescent="0.2">
      <c r="B216" t="s">
        <v>1718</v>
      </c>
      <c r="C216" s="1">
        <v>2297</v>
      </c>
      <c r="D216">
        <v>26</v>
      </c>
      <c r="E216" s="1">
        <v>2297</v>
      </c>
      <c r="F216">
        <v>26</v>
      </c>
      <c r="G216" t="s">
        <v>1503</v>
      </c>
      <c r="H216" t="s">
        <v>536</v>
      </c>
    </row>
    <row r="217" spans="2:9" x14ac:dyDescent="0.2">
      <c r="B217" t="s">
        <v>1719</v>
      </c>
      <c r="C217" s="1">
        <v>2287</v>
      </c>
      <c r="D217">
        <v>4</v>
      </c>
      <c r="E217" s="1">
        <v>2287</v>
      </c>
      <c r="F217">
        <v>4</v>
      </c>
      <c r="G217" t="s">
        <v>1518</v>
      </c>
      <c r="H217" t="s">
        <v>31</v>
      </c>
      <c r="I217" t="s">
        <v>1522</v>
      </c>
    </row>
    <row r="218" spans="2:9" x14ac:dyDescent="0.2">
      <c r="B218" t="s">
        <v>961</v>
      </c>
      <c r="C218" s="1">
        <v>2275</v>
      </c>
      <c r="D218">
        <v>1</v>
      </c>
      <c r="E218" s="1">
        <v>2275</v>
      </c>
      <c r="F218">
        <v>1</v>
      </c>
      <c r="G218" t="s">
        <v>1518</v>
      </c>
      <c r="H218" t="s">
        <v>31</v>
      </c>
      <c r="I218" t="s">
        <v>1648</v>
      </c>
    </row>
    <row r="219" spans="2:9" x14ac:dyDescent="0.2">
      <c r="B219" t="s">
        <v>283</v>
      </c>
      <c r="C219" s="1">
        <v>2270</v>
      </c>
      <c r="D219">
        <v>1</v>
      </c>
      <c r="E219" s="1">
        <v>2270</v>
      </c>
      <c r="F219">
        <v>1</v>
      </c>
      <c r="G219" t="s">
        <v>1518</v>
      </c>
      <c r="H219" t="s">
        <v>31</v>
      </c>
      <c r="I219" t="s">
        <v>1572</v>
      </c>
    </row>
    <row r="220" spans="2:9" x14ac:dyDescent="0.2">
      <c r="B220" t="s">
        <v>1720</v>
      </c>
      <c r="C220" s="1">
        <v>2240</v>
      </c>
      <c r="D220">
        <v>1</v>
      </c>
      <c r="E220" s="1">
        <v>2240</v>
      </c>
      <c r="F220">
        <v>1</v>
      </c>
      <c r="G220" t="s">
        <v>1518</v>
      </c>
      <c r="H220" t="s">
        <v>31</v>
      </c>
      <c r="I220" t="s">
        <v>1572</v>
      </c>
    </row>
    <row r="221" spans="2:9" x14ac:dyDescent="0.2">
      <c r="B221" t="s">
        <v>394</v>
      </c>
      <c r="C221" s="1">
        <v>2231</v>
      </c>
      <c r="D221">
        <v>1</v>
      </c>
      <c r="E221" s="1">
        <v>2231</v>
      </c>
      <c r="F221">
        <v>1</v>
      </c>
      <c r="G221" t="s">
        <v>1503</v>
      </c>
      <c r="H221" t="s">
        <v>31</v>
      </c>
      <c r="I221" t="s">
        <v>1519</v>
      </c>
    </row>
    <row r="222" spans="2:9" x14ac:dyDescent="0.2">
      <c r="B222" t="s">
        <v>949</v>
      </c>
      <c r="C222" s="1">
        <v>2210</v>
      </c>
      <c r="D222">
        <v>1</v>
      </c>
      <c r="E222" s="1">
        <v>2210</v>
      </c>
      <c r="F222">
        <v>1</v>
      </c>
      <c r="G222" t="s">
        <v>1518</v>
      </c>
      <c r="H222" t="s">
        <v>31</v>
      </c>
      <c r="I222" t="s">
        <v>1572</v>
      </c>
    </row>
    <row r="223" spans="2:9" x14ac:dyDescent="0.2">
      <c r="B223" t="s">
        <v>1721</v>
      </c>
      <c r="C223" s="1">
        <v>2203</v>
      </c>
      <c r="D223">
        <v>5</v>
      </c>
      <c r="E223" s="1">
        <v>2203</v>
      </c>
      <c r="F223">
        <v>5</v>
      </c>
      <c r="G223" t="s">
        <v>1503</v>
      </c>
      <c r="H223" t="s">
        <v>31</v>
      </c>
      <c r="I223" t="s">
        <v>1504</v>
      </c>
    </row>
    <row r="224" spans="2:9" x14ac:dyDescent="0.2">
      <c r="B224" t="s">
        <v>1722</v>
      </c>
      <c r="C224" s="1">
        <v>2189</v>
      </c>
      <c r="D224">
        <v>8</v>
      </c>
      <c r="E224" s="1">
        <v>2189</v>
      </c>
      <c r="F224">
        <v>8</v>
      </c>
      <c r="G224" t="s">
        <v>1503</v>
      </c>
      <c r="H224" t="s">
        <v>1684</v>
      </c>
    </row>
    <row r="225" spans="2:9" x14ac:dyDescent="0.2">
      <c r="B225" t="s">
        <v>1723</v>
      </c>
      <c r="C225" s="1">
        <v>2162</v>
      </c>
      <c r="D225">
        <v>2</v>
      </c>
      <c r="E225" s="1">
        <v>2162</v>
      </c>
      <c r="F225">
        <v>2</v>
      </c>
      <c r="G225" t="s">
        <v>1503</v>
      </c>
      <c r="H225" t="s">
        <v>311</v>
      </c>
      <c r="I225" t="s">
        <v>1724</v>
      </c>
    </row>
    <row r="226" spans="2:9" x14ac:dyDescent="0.2">
      <c r="B226" t="s">
        <v>1725</v>
      </c>
      <c r="C226" s="1">
        <v>2154</v>
      </c>
      <c r="D226">
        <v>5</v>
      </c>
      <c r="E226" s="1">
        <v>2154</v>
      </c>
      <c r="F226">
        <v>5</v>
      </c>
      <c r="G226" t="s">
        <v>1503</v>
      </c>
      <c r="H226" t="s">
        <v>1512</v>
      </c>
      <c r="I226" t="s">
        <v>1513</v>
      </c>
    </row>
    <row r="227" spans="2:9" x14ac:dyDescent="0.2">
      <c r="B227" t="s">
        <v>1726</v>
      </c>
      <c r="C227" s="1">
        <v>2153</v>
      </c>
      <c r="D227">
        <v>14</v>
      </c>
      <c r="E227" s="1">
        <v>2153</v>
      </c>
      <c r="F227">
        <v>14</v>
      </c>
      <c r="G227" t="s">
        <v>1503</v>
      </c>
      <c r="H227" t="s">
        <v>1684</v>
      </c>
    </row>
    <row r="228" spans="2:9" x14ac:dyDescent="0.2">
      <c r="B228" t="s">
        <v>1727</v>
      </c>
      <c r="C228" s="1">
        <v>2140</v>
      </c>
      <c r="D228">
        <v>8</v>
      </c>
      <c r="E228" s="1">
        <v>2140</v>
      </c>
      <c r="F228">
        <v>8</v>
      </c>
      <c r="G228" t="s">
        <v>1503</v>
      </c>
      <c r="H228" t="s">
        <v>31</v>
      </c>
      <c r="I228" t="s">
        <v>1572</v>
      </c>
    </row>
    <row r="229" spans="2:9" x14ac:dyDescent="0.2">
      <c r="B229" t="s">
        <v>1728</v>
      </c>
      <c r="C229" s="1">
        <v>2139</v>
      </c>
      <c r="D229">
        <v>3</v>
      </c>
      <c r="E229" s="1">
        <v>2139</v>
      </c>
      <c r="F229">
        <v>3</v>
      </c>
      <c r="G229" t="s">
        <v>1503</v>
      </c>
      <c r="H229" t="s">
        <v>180</v>
      </c>
      <c r="I229" t="s">
        <v>1660</v>
      </c>
    </row>
    <row r="230" spans="2:9" x14ac:dyDescent="0.2">
      <c r="B230" t="s">
        <v>160</v>
      </c>
      <c r="C230" s="1">
        <v>2108</v>
      </c>
      <c r="D230">
        <v>2</v>
      </c>
      <c r="E230" s="1">
        <v>2108</v>
      </c>
      <c r="F230">
        <v>2</v>
      </c>
      <c r="G230" t="s">
        <v>1518</v>
      </c>
      <c r="H230" t="s">
        <v>31</v>
      </c>
      <c r="I230" t="s">
        <v>1654</v>
      </c>
    </row>
    <row r="231" spans="2:9" x14ac:dyDescent="0.2">
      <c r="B231" t="s">
        <v>1045</v>
      </c>
      <c r="C231" s="1">
        <v>2108</v>
      </c>
      <c r="D231">
        <v>1</v>
      </c>
      <c r="E231" s="1">
        <v>2108</v>
      </c>
      <c r="F231">
        <v>1</v>
      </c>
      <c r="G231" t="s">
        <v>1518</v>
      </c>
      <c r="H231" t="s">
        <v>31</v>
      </c>
      <c r="I231" t="s">
        <v>1572</v>
      </c>
    </row>
    <row r="232" spans="2:9" x14ac:dyDescent="0.2">
      <c r="B232" t="s">
        <v>597</v>
      </c>
      <c r="C232" s="1">
        <v>2107</v>
      </c>
      <c r="D232">
        <v>1</v>
      </c>
      <c r="E232" s="1">
        <v>2107</v>
      </c>
      <c r="F232">
        <v>1</v>
      </c>
      <c r="G232" t="s">
        <v>1518</v>
      </c>
      <c r="H232" t="s">
        <v>31</v>
      </c>
      <c r="I232" t="s">
        <v>1654</v>
      </c>
    </row>
    <row r="233" spans="2:9" x14ac:dyDescent="0.2">
      <c r="B233" t="s">
        <v>1729</v>
      </c>
      <c r="C233" s="1">
        <v>2107</v>
      </c>
      <c r="D233">
        <v>3</v>
      </c>
      <c r="E233" s="1">
        <v>2107</v>
      </c>
      <c r="F233">
        <v>3</v>
      </c>
      <c r="G233" t="s">
        <v>1518</v>
      </c>
      <c r="H233" t="s">
        <v>31</v>
      </c>
      <c r="I233" t="s">
        <v>1654</v>
      </c>
    </row>
    <row r="234" spans="2:9" x14ac:dyDescent="0.2">
      <c r="B234" t="s">
        <v>1730</v>
      </c>
      <c r="C234" s="1">
        <v>2107</v>
      </c>
      <c r="D234">
        <v>3</v>
      </c>
      <c r="E234" s="1">
        <v>2107</v>
      </c>
      <c r="F234">
        <v>3</v>
      </c>
      <c r="G234" t="s">
        <v>1518</v>
      </c>
      <c r="H234" t="s">
        <v>31</v>
      </c>
      <c r="I234" t="s">
        <v>1654</v>
      </c>
    </row>
    <row r="235" spans="2:9" x14ac:dyDescent="0.2">
      <c r="B235" t="s">
        <v>1731</v>
      </c>
      <c r="C235" s="1">
        <v>2064</v>
      </c>
      <c r="D235">
        <v>1</v>
      </c>
      <c r="E235" s="1">
        <v>2064</v>
      </c>
      <c r="F235">
        <v>1</v>
      </c>
      <c r="G235" t="s">
        <v>1503</v>
      </c>
      <c r="H235" t="s">
        <v>31</v>
      </c>
      <c r="I235" t="s">
        <v>71</v>
      </c>
    </row>
    <row r="236" spans="2:9" x14ac:dyDescent="0.2">
      <c r="B236" t="s">
        <v>1732</v>
      </c>
      <c r="C236" s="1">
        <v>2056</v>
      </c>
      <c r="D236">
        <v>3</v>
      </c>
      <c r="E236" s="1">
        <v>2056</v>
      </c>
      <c r="F236">
        <v>3</v>
      </c>
      <c r="G236" t="s">
        <v>1503</v>
      </c>
      <c r="H236" t="s">
        <v>180</v>
      </c>
      <c r="I236" t="s">
        <v>1660</v>
      </c>
    </row>
    <row r="237" spans="2:9" x14ac:dyDescent="0.2">
      <c r="B237" t="s">
        <v>943</v>
      </c>
      <c r="C237" s="1">
        <v>2054</v>
      </c>
      <c r="D237">
        <v>1</v>
      </c>
      <c r="E237" s="1">
        <v>2054</v>
      </c>
      <c r="F237">
        <v>1</v>
      </c>
      <c r="G237" t="s">
        <v>1518</v>
      </c>
      <c r="H237" t="s">
        <v>31</v>
      </c>
      <c r="I237" t="s">
        <v>71</v>
      </c>
    </row>
    <row r="238" spans="2:9" x14ac:dyDescent="0.2">
      <c r="B238" t="s">
        <v>681</v>
      </c>
      <c r="C238" s="1">
        <v>2050</v>
      </c>
      <c r="D238">
        <v>1</v>
      </c>
      <c r="E238" s="1">
        <v>2050</v>
      </c>
      <c r="F238">
        <v>1</v>
      </c>
      <c r="G238" t="s">
        <v>1518</v>
      </c>
      <c r="H238" t="s">
        <v>31</v>
      </c>
      <c r="I238" t="s">
        <v>1603</v>
      </c>
    </row>
    <row r="239" spans="2:9" x14ac:dyDescent="0.2">
      <c r="B239" t="s">
        <v>1733</v>
      </c>
      <c r="C239" s="1">
        <v>2044</v>
      </c>
      <c r="D239">
        <v>1</v>
      </c>
      <c r="E239" s="1">
        <v>2044</v>
      </c>
      <c r="F239">
        <v>1</v>
      </c>
      <c r="G239" t="s">
        <v>1503</v>
      </c>
      <c r="H239" t="s">
        <v>211</v>
      </c>
    </row>
    <row r="240" spans="2:9" x14ac:dyDescent="0.2">
      <c r="B240" t="s">
        <v>1734</v>
      </c>
      <c r="C240" s="1">
        <v>2040</v>
      </c>
      <c r="D240">
        <v>5</v>
      </c>
      <c r="E240" s="1">
        <v>2040</v>
      </c>
      <c r="F240">
        <v>5</v>
      </c>
      <c r="G240" t="s">
        <v>1503</v>
      </c>
      <c r="H240" t="s">
        <v>1567</v>
      </c>
    </row>
    <row r="241" spans="2:9" x14ac:dyDescent="0.2">
      <c r="B241" t="s">
        <v>1735</v>
      </c>
      <c r="C241" s="1">
        <v>2036</v>
      </c>
      <c r="D241">
        <v>5</v>
      </c>
      <c r="E241" s="1">
        <v>2036</v>
      </c>
      <c r="F241">
        <v>5</v>
      </c>
      <c r="G241" t="s">
        <v>1503</v>
      </c>
      <c r="H241" t="s">
        <v>31</v>
      </c>
      <c r="I241" t="s">
        <v>1510</v>
      </c>
    </row>
    <row r="242" spans="2:9" x14ac:dyDescent="0.2">
      <c r="B242" t="s">
        <v>757</v>
      </c>
      <c r="C242" s="1">
        <v>2035</v>
      </c>
      <c r="D242">
        <v>2</v>
      </c>
      <c r="E242" s="1">
        <v>2035</v>
      </c>
      <c r="F242">
        <v>2</v>
      </c>
      <c r="G242" t="s">
        <v>1518</v>
      </c>
      <c r="H242" t="s">
        <v>31</v>
      </c>
      <c r="I242" t="s">
        <v>71</v>
      </c>
    </row>
    <row r="243" spans="2:9" x14ac:dyDescent="0.2">
      <c r="B243" t="s">
        <v>294</v>
      </c>
      <c r="C243" s="1">
        <v>2030</v>
      </c>
      <c r="D243">
        <v>4</v>
      </c>
      <c r="E243" s="1">
        <v>2030</v>
      </c>
      <c r="F243">
        <v>4</v>
      </c>
      <c r="G243" t="s">
        <v>1518</v>
      </c>
      <c r="H243" t="s">
        <v>31</v>
      </c>
      <c r="I243" t="s">
        <v>1682</v>
      </c>
    </row>
    <row r="244" spans="2:9" x14ac:dyDescent="0.2">
      <c r="B244" t="s">
        <v>964</v>
      </c>
      <c r="C244" s="1">
        <v>2024</v>
      </c>
      <c r="D244">
        <v>2</v>
      </c>
      <c r="E244" s="1">
        <v>2024</v>
      </c>
      <c r="F244">
        <v>2</v>
      </c>
      <c r="G244" t="s">
        <v>1518</v>
      </c>
      <c r="H244" t="s">
        <v>31</v>
      </c>
      <c r="I244" t="s">
        <v>1572</v>
      </c>
    </row>
    <row r="245" spans="2:9" x14ac:dyDescent="0.2">
      <c r="B245" t="s">
        <v>259</v>
      </c>
      <c r="C245" s="1">
        <v>2016</v>
      </c>
      <c r="D245">
        <v>1</v>
      </c>
      <c r="E245" s="1">
        <v>2016</v>
      </c>
      <c r="F245">
        <v>1</v>
      </c>
      <c r="G245" t="s">
        <v>1518</v>
      </c>
      <c r="H245" t="s">
        <v>31</v>
      </c>
      <c r="I245" t="s">
        <v>1572</v>
      </c>
    </row>
    <row r="246" spans="2:9" x14ac:dyDescent="0.2">
      <c r="B246" t="s">
        <v>968</v>
      </c>
      <c r="C246" s="1">
        <v>2011</v>
      </c>
      <c r="D246">
        <v>3</v>
      </c>
      <c r="E246" s="1">
        <v>2011</v>
      </c>
      <c r="F246">
        <v>3</v>
      </c>
      <c r="G246" t="s">
        <v>1518</v>
      </c>
      <c r="H246" t="s">
        <v>31</v>
      </c>
      <c r="I246" t="s">
        <v>1581</v>
      </c>
    </row>
    <row r="247" spans="2:9" x14ac:dyDescent="0.2">
      <c r="B247" t="s">
        <v>1736</v>
      </c>
      <c r="C247" s="1">
        <v>2004</v>
      </c>
      <c r="D247">
        <v>1</v>
      </c>
      <c r="E247" s="1">
        <v>2004</v>
      </c>
      <c r="F247">
        <v>1</v>
      </c>
      <c r="G247" t="s">
        <v>1503</v>
      </c>
      <c r="H247" t="s">
        <v>275</v>
      </c>
    </row>
    <row r="248" spans="2:9" x14ac:dyDescent="0.2">
      <c r="B248" t="s">
        <v>1737</v>
      </c>
      <c r="C248" s="1">
        <v>2000</v>
      </c>
      <c r="D248">
        <v>4</v>
      </c>
      <c r="E248" s="1">
        <v>2000</v>
      </c>
      <c r="F248">
        <v>4</v>
      </c>
      <c r="G248" t="s">
        <v>1518</v>
      </c>
      <c r="H248" t="s">
        <v>31</v>
      </c>
      <c r="I248" t="s">
        <v>1522</v>
      </c>
    </row>
    <row r="249" spans="2:9" x14ac:dyDescent="0.2">
      <c r="B249" t="s">
        <v>608</v>
      </c>
      <c r="C249" s="1">
        <v>1968</v>
      </c>
      <c r="D249">
        <v>1</v>
      </c>
      <c r="E249" s="1">
        <v>1968</v>
      </c>
      <c r="F249">
        <v>1</v>
      </c>
      <c r="G249" t="s">
        <v>1518</v>
      </c>
      <c r="H249" t="s">
        <v>31</v>
      </c>
      <c r="I249" t="s">
        <v>1572</v>
      </c>
    </row>
    <row r="250" spans="2:9" x14ac:dyDescent="0.2">
      <c r="B250" t="s">
        <v>1738</v>
      </c>
      <c r="C250" s="1">
        <v>1966</v>
      </c>
      <c r="D250">
        <v>2</v>
      </c>
      <c r="E250" s="1">
        <v>1966</v>
      </c>
      <c r="F250">
        <v>2</v>
      </c>
      <c r="G250" t="s">
        <v>1518</v>
      </c>
      <c r="H250" t="s">
        <v>31</v>
      </c>
      <c r="I250" t="s">
        <v>1572</v>
      </c>
    </row>
    <row r="251" spans="2:9" x14ac:dyDescent="0.2">
      <c r="B251" t="s">
        <v>1739</v>
      </c>
      <c r="C251" s="1">
        <v>1960</v>
      </c>
      <c r="D251">
        <v>7</v>
      </c>
      <c r="E251" s="1">
        <v>1960</v>
      </c>
      <c r="F251">
        <v>7</v>
      </c>
      <c r="G251" t="s">
        <v>1518</v>
      </c>
      <c r="H251" t="s">
        <v>31</v>
      </c>
      <c r="I251" t="s">
        <v>1613</v>
      </c>
    </row>
    <row r="252" spans="2:9" x14ac:dyDescent="0.2">
      <c r="B252" t="s">
        <v>1740</v>
      </c>
      <c r="C252" s="1">
        <v>1960</v>
      </c>
      <c r="D252">
        <v>7</v>
      </c>
      <c r="E252" s="1">
        <v>1960</v>
      </c>
      <c r="F252">
        <v>7</v>
      </c>
      <c r="G252" t="s">
        <v>1518</v>
      </c>
      <c r="H252" t="s">
        <v>31</v>
      </c>
      <c r="I252" t="s">
        <v>1613</v>
      </c>
    </row>
    <row r="253" spans="2:9" x14ac:dyDescent="0.2">
      <c r="B253" t="s">
        <v>1741</v>
      </c>
      <c r="C253" s="1">
        <v>1958</v>
      </c>
      <c r="D253">
        <v>3</v>
      </c>
      <c r="E253" s="1">
        <v>1958</v>
      </c>
      <c r="F253">
        <v>3</v>
      </c>
      <c r="G253" t="s">
        <v>1503</v>
      </c>
      <c r="H253" t="s">
        <v>275</v>
      </c>
    </row>
    <row r="254" spans="2:9" x14ac:dyDescent="0.2">
      <c r="B254" t="s">
        <v>614</v>
      </c>
      <c r="C254" s="1">
        <v>1929</v>
      </c>
      <c r="D254">
        <v>1</v>
      </c>
      <c r="E254" s="1">
        <v>1929</v>
      </c>
      <c r="F254">
        <v>1</v>
      </c>
      <c r="G254" t="s">
        <v>1518</v>
      </c>
      <c r="H254" t="s">
        <v>31</v>
      </c>
      <c r="I254" t="s">
        <v>1572</v>
      </c>
    </row>
    <row r="255" spans="2:9" x14ac:dyDescent="0.2">
      <c r="B255" t="s">
        <v>1742</v>
      </c>
      <c r="C255" s="1">
        <v>1910</v>
      </c>
      <c r="D255">
        <v>11</v>
      </c>
      <c r="E255" s="1">
        <v>1910</v>
      </c>
      <c r="F255">
        <v>11</v>
      </c>
      <c r="G255" t="s">
        <v>1503</v>
      </c>
      <c r="H255" t="s">
        <v>1512</v>
      </c>
      <c r="I255" t="s">
        <v>1513</v>
      </c>
    </row>
    <row r="256" spans="2:9" x14ac:dyDescent="0.2">
      <c r="B256" t="s">
        <v>1743</v>
      </c>
      <c r="C256" s="1">
        <v>1894</v>
      </c>
      <c r="D256">
        <v>3</v>
      </c>
      <c r="E256" s="1">
        <v>1894</v>
      </c>
      <c r="F256">
        <v>3</v>
      </c>
      <c r="G256" t="s">
        <v>1503</v>
      </c>
      <c r="H256" t="s">
        <v>31</v>
      </c>
      <c r="I256" t="s">
        <v>1510</v>
      </c>
    </row>
    <row r="257" spans="2:9" x14ac:dyDescent="0.2">
      <c r="B257" t="s">
        <v>1744</v>
      </c>
      <c r="C257" s="1">
        <v>1890</v>
      </c>
      <c r="D257">
        <v>1</v>
      </c>
      <c r="E257" s="1">
        <v>1890</v>
      </c>
      <c r="F257">
        <v>1</v>
      </c>
      <c r="G257" t="s">
        <v>1518</v>
      </c>
      <c r="H257" t="s">
        <v>31</v>
      </c>
      <c r="I257" t="s">
        <v>1600</v>
      </c>
    </row>
    <row r="258" spans="2:9" x14ac:dyDescent="0.2">
      <c r="B258" t="s">
        <v>1745</v>
      </c>
      <c r="C258" s="1">
        <v>1888</v>
      </c>
      <c r="D258">
        <v>13</v>
      </c>
      <c r="E258" s="1">
        <v>1888</v>
      </c>
      <c r="F258">
        <v>13</v>
      </c>
      <c r="G258" t="s">
        <v>1503</v>
      </c>
      <c r="H258" t="s">
        <v>31</v>
      </c>
      <c r="I258" t="s">
        <v>1510</v>
      </c>
    </row>
    <row r="259" spans="2:9" x14ac:dyDescent="0.2">
      <c r="B259" t="s">
        <v>1746</v>
      </c>
      <c r="C259" s="1">
        <v>1882</v>
      </c>
      <c r="D259">
        <v>3</v>
      </c>
      <c r="E259" s="1">
        <v>1882</v>
      </c>
      <c r="F259">
        <v>3</v>
      </c>
      <c r="G259" t="s">
        <v>1518</v>
      </c>
      <c r="H259" t="s">
        <v>31</v>
      </c>
      <c r="I259" t="s">
        <v>1747</v>
      </c>
    </row>
    <row r="260" spans="2:9" x14ac:dyDescent="0.2">
      <c r="B260" t="s">
        <v>662</v>
      </c>
      <c r="C260" s="1">
        <v>1876</v>
      </c>
      <c r="D260">
        <v>1</v>
      </c>
      <c r="E260" s="1">
        <v>1876</v>
      </c>
      <c r="F260">
        <v>1</v>
      </c>
      <c r="G260" t="s">
        <v>1518</v>
      </c>
      <c r="H260" t="s">
        <v>31</v>
      </c>
      <c r="I260" t="s">
        <v>71</v>
      </c>
    </row>
    <row r="261" spans="2:9" x14ac:dyDescent="0.2">
      <c r="B261" t="s">
        <v>587</v>
      </c>
      <c r="C261" s="1">
        <v>1870</v>
      </c>
      <c r="D261">
        <v>2</v>
      </c>
      <c r="E261" s="1">
        <v>1870</v>
      </c>
      <c r="F261">
        <v>2</v>
      </c>
      <c r="G261" t="s">
        <v>1518</v>
      </c>
      <c r="H261" t="s">
        <v>31</v>
      </c>
      <c r="I261" t="s">
        <v>1522</v>
      </c>
    </row>
    <row r="262" spans="2:9" x14ac:dyDescent="0.2">
      <c r="B262" t="s">
        <v>341</v>
      </c>
      <c r="C262" s="1">
        <v>1870</v>
      </c>
      <c r="D262">
        <v>1</v>
      </c>
      <c r="E262" s="1">
        <v>1870</v>
      </c>
      <c r="F262">
        <v>1</v>
      </c>
      <c r="G262" t="s">
        <v>1518</v>
      </c>
      <c r="H262" t="s">
        <v>31</v>
      </c>
      <c r="I262" t="s">
        <v>1572</v>
      </c>
    </row>
    <row r="263" spans="2:9" x14ac:dyDescent="0.2">
      <c r="B263" t="s">
        <v>1748</v>
      </c>
      <c r="C263" s="1">
        <v>1865</v>
      </c>
      <c r="D263">
        <v>2</v>
      </c>
      <c r="E263" s="1">
        <v>1865</v>
      </c>
      <c r="F263">
        <v>2</v>
      </c>
      <c r="G263" t="s">
        <v>1518</v>
      </c>
      <c r="H263" t="s">
        <v>31</v>
      </c>
      <c r="I263" t="s">
        <v>1572</v>
      </c>
    </row>
    <row r="264" spans="2:9" x14ac:dyDescent="0.2">
      <c r="B264" t="s">
        <v>1039</v>
      </c>
      <c r="C264" s="1">
        <v>1864</v>
      </c>
      <c r="D264">
        <v>3</v>
      </c>
      <c r="E264" s="1">
        <v>1864</v>
      </c>
      <c r="F264">
        <v>3</v>
      </c>
      <c r="G264" t="s">
        <v>1518</v>
      </c>
      <c r="H264" t="s">
        <v>31</v>
      </c>
      <c r="I264" t="s">
        <v>1618</v>
      </c>
    </row>
    <row r="265" spans="2:9" x14ac:dyDescent="0.2">
      <c r="B265" t="s">
        <v>1749</v>
      </c>
      <c r="C265" s="1">
        <v>1860</v>
      </c>
      <c r="D265">
        <v>1</v>
      </c>
      <c r="E265" s="1">
        <v>1860</v>
      </c>
      <c r="F265">
        <v>1</v>
      </c>
      <c r="G265" t="s">
        <v>1503</v>
      </c>
      <c r="H265" t="s">
        <v>31</v>
      </c>
      <c r="I265" t="s">
        <v>1572</v>
      </c>
    </row>
    <row r="266" spans="2:9" x14ac:dyDescent="0.2">
      <c r="B266" t="s">
        <v>1750</v>
      </c>
      <c r="C266" s="1">
        <v>1854</v>
      </c>
      <c r="D266">
        <v>1</v>
      </c>
      <c r="E266" s="1">
        <v>1854</v>
      </c>
      <c r="F266">
        <v>1</v>
      </c>
      <c r="G266" t="s">
        <v>1503</v>
      </c>
      <c r="H266" t="s">
        <v>997</v>
      </c>
      <c r="I266" t="s">
        <v>1751</v>
      </c>
    </row>
    <row r="267" spans="2:9" x14ac:dyDescent="0.2">
      <c r="B267" t="s">
        <v>1752</v>
      </c>
      <c r="C267" s="1">
        <v>1834</v>
      </c>
      <c r="D267">
        <v>3</v>
      </c>
      <c r="E267" s="1">
        <v>1834</v>
      </c>
      <c r="F267">
        <v>3</v>
      </c>
      <c r="G267" t="s">
        <v>1503</v>
      </c>
      <c r="H267" t="s">
        <v>31</v>
      </c>
      <c r="I267" t="s">
        <v>1510</v>
      </c>
    </row>
    <row r="268" spans="2:9" x14ac:dyDescent="0.2">
      <c r="B268" t="s">
        <v>48</v>
      </c>
      <c r="C268" s="1">
        <v>1818</v>
      </c>
      <c r="D268">
        <v>1</v>
      </c>
      <c r="E268" s="1">
        <v>1818</v>
      </c>
      <c r="F268">
        <v>1</v>
      </c>
      <c r="G268" t="s">
        <v>1518</v>
      </c>
      <c r="H268" t="s">
        <v>31</v>
      </c>
      <c r="I268" t="s">
        <v>1504</v>
      </c>
    </row>
    <row r="269" spans="2:9" x14ac:dyDescent="0.2">
      <c r="B269" t="s">
        <v>1753</v>
      </c>
      <c r="C269" s="1">
        <v>1810</v>
      </c>
      <c r="D269">
        <v>4</v>
      </c>
      <c r="E269" s="1">
        <v>1810</v>
      </c>
      <c r="F269">
        <v>4</v>
      </c>
      <c r="G269" t="s">
        <v>1518</v>
      </c>
      <c r="H269" t="s">
        <v>31</v>
      </c>
      <c r="I269" t="s">
        <v>1600</v>
      </c>
    </row>
    <row r="270" spans="2:9" x14ac:dyDescent="0.2">
      <c r="B270" t="s">
        <v>807</v>
      </c>
      <c r="C270" s="1">
        <v>1805</v>
      </c>
      <c r="D270">
        <v>3</v>
      </c>
      <c r="E270" s="1">
        <v>1805</v>
      </c>
      <c r="F270">
        <v>3</v>
      </c>
      <c r="G270" t="s">
        <v>1518</v>
      </c>
      <c r="H270" t="s">
        <v>31</v>
      </c>
      <c r="I270" t="s">
        <v>1635</v>
      </c>
    </row>
    <row r="271" spans="2:9" x14ac:dyDescent="0.2">
      <c r="B271" t="s">
        <v>1754</v>
      </c>
      <c r="C271" s="1">
        <v>1800</v>
      </c>
      <c r="D271">
        <v>1</v>
      </c>
      <c r="E271" s="1">
        <v>1800</v>
      </c>
      <c r="F271">
        <v>1</v>
      </c>
      <c r="G271" t="s">
        <v>1518</v>
      </c>
      <c r="H271" t="s">
        <v>31</v>
      </c>
      <c r="I271" t="s">
        <v>1572</v>
      </c>
    </row>
    <row r="272" spans="2:9" x14ac:dyDescent="0.2">
      <c r="B272" t="s">
        <v>1755</v>
      </c>
      <c r="C272" s="1">
        <v>1800</v>
      </c>
      <c r="D272">
        <v>6</v>
      </c>
      <c r="E272" s="1">
        <v>1800</v>
      </c>
      <c r="F272">
        <v>6</v>
      </c>
      <c r="G272" t="s">
        <v>1503</v>
      </c>
      <c r="H272" t="s">
        <v>31</v>
      </c>
      <c r="I272" t="s">
        <v>1572</v>
      </c>
    </row>
    <row r="273" spans="2:9" x14ac:dyDescent="0.2">
      <c r="B273" t="s">
        <v>745</v>
      </c>
      <c r="C273" s="1">
        <v>1798</v>
      </c>
      <c r="D273">
        <v>2</v>
      </c>
      <c r="E273" s="1">
        <v>1798</v>
      </c>
      <c r="F273">
        <v>2</v>
      </c>
      <c r="G273" t="s">
        <v>1518</v>
      </c>
      <c r="H273" t="s">
        <v>31</v>
      </c>
      <c r="I273" t="s">
        <v>71</v>
      </c>
    </row>
    <row r="274" spans="2:9" x14ac:dyDescent="0.2">
      <c r="B274" t="s">
        <v>1756</v>
      </c>
      <c r="C274" s="1">
        <v>1762</v>
      </c>
      <c r="D274">
        <v>1</v>
      </c>
      <c r="E274" s="1">
        <v>1762</v>
      </c>
      <c r="F274">
        <v>1</v>
      </c>
      <c r="G274" t="s">
        <v>1518</v>
      </c>
      <c r="H274" t="s">
        <v>31</v>
      </c>
      <c r="I274" t="s">
        <v>1600</v>
      </c>
    </row>
    <row r="275" spans="2:9" x14ac:dyDescent="0.2">
      <c r="B275" t="s">
        <v>1757</v>
      </c>
      <c r="C275" s="1">
        <v>1750</v>
      </c>
      <c r="D275">
        <v>1</v>
      </c>
      <c r="E275" s="1">
        <v>1750</v>
      </c>
      <c r="F275">
        <v>1</v>
      </c>
      <c r="G275" t="s">
        <v>1503</v>
      </c>
      <c r="H275" t="s">
        <v>280</v>
      </c>
    </row>
    <row r="276" spans="2:9" x14ac:dyDescent="0.2">
      <c r="B276" t="s">
        <v>1758</v>
      </c>
      <c r="C276" s="1">
        <v>1733</v>
      </c>
      <c r="D276">
        <v>2</v>
      </c>
      <c r="E276" s="1">
        <v>1733</v>
      </c>
      <c r="F276">
        <v>2</v>
      </c>
      <c r="G276" t="s">
        <v>1518</v>
      </c>
      <c r="H276" t="s">
        <v>31</v>
      </c>
      <c r="I276" t="s">
        <v>1572</v>
      </c>
    </row>
    <row r="277" spans="2:9" x14ac:dyDescent="0.2">
      <c r="B277" t="s">
        <v>852</v>
      </c>
      <c r="C277" s="1">
        <v>1733</v>
      </c>
      <c r="D277">
        <v>1</v>
      </c>
      <c r="E277" s="1">
        <v>1733</v>
      </c>
      <c r="F277">
        <v>1</v>
      </c>
      <c r="G277" t="s">
        <v>1696</v>
      </c>
      <c r="H277" t="s">
        <v>180</v>
      </c>
      <c r="I277" t="s">
        <v>1660</v>
      </c>
    </row>
    <row r="278" spans="2:9" x14ac:dyDescent="0.2">
      <c r="B278" t="s">
        <v>1759</v>
      </c>
      <c r="C278" s="1">
        <v>1726</v>
      </c>
      <c r="D278">
        <v>1</v>
      </c>
      <c r="E278" s="1">
        <v>1726</v>
      </c>
      <c r="F278">
        <v>1</v>
      </c>
      <c r="G278" t="s">
        <v>1696</v>
      </c>
      <c r="H278" t="s">
        <v>180</v>
      </c>
      <c r="I278" t="s">
        <v>1660</v>
      </c>
    </row>
    <row r="279" spans="2:9" x14ac:dyDescent="0.2">
      <c r="B279" t="s">
        <v>1760</v>
      </c>
      <c r="C279" s="1">
        <v>1716</v>
      </c>
      <c r="D279">
        <v>3</v>
      </c>
      <c r="E279" s="1">
        <v>1716</v>
      </c>
      <c r="F279">
        <v>3</v>
      </c>
      <c r="G279" t="s">
        <v>1518</v>
      </c>
      <c r="H279" t="s">
        <v>31</v>
      </c>
      <c r="I279" t="s">
        <v>1613</v>
      </c>
    </row>
    <row r="280" spans="2:9" x14ac:dyDescent="0.2">
      <c r="B280" t="s">
        <v>1761</v>
      </c>
      <c r="C280" s="1">
        <v>1716</v>
      </c>
      <c r="D280">
        <v>1</v>
      </c>
      <c r="E280" s="1">
        <v>1716</v>
      </c>
      <c r="F280">
        <v>1</v>
      </c>
      <c r="G280" t="s">
        <v>1503</v>
      </c>
      <c r="H280" t="s">
        <v>31</v>
      </c>
      <c r="I280" t="s">
        <v>1762</v>
      </c>
    </row>
    <row r="281" spans="2:9" x14ac:dyDescent="0.2">
      <c r="B281" t="s">
        <v>1763</v>
      </c>
      <c r="C281" s="1">
        <v>1710</v>
      </c>
      <c r="D281">
        <v>3</v>
      </c>
      <c r="E281" s="1">
        <v>1710</v>
      </c>
      <c r="F281">
        <v>3</v>
      </c>
      <c r="G281" t="s">
        <v>1503</v>
      </c>
      <c r="H281" t="s">
        <v>232</v>
      </c>
    </row>
    <row r="282" spans="2:9" x14ac:dyDescent="0.2">
      <c r="B282" t="s">
        <v>1054</v>
      </c>
      <c r="C282" s="1">
        <v>1708</v>
      </c>
      <c r="D282">
        <v>1</v>
      </c>
      <c r="E282" s="1">
        <v>1708</v>
      </c>
      <c r="F282">
        <v>1</v>
      </c>
      <c r="G282" t="s">
        <v>1518</v>
      </c>
      <c r="H282" t="s">
        <v>31</v>
      </c>
      <c r="I282" t="s">
        <v>1648</v>
      </c>
    </row>
    <row r="283" spans="2:9" x14ac:dyDescent="0.2">
      <c r="B283" t="s">
        <v>1764</v>
      </c>
      <c r="C283" s="1">
        <v>1706</v>
      </c>
      <c r="D283">
        <v>4</v>
      </c>
      <c r="E283" s="1">
        <v>1706</v>
      </c>
      <c r="F283">
        <v>4</v>
      </c>
      <c r="G283" t="s">
        <v>1503</v>
      </c>
      <c r="H283" t="s">
        <v>31</v>
      </c>
      <c r="I283" t="s">
        <v>1622</v>
      </c>
    </row>
    <row r="284" spans="2:9" x14ac:dyDescent="0.2">
      <c r="B284" t="s">
        <v>1765</v>
      </c>
      <c r="C284" s="1">
        <v>1704</v>
      </c>
      <c r="D284">
        <v>2</v>
      </c>
      <c r="E284" s="1">
        <v>1704</v>
      </c>
      <c r="F284">
        <v>2</v>
      </c>
      <c r="G284" t="s">
        <v>1518</v>
      </c>
      <c r="H284" t="s">
        <v>31</v>
      </c>
      <c r="I284" t="s">
        <v>1600</v>
      </c>
    </row>
    <row r="285" spans="2:9" x14ac:dyDescent="0.2">
      <c r="B285" t="s">
        <v>1766</v>
      </c>
      <c r="C285" s="1">
        <v>1700</v>
      </c>
      <c r="D285">
        <v>1</v>
      </c>
      <c r="E285" s="1">
        <v>1700</v>
      </c>
      <c r="F285">
        <v>1</v>
      </c>
      <c r="G285" t="s">
        <v>1696</v>
      </c>
      <c r="H285" t="s">
        <v>180</v>
      </c>
      <c r="I285" t="s">
        <v>1530</v>
      </c>
    </row>
    <row r="286" spans="2:9" x14ac:dyDescent="0.2">
      <c r="B286" t="s">
        <v>1767</v>
      </c>
      <c r="C286" s="1">
        <v>1697</v>
      </c>
      <c r="D286">
        <v>5</v>
      </c>
      <c r="E286" s="1">
        <v>1697</v>
      </c>
      <c r="F286">
        <v>5</v>
      </c>
      <c r="G286" t="s">
        <v>1518</v>
      </c>
      <c r="H286" t="s">
        <v>31</v>
      </c>
      <c r="I286" t="s">
        <v>1768</v>
      </c>
    </row>
    <row r="287" spans="2:9" x14ac:dyDescent="0.2">
      <c r="B287" t="s">
        <v>886</v>
      </c>
      <c r="C287" s="1">
        <v>1690</v>
      </c>
      <c r="D287">
        <v>1</v>
      </c>
      <c r="E287" s="1">
        <v>1690</v>
      </c>
      <c r="F287">
        <v>1</v>
      </c>
      <c r="G287" t="s">
        <v>1518</v>
      </c>
      <c r="H287" t="s">
        <v>31</v>
      </c>
      <c r="I287" t="s">
        <v>1654</v>
      </c>
    </row>
    <row r="288" spans="2:9" x14ac:dyDescent="0.2">
      <c r="B288" t="s">
        <v>1769</v>
      </c>
      <c r="C288" s="1">
        <v>1690</v>
      </c>
      <c r="D288">
        <v>65</v>
      </c>
      <c r="E288" s="1">
        <v>1690</v>
      </c>
      <c r="F288">
        <v>65</v>
      </c>
      <c r="G288" t="s">
        <v>1503</v>
      </c>
      <c r="H288" t="s">
        <v>1770</v>
      </c>
    </row>
    <row r="289" spans="2:9" x14ac:dyDescent="0.2">
      <c r="B289" t="s">
        <v>1771</v>
      </c>
      <c r="C289" s="1">
        <v>1684</v>
      </c>
      <c r="D289">
        <v>2</v>
      </c>
      <c r="E289" s="1">
        <v>1684</v>
      </c>
      <c r="F289">
        <v>2</v>
      </c>
      <c r="G289" t="s">
        <v>1696</v>
      </c>
      <c r="H289" t="s">
        <v>180</v>
      </c>
      <c r="I289" t="s">
        <v>1590</v>
      </c>
    </row>
    <row r="290" spans="2:9" x14ac:dyDescent="0.2">
      <c r="B290" t="s">
        <v>1772</v>
      </c>
      <c r="C290" s="1">
        <v>1667</v>
      </c>
      <c r="D290">
        <v>1</v>
      </c>
      <c r="E290" s="1">
        <v>1667</v>
      </c>
      <c r="F290">
        <v>1</v>
      </c>
      <c r="G290" t="s">
        <v>1518</v>
      </c>
      <c r="H290" t="s">
        <v>31</v>
      </c>
      <c r="I290" t="s">
        <v>1572</v>
      </c>
    </row>
    <row r="291" spans="2:9" x14ac:dyDescent="0.2">
      <c r="B291" t="s">
        <v>1773</v>
      </c>
      <c r="C291" s="1">
        <v>1667</v>
      </c>
      <c r="D291">
        <v>1</v>
      </c>
      <c r="E291" s="1">
        <v>1667</v>
      </c>
      <c r="F291">
        <v>1</v>
      </c>
      <c r="G291" t="s">
        <v>1518</v>
      </c>
      <c r="H291" t="s">
        <v>31</v>
      </c>
      <c r="I291" t="s">
        <v>1572</v>
      </c>
    </row>
    <row r="292" spans="2:9" x14ac:dyDescent="0.2">
      <c r="B292" t="s">
        <v>1774</v>
      </c>
      <c r="C292" s="1">
        <v>1650</v>
      </c>
      <c r="D292">
        <v>2</v>
      </c>
      <c r="E292" s="1">
        <v>1650</v>
      </c>
      <c r="F292">
        <v>2</v>
      </c>
      <c r="G292" t="s">
        <v>1518</v>
      </c>
      <c r="H292" t="s">
        <v>31</v>
      </c>
      <c r="I292" t="s">
        <v>71</v>
      </c>
    </row>
    <row r="293" spans="2:9" x14ac:dyDescent="0.2">
      <c r="B293" t="s">
        <v>753</v>
      </c>
      <c r="C293" s="1">
        <v>1644</v>
      </c>
      <c r="D293">
        <v>1</v>
      </c>
      <c r="E293" s="1">
        <v>1644</v>
      </c>
      <c r="F293">
        <v>1</v>
      </c>
      <c r="G293" t="s">
        <v>1518</v>
      </c>
      <c r="H293" t="s">
        <v>31</v>
      </c>
      <c r="I293" t="s">
        <v>1581</v>
      </c>
    </row>
    <row r="294" spans="2:9" x14ac:dyDescent="0.2">
      <c r="B294" t="s">
        <v>1775</v>
      </c>
      <c r="C294" s="1">
        <v>1644</v>
      </c>
      <c r="D294">
        <v>3</v>
      </c>
      <c r="E294" s="1">
        <v>1644</v>
      </c>
      <c r="F294">
        <v>3</v>
      </c>
      <c r="G294" t="s">
        <v>1503</v>
      </c>
      <c r="H294" t="s">
        <v>31</v>
      </c>
      <c r="I294" t="s">
        <v>1603</v>
      </c>
    </row>
    <row r="295" spans="2:9" x14ac:dyDescent="0.2">
      <c r="B295" t="s">
        <v>1776</v>
      </c>
      <c r="C295" s="1">
        <v>1635</v>
      </c>
      <c r="D295">
        <v>5</v>
      </c>
      <c r="E295" s="1">
        <v>1635</v>
      </c>
      <c r="F295">
        <v>5</v>
      </c>
      <c r="G295" t="s">
        <v>1503</v>
      </c>
      <c r="H295" t="s">
        <v>1777</v>
      </c>
    </row>
    <row r="296" spans="2:9" x14ac:dyDescent="0.2">
      <c r="B296" t="s">
        <v>1778</v>
      </c>
      <c r="C296" s="1">
        <v>1633</v>
      </c>
      <c r="D296">
        <v>2</v>
      </c>
      <c r="E296" s="1">
        <v>1633</v>
      </c>
      <c r="F296">
        <v>2</v>
      </c>
      <c r="G296" t="s">
        <v>1503</v>
      </c>
      <c r="H296" t="s">
        <v>494</v>
      </c>
    </row>
    <row r="297" spans="2:9" x14ac:dyDescent="0.2">
      <c r="B297" t="s">
        <v>1779</v>
      </c>
      <c r="C297" s="1">
        <v>1616</v>
      </c>
      <c r="D297">
        <v>3</v>
      </c>
      <c r="E297" s="1">
        <v>1616</v>
      </c>
      <c r="F297">
        <v>3</v>
      </c>
      <c r="G297" t="s">
        <v>1503</v>
      </c>
      <c r="H297" t="s">
        <v>31</v>
      </c>
      <c r="I297" t="s">
        <v>1504</v>
      </c>
    </row>
    <row r="298" spans="2:9" x14ac:dyDescent="0.2">
      <c r="B298" t="s">
        <v>1780</v>
      </c>
      <c r="C298" s="1">
        <v>1614</v>
      </c>
      <c r="D298">
        <v>14</v>
      </c>
      <c r="E298" s="1">
        <v>1614</v>
      </c>
      <c r="F298">
        <v>14</v>
      </c>
      <c r="G298" t="s">
        <v>1503</v>
      </c>
      <c r="H298" t="s">
        <v>1567</v>
      </c>
    </row>
    <row r="299" spans="2:9" x14ac:dyDescent="0.2">
      <c r="B299" t="s">
        <v>1781</v>
      </c>
      <c r="C299" s="1">
        <v>1612</v>
      </c>
      <c r="D299">
        <v>13</v>
      </c>
      <c r="E299" s="1">
        <v>1612</v>
      </c>
      <c r="F299">
        <v>13</v>
      </c>
      <c r="G299" t="s">
        <v>1503</v>
      </c>
      <c r="H299" t="s">
        <v>1567</v>
      </c>
    </row>
    <row r="300" spans="2:9" x14ac:dyDescent="0.2">
      <c r="B300" t="s">
        <v>1782</v>
      </c>
      <c r="C300" s="1">
        <v>1606</v>
      </c>
      <c r="D300">
        <v>6</v>
      </c>
      <c r="E300" s="1">
        <v>1606</v>
      </c>
      <c r="F300">
        <v>6</v>
      </c>
      <c r="G300" t="s">
        <v>1503</v>
      </c>
      <c r="H300" t="s">
        <v>198</v>
      </c>
    </row>
    <row r="301" spans="2:9" x14ac:dyDescent="0.2">
      <c r="B301" t="s">
        <v>1783</v>
      </c>
      <c r="C301" s="1">
        <v>1605</v>
      </c>
      <c r="D301">
        <v>1</v>
      </c>
      <c r="E301" s="1">
        <v>1605</v>
      </c>
      <c r="F301">
        <v>1</v>
      </c>
      <c r="G301" t="s">
        <v>1503</v>
      </c>
      <c r="H301" t="s">
        <v>280</v>
      </c>
    </row>
    <row r="302" spans="2:9" x14ac:dyDescent="0.2">
      <c r="B302" t="s">
        <v>1784</v>
      </c>
      <c r="C302" s="1">
        <v>1600</v>
      </c>
      <c r="D302">
        <v>9</v>
      </c>
      <c r="E302" s="1">
        <v>1600</v>
      </c>
      <c r="F302">
        <v>9</v>
      </c>
      <c r="G302" t="s">
        <v>1503</v>
      </c>
      <c r="H302" t="s">
        <v>1684</v>
      </c>
    </row>
    <row r="303" spans="2:9" x14ac:dyDescent="0.2">
      <c r="B303" t="s">
        <v>73</v>
      </c>
      <c r="C303" s="1">
        <v>1591</v>
      </c>
      <c r="D303">
        <v>1</v>
      </c>
      <c r="E303" s="1">
        <v>1591</v>
      </c>
      <c r="F303">
        <v>1</v>
      </c>
      <c r="G303" t="s">
        <v>1518</v>
      </c>
      <c r="H303" t="s">
        <v>31</v>
      </c>
      <c r="I303" t="s">
        <v>71</v>
      </c>
    </row>
    <row r="304" spans="2:9" x14ac:dyDescent="0.2">
      <c r="B304" t="s">
        <v>605</v>
      </c>
      <c r="C304" s="1">
        <v>1575</v>
      </c>
      <c r="D304">
        <v>1</v>
      </c>
      <c r="E304" s="1">
        <v>1575</v>
      </c>
      <c r="F304">
        <v>1</v>
      </c>
      <c r="G304" t="s">
        <v>1518</v>
      </c>
      <c r="H304" t="s">
        <v>31</v>
      </c>
      <c r="I304" t="s">
        <v>1613</v>
      </c>
    </row>
    <row r="305" spans="2:9" x14ac:dyDescent="0.2">
      <c r="B305" t="s">
        <v>879</v>
      </c>
      <c r="C305" s="1">
        <v>1568</v>
      </c>
      <c r="D305">
        <v>1</v>
      </c>
      <c r="E305" s="1">
        <v>1568</v>
      </c>
      <c r="F305">
        <v>1</v>
      </c>
      <c r="G305" t="s">
        <v>1518</v>
      </c>
      <c r="H305" t="s">
        <v>31</v>
      </c>
      <c r="I305" t="s">
        <v>1572</v>
      </c>
    </row>
    <row r="306" spans="2:9" x14ac:dyDescent="0.2">
      <c r="B306" t="s">
        <v>1785</v>
      </c>
      <c r="C306" s="1">
        <v>1565</v>
      </c>
      <c r="D306">
        <v>2</v>
      </c>
      <c r="E306" s="1">
        <v>1565</v>
      </c>
      <c r="F306">
        <v>2</v>
      </c>
      <c r="G306" t="s">
        <v>1503</v>
      </c>
      <c r="H306" t="s">
        <v>31</v>
      </c>
      <c r="I306" t="s">
        <v>1671</v>
      </c>
    </row>
    <row r="307" spans="2:9" x14ac:dyDescent="0.2">
      <c r="B307" t="s">
        <v>646</v>
      </c>
      <c r="C307" s="1">
        <v>1518</v>
      </c>
      <c r="D307">
        <v>1</v>
      </c>
      <c r="E307" s="1">
        <v>1518</v>
      </c>
      <c r="F307">
        <v>1</v>
      </c>
      <c r="G307" t="s">
        <v>1518</v>
      </c>
      <c r="H307" t="s">
        <v>31</v>
      </c>
      <c r="I307" t="s">
        <v>1618</v>
      </c>
    </row>
    <row r="308" spans="2:9" x14ac:dyDescent="0.2">
      <c r="B308" t="s">
        <v>765</v>
      </c>
      <c r="C308" s="1">
        <v>1502</v>
      </c>
      <c r="D308">
        <v>2</v>
      </c>
      <c r="E308" s="1">
        <v>1502</v>
      </c>
      <c r="F308">
        <v>2</v>
      </c>
      <c r="G308" t="s">
        <v>1518</v>
      </c>
      <c r="H308" t="s">
        <v>31</v>
      </c>
      <c r="I308" t="s">
        <v>1618</v>
      </c>
    </row>
    <row r="309" spans="2:9" x14ac:dyDescent="0.2">
      <c r="B309" t="s">
        <v>1786</v>
      </c>
      <c r="C309" s="1">
        <v>1500</v>
      </c>
      <c r="D309">
        <v>2</v>
      </c>
      <c r="E309" s="1">
        <v>1500</v>
      </c>
      <c r="F309">
        <v>2</v>
      </c>
      <c r="G309" t="s">
        <v>1503</v>
      </c>
      <c r="H309" t="s">
        <v>536</v>
      </c>
    </row>
    <row r="310" spans="2:9" x14ac:dyDescent="0.2">
      <c r="B310" t="s">
        <v>1787</v>
      </c>
      <c r="C310" s="1">
        <v>1495</v>
      </c>
      <c r="D310">
        <v>3</v>
      </c>
      <c r="E310" s="1">
        <v>1495</v>
      </c>
      <c r="F310">
        <v>3</v>
      </c>
      <c r="G310" t="s">
        <v>1503</v>
      </c>
      <c r="H310" t="s">
        <v>1539</v>
      </c>
    </row>
    <row r="311" spans="2:9" x14ac:dyDescent="0.2">
      <c r="B311" t="s">
        <v>1788</v>
      </c>
      <c r="C311" s="1">
        <v>1493</v>
      </c>
      <c r="D311">
        <v>2</v>
      </c>
      <c r="E311" s="1">
        <v>1493</v>
      </c>
      <c r="F311">
        <v>2</v>
      </c>
      <c r="G311" t="s">
        <v>1503</v>
      </c>
      <c r="H311" t="s">
        <v>31</v>
      </c>
      <c r="I311" t="s">
        <v>1510</v>
      </c>
    </row>
    <row r="312" spans="2:9" x14ac:dyDescent="0.2">
      <c r="B312" t="s">
        <v>1789</v>
      </c>
      <c r="C312" s="1">
        <v>1476</v>
      </c>
      <c r="D312">
        <v>2</v>
      </c>
      <c r="E312" s="1">
        <v>1476</v>
      </c>
      <c r="F312">
        <v>2</v>
      </c>
      <c r="G312" t="s">
        <v>1503</v>
      </c>
      <c r="H312" t="s">
        <v>211</v>
      </c>
    </row>
    <row r="313" spans="2:9" x14ac:dyDescent="0.2">
      <c r="B313" t="s">
        <v>808</v>
      </c>
      <c r="C313" s="1">
        <v>1475</v>
      </c>
      <c r="D313">
        <v>1</v>
      </c>
      <c r="E313" s="1">
        <v>1475</v>
      </c>
      <c r="F313">
        <v>1</v>
      </c>
      <c r="G313" t="s">
        <v>1503</v>
      </c>
      <c r="H313" t="s">
        <v>31</v>
      </c>
      <c r="I313" t="s">
        <v>1603</v>
      </c>
    </row>
    <row r="314" spans="2:9" x14ac:dyDescent="0.2">
      <c r="B314" t="s">
        <v>591</v>
      </c>
      <c r="C314" s="1">
        <v>1471</v>
      </c>
      <c r="D314">
        <v>1</v>
      </c>
      <c r="E314" s="1">
        <v>1471</v>
      </c>
      <c r="F314">
        <v>1</v>
      </c>
      <c r="G314" t="s">
        <v>1518</v>
      </c>
      <c r="H314" t="s">
        <v>31</v>
      </c>
      <c r="I314" t="s">
        <v>1618</v>
      </c>
    </row>
    <row r="315" spans="2:9" x14ac:dyDescent="0.2">
      <c r="B315" t="s">
        <v>1790</v>
      </c>
      <c r="C315" s="1">
        <v>1462</v>
      </c>
      <c r="D315">
        <v>2</v>
      </c>
      <c r="E315" s="1">
        <v>1462</v>
      </c>
      <c r="F315">
        <v>2</v>
      </c>
      <c r="G315" t="s">
        <v>1518</v>
      </c>
      <c r="H315" t="s">
        <v>31</v>
      </c>
      <c r="I315" t="s">
        <v>1648</v>
      </c>
    </row>
    <row r="316" spans="2:9" x14ac:dyDescent="0.2">
      <c r="B316" t="s">
        <v>643</v>
      </c>
      <c r="C316" s="1">
        <v>1451</v>
      </c>
      <c r="D316">
        <v>1</v>
      </c>
      <c r="E316" s="1">
        <v>1451</v>
      </c>
      <c r="F316">
        <v>1</v>
      </c>
      <c r="G316" t="s">
        <v>1518</v>
      </c>
      <c r="H316" t="s">
        <v>31</v>
      </c>
      <c r="I316" t="s">
        <v>71</v>
      </c>
    </row>
    <row r="317" spans="2:9" x14ac:dyDescent="0.2">
      <c r="B317" t="s">
        <v>1791</v>
      </c>
      <c r="C317" s="1">
        <v>1420</v>
      </c>
      <c r="D317">
        <v>3</v>
      </c>
      <c r="E317" s="1">
        <v>1420</v>
      </c>
      <c r="F317">
        <v>3</v>
      </c>
      <c r="G317" t="s">
        <v>1518</v>
      </c>
      <c r="H317" t="s">
        <v>31</v>
      </c>
      <c r="I317" t="s">
        <v>1648</v>
      </c>
    </row>
    <row r="318" spans="2:9" x14ac:dyDescent="0.2">
      <c r="B318" t="s">
        <v>982</v>
      </c>
      <c r="C318" s="1">
        <v>1418</v>
      </c>
      <c r="D318">
        <v>1</v>
      </c>
      <c r="E318" s="1">
        <v>1418</v>
      </c>
      <c r="F318">
        <v>1</v>
      </c>
      <c r="G318" t="s">
        <v>1518</v>
      </c>
      <c r="H318" t="s">
        <v>31</v>
      </c>
      <c r="I318" t="s">
        <v>71</v>
      </c>
    </row>
    <row r="319" spans="2:9" x14ac:dyDescent="0.2">
      <c r="B319" t="s">
        <v>1792</v>
      </c>
      <c r="C319" s="1">
        <v>1400</v>
      </c>
      <c r="D319">
        <v>4</v>
      </c>
      <c r="E319" s="1">
        <v>1400</v>
      </c>
      <c r="F319">
        <v>4</v>
      </c>
      <c r="G319" t="s">
        <v>1503</v>
      </c>
      <c r="H319" t="s">
        <v>1706</v>
      </c>
    </row>
    <row r="320" spans="2:9" x14ac:dyDescent="0.2">
      <c r="B320" t="s">
        <v>1793</v>
      </c>
      <c r="C320" s="1">
        <v>1400</v>
      </c>
      <c r="D320">
        <v>41</v>
      </c>
      <c r="E320" s="1">
        <v>1400</v>
      </c>
      <c r="F320">
        <v>41</v>
      </c>
      <c r="G320" t="s">
        <v>1503</v>
      </c>
      <c r="H320" t="s">
        <v>1794</v>
      </c>
    </row>
    <row r="321" spans="2:9" x14ac:dyDescent="0.2">
      <c r="B321" t="s">
        <v>1795</v>
      </c>
      <c r="C321" s="1">
        <v>1392</v>
      </c>
      <c r="D321">
        <v>6</v>
      </c>
      <c r="E321" s="1">
        <v>1392</v>
      </c>
      <c r="F321">
        <v>6</v>
      </c>
      <c r="G321" t="s">
        <v>1503</v>
      </c>
      <c r="H321" t="s">
        <v>31</v>
      </c>
      <c r="I321" t="s">
        <v>1622</v>
      </c>
    </row>
    <row r="322" spans="2:9" x14ac:dyDescent="0.2">
      <c r="B322" t="s">
        <v>1796</v>
      </c>
      <c r="C322" s="1">
        <v>1391</v>
      </c>
      <c r="D322">
        <v>1</v>
      </c>
      <c r="E322" s="1">
        <v>1391</v>
      </c>
      <c r="F322">
        <v>1</v>
      </c>
      <c r="G322" t="s">
        <v>1503</v>
      </c>
      <c r="H322" t="s">
        <v>1512</v>
      </c>
      <c r="I322" t="s">
        <v>1513</v>
      </c>
    </row>
    <row r="323" spans="2:9" x14ac:dyDescent="0.2">
      <c r="B323" t="s">
        <v>1797</v>
      </c>
      <c r="C323" s="1">
        <v>1388</v>
      </c>
      <c r="D323">
        <v>1</v>
      </c>
      <c r="E323" s="1">
        <v>1388</v>
      </c>
      <c r="F323">
        <v>1</v>
      </c>
      <c r="G323" t="s">
        <v>1518</v>
      </c>
      <c r="H323" t="s">
        <v>31</v>
      </c>
      <c r="I323" t="s">
        <v>1648</v>
      </c>
    </row>
    <row r="324" spans="2:9" x14ac:dyDescent="0.2">
      <c r="B324" t="s">
        <v>1798</v>
      </c>
      <c r="C324" s="1">
        <v>1379</v>
      </c>
      <c r="D324">
        <v>71</v>
      </c>
      <c r="E324" s="1">
        <v>1379</v>
      </c>
      <c r="F324">
        <v>71</v>
      </c>
      <c r="G324" t="s">
        <v>1503</v>
      </c>
      <c r="H324" t="s">
        <v>31</v>
      </c>
      <c r="I324" t="s">
        <v>1799</v>
      </c>
    </row>
    <row r="325" spans="2:9" x14ac:dyDescent="0.2">
      <c r="B325" t="s">
        <v>785</v>
      </c>
      <c r="C325" s="1">
        <v>1374</v>
      </c>
      <c r="D325">
        <v>1</v>
      </c>
      <c r="E325" s="1">
        <v>1374</v>
      </c>
      <c r="F325">
        <v>1</v>
      </c>
      <c r="G325" t="s">
        <v>1518</v>
      </c>
      <c r="H325" t="s">
        <v>31</v>
      </c>
      <c r="I325" t="s">
        <v>1679</v>
      </c>
    </row>
    <row r="326" spans="2:9" x14ac:dyDescent="0.2">
      <c r="B326" t="s">
        <v>1800</v>
      </c>
      <c r="C326" s="1">
        <v>1374</v>
      </c>
      <c r="D326">
        <v>2</v>
      </c>
      <c r="E326" s="1">
        <v>1374</v>
      </c>
      <c r="F326">
        <v>2</v>
      </c>
      <c r="G326" t="s">
        <v>1696</v>
      </c>
      <c r="H326" t="s">
        <v>180</v>
      </c>
      <c r="I326" t="s">
        <v>1542</v>
      </c>
    </row>
    <row r="327" spans="2:9" x14ac:dyDescent="0.2">
      <c r="B327" t="s">
        <v>1801</v>
      </c>
      <c r="C327" s="1">
        <v>1374</v>
      </c>
      <c r="D327">
        <v>2</v>
      </c>
      <c r="E327" s="1">
        <v>1374</v>
      </c>
      <c r="F327">
        <v>2</v>
      </c>
      <c r="G327" t="s">
        <v>1518</v>
      </c>
      <c r="H327" t="s">
        <v>180</v>
      </c>
      <c r="I327" t="s">
        <v>1542</v>
      </c>
    </row>
    <row r="328" spans="2:9" x14ac:dyDescent="0.2">
      <c r="B328" t="s">
        <v>1802</v>
      </c>
      <c r="C328" s="1">
        <v>1363</v>
      </c>
      <c r="D328">
        <v>4</v>
      </c>
      <c r="E328" s="1">
        <v>1363</v>
      </c>
      <c r="F328">
        <v>4</v>
      </c>
      <c r="G328" t="s">
        <v>1503</v>
      </c>
      <c r="H328" t="s">
        <v>1803</v>
      </c>
    </row>
    <row r="329" spans="2:9" x14ac:dyDescent="0.2">
      <c r="B329" t="s">
        <v>1804</v>
      </c>
      <c r="C329" s="1">
        <v>1350</v>
      </c>
      <c r="D329">
        <v>2</v>
      </c>
      <c r="E329" s="1">
        <v>1350</v>
      </c>
      <c r="F329">
        <v>2</v>
      </c>
      <c r="G329" t="s">
        <v>1503</v>
      </c>
      <c r="H329" t="s">
        <v>1805</v>
      </c>
    </row>
    <row r="330" spans="2:9" x14ac:dyDescent="0.2">
      <c r="B330" t="s">
        <v>1806</v>
      </c>
      <c r="C330" s="1">
        <v>1341</v>
      </c>
      <c r="D330">
        <v>83</v>
      </c>
      <c r="E330" s="1">
        <v>1341</v>
      </c>
      <c r="F330">
        <v>83</v>
      </c>
      <c r="G330" t="s">
        <v>1503</v>
      </c>
      <c r="H330" t="s">
        <v>1807</v>
      </c>
    </row>
    <row r="331" spans="2:9" x14ac:dyDescent="0.2">
      <c r="B331" t="s">
        <v>1808</v>
      </c>
      <c r="C331" s="1">
        <v>1326</v>
      </c>
      <c r="D331">
        <v>3</v>
      </c>
      <c r="E331" s="1">
        <v>1326</v>
      </c>
      <c r="F331">
        <v>3</v>
      </c>
      <c r="G331" t="s">
        <v>1503</v>
      </c>
      <c r="H331" t="s">
        <v>1706</v>
      </c>
    </row>
    <row r="332" spans="2:9" x14ac:dyDescent="0.2">
      <c r="B332" t="s">
        <v>1809</v>
      </c>
      <c r="C332" s="1">
        <v>1325</v>
      </c>
      <c r="D332">
        <v>4</v>
      </c>
      <c r="E332" s="1">
        <v>1325</v>
      </c>
      <c r="F332">
        <v>4</v>
      </c>
      <c r="G332" t="s">
        <v>1518</v>
      </c>
      <c r="H332" t="s">
        <v>31</v>
      </c>
      <c r="I332" t="s">
        <v>71</v>
      </c>
    </row>
    <row r="333" spans="2:9" x14ac:dyDescent="0.2">
      <c r="B333" t="s">
        <v>1810</v>
      </c>
      <c r="C333" s="1">
        <v>1325</v>
      </c>
      <c r="D333">
        <v>3</v>
      </c>
      <c r="E333" s="1">
        <v>1325</v>
      </c>
      <c r="F333">
        <v>3</v>
      </c>
      <c r="G333" t="s">
        <v>1518</v>
      </c>
      <c r="H333" t="s">
        <v>31</v>
      </c>
      <c r="I333" t="s">
        <v>71</v>
      </c>
    </row>
    <row r="334" spans="2:9" x14ac:dyDescent="0.2">
      <c r="B334" t="s">
        <v>1811</v>
      </c>
      <c r="C334" s="1">
        <v>1320</v>
      </c>
      <c r="D334">
        <v>2</v>
      </c>
      <c r="E334" s="1">
        <v>1320</v>
      </c>
      <c r="F334">
        <v>2</v>
      </c>
      <c r="G334" t="s">
        <v>1518</v>
      </c>
      <c r="H334" t="s">
        <v>31</v>
      </c>
      <c r="I334" t="s">
        <v>1654</v>
      </c>
    </row>
    <row r="335" spans="2:9" x14ac:dyDescent="0.2">
      <c r="B335" t="s">
        <v>1812</v>
      </c>
      <c r="C335" s="1">
        <v>1317</v>
      </c>
      <c r="D335">
        <v>5</v>
      </c>
      <c r="E335" s="1">
        <v>1317</v>
      </c>
      <c r="F335">
        <v>5</v>
      </c>
      <c r="G335" t="s">
        <v>1503</v>
      </c>
      <c r="H335" t="s">
        <v>1567</v>
      </c>
    </row>
    <row r="336" spans="2:9" x14ac:dyDescent="0.2">
      <c r="B336" t="s">
        <v>1813</v>
      </c>
      <c r="C336" s="1">
        <v>1297</v>
      </c>
      <c r="D336">
        <v>1</v>
      </c>
      <c r="E336" s="1">
        <v>1297</v>
      </c>
      <c r="F336">
        <v>1</v>
      </c>
      <c r="G336" t="s">
        <v>1518</v>
      </c>
      <c r="H336" t="s">
        <v>31</v>
      </c>
      <c r="I336" t="s">
        <v>1572</v>
      </c>
    </row>
    <row r="337" spans="2:9" x14ac:dyDescent="0.2">
      <c r="B337" t="s">
        <v>1814</v>
      </c>
      <c r="C337" s="1">
        <v>1276</v>
      </c>
      <c r="D337">
        <v>2</v>
      </c>
      <c r="E337" s="1">
        <v>1276</v>
      </c>
      <c r="F337">
        <v>2</v>
      </c>
      <c r="G337" t="s">
        <v>1503</v>
      </c>
      <c r="H337" t="s">
        <v>180</v>
      </c>
      <c r="I337" t="s">
        <v>1697</v>
      </c>
    </row>
    <row r="338" spans="2:9" x14ac:dyDescent="0.2">
      <c r="B338" t="s">
        <v>1815</v>
      </c>
      <c r="C338" s="1">
        <v>1268</v>
      </c>
      <c r="D338">
        <v>1</v>
      </c>
      <c r="E338" s="1">
        <v>1268</v>
      </c>
      <c r="F338">
        <v>1</v>
      </c>
      <c r="G338" t="s">
        <v>1518</v>
      </c>
      <c r="H338" t="s">
        <v>31</v>
      </c>
      <c r="I338" t="s">
        <v>1572</v>
      </c>
    </row>
    <row r="339" spans="2:9" x14ac:dyDescent="0.2">
      <c r="B339" t="s">
        <v>1816</v>
      </c>
      <c r="C339" s="1">
        <v>1268</v>
      </c>
      <c r="D339">
        <v>1</v>
      </c>
      <c r="E339" s="1">
        <v>1268</v>
      </c>
      <c r="F339">
        <v>1</v>
      </c>
      <c r="G339" t="s">
        <v>1518</v>
      </c>
      <c r="H339" t="s">
        <v>31</v>
      </c>
      <c r="I339" t="s">
        <v>1572</v>
      </c>
    </row>
    <row r="340" spans="2:9" x14ac:dyDescent="0.2">
      <c r="B340" t="s">
        <v>1817</v>
      </c>
      <c r="C340" s="1">
        <v>1255</v>
      </c>
      <c r="D340">
        <v>6</v>
      </c>
      <c r="E340" s="1">
        <v>1255</v>
      </c>
      <c r="F340">
        <v>6</v>
      </c>
      <c r="G340" t="s">
        <v>1518</v>
      </c>
      <c r="H340" t="s">
        <v>31</v>
      </c>
      <c r="I340" t="s">
        <v>1768</v>
      </c>
    </row>
    <row r="341" spans="2:9" x14ac:dyDescent="0.2">
      <c r="B341" t="s">
        <v>1818</v>
      </c>
      <c r="C341" s="1">
        <v>1245</v>
      </c>
      <c r="D341">
        <v>7</v>
      </c>
      <c r="E341" s="1">
        <v>1245</v>
      </c>
      <c r="F341">
        <v>7</v>
      </c>
      <c r="G341" t="s">
        <v>1503</v>
      </c>
      <c r="H341" t="s">
        <v>198</v>
      </c>
    </row>
    <row r="342" spans="2:9" x14ac:dyDescent="0.2">
      <c r="B342" t="s">
        <v>1819</v>
      </c>
      <c r="C342" s="1">
        <v>1229</v>
      </c>
      <c r="D342">
        <v>1</v>
      </c>
      <c r="E342" s="1">
        <v>1229</v>
      </c>
      <c r="F342">
        <v>1</v>
      </c>
      <c r="G342" t="s">
        <v>1503</v>
      </c>
      <c r="H342" t="s">
        <v>494</v>
      </c>
    </row>
    <row r="343" spans="2:9" x14ac:dyDescent="0.2">
      <c r="B343" t="s">
        <v>1820</v>
      </c>
      <c r="C343" s="1">
        <v>1228</v>
      </c>
      <c r="D343">
        <v>6</v>
      </c>
      <c r="E343" s="1">
        <v>1228</v>
      </c>
      <c r="F343">
        <v>6</v>
      </c>
      <c r="G343" t="s">
        <v>1503</v>
      </c>
      <c r="H343" t="s">
        <v>1821</v>
      </c>
    </row>
    <row r="344" spans="2:9" x14ac:dyDescent="0.2">
      <c r="B344" t="s">
        <v>1822</v>
      </c>
      <c r="C344" s="1">
        <v>1215</v>
      </c>
      <c r="D344">
        <v>1</v>
      </c>
      <c r="E344" s="1">
        <v>1215</v>
      </c>
      <c r="F344">
        <v>1</v>
      </c>
      <c r="G344" t="s">
        <v>1518</v>
      </c>
      <c r="H344" t="s">
        <v>31</v>
      </c>
      <c r="I344" t="s">
        <v>1576</v>
      </c>
    </row>
    <row r="345" spans="2:9" x14ac:dyDescent="0.2">
      <c r="B345" t="s">
        <v>1823</v>
      </c>
      <c r="C345" s="1">
        <v>1210</v>
      </c>
      <c r="D345">
        <v>1</v>
      </c>
      <c r="E345" s="1">
        <v>1210</v>
      </c>
      <c r="F345">
        <v>1</v>
      </c>
      <c r="G345" t="s">
        <v>1503</v>
      </c>
      <c r="H345" t="s">
        <v>1539</v>
      </c>
    </row>
    <row r="346" spans="2:9" x14ac:dyDescent="0.2">
      <c r="B346" t="s">
        <v>1824</v>
      </c>
      <c r="C346" s="1">
        <v>1200</v>
      </c>
      <c r="D346">
        <v>1</v>
      </c>
      <c r="E346" s="1">
        <v>1200</v>
      </c>
      <c r="F346">
        <v>1</v>
      </c>
      <c r="G346" t="s">
        <v>1518</v>
      </c>
      <c r="H346" t="s">
        <v>31</v>
      </c>
      <c r="I346" t="s">
        <v>1572</v>
      </c>
    </row>
    <row r="347" spans="2:9" x14ac:dyDescent="0.2">
      <c r="B347" t="s">
        <v>1825</v>
      </c>
      <c r="C347" s="1">
        <v>1199</v>
      </c>
      <c r="D347">
        <v>3</v>
      </c>
      <c r="E347" s="1">
        <v>1199</v>
      </c>
      <c r="F347">
        <v>3</v>
      </c>
      <c r="G347" t="s">
        <v>1518</v>
      </c>
      <c r="H347" t="s">
        <v>31</v>
      </c>
      <c r="I347" t="s">
        <v>1522</v>
      </c>
    </row>
    <row r="348" spans="2:9" x14ac:dyDescent="0.2">
      <c r="B348" t="s">
        <v>1826</v>
      </c>
      <c r="C348" s="1">
        <v>1196</v>
      </c>
      <c r="D348">
        <v>13</v>
      </c>
      <c r="E348" s="1">
        <v>1196</v>
      </c>
      <c r="F348">
        <v>13</v>
      </c>
      <c r="G348" t="s">
        <v>1503</v>
      </c>
      <c r="H348" t="s">
        <v>1827</v>
      </c>
    </row>
    <row r="349" spans="2:9" x14ac:dyDescent="0.2">
      <c r="B349" t="s">
        <v>923</v>
      </c>
      <c r="C349" s="1">
        <v>1190</v>
      </c>
      <c r="D349">
        <v>1</v>
      </c>
      <c r="E349" s="1">
        <v>1190</v>
      </c>
      <c r="F349">
        <v>1</v>
      </c>
      <c r="G349" t="s">
        <v>1518</v>
      </c>
      <c r="H349" t="s">
        <v>31</v>
      </c>
      <c r="I349" t="s">
        <v>71</v>
      </c>
    </row>
    <row r="350" spans="2:9" x14ac:dyDescent="0.2">
      <c r="B350" t="s">
        <v>1828</v>
      </c>
      <c r="C350" s="1">
        <v>1178</v>
      </c>
      <c r="D350">
        <v>58</v>
      </c>
      <c r="E350" s="1">
        <v>1178</v>
      </c>
      <c r="F350">
        <v>58</v>
      </c>
      <c r="G350" t="s">
        <v>1503</v>
      </c>
      <c r="H350" t="s">
        <v>1829</v>
      </c>
    </row>
    <row r="351" spans="2:9" x14ac:dyDescent="0.2">
      <c r="B351" t="s">
        <v>223</v>
      </c>
      <c r="C351" s="1">
        <v>1177</v>
      </c>
      <c r="D351">
        <v>1</v>
      </c>
      <c r="E351" s="1">
        <v>1177</v>
      </c>
      <c r="F351">
        <v>1</v>
      </c>
      <c r="G351" t="s">
        <v>1518</v>
      </c>
      <c r="H351" t="s">
        <v>31</v>
      </c>
      <c r="I351" t="s">
        <v>1572</v>
      </c>
    </row>
    <row r="352" spans="2:9" x14ac:dyDescent="0.2">
      <c r="B352" t="s">
        <v>1830</v>
      </c>
      <c r="C352" s="1">
        <v>1175</v>
      </c>
      <c r="D352">
        <v>1</v>
      </c>
      <c r="E352" s="1">
        <v>1175</v>
      </c>
      <c r="F352">
        <v>1</v>
      </c>
      <c r="G352" t="s">
        <v>1503</v>
      </c>
      <c r="H352" t="s">
        <v>31</v>
      </c>
      <c r="I352" t="s">
        <v>1504</v>
      </c>
    </row>
    <row r="353" spans="2:9" x14ac:dyDescent="0.2">
      <c r="B353" t="s">
        <v>1831</v>
      </c>
      <c r="C353" s="1">
        <v>1172</v>
      </c>
      <c r="D353">
        <v>1</v>
      </c>
      <c r="E353" s="1">
        <v>1172</v>
      </c>
      <c r="F353">
        <v>1</v>
      </c>
      <c r="G353" t="s">
        <v>1518</v>
      </c>
      <c r="H353" t="s">
        <v>31</v>
      </c>
      <c r="I353" t="s">
        <v>1768</v>
      </c>
    </row>
    <row r="354" spans="2:9" x14ac:dyDescent="0.2">
      <c r="B354" t="s">
        <v>1832</v>
      </c>
      <c r="C354" s="1">
        <v>1170</v>
      </c>
      <c r="D354">
        <v>5</v>
      </c>
      <c r="E354" s="1">
        <v>1170</v>
      </c>
      <c r="F354">
        <v>5</v>
      </c>
      <c r="G354" t="s">
        <v>1503</v>
      </c>
      <c r="H354" t="s">
        <v>1554</v>
      </c>
    </row>
    <row r="355" spans="2:9" x14ac:dyDescent="0.2">
      <c r="B355" t="s">
        <v>1833</v>
      </c>
      <c r="C355" s="1">
        <v>1162</v>
      </c>
      <c r="D355">
        <v>2</v>
      </c>
      <c r="E355" s="1">
        <v>1162</v>
      </c>
      <c r="F355">
        <v>2</v>
      </c>
      <c r="G355" t="s">
        <v>1503</v>
      </c>
      <c r="H355" t="s">
        <v>31</v>
      </c>
      <c r="I355" t="s">
        <v>1662</v>
      </c>
    </row>
    <row r="356" spans="2:9" x14ac:dyDescent="0.2">
      <c r="B356" t="s">
        <v>1834</v>
      </c>
      <c r="C356" s="1">
        <v>1158</v>
      </c>
      <c r="D356">
        <v>1</v>
      </c>
      <c r="E356" s="1">
        <v>1158</v>
      </c>
      <c r="F356">
        <v>1</v>
      </c>
      <c r="G356" t="s">
        <v>1518</v>
      </c>
      <c r="H356" t="s">
        <v>31</v>
      </c>
      <c r="I356" t="s">
        <v>1679</v>
      </c>
    </row>
    <row r="357" spans="2:9" x14ac:dyDescent="0.2">
      <c r="B357" t="s">
        <v>1835</v>
      </c>
      <c r="C357" s="1">
        <v>1156</v>
      </c>
      <c r="D357">
        <v>3</v>
      </c>
      <c r="E357" s="1">
        <v>1156</v>
      </c>
      <c r="F357">
        <v>3</v>
      </c>
      <c r="G357" t="s">
        <v>1518</v>
      </c>
      <c r="H357" t="s">
        <v>31</v>
      </c>
      <c r="I357" t="s">
        <v>1600</v>
      </c>
    </row>
    <row r="358" spans="2:9" x14ac:dyDescent="0.2">
      <c r="B358" t="s">
        <v>1836</v>
      </c>
      <c r="C358" s="1">
        <v>1154</v>
      </c>
      <c r="D358">
        <v>1</v>
      </c>
      <c r="E358" s="1">
        <v>1154</v>
      </c>
      <c r="F358">
        <v>1</v>
      </c>
      <c r="G358" t="s">
        <v>1503</v>
      </c>
      <c r="H358" t="s">
        <v>180</v>
      </c>
      <c r="I358" t="s">
        <v>1530</v>
      </c>
    </row>
    <row r="359" spans="2:9" x14ac:dyDescent="0.2">
      <c r="B359" t="s">
        <v>1837</v>
      </c>
      <c r="C359" s="1">
        <v>1140</v>
      </c>
      <c r="D359">
        <v>3</v>
      </c>
      <c r="E359" s="1">
        <v>1140</v>
      </c>
      <c r="F359">
        <v>3</v>
      </c>
      <c r="G359" t="s">
        <v>1503</v>
      </c>
      <c r="H359" t="s">
        <v>1838</v>
      </c>
    </row>
    <row r="360" spans="2:9" x14ac:dyDescent="0.2">
      <c r="B360" t="s">
        <v>1839</v>
      </c>
      <c r="C360" s="1">
        <v>1137</v>
      </c>
      <c r="D360">
        <v>3</v>
      </c>
      <c r="E360" s="1">
        <v>1137</v>
      </c>
      <c r="F360">
        <v>3</v>
      </c>
      <c r="G360" t="s">
        <v>1518</v>
      </c>
      <c r="H360" t="s">
        <v>31</v>
      </c>
      <c r="I360" t="s">
        <v>1522</v>
      </c>
    </row>
    <row r="361" spans="2:9" x14ac:dyDescent="0.2">
      <c r="B361" t="s">
        <v>1840</v>
      </c>
      <c r="C361" s="1">
        <v>1135</v>
      </c>
      <c r="D361">
        <v>10</v>
      </c>
      <c r="E361" s="1">
        <v>1135</v>
      </c>
      <c r="F361">
        <v>10</v>
      </c>
      <c r="G361" t="s">
        <v>1503</v>
      </c>
      <c r="H361" t="s">
        <v>31</v>
      </c>
      <c r="I361" t="s">
        <v>1510</v>
      </c>
    </row>
    <row r="362" spans="2:9" x14ac:dyDescent="0.2">
      <c r="B362" t="s">
        <v>1841</v>
      </c>
      <c r="C362" s="1">
        <v>1130</v>
      </c>
      <c r="D362">
        <v>2</v>
      </c>
      <c r="E362" s="1">
        <v>1130</v>
      </c>
      <c r="F362">
        <v>2</v>
      </c>
      <c r="G362" t="s">
        <v>1518</v>
      </c>
      <c r="H362" t="s">
        <v>31</v>
      </c>
      <c r="I362" t="s">
        <v>1572</v>
      </c>
    </row>
    <row r="363" spans="2:9" x14ac:dyDescent="0.2">
      <c r="B363" t="s">
        <v>1842</v>
      </c>
      <c r="C363" s="1">
        <v>1130</v>
      </c>
      <c r="D363">
        <v>13</v>
      </c>
      <c r="E363" s="1">
        <v>1130</v>
      </c>
      <c r="F363">
        <v>13</v>
      </c>
      <c r="G363" t="s">
        <v>1503</v>
      </c>
      <c r="H363" t="s">
        <v>1843</v>
      </c>
    </row>
    <row r="364" spans="2:9" x14ac:dyDescent="0.2">
      <c r="B364" t="s">
        <v>1844</v>
      </c>
      <c r="C364" s="1">
        <v>1128</v>
      </c>
      <c r="D364">
        <v>1</v>
      </c>
      <c r="E364" s="1">
        <v>1128</v>
      </c>
      <c r="F364">
        <v>1</v>
      </c>
      <c r="G364" t="s">
        <v>1503</v>
      </c>
      <c r="H364" t="s">
        <v>180</v>
      </c>
      <c r="I364" t="s">
        <v>1530</v>
      </c>
    </row>
    <row r="365" spans="2:9" x14ac:dyDescent="0.2">
      <c r="B365" t="s">
        <v>1845</v>
      </c>
      <c r="C365" s="1">
        <v>1116</v>
      </c>
      <c r="D365">
        <v>2</v>
      </c>
      <c r="E365" s="1">
        <v>1116</v>
      </c>
      <c r="F365">
        <v>2</v>
      </c>
      <c r="G365" t="s">
        <v>1518</v>
      </c>
      <c r="H365" t="s">
        <v>31</v>
      </c>
      <c r="I365" t="s">
        <v>1522</v>
      </c>
    </row>
    <row r="366" spans="2:9" x14ac:dyDescent="0.2">
      <c r="B366" t="s">
        <v>1846</v>
      </c>
      <c r="C366" s="1">
        <v>1116</v>
      </c>
      <c r="D366">
        <v>2</v>
      </c>
      <c r="E366" s="1">
        <v>1116</v>
      </c>
      <c r="F366">
        <v>2</v>
      </c>
      <c r="G366" t="s">
        <v>1518</v>
      </c>
      <c r="H366" t="s">
        <v>31</v>
      </c>
      <c r="I366" t="s">
        <v>1522</v>
      </c>
    </row>
    <row r="367" spans="2:9" x14ac:dyDescent="0.2">
      <c r="B367" t="s">
        <v>1847</v>
      </c>
      <c r="C367" s="1">
        <v>1115</v>
      </c>
      <c r="D367">
        <v>2</v>
      </c>
      <c r="E367" s="1">
        <v>1115</v>
      </c>
      <c r="F367">
        <v>2</v>
      </c>
      <c r="G367" t="s">
        <v>1518</v>
      </c>
      <c r="H367" t="s">
        <v>31</v>
      </c>
      <c r="I367" t="s">
        <v>1654</v>
      </c>
    </row>
    <row r="368" spans="2:9" x14ac:dyDescent="0.2">
      <c r="B368" t="s">
        <v>1848</v>
      </c>
      <c r="C368" s="1">
        <v>1105</v>
      </c>
      <c r="D368">
        <v>2</v>
      </c>
      <c r="E368" s="1">
        <v>1105</v>
      </c>
      <c r="F368">
        <v>2</v>
      </c>
      <c r="G368" t="s">
        <v>1518</v>
      </c>
      <c r="H368" t="s">
        <v>31</v>
      </c>
      <c r="I368" t="s">
        <v>1600</v>
      </c>
    </row>
    <row r="369" spans="2:9" x14ac:dyDescent="0.2">
      <c r="B369" t="s">
        <v>1849</v>
      </c>
      <c r="C369" s="1">
        <v>1104</v>
      </c>
      <c r="D369">
        <v>1</v>
      </c>
      <c r="E369" s="1">
        <v>1104</v>
      </c>
      <c r="F369">
        <v>1</v>
      </c>
      <c r="G369" t="s">
        <v>1503</v>
      </c>
      <c r="H369" t="s">
        <v>31</v>
      </c>
      <c r="I369" t="s">
        <v>1504</v>
      </c>
    </row>
    <row r="370" spans="2:9" x14ac:dyDescent="0.2">
      <c r="B370" t="s">
        <v>813</v>
      </c>
      <c r="C370" s="1">
        <v>1094</v>
      </c>
      <c r="D370">
        <v>2</v>
      </c>
      <c r="E370" s="1">
        <v>1094</v>
      </c>
      <c r="F370">
        <v>2</v>
      </c>
      <c r="G370" t="s">
        <v>1518</v>
      </c>
      <c r="H370" t="s">
        <v>31</v>
      </c>
      <c r="I370" t="s">
        <v>1613</v>
      </c>
    </row>
    <row r="371" spans="2:9" x14ac:dyDescent="0.2">
      <c r="B371" t="s">
        <v>1850</v>
      </c>
      <c r="C371" s="1">
        <v>1069</v>
      </c>
      <c r="D371">
        <v>2</v>
      </c>
      <c r="E371" s="1">
        <v>1069</v>
      </c>
      <c r="F371">
        <v>2</v>
      </c>
      <c r="G371" t="s">
        <v>1518</v>
      </c>
      <c r="H371" t="s">
        <v>31</v>
      </c>
      <c r="I371" t="s">
        <v>1768</v>
      </c>
    </row>
    <row r="372" spans="2:9" x14ac:dyDescent="0.2">
      <c r="B372" t="s">
        <v>1851</v>
      </c>
      <c r="C372" s="1">
        <v>1063</v>
      </c>
      <c r="D372">
        <v>9</v>
      </c>
      <c r="E372" s="1">
        <v>1063</v>
      </c>
      <c r="F372">
        <v>9</v>
      </c>
      <c r="G372" t="s">
        <v>1503</v>
      </c>
      <c r="H372" t="s">
        <v>1852</v>
      </c>
    </row>
    <row r="373" spans="2:9" x14ac:dyDescent="0.2">
      <c r="B373" t="s">
        <v>1853</v>
      </c>
      <c r="C373" s="1">
        <v>1058</v>
      </c>
      <c r="D373">
        <v>3</v>
      </c>
      <c r="E373" s="1">
        <v>1058</v>
      </c>
      <c r="F373">
        <v>3</v>
      </c>
      <c r="G373" t="s">
        <v>1503</v>
      </c>
      <c r="H373" t="s">
        <v>31</v>
      </c>
      <c r="I373" t="s">
        <v>1510</v>
      </c>
    </row>
    <row r="374" spans="2:9" x14ac:dyDescent="0.2">
      <c r="B374" t="s">
        <v>1854</v>
      </c>
      <c r="C374" s="1">
        <v>1040</v>
      </c>
      <c r="D374">
        <v>1</v>
      </c>
      <c r="E374" s="1">
        <v>1040</v>
      </c>
      <c r="F374">
        <v>1</v>
      </c>
      <c r="G374" t="s">
        <v>1518</v>
      </c>
      <c r="H374" t="s">
        <v>31</v>
      </c>
      <c r="I374" t="s">
        <v>1572</v>
      </c>
    </row>
    <row r="375" spans="2:9" x14ac:dyDescent="0.2">
      <c r="B375" t="s">
        <v>1855</v>
      </c>
      <c r="C375" s="1">
        <v>1038</v>
      </c>
      <c r="D375">
        <v>2</v>
      </c>
      <c r="E375" s="1">
        <v>1038</v>
      </c>
      <c r="F375">
        <v>2</v>
      </c>
      <c r="G375" t="s">
        <v>1518</v>
      </c>
      <c r="H375" t="s">
        <v>31</v>
      </c>
      <c r="I375" t="s">
        <v>1522</v>
      </c>
    </row>
    <row r="376" spans="2:9" x14ac:dyDescent="0.2">
      <c r="B376" t="s">
        <v>1856</v>
      </c>
      <c r="C376" s="1">
        <v>1038</v>
      </c>
      <c r="D376">
        <v>1</v>
      </c>
      <c r="E376" s="1">
        <v>1038</v>
      </c>
      <c r="F376">
        <v>1</v>
      </c>
      <c r="G376" t="s">
        <v>1503</v>
      </c>
      <c r="H376" t="s">
        <v>180</v>
      </c>
      <c r="I376" t="s">
        <v>1530</v>
      </c>
    </row>
    <row r="377" spans="2:9" x14ac:dyDescent="0.2">
      <c r="B377" t="s">
        <v>1857</v>
      </c>
      <c r="C377" s="1">
        <v>1036</v>
      </c>
      <c r="D377">
        <v>1</v>
      </c>
      <c r="E377" s="1">
        <v>1036</v>
      </c>
      <c r="F377">
        <v>1</v>
      </c>
      <c r="G377" t="s">
        <v>1503</v>
      </c>
      <c r="H377" t="s">
        <v>31</v>
      </c>
      <c r="I377" t="s">
        <v>1525</v>
      </c>
    </row>
    <row r="378" spans="2:9" x14ac:dyDescent="0.2">
      <c r="B378" t="s">
        <v>1858</v>
      </c>
      <c r="C378" s="1">
        <v>1035</v>
      </c>
      <c r="D378">
        <v>2</v>
      </c>
      <c r="E378" s="1">
        <v>1035</v>
      </c>
      <c r="F378">
        <v>2</v>
      </c>
      <c r="G378" t="s">
        <v>1518</v>
      </c>
      <c r="H378" t="s">
        <v>31</v>
      </c>
      <c r="I378" t="s">
        <v>1572</v>
      </c>
    </row>
    <row r="379" spans="2:9" x14ac:dyDescent="0.2">
      <c r="B379" t="s">
        <v>1859</v>
      </c>
      <c r="C379" s="1">
        <v>1035</v>
      </c>
      <c r="D379">
        <v>51</v>
      </c>
      <c r="E379" s="1">
        <v>1035</v>
      </c>
      <c r="F379">
        <v>51</v>
      </c>
      <c r="G379" t="s">
        <v>1503</v>
      </c>
      <c r="H379" t="s">
        <v>1860</v>
      </c>
    </row>
    <row r="380" spans="2:9" x14ac:dyDescent="0.2">
      <c r="B380" t="s">
        <v>1861</v>
      </c>
      <c r="C380" s="1">
        <v>1031</v>
      </c>
      <c r="D380">
        <v>2</v>
      </c>
      <c r="E380" s="1">
        <v>1031</v>
      </c>
      <c r="F380">
        <v>2</v>
      </c>
      <c r="G380" t="s">
        <v>1518</v>
      </c>
      <c r="H380" t="s">
        <v>31</v>
      </c>
      <c r="I380" t="s">
        <v>1522</v>
      </c>
    </row>
    <row r="381" spans="2:9" x14ac:dyDescent="0.2">
      <c r="B381" t="s">
        <v>1862</v>
      </c>
      <c r="C381" s="1">
        <v>1017</v>
      </c>
      <c r="D381">
        <v>2</v>
      </c>
      <c r="E381" s="1">
        <v>1017</v>
      </c>
      <c r="F381">
        <v>2</v>
      </c>
      <c r="G381" t="s">
        <v>1518</v>
      </c>
      <c r="H381" t="s">
        <v>31</v>
      </c>
      <c r="I381" t="s">
        <v>1863</v>
      </c>
    </row>
    <row r="382" spans="2:9" x14ac:dyDescent="0.2">
      <c r="B382" t="s">
        <v>1864</v>
      </c>
      <c r="C382" s="1">
        <v>1012</v>
      </c>
      <c r="D382">
        <v>1</v>
      </c>
      <c r="E382" s="1">
        <v>1012</v>
      </c>
      <c r="F382">
        <v>1</v>
      </c>
      <c r="G382" t="s">
        <v>1518</v>
      </c>
      <c r="H382" t="s">
        <v>31</v>
      </c>
      <c r="I382" t="s">
        <v>1635</v>
      </c>
    </row>
    <row r="383" spans="2:9" x14ac:dyDescent="0.2">
      <c r="B383" t="s">
        <v>1865</v>
      </c>
      <c r="C383" s="1">
        <v>1010</v>
      </c>
      <c r="D383">
        <v>1</v>
      </c>
      <c r="E383" s="1">
        <v>1010</v>
      </c>
      <c r="F383">
        <v>1</v>
      </c>
      <c r="G383" t="s">
        <v>1518</v>
      </c>
      <c r="H383" t="s">
        <v>31</v>
      </c>
      <c r="I383" t="s">
        <v>1600</v>
      </c>
    </row>
    <row r="384" spans="2:9" x14ac:dyDescent="0.2">
      <c r="B384" t="s">
        <v>1866</v>
      </c>
      <c r="C384" s="1">
        <v>1010</v>
      </c>
      <c r="D384">
        <v>1</v>
      </c>
      <c r="E384" s="1">
        <v>1010</v>
      </c>
      <c r="F384">
        <v>1</v>
      </c>
      <c r="G384" t="s">
        <v>1503</v>
      </c>
      <c r="H384" t="s">
        <v>275</v>
      </c>
    </row>
    <row r="385" spans="2:9" x14ac:dyDescent="0.2">
      <c r="B385" t="s">
        <v>1867</v>
      </c>
      <c r="C385" s="1">
        <v>1005</v>
      </c>
      <c r="D385">
        <v>3</v>
      </c>
      <c r="E385" s="1">
        <v>1005</v>
      </c>
      <c r="F385">
        <v>3</v>
      </c>
      <c r="G385" t="s">
        <v>1518</v>
      </c>
      <c r="H385" t="s">
        <v>31</v>
      </c>
      <c r="I385" t="s">
        <v>1682</v>
      </c>
    </row>
    <row r="386" spans="2:9" x14ac:dyDescent="0.2">
      <c r="B386" t="s">
        <v>1868</v>
      </c>
      <c r="C386" s="1">
        <v>1000</v>
      </c>
      <c r="D386">
        <v>46</v>
      </c>
      <c r="E386" s="1">
        <v>1000</v>
      </c>
      <c r="F386">
        <v>46</v>
      </c>
      <c r="G386" t="s">
        <v>1503</v>
      </c>
      <c r="H386" t="s">
        <v>31</v>
      </c>
      <c r="I386" t="s">
        <v>1504</v>
      </c>
    </row>
    <row r="387" spans="2:9" x14ac:dyDescent="0.2">
      <c r="B387" t="s">
        <v>1869</v>
      </c>
      <c r="C387" s="1">
        <v>1000</v>
      </c>
      <c r="D387">
        <v>1</v>
      </c>
      <c r="E387" s="1">
        <v>1000</v>
      </c>
      <c r="F387">
        <v>1</v>
      </c>
      <c r="G387" t="s">
        <v>1503</v>
      </c>
      <c r="H387" t="s">
        <v>31</v>
      </c>
      <c r="I387" t="s">
        <v>1519</v>
      </c>
    </row>
    <row r="388" spans="2:9" x14ac:dyDescent="0.2">
      <c r="B388" t="s">
        <v>782</v>
      </c>
      <c r="C388" s="1">
        <v>1000</v>
      </c>
      <c r="D388">
        <v>1</v>
      </c>
      <c r="E388" s="1">
        <v>1000</v>
      </c>
      <c r="F388">
        <v>1</v>
      </c>
      <c r="G388" t="s">
        <v>1503</v>
      </c>
      <c r="H388" t="s">
        <v>311</v>
      </c>
      <c r="I388" t="s">
        <v>1724</v>
      </c>
    </row>
    <row r="389" spans="2:9" x14ac:dyDescent="0.2">
      <c r="B389" t="s">
        <v>1870</v>
      </c>
      <c r="C389" s="1">
        <v>1000</v>
      </c>
      <c r="D389">
        <v>29</v>
      </c>
      <c r="E389" s="1">
        <v>1000</v>
      </c>
      <c r="F389">
        <v>29</v>
      </c>
      <c r="G389" t="s">
        <v>1503</v>
      </c>
      <c r="H389" t="s">
        <v>1871</v>
      </c>
    </row>
    <row r="390" spans="2:9" x14ac:dyDescent="0.2">
      <c r="B390" t="s">
        <v>1872</v>
      </c>
      <c r="C390" s="1">
        <v>1000</v>
      </c>
      <c r="D390">
        <v>1</v>
      </c>
      <c r="E390" s="1">
        <v>1000</v>
      </c>
      <c r="F390">
        <v>1</v>
      </c>
      <c r="G390" t="s">
        <v>1503</v>
      </c>
      <c r="H390" t="s">
        <v>31</v>
      </c>
      <c r="I390" t="s">
        <v>1525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Full Casino List</vt:lpstr>
      <vt:lpstr>Executives</vt:lpstr>
      <vt:lpstr>Philippines</vt:lpstr>
      <vt:lpstr>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dcterms:created xsi:type="dcterms:W3CDTF">2025-04-17T04:58:25Z</dcterms:created>
  <dcterms:modified xsi:type="dcterms:W3CDTF">2025-09-18T01:43:09Z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2025-04-17T05:15:48Z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920fe061-77ce-4015-914c-efa91538a981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</Properties>
</file>