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/>
  <mc:AlternateContent xmlns:mc="http://schemas.openxmlformats.org/markup-compatibility/2006">
    <mc:Choice Requires="x15">
      <x15ac:absPath xmlns:x15ac="http://schemas.microsoft.com/office/spreadsheetml/2010/11/ac" url="P:\Research\SB - Research\4. Lotteries\3. Market Data\5. Alt Products\"/>
    </mc:Choice>
  </mc:AlternateContent>
  <xr:revisionPtr revIDLastSave="0" documentId="13_ncr:1_{4CFBA798-19E2-412B-9B39-243DA6ECF03A}" xr6:coauthVersionLast="47" xr6:coauthVersionMax="47" xr10:uidLastSave="{00000000-0000-0000-0000-000000000000}"/>
  <bookViews>
    <workbookView xWindow="28680" yWindow="-120" windowWidth="29040" windowHeight="15720" activeTab="1" xr2:uid="{63C2681F-AAAA-4278-A5BD-A60E72D8709B}"/>
  </bookViews>
  <sheets>
    <sheet name="Theo" sheetId="1" r:id="rId1"/>
    <sheet name="Actual Draws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2" l="1"/>
  <c r="M30" i="2"/>
  <c r="N30" i="2"/>
  <c r="O30" i="2"/>
  <c r="T30" i="2"/>
  <c r="U30" i="2"/>
  <c r="V30" i="2"/>
  <c r="W30" i="2"/>
  <c r="X30" i="2"/>
  <c r="Z30" i="2"/>
  <c r="AA30" i="2" s="1"/>
  <c r="AC30" i="2"/>
  <c r="AD30" i="2" s="1"/>
  <c r="L31" i="2"/>
  <c r="T31" i="2" s="1"/>
  <c r="M31" i="2"/>
  <c r="U31" i="2" s="1"/>
  <c r="N31" i="2"/>
  <c r="V31" i="2" s="1"/>
  <c r="O31" i="2"/>
  <c r="W31" i="2"/>
  <c r="X31" i="2"/>
  <c r="Z31" i="2" s="1"/>
  <c r="AA31" i="2" s="1"/>
  <c r="L32" i="2"/>
  <c r="M32" i="2"/>
  <c r="U32" i="2" s="1"/>
  <c r="N32" i="2"/>
  <c r="V32" i="2" s="1"/>
  <c r="O32" i="2"/>
  <c r="W32" i="2" s="1"/>
  <c r="X32" i="2" s="1"/>
  <c r="Z32" i="2" s="1"/>
  <c r="AA32" i="2" s="1"/>
  <c r="T32" i="2"/>
  <c r="L33" i="2"/>
  <c r="M33" i="2"/>
  <c r="U33" i="2" s="1"/>
  <c r="N33" i="2"/>
  <c r="V33" i="2" s="1"/>
  <c r="O33" i="2"/>
  <c r="W33" i="2"/>
  <c r="X33" i="2" s="1"/>
  <c r="Z33" i="2" s="1"/>
  <c r="AA33" i="2" s="1"/>
  <c r="L34" i="2"/>
  <c r="AC34" i="2" s="1"/>
  <c r="AD34" i="2" s="1"/>
  <c r="M34" i="2"/>
  <c r="N34" i="2"/>
  <c r="V34" i="2" s="1"/>
  <c r="O34" i="2"/>
  <c r="T34" i="2"/>
  <c r="U34" i="2"/>
  <c r="W34" i="2"/>
  <c r="X34" i="2"/>
  <c r="Z34" i="2"/>
  <c r="AA34" i="2" s="1"/>
  <c r="L35" i="2"/>
  <c r="M35" i="2"/>
  <c r="N35" i="2"/>
  <c r="O35" i="2"/>
  <c r="T35" i="2"/>
  <c r="U35" i="2"/>
  <c r="V35" i="2"/>
  <c r="W35" i="2"/>
  <c r="X35" i="2"/>
  <c r="Z35" i="2"/>
  <c r="AA35" i="2" s="1"/>
  <c r="AC35" i="2"/>
  <c r="AD35" i="2"/>
  <c r="L36" i="2"/>
  <c r="T36" i="2" s="1"/>
  <c r="M36" i="2"/>
  <c r="U36" i="2" s="1"/>
  <c r="N36" i="2"/>
  <c r="O36" i="2"/>
  <c r="V36" i="2"/>
  <c r="W36" i="2"/>
  <c r="X36" i="2"/>
  <c r="Z36" i="2" s="1"/>
  <c r="AA36" i="2" s="1"/>
  <c r="L37" i="2"/>
  <c r="M37" i="2"/>
  <c r="U37" i="2" s="1"/>
  <c r="N37" i="2"/>
  <c r="V37" i="2" s="1"/>
  <c r="O37" i="2"/>
  <c r="W37" i="2" s="1"/>
  <c r="X37" i="2" s="1"/>
  <c r="Z37" i="2" s="1"/>
  <c r="AA37" i="2" s="1"/>
  <c r="T37" i="2"/>
  <c r="B37" i="2"/>
  <c r="A37" i="2"/>
  <c r="A36" i="2"/>
  <c r="B36" i="2"/>
  <c r="A35" i="2"/>
  <c r="B35" i="2"/>
  <c r="B34" i="2"/>
  <c r="A34" i="2"/>
  <c r="A33" i="2"/>
  <c r="B33" i="2"/>
  <c r="B32" i="2"/>
  <c r="A32" i="2"/>
  <c r="B30" i="2"/>
  <c r="B31" i="2"/>
  <c r="A31" i="2"/>
  <c r="A30" i="2"/>
  <c r="B25" i="2"/>
  <c r="B26" i="2"/>
  <c r="B27" i="2"/>
  <c r="B28" i="2"/>
  <c r="B29" i="2"/>
  <c r="A25" i="2"/>
  <c r="A26" i="2"/>
  <c r="A27" i="2"/>
  <c r="A28" i="2"/>
  <c r="A29" i="2"/>
  <c r="T24" i="2"/>
  <c r="U24" i="2"/>
  <c r="T25" i="2"/>
  <c r="U25" i="2"/>
  <c r="U26" i="2"/>
  <c r="V26" i="2"/>
  <c r="T27" i="2"/>
  <c r="U27" i="2"/>
  <c r="V28" i="2"/>
  <c r="W28" i="2"/>
  <c r="X28" i="2" s="1"/>
  <c r="Z28" i="2" s="1"/>
  <c r="AA28" i="2" s="1"/>
  <c r="U29" i="2"/>
  <c r="V29" i="2"/>
  <c r="W29" i="2"/>
  <c r="X29" i="2" s="1"/>
  <c r="M27" i="2"/>
  <c r="N27" i="2"/>
  <c r="V27" i="2" s="1"/>
  <c r="O27" i="2"/>
  <c r="W27" i="2" s="1"/>
  <c r="X27" i="2" s="1"/>
  <c r="Z27" i="2" s="1"/>
  <c r="AA27" i="2" s="1"/>
  <c r="M28" i="2"/>
  <c r="U28" i="2" s="1"/>
  <c r="N28" i="2"/>
  <c r="O28" i="2"/>
  <c r="M29" i="2"/>
  <c r="N29" i="2"/>
  <c r="O29" i="2"/>
  <c r="L26" i="2"/>
  <c r="T26" i="2" s="1"/>
  <c r="L27" i="2"/>
  <c r="AC27" i="2" s="1"/>
  <c r="L28" i="2"/>
  <c r="T28" i="2" s="1"/>
  <c r="L29" i="2"/>
  <c r="AC29" i="2" s="1"/>
  <c r="O26" i="2"/>
  <c r="AC26" i="2" s="1"/>
  <c r="N26" i="2"/>
  <c r="M26" i="2"/>
  <c r="O25" i="2"/>
  <c r="W25" i="2" s="1"/>
  <c r="X25" i="2" s="1"/>
  <c r="Z25" i="2" s="1"/>
  <c r="AA25" i="2" s="1"/>
  <c r="N25" i="2"/>
  <c r="V25" i="2" s="1"/>
  <c r="M25" i="2"/>
  <c r="L25" i="2"/>
  <c r="AC25" i="2" s="1"/>
  <c r="AD25" i="2" s="1"/>
  <c r="A24" i="2"/>
  <c r="O24" i="2"/>
  <c r="W24" i="2" s="1"/>
  <c r="X24" i="2" s="1"/>
  <c r="Z24" i="2" s="1"/>
  <c r="AA24" i="2" s="1"/>
  <c r="N24" i="2"/>
  <c r="V24" i="2" s="1"/>
  <c r="M24" i="2"/>
  <c r="L24" i="2"/>
  <c r="L11" i="2"/>
  <c r="T11" i="2" s="1"/>
  <c r="M11" i="2"/>
  <c r="U11" i="2" s="1"/>
  <c r="N11" i="2"/>
  <c r="V11" i="2" s="1"/>
  <c r="O11" i="2"/>
  <c r="W11" i="2" s="1"/>
  <c r="X11" i="2" s="1"/>
  <c r="Z11" i="2" s="1"/>
  <c r="AA11" i="2" s="1"/>
  <c r="A10" i="2"/>
  <c r="B10" i="2"/>
  <c r="A11" i="2"/>
  <c r="B11" i="2"/>
  <c r="A13" i="2"/>
  <c r="A14" i="2"/>
  <c r="B14" i="2"/>
  <c r="AC33" i="2" l="1"/>
  <c r="AD33" i="2" s="1"/>
  <c r="AC28" i="2"/>
  <c r="AD28" i="2" s="1"/>
  <c r="AC24" i="2"/>
  <c r="AD24" i="2" s="1"/>
  <c r="W26" i="2"/>
  <c r="X26" i="2" s="1"/>
  <c r="Z26" i="2" s="1"/>
  <c r="AA26" i="2" s="1"/>
  <c r="AC37" i="2"/>
  <c r="AC32" i="2"/>
  <c r="T29" i="2"/>
  <c r="T33" i="2"/>
  <c r="AD37" i="2"/>
  <c r="AD32" i="2"/>
  <c r="AC36" i="2"/>
  <c r="AD36" i="2" s="1"/>
  <c r="AC31" i="2"/>
  <c r="AD31" i="2" s="1"/>
  <c r="AD29" i="2"/>
  <c r="Z29" i="2"/>
  <c r="AA29" i="2" s="1"/>
  <c r="AD27" i="2"/>
  <c r="AC11" i="2"/>
  <c r="AD11" i="2" s="1"/>
  <c r="AD26" i="2" l="1"/>
  <c r="A5" i="2"/>
  <c r="A6" i="2"/>
  <c r="A7" i="2"/>
  <c r="A8" i="2"/>
  <c r="A9" i="2"/>
  <c r="A15" i="2"/>
  <c r="A16" i="2"/>
  <c r="A17" i="2"/>
  <c r="A4" i="2"/>
  <c r="L10" i="2"/>
  <c r="M10" i="2"/>
  <c r="U10" i="2" s="1"/>
  <c r="N10" i="2"/>
  <c r="V10" i="2" s="1"/>
  <c r="O10" i="2"/>
  <c r="W10" i="2" s="1"/>
  <c r="X10" i="2" s="1"/>
  <c r="C12" i="2"/>
  <c r="L12" i="2"/>
  <c r="M12" i="2"/>
  <c r="U12" i="2" s="1"/>
  <c r="N12" i="2"/>
  <c r="V12" i="2" s="1"/>
  <c r="O12" i="2"/>
  <c r="W12" i="2" s="1"/>
  <c r="X12" i="2" s="1"/>
  <c r="L13" i="2"/>
  <c r="T13" i="2" s="1"/>
  <c r="M13" i="2"/>
  <c r="U13" i="2" s="1"/>
  <c r="N13" i="2"/>
  <c r="V13" i="2" s="1"/>
  <c r="O13" i="2"/>
  <c r="W13" i="2" s="1"/>
  <c r="X13" i="2" s="1"/>
  <c r="Z13" i="2" s="1"/>
  <c r="AA13" i="2" s="1"/>
  <c r="L14" i="2"/>
  <c r="T14" i="2" s="1"/>
  <c r="M14" i="2"/>
  <c r="U14" i="2" s="1"/>
  <c r="N14" i="2"/>
  <c r="V14" i="2" s="1"/>
  <c r="O14" i="2"/>
  <c r="W14" i="2" s="1"/>
  <c r="X14" i="2" s="1"/>
  <c r="Z14" i="2" s="1"/>
  <c r="AA14" i="2" s="1"/>
  <c r="B15" i="2"/>
  <c r="L15" i="2"/>
  <c r="M15" i="2"/>
  <c r="U15" i="2" s="1"/>
  <c r="N15" i="2"/>
  <c r="V15" i="2" s="1"/>
  <c r="O15" i="2"/>
  <c r="W15" i="2" s="1"/>
  <c r="X15" i="2" s="1"/>
  <c r="Z15" i="2" s="1"/>
  <c r="AA15" i="2" s="1"/>
  <c r="B16" i="2"/>
  <c r="C18" i="2" s="1"/>
  <c r="A18" i="2" s="1"/>
  <c r="L16" i="2"/>
  <c r="T16" i="2" s="1"/>
  <c r="M16" i="2"/>
  <c r="U16" i="2" s="1"/>
  <c r="N16" i="2"/>
  <c r="V16" i="2" s="1"/>
  <c r="O16" i="2"/>
  <c r="W16" i="2" s="1"/>
  <c r="X16" i="2" s="1"/>
  <c r="B17" i="2"/>
  <c r="L17" i="2"/>
  <c r="T17" i="2" s="1"/>
  <c r="M17" i="2"/>
  <c r="U17" i="2" s="1"/>
  <c r="N17" i="2"/>
  <c r="V17" i="2" s="1"/>
  <c r="O17" i="2"/>
  <c r="W17" i="2" s="1"/>
  <c r="X17" i="2" s="1"/>
  <c r="L18" i="2"/>
  <c r="M18" i="2"/>
  <c r="U18" i="2" s="1"/>
  <c r="N18" i="2"/>
  <c r="V18" i="2" s="1"/>
  <c r="O18" i="2"/>
  <c r="W18" i="2" s="1"/>
  <c r="X18" i="2" s="1"/>
  <c r="Z18" i="2" s="1"/>
  <c r="AA18" i="2" s="1"/>
  <c r="L19" i="2"/>
  <c r="T19" i="2" s="1"/>
  <c r="M19" i="2"/>
  <c r="U19" i="2" s="1"/>
  <c r="N19" i="2"/>
  <c r="V19" i="2" s="1"/>
  <c r="O19" i="2"/>
  <c r="W19" i="2" s="1"/>
  <c r="X19" i="2" s="1"/>
  <c r="Z19" i="2" s="1"/>
  <c r="AA19" i="2" s="1"/>
  <c r="L20" i="2"/>
  <c r="M20" i="2"/>
  <c r="U20" i="2" s="1"/>
  <c r="N20" i="2"/>
  <c r="V20" i="2" s="1"/>
  <c r="O20" i="2"/>
  <c r="W20" i="2" s="1"/>
  <c r="X20" i="2" s="1"/>
  <c r="L21" i="2"/>
  <c r="T21" i="2" s="1"/>
  <c r="M21" i="2"/>
  <c r="N21" i="2"/>
  <c r="V21" i="2" s="1"/>
  <c r="O21" i="2"/>
  <c r="W21" i="2" s="1"/>
  <c r="X21" i="2" s="1"/>
  <c r="L22" i="2"/>
  <c r="T22" i="2" s="1"/>
  <c r="M22" i="2"/>
  <c r="U22" i="2" s="1"/>
  <c r="N22" i="2"/>
  <c r="V22" i="2" s="1"/>
  <c r="O22" i="2"/>
  <c r="W22" i="2" s="1"/>
  <c r="X22" i="2" s="1"/>
  <c r="Z22" i="2" s="1"/>
  <c r="AA22" i="2" s="1"/>
  <c r="L23" i="2"/>
  <c r="T23" i="2" s="1"/>
  <c r="M23" i="2"/>
  <c r="U23" i="2" s="1"/>
  <c r="N23" i="2"/>
  <c r="V23" i="2" s="1"/>
  <c r="O23" i="2"/>
  <c r="W23" i="2" s="1"/>
  <c r="X23" i="2" s="1"/>
  <c r="B6" i="2"/>
  <c r="B7" i="2"/>
  <c r="B8" i="2"/>
  <c r="B9" i="2"/>
  <c r="B5" i="2"/>
  <c r="L9" i="1"/>
  <c r="O9" i="2"/>
  <c r="W9" i="2" s="1"/>
  <c r="X9" i="2" s="1"/>
  <c r="N9" i="2"/>
  <c r="V9" i="2" s="1"/>
  <c r="M9" i="2"/>
  <c r="U9" i="2" s="1"/>
  <c r="L9" i="2"/>
  <c r="T9" i="2" s="1"/>
  <c r="O8" i="2"/>
  <c r="W8" i="2" s="1"/>
  <c r="X8" i="2" s="1"/>
  <c r="Z8" i="2" s="1"/>
  <c r="AA8" i="2" s="1"/>
  <c r="N8" i="2"/>
  <c r="V8" i="2" s="1"/>
  <c r="M8" i="2"/>
  <c r="U8" i="2" s="1"/>
  <c r="L8" i="2"/>
  <c r="T8" i="2" s="1"/>
  <c r="O7" i="2"/>
  <c r="W7" i="2" s="1"/>
  <c r="X7" i="2" s="1"/>
  <c r="Z7" i="2" s="1"/>
  <c r="AA7" i="2" s="1"/>
  <c r="L5" i="2"/>
  <c r="T5" i="2" s="1"/>
  <c r="M5" i="2"/>
  <c r="U5" i="2" s="1"/>
  <c r="N5" i="2"/>
  <c r="V5" i="2" s="1"/>
  <c r="O5" i="2"/>
  <c r="W5" i="2" s="1"/>
  <c r="X5" i="2" s="1"/>
  <c r="Z5" i="2" s="1"/>
  <c r="AA5" i="2" s="1"/>
  <c r="L6" i="2"/>
  <c r="T6" i="2" s="1"/>
  <c r="M6" i="2"/>
  <c r="U6" i="2" s="1"/>
  <c r="N6" i="2"/>
  <c r="V6" i="2" s="1"/>
  <c r="O6" i="2"/>
  <c r="W6" i="2" s="1"/>
  <c r="X6" i="2" s="1"/>
  <c r="Z6" i="2" s="1"/>
  <c r="AA6" i="2" s="1"/>
  <c r="L7" i="2"/>
  <c r="T7" i="2" s="1"/>
  <c r="M7" i="2"/>
  <c r="U7" i="2" s="1"/>
  <c r="N7" i="2"/>
  <c r="V7" i="2" s="1"/>
  <c r="O4" i="2"/>
  <c r="W4" i="2" s="1"/>
  <c r="N4" i="2"/>
  <c r="V4" i="2" s="1"/>
  <c r="M4" i="2"/>
  <c r="U4" i="2" s="1"/>
  <c r="L4" i="2"/>
  <c r="T4" i="2" s="1"/>
  <c r="E7" i="1"/>
  <c r="L6" i="1" s="1"/>
  <c r="I9" i="1"/>
  <c r="H6" i="1"/>
  <c r="H7" i="1"/>
  <c r="H8" i="1"/>
  <c r="H5" i="1"/>
  <c r="AC21" i="2" l="1"/>
  <c r="AD21" i="2" s="1"/>
  <c r="U21" i="2"/>
  <c r="Z12" i="2"/>
  <c r="AA12" i="2" s="1"/>
  <c r="Z20" i="2"/>
  <c r="AA20" i="2" s="1"/>
  <c r="Z21" i="2"/>
  <c r="AA21" i="2" s="1"/>
  <c r="Z10" i="2"/>
  <c r="AA10" i="2" s="1"/>
  <c r="Z17" i="2"/>
  <c r="AA17" i="2" s="1"/>
  <c r="Z16" i="2"/>
  <c r="AA16" i="2" s="1"/>
  <c r="AC10" i="2"/>
  <c r="AD10" i="2" s="1"/>
  <c r="Z9" i="2"/>
  <c r="AA9" i="2" s="1"/>
  <c r="AC20" i="2"/>
  <c r="AD20" i="2" s="1"/>
  <c r="AC13" i="2"/>
  <c r="AD13" i="2" s="1"/>
  <c r="AC17" i="2"/>
  <c r="AD17" i="2" s="1"/>
  <c r="AC16" i="2"/>
  <c r="AD16" i="2" s="1"/>
  <c r="A12" i="2"/>
  <c r="B12" i="2"/>
  <c r="B13" i="2"/>
  <c r="AC22" i="2"/>
  <c r="AD22" i="2" s="1"/>
  <c r="AC15" i="2"/>
  <c r="AD15" i="2" s="1"/>
  <c r="AC18" i="2"/>
  <c r="AD18" i="2" s="1"/>
  <c r="AC12" i="2"/>
  <c r="AD12" i="2" s="1"/>
  <c r="T18" i="2"/>
  <c r="T12" i="2"/>
  <c r="Z23" i="2"/>
  <c r="AA23" i="2" s="1"/>
  <c r="B18" i="2"/>
  <c r="C19" i="2"/>
  <c r="A19" i="2" s="1"/>
  <c r="AC23" i="2"/>
  <c r="AD23" i="2" s="1"/>
  <c r="AC19" i="2"/>
  <c r="AD19" i="2" s="1"/>
  <c r="AC14" i="2"/>
  <c r="AD14" i="2" s="1"/>
  <c r="T10" i="2"/>
  <c r="T20" i="2"/>
  <c r="T15" i="2"/>
  <c r="AC7" i="2"/>
  <c r="AD7" i="2" s="1"/>
  <c r="AC6" i="2"/>
  <c r="AD6" i="2" s="1"/>
  <c r="AC5" i="2"/>
  <c r="AD5" i="2" s="1"/>
  <c r="AC4" i="2"/>
  <c r="AC9" i="2"/>
  <c r="AD9" i="2" s="1"/>
  <c r="AC8" i="2"/>
  <c r="AD8" i="2" s="1"/>
  <c r="X4" i="2"/>
  <c r="L8" i="1"/>
  <c r="L7" i="1"/>
  <c r="L5" i="1"/>
  <c r="C20" i="2" l="1"/>
  <c r="A20" i="2" s="1"/>
  <c r="B19" i="2"/>
  <c r="AD4" i="2"/>
  <c r="AG6" i="2"/>
  <c r="Z4" i="2"/>
  <c r="AA4" i="2" s="1"/>
  <c r="AG5" i="2"/>
  <c r="C21" i="2" l="1"/>
  <c r="A21" i="2" s="1"/>
  <c r="B20" i="2"/>
  <c r="AG7" i="2"/>
  <c r="B21" i="2" l="1"/>
  <c r="C22" i="2"/>
  <c r="A22" i="2" s="1"/>
  <c r="B22" i="2" l="1"/>
  <c r="C23" i="2"/>
  <c r="A23" i="2" l="1"/>
  <c r="B24" i="2"/>
  <c r="B23" i="2"/>
  <c r="AG4" i="2"/>
  <c r="AG9" i="2"/>
  <c r="AG10" i="2"/>
  <c r="AG12" i="2" l="1"/>
  <c r="AG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Bradshaw</author>
  </authors>
  <commentList>
    <comment ref="P4" authorId="0" shapeId="0" xr:uid="{F338BC68-DEB5-4160-A97E-EF78121717E4}">
      <text>
        <r>
          <rPr>
            <b/>
            <sz val="9"/>
            <color indexed="81"/>
            <rFont val="Tahoma"/>
            <family val="2"/>
          </rPr>
          <t>Sam Bradshaw:</t>
        </r>
        <r>
          <rPr>
            <sz val="9"/>
            <color indexed="81"/>
            <rFont val="Tahoma"/>
            <family val="2"/>
          </rPr>
          <t xml:space="preserve">
ex Overflow</t>
        </r>
      </text>
    </comment>
  </commentList>
</comments>
</file>

<file path=xl/sharedStrings.xml><?xml version="1.0" encoding="utf-8"?>
<sst xmlns="http://schemas.openxmlformats.org/spreadsheetml/2006/main" count="49" uniqueCount="26">
  <si>
    <t>Prize</t>
  </si>
  <si>
    <t>Winners</t>
  </si>
  <si>
    <t>Prize Pool</t>
  </si>
  <si>
    <t>Theo</t>
  </si>
  <si>
    <t>Odds</t>
  </si>
  <si>
    <t>Date</t>
  </si>
  <si>
    <t>Div-1</t>
  </si>
  <si>
    <t>Div-2</t>
  </si>
  <si>
    <t>Div-3</t>
  </si>
  <si>
    <t>Div-4</t>
  </si>
  <si>
    <t>Allocation</t>
  </si>
  <si>
    <t>Subscriptions Estimate</t>
  </si>
  <si>
    <t>Sales</t>
  </si>
  <si>
    <t>Prizes</t>
  </si>
  <si>
    <t>RTP</t>
  </si>
  <si>
    <t>First Draw</t>
  </si>
  <si>
    <t>Last Draw</t>
  </si>
  <si>
    <t>Timeframe</t>
  </si>
  <si>
    <t>Annualised</t>
  </si>
  <si>
    <t>Price</t>
  </si>
  <si>
    <t>Entries</t>
  </si>
  <si>
    <t>Summary</t>
  </si>
  <si>
    <t>% Filled</t>
  </si>
  <si>
    <t>Full Entry Block</t>
  </si>
  <si>
    <t>Draws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</si>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</sst>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3" formatCode="_-* #,##0.00_-;\-* #,##0.00_-;_-* &quot;-&quot;??_-;_-@_-"/>
    <numFmt numFmtId="164" formatCode="0.0%"/>
    <numFmt numFmtId="165" formatCode="ddd\ d\-mmm\-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5">
    <xf numFmtId="0" fontId="0" fillId="0" borderId="0" xfId="0"/>
    <xf numFmtId="4" fontId="0" fillId="0" borderId="0" xfId="0" applyNumberFormat="1"/>
    <xf numFmtId="3" fontId="0" fillId="0" borderId="0" xfId="0" applyNumberFormat="1"/>
    <xf numFmtId="0" fontId="2" fillId="0" borderId="0" xfId="0" applyFont="1"/>
    <xf numFmtId="8" fontId="2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6" fontId="2" fillId="0" borderId="0" xfId="0" applyNumberFormat="1" applyFont="1"/>
    <xf numFmtId="10" fontId="0" fillId="0" borderId="0" xfId="0" applyNumberFormat="1"/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5" xfId="0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4" xfId="0" applyFont="1" applyBorder="1" applyAlignment="1">
      <alignment horizontal="center"/>
    </xf>
    <xf numFmtId="8" fontId="2" fillId="0" borderId="3" xfId="0" applyNumberFormat="1" applyFont="1" applyBorder="1"/>
    <xf numFmtId="3" fontId="2" fillId="0" borderId="1" xfId="0" applyNumberFormat="1" applyFont="1" applyBorder="1"/>
    <xf numFmtId="3" fontId="2" fillId="0" borderId="3" xfId="0" applyNumberFormat="1" applyFont="1" applyBorder="1"/>
    <xf numFmtId="3" fontId="4" fillId="0" borderId="1" xfId="0" applyNumberFormat="1" applyFont="1" applyBorder="1"/>
    <xf numFmtId="3" fontId="4" fillId="0" borderId="0" xfId="0" applyNumberFormat="1" applyFont="1"/>
    <xf numFmtId="3" fontId="4" fillId="0" borderId="3" xfId="0" applyNumberFormat="1" applyFont="1" applyBorder="1"/>
    <xf numFmtId="164" fontId="4" fillId="0" borderId="3" xfId="0" applyNumberFormat="1" applyFont="1" applyBorder="1"/>
    <xf numFmtId="164" fontId="4" fillId="0" borderId="0" xfId="0" applyNumberFormat="1" applyFont="1"/>
    <xf numFmtId="6" fontId="4" fillId="0" borderId="1" xfId="0" applyNumberFormat="1" applyFont="1" applyBorder="1"/>
    <xf numFmtId="6" fontId="4" fillId="0" borderId="0" xfId="0" applyNumberFormat="1" applyFont="1"/>
    <xf numFmtId="6" fontId="4" fillId="0" borderId="3" xfId="0" applyNumberFormat="1" applyFont="1" applyBorder="1"/>
    <xf numFmtId="10" fontId="2" fillId="0" borderId="1" xfId="0" applyNumberFormat="1" applyFont="1" applyBorder="1"/>
    <xf numFmtId="10" fontId="2" fillId="0" borderId="0" xfId="0" applyNumberFormat="1" applyFont="1"/>
    <xf numFmtId="10" fontId="2" fillId="0" borderId="3" xfId="0" applyNumberFormat="1" applyFont="1" applyBorder="1"/>
    <xf numFmtId="6" fontId="2" fillId="0" borderId="1" xfId="0" applyNumberFormat="1" applyFont="1" applyBorder="1"/>
    <xf numFmtId="0" fontId="0" fillId="0" borderId="0" xfId="0" applyAlignment="1">
      <alignment wrapText="1"/>
    </xf>
    <xf numFmtId="164" fontId="0" fillId="0" borderId="0" xfId="0" applyNumberFormat="1"/>
    <xf numFmtId="15" fontId="0" fillId="0" borderId="0" xfId="0" applyNumberFormat="1"/>
    <xf numFmtId="6" fontId="0" fillId="0" borderId="0" xfId="0" applyNumberFormat="1"/>
    <xf numFmtId="43" fontId="0" fillId="0" borderId="0" xfId="1" applyFont="1"/>
    <xf numFmtId="165" fontId="2" fillId="0" borderId="2" xfId="0" applyNumberFormat="1" applyFont="1" applyBorder="1" applyAlignment="1">
      <alignment horizontal="center"/>
    </xf>
    <xf numFmtId="10" fontId="8" fillId="0" borderId="1" xfId="0" applyNumberFormat="1" applyFont="1" applyBorder="1"/>
    <xf numFmtId="10" fontId="8" fillId="0" borderId="0" xfId="0" applyNumberFormat="1" applyFont="1"/>
    <xf numFmtId="10" fontId="8" fillId="0" borderId="3" xfId="0" applyNumberFormat="1" applyFont="1" applyBorder="1"/>
    <xf numFmtId="8" fontId="8" fillId="0" borderId="0" xfId="0" applyNumberFormat="1" applyFont="1"/>
    <xf numFmtId="3" fontId="8" fillId="0" borderId="0" xfId="0" applyNumberFormat="1" applyFont="1"/>
    <xf numFmtId="3" fontId="9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Draws'!$X$3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'Actual Draws'!$A$4:$A$29</c:f>
              <c:strCache>
                <c:ptCount val="26"/>
                <c:pt idx="0">
                  <c:v>21-Apr-26</c:v>
                </c:pt>
                <c:pt idx="1">
                  <c:v>24-Apr-26</c:v>
                </c:pt>
                <c:pt idx="2">
                  <c:v>28-Apr-26</c:v>
                </c:pt>
                <c:pt idx="3">
                  <c:v>01-May-26</c:v>
                </c:pt>
                <c:pt idx="4">
                  <c:v>05-May-26</c:v>
                </c:pt>
                <c:pt idx="5">
                  <c:v>08-May-26</c:v>
                </c:pt>
                <c:pt idx="6">
                  <c:v>12-May-26</c:v>
                </c:pt>
                <c:pt idx="7">
                  <c:v>15-May-26</c:v>
                </c:pt>
                <c:pt idx="8">
                  <c:v>19-May-26</c:v>
                </c:pt>
                <c:pt idx="9">
                  <c:v>22-May-26</c:v>
                </c:pt>
                <c:pt idx="10">
                  <c:v>26-May-26</c:v>
                </c:pt>
                <c:pt idx="11">
                  <c:v>29-May-26</c:v>
                </c:pt>
                <c:pt idx="12">
                  <c:v>02-Jun-26</c:v>
                </c:pt>
                <c:pt idx="13">
                  <c:v>05-Jun-26</c:v>
                </c:pt>
                <c:pt idx="14">
                  <c:v>09-Jun-26</c:v>
                </c:pt>
                <c:pt idx="15">
                  <c:v>12-Jun-26</c:v>
                </c:pt>
                <c:pt idx="16">
                  <c:v>16-Jun-26</c:v>
                </c:pt>
                <c:pt idx="17">
                  <c:v>19-Jun-26</c:v>
                </c:pt>
                <c:pt idx="18">
                  <c:v>23-Jun-26</c:v>
                </c:pt>
                <c:pt idx="19">
                  <c:v>26-Jun-26</c:v>
                </c:pt>
                <c:pt idx="20">
                  <c:v>30-Jun-26</c:v>
                </c:pt>
                <c:pt idx="21">
                  <c:v>03-Jul-26</c:v>
                </c:pt>
                <c:pt idx="22">
                  <c:v>07-Jul-26</c:v>
                </c:pt>
                <c:pt idx="23">
                  <c:v>10-Jul-26</c:v>
                </c:pt>
                <c:pt idx="24">
                  <c:v>14-Jul-26</c:v>
                </c:pt>
                <c:pt idx="25">
                  <c:v>17-Jul-26</c:v>
                </c:pt>
              </c:strCache>
            </c:strRef>
          </c:cat>
          <c:val>
            <c:numRef>
              <c:f>'Actual Draws'!$X$4:$X$29</c:f>
              <c:numCache>
                <c:formatCode>#,##0</c:formatCode>
                <c:ptCount val="26"/>
                <c:pt idx="0">
                  <c:v>374466.46525679762</c:v>
                </c:pt>
                <c:pt idx="1">
                  <c:v>416740.55891238671</c:v>
                </c:pt>
                <c:pt idx="2">
                  <c:v>328137.91540785501</c:v>
                </c:pt>
                <c:pt idx="3">
                  <c:v>268443.35347432026</c:v>
                </c:pt>
                <c:pt idx="4">
                  <c:v>259341.46525679759</c:v>
                </c:pt>
                <c:pt idx="5">
                  <c:v>233358.38368580063</c:v>
                </c:pt>
                <c:pt idx="6">
                  <c:v>205769.93957703927</c:v>
                </c:pt>
                <c:pt idx="7">
                  <c:v>219958.91238670694</c:v>
                </c:pt>
                <c:pt idx="8">
                  <c:v>176958.30815709973</c:v>
                </c:pt>
                <c:pt idx="9">
                  <c:v>154146.75226586105</c:v>
                </c:pt>
                <c:pt idx="10">
                  <c:v>161288.9728096677</c:v>
                </c:pt>
                <c:pt idx="11">
                  <c:v>163371.22356495471</c:v>
                </c:pt>
                <c:pt idx="12">
                  <c:v>157807.62839879154</c:v>
                </c:pt>
                <c:pt idx="13">
                  <c:v>147915.86102719035</c:v>
                </c:pt>
                <c:pt idx="14">
                  <c:v>137808.98791540787</c:v>
                </c:pt>
                <c:pt idx="15">
                  <c:v>141764.95468277947</c:v>
                </c:pt>
                <c:pt idx="16">
                  <c:v>122791.08761329307</c:v>
                </c:pt>
                <c:pt idx="17">
                  <c:v>116092.74924471301</c:v>
                </c:pt>
                <c:pt idx="18">
                  <c:v>120322.80966767372</c:v>
                </c:pt>
                <c:pt idx="19">
                  <c:v>119636.70694864049</c:v>
                </c:pt>
                <c:pt idx="20">
                  <c:v>116908.91238670696</c:v>
                </c:pt>
                <c:pt idx="21">
                  <c:v>114263.74622356496</c:v>
                </c:pt>
                <c:pt idx="22">
                  <c:v>109752.64350453173</c:v>
                </c:pt>
                <c:pt idx="23">
                  <c:v>117244.71299093656</c:v>
                </c:pt>
                <c:pt idx="24">
                  <c:v>103964.04833836859</c:v>
                </c:pt>
                <c:pt idx="25">
                  <c:v>110894.86404833839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2-4902-9876-FED80C1AC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31794400"/>
        <c:axId val="1131778560"/>
      </c:barChart>
      <c:catAx>
        <c:axId val="11317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78560"/>
        <c:crosses val="autoZero"/>
        <c:auto val="1"/>
        <c:lblAlgn val="ctr"/>
        <c:lblOffset val="100"/>
        <c:noMultiLvlLbl val="0"/>
      </c:catAx>
      <c:valAx>
        <c:axId val="11317785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1317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Draws'!$AC$3</c:f>
              <c:strCache>
                <c:ptCount val="1"/>
                <c:pt idx="0">
                  <c:v>Prizes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'Actual Draws'!$A$4:$A$29</c:f>
              <c:strCache>
                <c:ptCount val="26"/>
                <c:pt idx="0">
                  <c:v>21-Apr-26</c:v>
                </c:pt>
                <c:pt idx="1">
                  <c:v>24-Apr-26</c:v>
                </c:pt>
                <c:pt idx="2">
                  <c:v>28-Apr-26</c:v>
                </c:pt>
                <c:pt idx="3">
                  <c:v>01-May-26</c:v>
                </c:pt>
                <c:pt idx="4">
                  <c:v>05-May-26</c:v>
                </c:pt>
                <c:pt idx="5">
                  <c:v>08-May-26</c:v>
                </c:pt>
                <c:pt idx="6">
                  <c:v>12-May-26</c:v>
                </c:pt>
                <c:pt idx="7">
                  <c:v>15-May-26</c:v>
                </c:pt>
                <c:pt idx="8">
                  <c:v>19-May-26</c:v>
                </c:pt>
                <c:pt idx="9">
                  <c:v>22-May-26</c:v>
                </c:pt>
                <c:pt idx="10">
                  <c:v>26-May-26</c:v>
                </c:pt>
                <c:pt idx="11">
                  <c:v>29-May-26</c:v>
                </c:pt>
                <c:pt idx="12">
                  <c:v>02-Jun-26</c:v>
                </c:pt>
                <c:pt idx="13">
                  <c:v>05-Jun-26</c:v>
                </c:pt>
                <c:pt idx="14">
                  <c:v>09-Jun-26</c:v>
                </c:pt>
                <c:pt idx="15">
                  <c:v>12-Jun-26</c:v>
                </c:pt>
                <c:pt idx="16">
                  <c:v>16-Jun-26</c:v>
                </c:pt>
                <c:pt idx="17">
                  <c:v>19-Jun-26</c:v>
                </c:pt>
                <c:pt idx="18">
                  <c:v>23-Jun-26</c:v>
                </c:pt>
                <c:pt idx="19">
                  <c:v>26-Jun-26</c:v>
                </c:pt>
                <c:pt idx="20">
                  <c:v>30-Jun-26</c:v>
                </c:pt>
                <c:pt idx="21">
                  <c:v>03-Jul-26</c:v>
                </c:pt>
                <c:pt idx="22">
                  <c:v>07-Jul-26</c:v>
                </c:pt>
                <c:pt idx="23">
                  <c:v>10-Jul-26</c:v>
                </c:pt>
                <c:pt idx="24">
                  <c:v>14-Jul-26</c:v>
                </c:pt>
                <c:pt idx="25">
                  <c:v>17-Jul-26</c:v>
                </c:pt>
              </c:strCache>
            </c:strRef>
          </c:cat>
          <c:val>
            <c:numRef>
              <c:f>'Actual Draws'!$AC$4:$AC$29</c:f>
              <c:numCache>
                <c:formatCode>#,##0</c:formatCode>
                <c:ptCount val="26"/>
                <c:pt idx="0">
                  <c:v>83302.600000000006</c:v>
                </c:pt>
                <c:pt idx="1">
                  <c:v>92712.95</c:v>
                </c:pt>
                <c:pt idx="2">
                  <c:v>82061.239999999991</c:v>
                </c:pt>
                <c:pt idx="3">
                  <c:v>59702.400000000001</c:v>
                </c:pt>
                <c:pt idx="4">
                  <c:v>57672.31</c:v>
                </c:pt>
                <c:pt idx="5">
                  <c:v>1051913.0999999999</c:v>
                </c:pt>
                <c:pt idx="6">
                  <c:v>51437.210000000006</c:v>
                </c:pt>
                <c:pt idx="7">
                  <c:v>48916.319999999992</c:v>
                </c:pt>
                <c:pt idx="8">
                  <c:v>39357.78</c:v>
                </c:pt>
                <c:pt idx="9">
                  <c:v>34277.19</c:v>
                </c:pt>
                <c:pt idx="10">
                  <c:v>35870.86</c:v>
                </c:pt>
                <c:pt idx="11">
                  <c:v>36337.79</c:v>
                </c:pt>
                <c:pt idx="12">
                  <c:v>35094.020000000004</c:v>
                </c:pt>
                <c:pt idx="13">
                  <c:v>32910.36</c:v>
                </c:pt>
                <c:pt idx="14">
                  <c:v>30650.67</c:v>
                </c:pt>
                <c:pt idx="15">
                  <c:v>31537.68</c:v>
                </c:pt>
                <c:pt idx="16">
                  <c:v>27316.440000000002</c:v>
                </c:pt>
                <c:pt idx="17">
                  <c:v>25824.48</c:v>
                </c:pt>
                <c:pt idx="18">
                  <c:v>26762.86</c:v>
                </c:pt>
                <c:pt idx="19">
                  <c:v>26608.04</c:v>
                </c:pt>
                <c:pt idx="20">
                  <c:v>26005.14</c:v>
                </c:pt>
                <c:pt idx="21">
                  <c:v>25419.299999999996</c:v>
                </c:pt>
                <c:pt idx="22">
                  <c:v>24419.83</c:v>
                </c:pt>
                <c:pt idx="23">
                  <c:v>26077.040000000001</c:v>
                </c:pt>
                <c:pt idx="24">
                  <c:v>23126.36</c:v>
                </c:pt>
                <c:pt idx="25">
                  <c:v>24667.47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B-4527-B240-F1BC5EAD5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31794400"/>
        <c:axId val="1131778560"/>
      </c:barChart>
      <c:catAx>
        <c:axId val="11317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78560"/>
        <c:crosses val="autoZero"/>
        <c:auto val="1"/>
        <c:lblAlgn val="ctr"/>
        <c:lblOffset val="100"/>
        <c:noMultiLvlLbl val="0"/>
      </c:catAx>
      <c:valAx>
        <c:axId val="11317785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1317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cat>
            <c:strRef>
              <c:f>'Actual Draws'!$A$4:$A$37</c:f>
              <c:strCache>
                <c:ptCount val="34"/>
                <c:pt idx="0">
                  <c:v>21-Apr-26</c:v>
                </c:pt>
                <c:pt idx="1">
                  <c:v>24-Apr-26</c:v>
                </c:pt>
                <c:pt idx="2">
                  <c:v>28-Apr-26</c:v>
                </c:pt>
                <c:pt idx="3">
                  <c:v>01-May-26</c:v>
                </c:pt>
                <c:pt idx="4">
                  <c:v>05-May-26</c:v>
                </c:pt>
                <c:pt idx="5">
                  <c:v>08-May-26</c:v>
                </c:pt>
                <c:pt idx="6">
                  <c:v>12-May-26</c:v>
                </c:pt>
                <c:pt idx="7">
                  <c:v>15-May-26</c:v>
                </c:pt>
                <c:pt idx="8">
                  <c:v>19-May-26</c:v>
                </c:pt>
                <c:pt idx="9">
                  <c:v>22-May-26</c:v>
                </c:pt>
                <c:pt idx="10">
                  <c:v>26-May-26</c:v>
                </c:pt>
                <c:pt idx="11">
                  <c:v>29-May-26</c:v>
                </c:pt>
                <c:pt idx="12">
                  <c:v>02-Jun-26</c:v>
                </c:pt>
                <c:pt idx="13">
                  <c:v>05-Jun-26</c:v>
                </c:pt>
                <c:pt idx="14">
                  <c:v>09-Jun-26</c:v>
                </c:pt>
                <c:pt idx="15">
                  <c:v>12-Jun-26</c:v>
                </c:pt>
                <c:pt idx="16">
                  <c:v>16-Jun-26</c:v>
                </c:pt>
                <c:pt idx="17">
                  <c:v>19-Jun-26</c:v>
                </c:pt>
                <c:pt idx="18">
                  <c:v>23-Jun-26</c:v>
                </c:pt>
                <c:pt idx="19">
                  <c:v>26-Jun-26</c:v>
                </c:pt>
                <c:pt idx="20">
                  <c:v>30-Jun-26</c:v>
                </c:pt>
                <c:pt idx="21">
                  <c:v>03-Jul-26</c:v>
                </c:pt>
                <c:pt idx="22">
                  <c:v>07-Jul-26</c:v>
                </c:pt>
                <c:pt idx="23">
                  <c:v>10-Jul-26</c:v>
                </c:pt>
                <c:pt idx="24">
                  <c:v>14-Jul-26</c:v>
                </c:pt>
                <c:pt idx="25">
                  <c:v>17-Jul-26</c:v>
                </c:pt>
                <c:pt idx="26">
                  <c:v>21-Jul-26</c:v>
                </c:pt>
                <c:pt idx="27">
                  <c:v>24-Jul-26</c:v>
                </c:pt>
                <c:pt idx="28">
                  <c:v>28-Jul-26</c:v>
                </c:pt>
                <c:pt idx="29">
                  <c:v>31-Jul-26</c:v>
                </c:pt>
                <c:pt idx="30">
                  <c:v>04-Aug-26</c:v>
                </c:pt>
                <c:pt idx="31">
                  <c:v>07-Aug-26</c:v>
                </c:pt>
                <c:pt idx="32">
                  <c:v>11-Aug-26</c:v>
                </c:pt>
                <c:pt idx="33">
                  <c:v>14-Aug-26</c:v>
                </c:pt>
              </c:strCache>
            </c:strRef>
          </c:cat>
          <c:val>
            <c:numRef>
              <c:f>'Actual Draws'!$X$4:$X$37</c:f>
              <c:numCache>
                <c:formatCode>#,##0</c:formatCode>
                <c:ptCount val="34"/>
                <c:pt idx="0">
                  <c:v>374466.46525679762</c:v>
                </c:pt>
                <c:pt idx="1">
                  <c:v>416740.55891238671</c:v>
                </c:pt>
                <c:pt idx="2">
                  <c:v>328137.91540785501</c:v>
                </c:pt>
                <c:pt idx="3">
                  <c:v>268443.35347432026</c:v>
                </c:pt>
                <c:pt idx="4">
                  <c:v>259341.46525679759</c:v>
                </c:pt>
                <c:pt idx="5">
                  <c:v>233358.38368580063</c:v>
                </c:pt>
                <c:pt idx="6">
                  <c:v>205769.93957703927</c:v>
                </c:pt>
                <c:pt idx="7">
                  <c:v>219958.91238670694</c:v>
                </c:pt>
                <c:pt idx="8">
                  <c:v>176958.30815709973</c:v>
                </c:pt>
                <c:pt idx="9">
                  <c:v>154146.75226586105</c:v>
                </c:pt>
                <c:pt idx="10">
                  <c:v>161288.9728096677</c:v>
                </c:pt>
                <c:pt idx="11">
                  <c:v>163371.22356495471</c:v>
                </c:pt>
                <c:pt idx="12">
                  <c:v>157807.62839879154</c:v>
                </c:pt>
                <c:pt idx="13">
                  <c:v>147915.86102719035</c:v>
                </c:pt>
                <c:pt idx="14">
                  <c:v>137808.98791540787</c:v>
                </c:pt>
                <c:pt idx="15">
                  <c:v>141764.95468277947</c:v>
                </c:pt>
                <c:pt idx="16">
                  <c:v>122791.08761329307</c:v>
                </c:pt>
                <c:pt idx="17">
                  <c:v>116092.74924471301</c:v>
                </c:pt>
                <c:pt idx="18">
                  <c:v>120322.80966767372</c:v>
                </c:pt>
                <c:pt idx="19">
                  <c:v>119636.70694864049</c:v>
                </c:pt>
                <c:pt idx="20">
                  <c:v>116908.91238670696</c:v>
                </c:pt>
                <c:pt idx="21">
                  <c:v>114263.74622356496</c:v>
                </c:pt>
                <c:pt idx="22">
                  <c:v>109752.64350453173</c:v>
                </c:pt>
                <c:pt idx="23">
                  <c:v>117244.71299093656</c:v>
                </c:pt>
                <c:pt idx="24">
                  <c:v>103964.04833836859</c:v>
                </c:pt>
                <c:pt idx="25">
                  <c:v>110894.86404833839</c:v>
                </c:pt>
                <c:pt idx="26">
                  <c:v>106400.30211480364</c:v>
                </c:pt>
                <c:pt idx="27">
                  <c:v>107986.70694864048</c:v>
                </c:pt>
                <c:pt idx="28">
                  <c:v>104081.34441087615</c:v>
                </c:pt>
                <c:pt idx="29">
                  <c:v>104308.91238670696</c:v>
                </c:pt>
                <c:pt idx="30">
                  <c:v>99584.063444108775</c:v>
                </c:pt>
                <c:pt idx="31">
                  <c:v>99930.8157099698</c:v>
                </c:pt>
                <c:pt idx="32">
                  <c:v>92720.921450151072</c:v>
                </c:pt>
                <c:pt idx="33">
                  <c:v>104905.13595166164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D-49EC-867B-E25E0C9B8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62176"/>
        <c:axId val="48961216"/>
      </c:lineChart>
      <c:catAx>
        <c:axId val="4896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1216"/>
        <c:crosses val="autoZero"/>
        <c:auto val="1"/>
        <c:lblAlgn val="ctr"/>
        <c:lblOffset val="100"/>
        <c:noMultiLvlLbl val="0"/>
      </c:catAx>
      <c:valAx>
        <c:axId val="489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217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138168</xdr:colOff>
      <xdr:row>46</xdr:row>
      <xdr:rowOff>173241</xdr:rowOff>
    </xdr:from>
    <xdr:to>
      <xdr:col>13</xdr:col>
      <xdr:colOff>35523</xdr:colOff>
      <xdr:row>65</xdr:row>
      <xdr:rowOff>119677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503D2-68C8-0865-E1F1-35B0295B2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212912</xdr:colOff>
      <xdr:row>46</xdr:row>
      <xdr:rowOff>186688</xdr:rowOff>
    </xdr:from>
    <xdr:to>
      <xdr:col>26</xdr:col>
      <xdr:colOff>85950</xdr:colOff>
      <xdr:row>65</xdr:row>
      <xdr:rowOff>125504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EE65AC-E97F-4BD2-A95A-3464C3090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17</xdr:row>
      <xdr:rowOff>0</xdr:rowOff>
    </xdr:from>
    <xdr:to>
      <xdr:col>37</xdr:col>
      <xdr:colOff>208853</xdr:colOff>
      <xdr:row>32</xdr:row>
      <xdr:rowOff>22500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1418CB-D965-4286-826B-AC3D01AEA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Default - Old">
  <a:themeElements>
    <a:clrScheme name="EAP boie">
      <a:dk1>
        <a:sysClr val="windowText" lastClr="000000"/>
      </a:dk1>
      <a:lt1>
        <a:sysClr val="window" lastClr="FFFFFF"/>
      </a:lt1>
      <a:dk2>
        <a:srgbClr val="950427"/>
      </a:dk2>
      <a:lt2>
        <a:srgbClr val="6D6E70"/>
      </a:lt2>
      <a:accent1>
        <a:srgbClr val="27446E"/>
      </a:accent1>
      <a:accent2>
        <a:srgbClr val="B78754"/>
      </a:accent2>
      <a:accent3>
        <a:srgbClr val="583B1C"/>
      </a:accent3>
      <a:accent4>
        <a:srgbClr val="828246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3579-FC1C-48B7-96D2-C0A8160D1C85}">
  <dimension ref="B3:N15"/>
  <sheetViews>
    <sheetView workbookViewId="0">
      <selection activeCell="D36" sqref="D36"/>
    </sheetView>
  </sheetViews>
  <sheetFormatPr defaultRowHeight="15" x14ac:dyDescent="0.25"/>
  <cols>
    <col min="2" max="2" width="2.7109375" customWidth="1"/>
    <col min="6" max="6" width="2.7109375" customWidth="1"/>
    <col min="7" max="7" width="12.7109375" customWidth="1"/>
    <col min="9" max="9" width="16.42578125" customWidth="1"/>
    <col min="10" max="10" width="2.7109375" customWidth="1"/>
    <col min="11" max="11" width="11.140625" customWidth="1"/>
    <col min="12" max="12" width="12.7109375" customWidth="1"/>
    <col min="13" max="13" width="2.7109375" customWidth="1"/>
  </cols>
  <sheetData>
    <row r="3" spans="2:14" x14ac:dyDescent="0.25">
      <c r="G3" s="7" t="s">
        <v>3</v>
      </c>
      <c r="H3" s="7"/>
      <c r="I3" s="7"/>
    </row>
    <row r="4" spans="2:14" x14ac:dyDescent="0.25">
      <c r="B4" s="6"/>
      <c r="G4" s="6" t="s">
        <v>0</v>
      </c>
      <c r="H4" s="6" t="s">
        <v>1</v>
      </c>
      <c r="I4" s="6" t="s">
        <v>2</v>
      </c>
      <c r="J4" s="6"/>
      <c r="K4" s="6"/>
      <c r="L4" s="6" t="s">
        <v>10</v>
      </c>
      <c r="M4" s="6"/>
      <c r="N4" s="6" t="s">
        <v>4</v>
      </c>
    </row>
    <row r="5" spans="2:14" x14ac:dyDescent="0.25">
      <c r="E5" s="5">
        <v>4034712</v>
      </c>
      <c r="G5" s="8">
        <v>1000000</v>
      </c>
      <c r="H5" s="2">
        <f>I5/G5</f>
        <v>1</v>
      </c>
      <c r="I5" s="5">
        <v>1000000</v>
      </c>
      <c r="K5" s="30">
        <v>0.26100000000000001</v>
      </c>
      <c r="L5" s="2">
        <f>$E$7*K5</f>
        <v>1000406.8404</v>
      </c>
      <c r="N5" s="5">
        <v>4034712</v>
      </c>
    </row>
    <row r="6" spans="2:14" x14ac:dyDescent="0.25">
      <c r="E6" s="4">
        <v>0.95</v>
      </c>
      <c r="G6" s="8">
        <v>52895</v>
      </c>
      <c r="H6" s="2">
        <f t="shared" ref="H6:H8" si="0">I6/G6</f>
        <v>2</v>
      </c>
      <c r="I6" s="5">
        <v>105790</v>
      </c>
      <c r="K6" s="30">
        <v>2.76E-2</v>
      </c>
      <c r="L6" s="2">
        <f t="shared" ref="L6:L9" si="1">$E$7*K6</f>
        <v>105790.14864</v>
      </c>
      <c r="N6" s="5">
        <v>2017356</v>
      </c>
    </row>
    <row r="7" spans="2:14" x14ac:dyDescent="0.25">
      <c r="E7" s="2">
        <f>E6*E5</f>
        <v>3832976.4</v>
      </c>
      <c r="G7" s="4">
        <v>19.690000000000001</v>
      </c>
      <c r="H7" s="2">
        <f t="shared" si="0"/>
        <v>17010</v>
      </c>
      <c r="I7" s="5">
        <v>334926.90000000002</v>
      </c>
      <c r="K7" s="30">
        <v>0.09</v>
      </c>
      <c r="L7" s="2">
        <f t="shared" si="1"/>
        <v>344967.87599999999</v>
      </c>
      <c r="N7" s="3">
        <v>230.37</v>
      </c>
    </row>
    <row r="8" spans="2:14" x14ac:dyDescent="0.25">
      <c r="G8" s="4">
        <v>7.74</v>
      </c>
      <c r="H8" s="2">
        <f t="shared" si="0"/>
        <v>65520</v>
      </c>
      <c r="I8" s="5">
        <v>507124.8</v>
      </c>
      <c r="K8" s="30">
        <v>0.13239999999999999</v>
      </c>
      <c r="L8" s="2">
        <f t="shared" si="1"/>
        <v>507486.07535999996</v>
      </c>
      <c r="N8" s="3">
        <v>61.58</v>
      </c>
    </row>
    <row r="9" spans="2:14" x14ac:dyDescent="0.25">
      <c r="I9" s="2">
        <f>SUM(I5:I8)</f>
        <v>1947841.7</v>
      </c>
      <c r="K9" s="30">
        <v>3.9E-2</v>
      </c>
      <c r="L9" s="2">
        <f t="shared" si="1"/>
        <v>149486.0796</v>
      </c>
    </row>
    <row r="11" spans="2:14" x14ac:dyDescent="0.25">
      <c r="G11" s="9"/>
      <c r="H11" s="1"/>
    </row>
    <row r="12" spans="2:14" x14ac:dyDescent="0.25">
      <c r="G12" s="9"/>
      <c r="H12" s="1"/>
    </row>
    <row r="13" spans="2:14" x14ac:dyDescent="0.25">
      <c r="G13" s="9"/>
      <c r="H13" s="1"/>
    </row>
    <row r="14" spans="2:14" x14ac:dyDescent="0.25">
      <c r="G14" s="9"/>
      <c r="H14" s="1"/>
    </row>
    <row r="15" spans="2:14" x14ac:dyDescent="0.25">
      <c r="G15" s="9"/>
      <c r="H1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7A53-CAB3-47F0-9814-479A89C97688}">
  <dimension ref="A2:AG42"/>
  <sheetViews>
    <sheetView showGridLines="0" tabSelected="1" topLeftCell="I1" zoomScale="85" zoomScaleNormal="85" workbookViewId="0">
      <selection activeCell="X39" sqref="X39"/>
    </sheetView>
  </sheetViews>
  <sheetFormatPr defaultRowHeight="15" x14ac:dyDescent="0.25"/>
  <cols>
    <col min="2" max="2" width="9.28515625" customWidth="1"/>
    <col min="3" max="3" width="21.28515625" customWidth="1"/>
    <col min="4" max="27" width="10.28515625" customWidth="1"/>
    <col min="28" max="28" width="2.7109375" customWidth="1"/>
    <col min="29" max="30" width="10.28515625" customWidth="1"/>
    <col min="31" max="31" width="2.7109375" style="33" customWidth="1"/>
    <col min="32" max="32" width="17" customWidth="1"/>
    <col min="33" max="33" width="13.85546875" customWidth="1"/>
  </cols>
  <sheetData>
    <row r="2" spans="1:33" x14ac:dyDescent="0.25">
      <c r="C2" s="17" t="s">
        <v>5</v>
      </c>
      <c r="D2" s="14" t="s">
        <v>0</v>
      </c>
      <c r="E2" s="15"/>
      <c r="F2" s="15"/>
      <c r="G2" s="16"/>
      <c r="H2" s="14" t="s">
        <v>1</v>
      </c>
      <c r="I2" s="15"/>
      <c r="J2" s="15"/>
      <c r="K2" s="16"/>
      <c r="L2" s="14" t="s">
        <v>2</v>
      </c>
      <c r="M2" s="15"/>
      <c r="N2" s="15"/>
      <c r="O2" s="16"/>
      <c r="P2" s="14" t="s">
        <v>10</v>
      </c>
      <c r="Q2" s="15"/>
      <c r="R2" s="15"/>
      <c r="S2" s="16"/>
      <c r="T2" s="14" t="s">
        <v>11</v>
      </c>
      <c r="U2" s="15"/>
      <c r="V2" s="15"/>
      <c r="W2" s="16"/>
      <c r="X2" s="14" t="s">
        <v>21</v>
      </c>
      <c r="Y2" s="15"/>
      <c r="Z2" s="15"/>
      <c r="AA2" s="15"/>
      <c r="AB2" s="15"/>
      <c r="AC2" s="15"/>
      <c r="AD2" s="16"/>
    </row>
    <row r="3" spans="1:33" x14ac:dyDescent="0.25">
      <c r="C3" s="10"/>
      <c r="D3" s="11" t="s">
        <v>6</v>
      </c>
      <c r="E3" s="12" t="s">
        <v>7</v>
      </c>
      <c r="F3" s="12" t="s">
        <v>8</v>
      </c>
      <c r="G3" s="13" t="s">
        <v>9</v>
      </c>
      <c r="H3" s="11" t="s">
        <v>6</v>
      </c>
      <c r="I3" s="12" t="s">
        <v>7</v>
      </c>
      <c r="J3" s="12" t="s">
        <v>8</v>
      </c>
      <c r="K3" s="13" t="s">
        <v>9</v>
      </c>
      <c r="L3" s="11" t="s">
        <v>6</v>
      </c>
      <c r="M3" s="12" t="s">
        <v>7</v>
      </c>
      <c r="N3" s="12" t="s">
        <v>8</v>
      </c>
      <c r="O3" s="13" t="s">
        <v>9</v>
      </c>
      <c r="P3" s="11" t="s">
        <v>6</v>
      </c>
      <c r="Q3" s="12" t="s">
        <v>7</v>
      </c>
      <c r="R3" s="12" t="s">
        <v>8</v>
      </c>
      <c r="S3" s="13" t="s">
        <v>9</v>
      </c>
      <c r="T3" s="11" t="s">
        <v>6</v>
      </c>
      <c r="U3" s="12" t="s">
        <v>7</v>
      </c>
      <c r="V3" s="12" t="s">
        <v>8</v>
      </c>
      <c r="W3" s="13" t="s">
        <v>9</v>
      </c>
      <c r="X3" s="11" t="s">
        <v>12</v>
      </c>
      <c r="Y3" s="12" t="s">
        <v>19</v>
      </c>
      <c r="Z3" s="12" t="s">
        <v>20</v>
      </c>
      <c r="AA3" s="12" t="s">
        <v>22</v>
      </c>
      <c r="AB3" s="12"/>
      <c r="AC3" s="12" t="s">
        <v>13</v>
      </c>
      <c r="AD3" s="13" t="s">
        <v>14</v>
      </c>
    </row>
    <row r="4" spans="1:33" x14ac:dyDescent="0.25">
      <c r="A4" t="str">
        <f>TEXT(C4,"dd-mmm-yy")</f>
        <v>21-Apr-26</v>
      </c>
      <c r="C4" s="38">
        <v>46133</v>
      </c>
      <c r="D4" s="32">
        <v>1000000</v>
      </c>
      <c r="E4" s="4">
        <v>0</v>
      </c>
      <c r="F4" s="4">
        <v>20.74</v>
      </c>
      <c r="G4" s="18">
        <v>7.52</v>
      </c>
      <c r="H4" s="19">
        <v>0</v>
      </c>
      <c r="I4" s="5">
        <v>0</v>
      </c>
      <c r="J4" s="5">
        <v>1626</v>
      </c>
      <c r="K4" s="20">
        <v>6593</v>
      </c>
      <c r="L4" s="26">
        <f>D4*H4</f>
        <v>0</v>
      </c>
      <c r="M4" s="27">
        <f t="shared" ref="M4:O4" si="0">E4*I4</f>
        <v>0</v>
      </c>
      <c r="N4" s="27">
        <f t="shared" si="0"/>
        <v>33723.24</v>
      </c>
      <c r="O4" s="28">
        <f t="shared" si="0"/>
        <v>49579.360000000001</v>
      </c>
      <c r="P4" s="39">
        <v>0.26100000000000001</v>
      </c>
      <c r="Q4" s="40">
        <v>2.76E-2</v>
      </c>
      <c r="R4" s="40">
        <v>0.09</v>
      </c>
      <c r="S4" s="41">
        <v>0.13239999999999999</v>
      </c>
      <c r="T4" s="21">
        <f t="shared" ref="T4:V4" si="1">L4/P4</f>
        <v>0</v>
      </c>
      <c r="U4" s="22">
        <f t="shared" si="1"/>
        <v>0</v>
      </c>
      <c r="V4" s="22">
        <f t="shared" si="1"/>
        <v>374702.66666666669</v>
      </c>
      <c r="W4" s="23">
        <f>O4/S4</f>
        <v>374466.46525679762</v>
      </c>
      <c r="X4" s="21">
        <f>W4</f>
        <v>374466.46525679762</v>
      </c>
      <c r="Y4" s="42">
        <v>0.95</v>
      </c>
      <c r="Z4" s="22">
        <f>X4*Y4</f>
        <v>355743.14199395775</v>
      </c>
      <c r="AA4" s="25">
        <f t="shared" ref="AA4:AA21" si="2">Z4/$AG$15</f>
        <v>8.8170640678679857E-2</v>
      </c>
      <c r="AB4" s="22"/>
      <c r="AC4" s="22">
        <f>SUM(L4:O4)</f>
        <v>83302.600000000006</v>
      </c>
      <c r="AD4" s="24">
        <f>AC4/X4</f>
        <v>0.22245676910714457</v>
      </c>
      <c r="AF4" t="s">
        <v>24</v>
      </c>
      <c r="AG4">
        <f>COUNT(C:C)</f>
        <v>34</v>
      </c>
    </row>
    <row r="5" spans="1:33" x14ac:dyDescent="0.25">
      <c r="A5" t="str">
        <f t="shared" ref="A5:A23" si="3">TEXT(C5,"dd-mmm-yy")</f>
        <v>24-Apr-26</v>
      </c>
      <c r="B5" s="37">
        <f>+C5-C4</f>
        <v>3</v>
      </c>
      <c r="C5" s="38">
        <v>46136</v>
      </c>
      <c r="D5" s="32">
        <v>1000000</v>
      </c>
      <c r="E5" s="4">
        <v>0</v>
      </c>
      <c r="F5" s="4">
        <v>18.5</v>
      </c>
      <c r="G5" s="18">
        <v>7.35</v>
      </c>
      <c r="H5" s="19">
        <v>0</v>
      </c>
      <c r="I5" s="5">
        <v>0</v>
      </c>
      <c r="J5" s="5">
        <v>2029</v>
      </c>
      <c r="K5" s="20">
        <v>7507</v>
      </c>
      <c r="L5" s="26">
        <f t="shared" ref="L5:L12" si="4">D5*H5</f>
        <v>0</v>
      </c>
      <c r="M5" s="27">
        <f t="shared" ref="M5:M12" si="5">E5*I5</f>
        <v>0</v>
      </c>
      <c r="N5" s="27">
        <f t="shared" ref="N5:N12" si="6">F5*J5</f>
        <v>37536.5</v>
      </c>
      <c r="O5" s="28">
        <f t="shared" ref="O5:O6" si="7">G5*K5</f>
        <v>55176.45</v>
      </c>
      <c r="P5" s="39">
        <v>0.26100000000000001</v>
      </c>
      <c r="Q5" s="40">
        <v>2.76E-2</v>
      </c>
      <c r="R5" s="40">
        <v>0.09</v>
      </c>
      <c r="S5" s="41">
        <v>0.13239999999999999</v>
      </c>
      <c r="T5" s="21">
        <f t="shared" ref="T5:T7" si="8">L5/P5</f>
        <v>0</v>
      </c>
      <c r="U5" s="22">
        <f t="shared" ref="U5:U7" si="9">M5/Q5</f>
        <v>0</v>
      </c>
      <c r="V5" s="22">
        <f t="shared" ref="V5:V7" si="10">N5/R5</f>
        <v>417072.22222222225</v>
      </c>
      <c r="W5" s="23">
        <f t="shared" ref="W5:W6" si="11">O5/S5</f>
        <v>416740.55891238671</v>
      </c>
      <c r="X5" s="21">
        <f t="shared" ref="X5:X21" si="12">W5</f>
        <v>416740.55891238671</v>
      </c>
      <c r="Y5" s="42">
        <v>0.95</v>
      </c>
      <c r="Z5" s="22">
        <f t="shared" ref="Z5:Z10" si="13">X5*Y5</f>
        <v>395903.53096676734</v>
      </c>
      <c r="AA5" s="25">
        <f t="shared" si="2"/>
        <v>9.812435954952109E-2</v>
      </c>
      <c r="AB5" s="22"/>
      <c r="AC5" s="22">
        <f t="shared" ref="AC5:AC21" si="14">SUM(L5:O5)</f>
        <v>92712.95</v>
      </c>
      <c r="AD5" s="24">
        <f t="shared" ref="AD5:AD21" si="15">AC5/X5</f>
        <v>0.22247162657256855</v>
      </c>
      <c r="AF5" t="s">
        <v>12</v>
      </c>
      <c r="AG5" s="36">
        <f>SUM(X:X)</f>
        <v>5519070.1661631437</v>
      </c>
    </row>
    <row r="6" spans="1:33" x14ac:dyDescent="0.25">
      <c r="A6" t="str">
        <f t="shared" si="3"/>
        <v>28-Apr-26</v>
      </c>
      <c r="B6" s="37">
        <f t="shared" ref="B6:B32" si="16">+C6-C5</f>
        <v>4</v>
      </c>
      <c r="C6" s="38">
        <v>46140</v>
      </c>
      <c r="D6" s="32">
        <v>1000000</v>
      </c>
      <c r="E6" s="4">
        <v>9065.3799999999992</v>
      </c>
      <c r="F6" s="4">
        <v>18.399999999999999</v>
      </c>
      <c r="G6" s="18">
        <v>7.34</v>
      </c>
      <c r="H6" s="19">
        <v>0</v>
      </c>
      <c r="I6" s="5">
        <v>1</v>
      </c>
      <c r="J6" s="5">
        <v>1606</v>
      </c>
      <c r="K6" s="20">
        <v>5919</v>
      </c>
      <c r="L6" s="26">
        <f t="shared" si="4"/>
        <v>0</v>
      </c>
      <c r="M6" s="27">
        <f t="shared" si="5"/>
        <v>9065.3799999999992</v>
      </c>
      <c r="N6" s="27">
        <f t="shared" si="6"/>
        <v>29550.399999999998</v>
      </c>
      <c r="O6" s="28">
        <f t="shared" si="7"/>
        <v>43445.46</v>
      </c>
      <c r="P6" s="39">
        <v>0.26100000000000001</v>
      </c>
      <c r="Q6" s="40">
        <v>2.76E-2</v>
      </c>
      <c r="R6" s="40">
        <v>0.09</v>
      </c>
      <c r="S6" s="41">
        <v>0.13239999999999999</v>
      </c>
      <c r="T6" s="21">
        <f t="shared" si="8"/>
        <v>0</v>
      </c>
      <c r="U6" s="22">
        <f t="shared" si="9"/>
        <v>328455.79710144928</v>
      </c>
      <c r="V6" s="22">
        <f t="shared" si="10"/>
        <v>328337.77777777775</v>
      </c>
      <c r="W6" s="23">
        <f t="shared" si="11"/>
        <v>328137.91540785501</v>
      </c>
      <c r="X6" s="21">
        <f t="shared" si="12"/>
        <v>328137.91540785501</v>
      </c>
      <c r="Y6" s="42">
        <v>0.95</v>
      </c>
      <c r="Z6" s="22">
        <f t="shared" si="13"/>
        <v>311731.01963746222</v>
      </c>
      <c r="AA6" s="25">
        <f t="shared" si="2"/>
        <v>7.7262272905095145E-2</v>
      </c>
      <c r="AB6" s="22"/>
      <c r="AC6" s="22">
        <f t="shared" si="14"/>
        <v>82061.239999999991</v>
      </c>
      <c r="AD6" s="24">
        <f t="shared" si="15"/>
        <v>0.25008155457440195</v>
      </c>
      <c r="AF6" t="s">
        <v>13</v>
      </c>
      <c r="AG6" s="36">
        <f>SUM(AC:AC)</f>
        <v>2242367.0700000003</v>
      </c>
    </row>
    <row r="7" spans="1:33" x14ac:dyDescent="0.25">
      <c r="A7" t="str">
        <f t="shared" si="3"/>
        <v>01-May-26</v>
      </c>
      <c r="B7" s="37">
        <f t="shared" si="16"/>
        <v>3</v>
      </c>
      <c r="C7" s="38">
        <v>46143</v>
      </c>
      <c r="D7" s="32">
        <v>1000000</v>
      </c>
      <c r="E7" s="4">
        <v>0</v>
      </c>
      <c r="F7" s="4">
        <v>19.5</v>
      </c>
      <c r="G7" s="18">
        <v>7.82</v>
      </c>
      <c r="H7" s="19">
        <v>0</v>
      </c>
      <c r="I7" s="5">
        <v>1</v>
      </c>
      <c r="J7" s="5">
        <v>1239</v>
      </c>
      <c r="K7" s="20">
        <v>4545</v>
      </c>
      <c r="L7" s="26">
        <f t="shared" si="4"/>
        <v>0</v>
      </c>
      <c r="M7" s="27">
        <f t="shared" si="5"/>
        <v>0</v>
      </c>
      <c r="N7" s="27">
        <f t="shared" si="6"/>
        <v>24160.5</v>
      </c>
      <c r="O7" s="28">
        <f t="shared" ref="O7:O12" si="17">G7*K7</f>
        <v>35541.9</v>
      </c>
      <c r="P7" s="39">
        <v>0.26100000000000001</v>
      </c>
      <c r="Q7" s="40">
        <v>2.76E-2</v>
      </c>
      <c r="R7" s="40">
        <v>0.09</v>
      </c>
      <c r="S7" s="41">
        <v>0.13239999999999999</v>
      </c>
      <c r="T7" s="21">
        <f t="shared" si="8"/>
        <v>0</v>
      </c>
      <c r="U7" s="22">
        <f t="shared" si="9"/>
        <v>0</v>
      </c>
      <c r="V7" s="22">
        <f t="shared" si="10"/>
        <v>268450</v>
      </c>
      <c r="W7" s="23">
        <f>O7/S7</f>
        <v>268443.35347432026</v>
      </c>
      <c r="X7" s="21">
        <f t="shared" si="12"/>
        <v>268443.35347432026</v>
      </c>
      <c r="Y7" s="42">
        <v>0.95</v>
      </c>
      <c r="Z7" s="22">
        <f t="shared" si="13"/>
        <v>255021.18580060423</v>
      </c>
      <c r="AA7" s="25">
        <f t="shared" si="2"/>
        <v>6.3206787944369819E-2</v>
      </c>
      <c r="AB7" s="22"/>
      <c r="AC7" s="22">
        <f t="shared" si="14"/>
        <v>59702.400000000001</v>
      </c>
      <c r="AD7" s="24">
        <f t="shared" si="15"/>
        <v>0.2224022283558279</v>
      </c>
      <c r="AF7" t="s">
        <v>14</v>
      </c>
      <c r="AG7" s="34">
        <f>AG6/AG5</f>
        <v>0.40629435801482</v>
      </c>
    </row>
    <row r="8" spans="1:33" x14ac:dyDescent="0.25">
      <c r="A8" t="str">
        <f t="shared" si="3"/>
        <v>05-May-26</v>
      </c>
      <c r="B8" s="37">
        <f t="shared" si="16"/>
        <v>4</v>
      </c>
      <c r="C8" s="38">
        <v>46147</v>
      </c>
      <c r="D8" s="32">
        <v>1000000</v>
      </c>
      <c r="E8" s="4">
        <v>0</v>
      </c>
      <c r="F8" s="4">
        <v>19.86</v>
      </c>
      <c r="G8" s="18">
        <v>7.87</v>
      </c>
      <c r="H8" s="19">
        <v>0</v>
      </c>
      <c r="I8" s="5">
        <v>0</v>
      </c>
      <c r="J8" s="5">
        <v>1175</v>
      </c>
      <c r="K8" s="20">
        <v>4363</v>
      </c>
      <c r="L8" s="26">
        <f t="shared" si="4"/>
        <v>0</v>
      </c>
      <c r="M8" s="27">
        <f t="shared" si="5"/>
        <v>0</v>
      </c>
      <c r="N8" s="27">
        <f t="shared" si="6"/>
        <v>23335.5</v>
      </c>
      <c r="O8" s="28">
        <f t="shared" si="17"/>
        <v>34336.81</v>
      </c>
      <c r="P8" s="39">
        <v>0.26100000000000001</v>
      </c>
      <c r="Q8" s="40">
        <v>2.76E-2</v>
      </c>
      <c r="R8" s="40">
        <v>0.09</v>
      </c>
      <c r="S8" s="41">
        <v>0.13239999999999999</v>
      </c>
      <c r="T8" s="21">
        <f t="shared" ref="T8:T10" si="18">L8/P8</f>
        <v>0</v>
      </c>
      <c r="U8" s="22">
        <f t="shared" ref="U8:U10" si="19">M8/Q8</f>
        <v>0</v>
      </c>
      <c r="V8" s="22">
        <f t="shared" ref="V8:V10" si="20">N8/R8</f>
        <v>259283.33333333334</v>
      </c>
      <c r="W8" s="23">
        <f t="shared" ref="W8:W10" si="21">O8/S8</f>
        <v>259341.46525679759</v>
      </c>
      <c r="X8" s="21">
        <f t="shared" si="12"/>
        <v>259341.46525679759</v>
      </c>
      <c r="Y8" s="42">
        <v>0.95</v>
      </c>
      <c r="Z8" s="22">
        <f t="shared" si="13"/>
        <v>246374.39199395769</v>
      </c>
      <c r="AA8" s="25">
        <f t="shared" si="2"/>
        <v>6.1063687319927097E-2</v>
      </c>
      <c r="AB8" s="22"/>
      <c r="AC8" s="22">
        <f t="shared" si="14"/>
        <v>57672.31</v>
      </c>
      <c r="AD8" s="24">
        <f t="shared" si="15"/>
        <v>0.22237982631467512</v>
      </c>
    </row>
    <row r="9" spans="1:33" x14ac:dyDescent="0.25">
      <c r="A9" t="str">
        <f t="shared" si="3"/>
        <v>08-May-26</v>
      </c>
      <c r="B9" s="37">
        <f t="shared" si="16"/>
        <v>3</v>
      </c>
      <c r="C9" s="38">
        <v>46150</v>
      </c>
      <c r="D9" s="32">
        <v>1000000</v>
      </c>
      <c r="E9" s="4">
        <v>0</v>
      </c>
      <c r="F9" s="4">
        <v>19.37</v>
      </c>
      <c r="G9" s="18">
        <v>8.15</v>
      </c>
      <c r="H9" s="19">
        <v>1</v>
      </c>
      <c r="I9" s="5">
        <v>0</v>
      </c>
      <c r="J9" s="5">
        <v>1085</v>
      </c>
      <c r="K9" s="20">
        <v>3791</v>
      </c>
      <c r="L9" s="26">
        <f t="shared" si="4"/>
        <v>1000000</v>
      </c>
      <c r="M9" s="27">
        <f t="shared" si="5"/>
        <v>0</v>
      </c>
      <c r="N9" s="27">
        <f t="shared" si="6"/>
        <v>21016.45</v>
      </c>
      <c r="O9" s="28">
        <f t="shared" si="17"/>
        <v>30896.65</v>
      </c>
      <c r="P9" s="39">
        <v>0.26100000000000001</v>
      </c>
      <c r="Q9" s="40">
        <v>2.76E-2</v>
      </c>
      <c r="R9" s="40">
        <v>0.09</v>
      </c>
      <c r="S9" s="41">
        <v>0.13239999999999999</v>
      </c>
      <c r="T9" s="21">
        <f t="shared" si="18"/>
        <v>3831417.6245210725</v>
      </c>
      <c r="U9" s="22">
        <f t="shared" si="19"/>
        <v>0</v>
      </c>
      <c r="V9" s="22">
        <f t="shared" si="20"/>
        <v>233516.11111111112</v>
      </c>
      <c r="W9" s="23">
        <f t="shared" si="21"/>
        <v>233358.38368580063</v>
      </c>
      <c r="X9" s="21">
        <f t="shared" si="12"/>
        <v>233358.38368580063</v>
      </c>
      <c r="Y9" s="42">
        <v>0.95</v>
      </c>
      <c r="Z9" s="22">
        <f t="shared" si="13"/>
        <v>221690.46450151058</v>
      </c>
      <c r="AA9" s="25">
        <f t="shared" si="2"/>
        <v>5.494579650332182E-2</v>
      </c>
      <c r="AB9" s="22"/>
      <c r="AC9" s="22">
        <f t="shared" si="14"/>
        <v>1051913.0999999999</v>
      </c>
      <c r="AD9" s="24">
        <f t="shared" si="15"/>
        <v>4.5077150577813443</v>
      </c>
      <c r="AF9" t="s">
        <v>15</v>
      </c>
      <c r="AG9" s="35">
        <f>MIN($C:$C)</f>
        <v>46133</v>
      </c>
    </row>
    <row r="10" spans="1:33" x14ac:dyDescent="0.25">
      <c r="A10" t="str">
        <f t="shared" ref="A10:A14" si="22">TEXT(C10,"dd-mmm-yy")</f>
        <v>12-May-26</v>
      </c>
      <c r="B10" s="37">
        <f t="shared" si="16"/>
        <v>4</v>
      </c>
      <c r="C10" s="38">
        <v>46154</v>
      </c>
      <c r="D10" s="32">
        <v>1000000</v>
      </c>
      <c r="E10" s="4">
        <v>5679.67</v>
      </c>
      <c r="F10" s="4">
        <v>20.3</v>
      </c>
      <c r="G10" s="18">
        <v>8.02</v>
      </c>
      <c r="H10" s="19">
        <v>0</v>
      </c>
      <c r="I10" s="5">
        <v>1</v>
      </c>
      <c r="J10" s="5">
        <v>912</v>
      </c>
      <c r="K10" s="20">
        <v>3397</v>
      </c>
      <c r="L10" s="26">
        <f t="shared" si="4"/>
        <v>0</v>
      </c>
      <c r="M10" s="27">
        <f t="shared" si="5"/>
        <v>5679.67</v>
      </c>
      <c r="N10" s="27">
        <f t="shared" si="6"/>
        <v>18513.600000000002</v>
      </c>
      <c r="O10" s="28">
        <f t="shared" si="17"/>
        <v>27243.94</v>
      </c>
      <c r="P10" s="39">
        <v>0.26100000000000001</v>
      </c>
      <c r="Q10" s="40">
        <v>2.76E-2</v>
      </c>
      <c r="R10" s="40">
        <v>0.09</v>
      </c>
      <c r="S10" s="41">
        <v>0.13239999999999999</v>
      </c>
      <c r="T10" s="21">
        <f t="shared" si="18"/>
        <v>0</v>
      </c>
      <c r="U10" s="22">
        <f t="shared" si="19"/>
        <v>205785.14492753622</v>
      </c>
      <c r="V10" s="22">
        <f t="shared" si="20"/>
        <v>205706.66666666669</v>
      </c>
      <c r="W10" s="23">
        <f t="shared" si="21"/>
        <v>205769.93957703927</v>
      </c>
      <c r="X10" s="21">
        <f t="shared" si="12"/>
        <v>205769.93957703927</v>
      </c>
      <c r="Y10" s="42">
        <v>0.95</v>
      </c>
      <c r="Z10" s="22">
        <f t="shared" si="13"/>
        <v>195481.44259818731</v>
      </c>
      <c r="AA10" s="25">
        <f t="shared" si="2"/>
        <v>4.8449912310516166E-2</v>
      </c>
      <c r="AB10" s="22"/>
      <c r="AC10" s="22">
        <f t="shared" si="14"/>
        <v>51437.210000000006</v>
      </c>
      <c r="AD10" s="24">
        <f t="shared" si="15"/>
        <v>0.24997436508816276</v>
      </c>
      <c r="AF10" t="s">
        <v>16</v>
      </c>
      <c r="AG10" s="35">
        <f>MAX($C:$C)</f>
        <v>46248</v>
      </c>
    </row>
    <row r="11" spans="1:33" x14ac:dyDescent="0.25">
      <c r="A11" t="str">
        <f t="shared" si="22"/>
        <v>15-May-26</v>
      </c>
      <c r="B11" s="37">
        <f t="shared" si="16"/>
        <v>3</v>
      </c>
      <c r="C11" s="38">
        <v>46157</v>
      </c>
      <c r="D11" s="32">
        <v>1000000</v>
      </c>
      <c r="E11" s="4">
        <v>6073.2</v>
      </c>
      <c r="F11" s="4">
        <v>18.059999999999999</v>
      </c>
      <c r="G11" s="18">
        <v>7.68</v>
      </c>
      <c r="H11" s="19">
        <v>0</v>
      </c>
      <c r="I11" s="5">
        <v>0</v>
      </c>
      <c r="J11" s="5">
        <v>1096</v>
      </c>
      <c r="K11" s="20">
        <v>3792</v>
      </c>
      <c r="L11" s="26">
        <f t="shared" ref="L11" si="23">D11*H11</f>
        <v>0</v>
      </c>
      <c r="M11" s="27">
        <f t="shared" ref="M11" si="24">E11*I11</f>
        <v>0</v>
      </c>
      <c r="N11" s="27">
        <f t="shared" ref="N11" si="25">F11*J11</f>
        <v>19793.759999999998</v>
      </c>
      <c r="O11" s="28">
        <f t="shared" si="17"/>
        <v>29122.559999999998</v>
      </c>
      <c r="P11" s="39">
        <v>0.26100000000000001</v>
      </c>
      <c r="Q11" s="40">
        <v>2.76E-2</v>
      </c>
      <c r="R11" s="40">
        <v>0.09</v>
      </c>
      <c r="S11" s="41">
        <v>0.13239999999999999</v>
      </c>
      <c r="T11" s="21">
        <f t="shared" ref="T11" si="26">L11/P11</f>
        <v>0</v>
      </c>
      <c r="U11" s="22">
        <f t="shared" ref="U11" si="27">M11/Q11</f>
        <v>0</v>
      </c>
      <c r="V11" s="22">
        <f t="shared" ref="V11" si="28">N11/R11</f>
        <v>219930.66666666666</v>
      </c>
      <c r="W11" s="23">
        <f t="shared" ref="W11" si="29">O11/S11</f>
        <v>219958.91238670694</v>
      </c>
      <c r="X11" s="21">
        <f t="shared" ref="X11" si="30">W11</f>
        <v>219958.91238670694</v>
      </c>
      <c r="Y11" s="42">
        <v>0.95</v>
      </c>
      <c r="Z11" s="22">
        <f t="shared" ref="Z11" si="31">X11*Y11</f>
        <v>208960.96676737157</v>
      </c>
      <c r="AA11" s="25">
        <f t="shared" si="2"/>
        <v>5.1790801119725914E-2</v>
      </c>
      <c r="AB11" s="22"/>
      <c r="AC11" s="22">
        <f t="shared" ref="AC11" si="32">SUM(L11:O11)</f>
        <v>48916.319999999992</v>
      </c>
      <c r="AD11" s="24">
        <f t="shared" ref="AD11" si="33">AC11/X11</f>
        <v>0.22238844277426156</v>
      </c>
      <c r="AG11" s="35"/>
    </row>
    <row r="12" spans="1:33" x14ac:dyDescent="0.25">
      <c r="A12" t="str">
        <f t="shared" si="22"/>
        <v>19-May-26</v>
      </c>
      <c r="B12" s="37">
        <f t="shared" si="16"/>
        <v>4</v>
      </c>
      <c r="C12" s="38">
        <f>+C10+7</f>
        <v>46161</v>
      </c>
      <c r="D12" s="32">
        <v>1000000</v>
      </c>
      <c r="E12" s="4">
        <v>4886.33</v>
      </c>
      <c r="F12" s="4">
        <v>20.5</v>
      </c>
      <c r="G12" s="18">
        <v>7.98</v>
      </c>
      <c r="H12" s="19">
        <v>0</v>
      </c>
      <c r="I12" s="5">
        <v>0</v>
      </c>
      <c r="J12" s="5">
        <v>777</v>
      </c>
      <c r="K12" s="20">
        <v>2936</v>
      </c>
      <c r="L12" s="26">
        <f t="shared" si="4"/>
        <v>0</v>
      </c>
      <c r="M12" s="27">
        <f t="shared" si="5"/>
        <v>0</v>
      </c>
      <c r="N12" s="27">
        <f t="shared" si="6"/>
        <v>15928.5</v>
      </c>
      <c r="O12" s="28">
        <f t="shared" si="17"/>
        <v>23429.280000000002</v>
      </c>
      <c r="P12" s="39">
        <v>0.26100000000000001</v>
      </c>
      <c r="Q12" s="40">
        <v>2.76E-2</v>
      </c>
      <c r="R12" s="40">
        <v>0.09</v>
      </c>
      <c r="S12" s="41">
        <v>0.13239999999999999</v>
      </c>
      <c r="T12" s="21">
        <f t="shared" ref="T12:T21" si="34">L12/P12</f>
        <v>0</v>
      </c>
      <c r="U12" s="22">
        <f t="shared" ref="U12:U21" si="35">M12/Q12</f>
        <v>0</v>
      </c>
      <c r="V12" s="22">
        <f t="shared" ref="V12:V21" si="36">N12/R12</f>
        <v>176983.33333333334</v>
      </c>
      <c r="W12" s="23">
        <f t="shared" ref="W12:W21" si="37">O12/S12</f>
        <v>176958.30815709973</v>
      </c>
      <c r="X12" s="21">
        <f t="shared" si="12"/>
        <v>176958.30815709973</v>
      </c>
      <c r="Y12" s="42">
        <v>0.95</v>
      </c>
      <c r="Z12" s="22">
        <f t="shared" ref="Z12:Z21" si="38">X12*Y12</f>
        <v>168110.39274924473</v>
      </c>
      <c r="AA12" s="25">
        <f t="shared" si="2"/>
        <v>4.1666020461744169E-2</v>
      </c>
      <c r="AB12" s="22"/>
      <c r="AC12" s="22">
        <f t="shared" si="14"/>
        <v>39357.78</v>
      </c>
      <c r="AD12" s="24">
        <f t="shared" si="15"/>
        <v>0.2224127276638462</v>
      </c>
      <c r="AF12" t="s">
        <v>17</v>
      </c>
      <c r="AG12">
        <f>AG10-AG9</f>
        <v>115</v>
      </c>
    </row>
    <row r="13" spans="1:33" x14ac:dyDescent="0.25">
      <c r="A13" t="str">
        <f t="shared" si="22"/>
        <v>22-May-26</v>
      </c>
      <c r="B13" s="37">
        <f t="shared" si="16"/>
        <v>3</v>
      </c>
      <c r="C13" s="38">
        <v>46164</v>
      </c>
      <c r="D13" s="32">
        <v>1000000</v>
      </c>
      <c r="E13" s="4">
        <v>4254.79</v>
      </c>
      <c r="F13" s="4">
        <v>18.64</v>
      </c>
      <c r="G13" s="18">
        <v>8.07</v>
      </c>
      <c r="H13" s="19">
        <v>0</v>
      </c>
      <c r="I13" s="5">
        <v>0</v>
      </c>
      <c r="J13" s="5">
        <v>744</v>
      </c>
      <c r="K13" s="20">
        <v>2529</v>
      </c>
      <c r="L13" s="26">
        <f t="shared" ref="L13:L21" si="39">D13*H13</f>
        <v>0</v>
      </c>
      <c r="M13" s="27">
        <f t="shared" ref="M13:M21" si="40">E13*I13</f>
        <v>0</v>
      </c>
      <c r="N13" s="27">
        <f t="shared" ref="N13:N21" si="41">F13*J13</f>
        <v>13868.16</v>
      </c>
      <c r="O13" s="28">
        <f t="shared" ref="O13:O21" si="42">G13*K13</f>
        <v>20409.030000000002</v>
      </c>
      <c r="P13" s="39">
        <v>0.26100000000000001</v>
      </c>
      <c r="Q13" s="40">
        <v>2.76E-2</v>
      </c>
      <c r="R13" s="40">
        <v>0.09</v>
      </c>
      <c r="S13" s="41">
        <v>0.13239999999999999</v>
      </c>
      <c r="T13" s="21">
        <f t="shared" si="34"/>
        <v>0</v>
      </c>
      <c r="U13" s="22">
        <f t="shared" si="35"/>
        <v>0</v>
      </c>
      <c r="V13" s="22">
        <f t="shared" si="36"/>
        <v>154090.66666666666</v>
      </c>
      <c r="W13" s="23">
        <f t="shared" si="37"/>
        <v>154146.75226586105</v>
      </c>
      <c r="X13" s="21">
        <f t="shared" si="12"/>
        <v>154146.75226586105</v>
      </c>
      <c r="Y13" s="42">
        <v>0.95</v>
      </c>
      <c r="Z13" s="22">
        <f t="shared" si="38"/>
        <v>146439.414652568</v>
      </c>
      <c r="AA13" s="25">
        <f t="shared" si="2"/>
        <v>3.6294886636906921E-2</v>
      </c>
      <c r="AB13" s="22"/>
      <c r="AC13" s="22">
        <f t="shared" si="14"/>
        <v>34277.19</v>
      </c>
      <c r="AD13" s="24">
        <f t="shared" si="15"/>
        <v>0.22236725390672657</v>
      </c>
      <c r="AF13" t="s">
        <v>18</v>
      </c>
      <c r="AG13" s="36">
        <f>AG5/AG12*365</f>
        <v>17517048.788256936</v>
      </c>
    </row>
    <row r="14" spans="1:33" x14ac:dyDescent="0.25">
      <c r="A14" t="str">
        <f t="shared" si="22"/>
        <v>26-May-26</v>
      </c>
      <c r="B14" s="37">
        <f t="shared" si="16"/>
        <v>4</v>
      </c>
      <c r="C14" s="38">
        <v>46168</v>
      </c>
      <c r="D14" s="32">
        <v>1000000</v>
      </c>
      <c r="E14" s="4">
        <v>4452.1499999999996</v>
      </c>
      <c r="F14" s="4">
        <v>20.05</v>
      </c>
      <c r="G14" s="18">
        <v>7.74</v>
      </c>
      <c r="H14" s="19">
        <v>0</v>
      </c>
      <c r="I14" s="5">
        <v>0</v>
      </c>
      <c r="J14" s="5">
        <v>724</v>
      </c>
      <c r="K14" s="20">
        <v>2759</v>
      </c>
      <c r="L14" s="26">
        <f t="shared" si="39"/>
        <v>0</v>
      </c>
      <c r="M14" s="27">
        <f t="shared" si="40"/>
        <v>0</v>
      </c>
      <c r="N14" s="27">
        <f t="shared" si="41"/>
        <v>14516.2</v>
      </c>
      <c r="O14" s="28">
        <f t="shared" si="42"/>
        <v>21354.66</v>
      </c>
      <c r="P14" s="39">
        <v>0.26100000000000001</v>
      </c>
      <c r="Q14" s="40">
        <v>2.76E-2</v>
      </c>
      <c r="R14" s="40">
        <v>0.09</v>
      </c>
      <c r="S14" s="41">
        <v>0.13239999999999999</v>
      </c>
      <c r="T14" s="21">
        <f t="shared" si="34"/>
        <v>0</v>
      </c>
      <c r="U14" s="22">
        <f t="shared" si="35"/>
        <v>0</v>
      </c>
      <c r="V14" s="22">
        <f t="shared" si="36"/>
        <v>161291.11111111112</v>
      </c>
      <c r="W14" s="23">
        <f t="shared" si="37"/>
        <v>161288.9728096677</v>
      </c>
      <c r="X14" s="21">
        <f t="shared" si="12"/>
        <v>161288.9728096677</v>
      </c>
      <c r="Y14" s="42">
        <v>0.95</v>
      </c>
      <c r="Z14" s="22">
        <f t="shared" si="38"/>
        <v>153224.5241691843</v>
      </c>
      <c r="AA14" s="25">
        <f t="shared" si="2"/>
        <v>3.7976570364671454E-2</v>
      </c>
      <c r="AB14" s="22"/>
      <c r="AC14" s="22">
        <f t="shared" si="14"/>
        <v>35870.86</v>
      </c>
      <c r="AD14" s="24">
        <f t="shared" si="15"/>
        <v>0.22240119318219065</v>
      </c>
    </row>
    <row r="15" spans="1:33" x14ac:dyDescent="0.25">
      <c r="A15" t="str">
        <f t="shared" si="3"/>
        <v>29-May-26</v>
      </c>
      <c r="B15" s="37">
        <f t="shared" si="16"/>
        <v>3</v>
      </c>
      <c r="C15" s="38">
        <v>46171</v>
      </c>
      <c r="D15" s="32">
        <v>1000000</v>
      </c>
      <c r="E15" s="4">
        <v>4511.62</v>
      </c>
      <c r="F15" s="4">
        <v>18.57</v>
      </c>
      <c r="G15" s="18">
        <v>8.0500000000000007</v>
      </c>
      <c r="H15" s="19">
        <v>0</v>
      </c>
      <c r="I15" s="5">
        <v>0</v>
      </c>
      <c r="J15" s="5">
        <v>792</v>
      </c>
      <c r="K15" s="20">
        <v>2687</v>
      </c>
      <c r="L15" s="26">
        <f t="shared" si="39"/>
        <v>0</v>
      </c>
      <c r="M15" s="27">
        <f t="shared" si="40"/>
        <v>0</v>
      </c>
      <c r="N15" s="27">
        <f t="shared" si="41"/>
        <v>14707.44</v>
      </c>
      <c r="O15" s="28">
        <f t="shared" si="42"/>
        <v>21630.350000000002</v>
      </c>
      <c r="P15" s="39">
        <v>0.26100000000000001</v>
      </c>
      <c r="Q15" s="40">
        <v>2.76E-2</v>
      </c>
      <c r="R15" s="40">
        <v>0.09</v>
      </c>
      <c r="S15" s="41">
        <v>0.13239999999999999</v>
      </c>
      <c r="T15" s="21">
        <f t="shared" si="34"/>
        <v>0</v>
      </c>
      <c r="U15" s="22">
        <f t="shared" si="35"/>
        <v>0</v>
      </c>
      <c r="V15" s="22">
        <f t="shared" si="36"/>
        <v>163416</v>
      </c>
      <c r="W15" s="23">
        <f t="shared" si="37"/>
        <v>163371.22356495471</v>
      </c>
      <c r="X15" s="21">
        <f t="shared" si="12"/>
        <v>163371.22356495471</v>
      </c>
      <c r="Y15" s="42">
        <v>0.95</v>
      </c>
      <c r="Z15" s="22">
        <f t="shared" si="38"/>
        <v>155202.66238670697</v>
      </c>
      <c r="AA15" s="25">
        <f t="shared" si="2"/>
        <v>3.8466850270033395E-2</v>
      </c>
      <c r="AB15" s="22"/>
      <c r="AC15" s="22">
        <f t="shared" si="14"/>
        <v>36337.79</v>
      </c>
      <c r="AD15" s="24">
        <f t="shared" si="15"/>
        <v>0.22242466700723748</v>
      </c>
      <c r="AF15" t="s">
        <v>23</v>
      </c>
      <c r="AG15" s="43">
        <v>4034712</v>
      </c>
    </row>
    <row r="16" spans="1:33" x14ac:dyDescent="0.25">
      <c r="A16" t="str">
        <f t="shared" si="3"/>
        <v>02-Jun-26</v>
      </c>
      <c r="B16" s="37">
        <f t="shared" si="16"/>
        <v>4</v>
      </c>
      <c r="C16" s="38">
        <v>46175</v>
      </c>
      <c r="D16" s="32">
        <v>1000000</v>
      </c>
      <c r="E16" s="4">
        <v>4356</v>
      </c>
      <c r="F16" s="4">
        <v>20.67</v>
      </c>
      <c r="G16" s="18">
        <v>7.69</v>
      </c>
      <c r="H16" s="19">
        <v>0</v>
      </c>
      <c r="I16" s="5">
        <v>0</v>
      </c>
      <c r="J16" s="5">
        <v>687</v>
      </c>
      <c r="K16" s="20">
        <v>2717</v>
      </c>
      <c r="L16" s="26">
        <f t="shared" si="39"/>
        <v>0</v>
      </c>
      <c r="M16" s="27">
        <f t="shared" si="40"/>
        <v>0</v>
      </c>
      <c r="N16" s="27">
        <f t="shared" si="41"/>
        <v>14200.29</v>
      </c>
      <c r="O16" s="28">
        <f t="shared" si="42"/>
        <v>20893.73</v>
      </c>
      <c r="P16" s="39">
        <v>0.26100000000000001</v>
      </c>
      <c r="Q16" s="40">
        <v>2.76E-2</v>
      </c>
      <c r="R16" s="40">
        <v>0.09</v>
      </c>
      <c r="S16" s="41">
        <v>0.13239999999999999</v>
      </c>
      <c r="T16" s="21">
        <f t="shared" si="34"/>
        <v>0</v>
      </c>
      <c r="U16" s="22">
        <f t="shared" si="35"/>
        <v>0</v>
      </c>
      <c r="V16" s="22">
        <f t="shared" si="36"/>
        <v>157781.00000000003</v>
      </c>
      <c r="W16" s="23">
        <f t="shared" si="37"/>
        <v>157807.62839879154</v>
      </c>
      <c r="X16" s="21">
        <f t="shared" si="12"/>
        <v>157807.62839879154</v>
      </c>
      <c r="Y16" s="42">
        <v>0.95</v>
      </c>
      <c r="Z16" s="22">
        <f t="shared" si="38"/>
        <v>149917.24697885197</v>
      </c>
      <c r="AA16" s="25">
        <f t="shared" si="2"/>
        <v>3.7156864474800669E-2</v>
      </c>
      <c r="AB16" s="22"/>
      <c r="AC16" s="22">
        <f t="shared" si="14"/>
        <v>35094.020000000004</v>
      </c>
      <c r="AD16" s="24">
        <f t="shared" si="15"/>
        <v>0.22238481343446098</v>
      </c>
    </row>
    <row r="17" spans="1:30" x14ac:dyDescent="0.25">
      <c r="A17" t="str">
        <f t="shared" si="3"/>
        <v>05-Jun-26</v>
      </c>
      <c r="B17" s="37">
        <f t="shared" si="16"/>
        <v>3</v>
      </c>
      <c r="C17" s="38">
        <v>46178</v>
      </c>
      <c r="D17" s="32">
        <v>1000000</v>
      </c>
      <c r="E17" s="4">
        <v>4086.83</v>
      </c>
      <c r="F17" s="4">
        <v>19.89</v>
      </c>
      <c r="G17" s="18">
        <v>7.79</v>
      </c>
      <c r="H17" s="19">
        <v>0</v>
      </c>
      <c r="I17" s="5">
        <v>0</v>
      </c>
      <c r="J17" s="5">
        <v>670</v>
      </c>
      <c r="K17" s="20">
        <v>2514</v>
      </c>
      <c r="L17" s="26">
        <f t="shared" si="39"/>
        <v>0</v>
      </c>
      <c r="M17" s="27">
        <f t="shared" si="40"/>
        <v>0</v>
      </c>
      <c r="N17" s="27">
        <f t="shared" si="41"/>
        <v>13326.300000000001</v>
      </c>
      <c r="O17" s="28">
        <f t="shared" si="42"/>
        <v>19584.060000000001</v>
      </c>
      <c r="P17" s="39">
        <v>0.26100000000000001</v>
      </c>
      <c r="Q17" s="40">
        <v>2.76E-2</v>
      </c>
      <c r="R17" s="40">
        <v>0.09</v>
      </c>
      <c r="S17" s="41">
        <v>0.13239999999999999</v>
      </c>
      <c r="T17" s="21">
        <f t="shared" si="34"/>
        <v>0</v>
      </c>
      <c r="U17" s="22">
        <f t="shared" si="35"/>
        <v>0</v>
      </c>
      <c r="V17" s="22">
        <f t="shared" si="36"/>
        <v>148070.00000000003</v>
      </c>
      <c r="W17" s="23">
        <f t="shared" si="37"/>
        <v>147915.86102719035</v>
      </c>
      <c r="X17" s="21">
        <f t="shared" si="12"/>
        <v>147915.86102719035</v>
      </c>
      <c r="Y17" s="42">
        <v>0.95</v>
      </c>
      <c r="Z17" s="22">
        <f t="shared" si="38"/>
        <v>140520.06797583081</v>
      </c>
      <c r="AA17" s="25">
        <f t="shared" si="2"/>
        <v>3.4827781506048219E-2</v>
      </c>
      <c r="AB17" s="22"/>
      <c r="AC17" s="22">
        <f t="shared" si="14"/>
        <v>32910.36</v>
      </c>
      <c r="AD17" s="24">
        <f t="shared" si="15"/>
        <v>0.22249378647736984</v>
      </c>
    </row>
    <row r="18" spans="1:30" x14ac:dyDescent="0.25">
      <c r="A18" t="str">
        <f t="shared" si="3"/>
        <v>09-Jun-26</v>
      </c>
      <c r="B18" s="37">
        <f t="shared" si="16"/>
        <v>4</v>
      </c>
      <c r="C18" s="38">
        <f>+C17+B16</f>
        <v>46182</v>
      </c>
      <c r="D18" s="32">
        <v>1000000</v>
      </c>
      <c r="E18" s="4">
        <v>3805.96</v>
      </c>
      <c r="F18" s="4">
        <v>18.57</v>
      </c>
      <c r="G18" s="18">
        <v>7.39</v>
      </c>
      <c r="H18" s="19">
        <v>0</v>
      </c>
      <c r="I18" s="5">
        <v>0</v>
      </c>
      <c r="J18" s="5">
        <v>668</v>
      </c>
      <c r="K18" s="20">
        <v>2469</v>
      </c>
      <c r="L18" s="26">
        <f t="shared" si="39"/>
        <v>0</v>
      </c>
      <c r="M18" s="27">
        <f t="shared" si="40"/>
        <v>0</v>
      </c>
      <c r="N18" s="27">
        <f t="shared" si="41"/>
        <v>12404.76</v>
      </c>
      <c r="O18" s="28">
        <f t="shared" si="42"/>
        <v>18245.91</v>
      </c>
      <c r="P18" s="39">
        <v>0.26100000000000001</v>
      </c>
      <c r="Q18" s="40">
        <v>2.76E-2</v>
      </c>
      <c r="R18" s="40">
        <v>0.09</v>
      </c>
      <c r="S18" s="41">
        <v>0.13239999999999999</v>
      </c>
      <c r="T18" s="21">
        <f t="shared" si="34"/>
        <v>0</v>
      </c>
      <c r="U18" s="22">
        <f t="shared" si="35"/>
        <v>0</v>
      </c>
      <c r="V18" s="22">
        <f t="shared" si="36"/>
        <v>137830.66666666669</v>
      </c>
      <c r="W18" s="23">
        <f t="shared" si="37"/>
        <v>137808.98791540787</v>
      </c>
      <c r="X18" s="21">
        <f t="shared" si="12"/>
        <v>137808.98791540787</v>
      </c>
      <c r="Y18" s="42">
        <v>0.95</v>
      </c>
      <c r="Z18" s="22">
        <f t="shared" si="38"/>
        <v>130918.53851963747</v>
      </c>
      <c r="AA18" s="25">
        <f t="shared" si="2"/>
        <v>3.2448050448120574E-2</v>
      </c>
      <c r="AB18" s="22"/>
      <c r="AC18" s="22">
        <f t="shared" si="14"/>
        <v>30650.67</v>
      </c>
      <c r="AD18" s="24">
        <f t="shared" si="15"/>
        <v>0.22241415791264998</v>
      </c>
    </row>
    <row r="19" spans="1:30" x14ac:dyDescent="0.25">
      <c r="A19" t="str">
        <f t="shared" si="3"/>
        <v>12-Jun-26</v>
      </c>
      <c r="B19" s="37">
        <f t="shared" si="16"/>
        <v>3</v>
      </c>
      <c r="C19" s="38">
        <f t="shared" ref="C19:C23" si="43">+C18+B17</f>
        <v>46185</v>
      </c>
      <c r="D19" s="32">
        <v>1000000</v>
      </c>
      <c r="E19" s="4">
        <v>3916.92</v>
      </c>
      <c r="F19" s="4">
        <v>19.95</v>
      </c>
      <c r="G19" s="18">
        <v>7.86</v>
      </c>
      <c r="H19" s="19">
        <v>0</v>
      </c>
      <c r="I19" s="5">
        <v>0</v>
      </c>
      <c r="J19" s="5">
        <v>640</v>
      </c>
      <c r="K19" s="20">
        <v>2388</v>
      </c>
      <c r="L19" s="26">
        <f t="shared" si="39"/>
        <v>0</v>
      </c>
      <c r="M19" s="27">
        <f t="shared" si="40"/>
        <v>0</v>
      </c>
      <c r="N19" s="27">
        <f t="shared" si="41"/>
        <v>12768</v>
      </c>
      <c r="O19" s="28">
        <f t="shared" si="42"/>
        <v>18769.68</v>
      </c>
      <c r="P19" s="39">
        <v>0.26100000000000001</v>
      </c>
      <c r="Q19" s="40">
        <v>2.76E-2</v>
      </c>
      <c r="R19" s="40">
        <v>0.09</v>
      </c>
      <c r="S19" s="41">
        <v>0.13239999999999999</v>
      </c>
      <c r="T19" s="21">
        <f t="shared" si="34"/>
        <v>0</v>
      </c>
      <c r="U19" s="22">
        <f t="shared" si="35"/>
        <v>0</v>
      </c>
      <c r="V19" s="22">
        <f t="shared" si="36"/>
        <v>141866.66666666669</v>
      </c>
      <c r="W19" s="23">
        <f t="shared" si="37"/>
        <v>141764.95468277947</v>
      </c>
      <c r="X19" s="21">
        <f t="shared" si="12"/>
        <v>141764.95468277947</v>
      </c>
      <c r="Y19" s="42">
        <v>0.95</v>
      </c>
      <c r="Z19" s="22">
        <f t="shared" si="38"/>
        <v>134676.70694864049</v>
      </c>
      <c r="AA19" s="25">
        <f t="shared" si="2"/>
        <v>3.3379509354977625E-2</v>
      </c>
      <c r="AB19" s="22"/>
      <c r="AC19" s="22">
        <f t="shared" si="14"/>
        <v>31537.68</v>
      </c>
      <c r="AD19" s="24">
        <f t="shared" si="15"/>
        <v>0.22246457222499263</v>
      </c>
    </row>
    <row r="20" spans="1:30" x14ac:dyDescent="0.25">
      <c r="A20" t="str">
        <f t="shared" si="3"/>
        <v>16-Jun-26</v>
      </c>
      <c r="B20" s="37">
        <f t="shared" si="16"/>
        <v>4</v>
      </c>
      <c r="C20" s="38">
        <f t="shared" si="43"/>
        <v>46189</v>
      </c>
      <c r="D20" s="32">
        <v>1000000</v>
      </c>
      <c r="E20" s="4">
        <v>3392.5</v>
      </c>
      <c r="F20" s="4">
        <v>19.3</v>
      </c>
      <c r="G20" s="18">
        <v>7.41</v>
      </c>
      <c r="H20" s="19">
        <v>0</v>
      </c>
      <c r="I20" s="5">
        <v>0</v>
      </c>
      <c r="J20" s="5">
        <v>573</v>
      </c>
      <c r="K20" s="20">
        <v>2194</v>
      </c>
      <c r="L20" s="26">
        <f t="shared" si="39"/>
        <v>0</v>
      </c>
      <c r="M20" s="27">
        <f t="shared" si="40"/>
        <v>0</v>
      </c>
      <c r="N20" s="27">
        <f t="shared" si="41"/>
        <v>11058.9</v>
      </c>
      <c r="O20" s="28">
        <f t="shared" si="42"/>
        <v>16257.54</v>
      </c>
      <c r="P20" s="39">
        <v>0.26100000000000001</v>
      </c>
      <c r="Q20" s="40">
        <v>2.76E-2</v>
      </c>
      <c r="R20" s="40">
        <v>0.09</v>
      </c>
      <c r="S20" s="41">
        <v>0.13239999999999999</v>
      </c>
      <c r="T20" s="21">
        <f t="shared" si="34"/>
        <v>0</v>
      </c>
      <c r="U20" s="22">
        <f t="shared" si="35"/>
        <v>0</v>
      </c>
      <c r="V20" s="22">
        <f t="shared" si="36"/>
        <v>122876.66666666667</v>
      </c>
      <c r="W20" s="23">
        <f t="shared" si="37"/>
        <v>122791.08761329307</v>
      </c>
      <c r="X20" s="21">
        <f t="shared" si="12"/>
        <v>122791.08761329307</v>
      </c>
      <c r="Y20" s="42">
        <v>0.95</v>
      </c>
      <c r="Z20" s="22">
        <f t="shared" si="38"/>
        <v>116651.53323262841</v>
      </c>
      <c r="AA20" s="25">
        <f t="shared" si="2"/>
        <v>2.8911985101446748E-2</v>
      </c>
      <c r="AB20" s="22"/>
      <c r="AC20" s="22">
        <f t="shared" si="14"/>
        <v>27316.440000000002</v>
      </c>
      <c r="AD20" s="24">
        <f t="shared" si="15"/>
        <v>0.22246272535697281</v>
      </c>
    </row>
    <row r="21" spans="1:30" x14ac:dyDescent="0.25">
      <c r="A21" t="str">
        <f t="shared" si="3"/>
        <v>19-Jun-26</v>
      </c>
      <c r="B21" s="37">
        <f t="shared" si="16"/>
        <v>3</v>
      </c>
      <c r="C21" s="38">
        <f t="shared" si="43"/>
        <v>46192</v>
      </c>
      <c r="D21" s="32">
        <v>1000000</v>
      </c>
      <c r="E21" s="4">
        <v>3206.75</v>
      </c>
      <c r="F21" s="4">
        <v>19.95</v>
      </c>
      <c r="G21" s="18">
        <v>7.67</v>
      </c>
      <c r="H21" s="19">
        <v>0</v>
      </c>
      <c r="I21" s="5">
        <v>0</v>
      </c>
      <c r="J21" s="5">
        <v>524</v>
      </c>
      <c r="K21" s="20">
        <v>2004</v>
      </c>
      <c r="L21" s="26">
        <f t="shared" si="39"/>
        <v>0</v>
      </c>
      <c r="M21" s="27">
        <f t="shared" si="40"/>
        <v>0</v>
      </c>
      <c r="N21" s="27">
        <f t="shared" si="41"/>
        <v>10453.799999999999</v>
      </c>
      <c r="O21" s="28">
        <f t="shared" si="42"/>
        <v>15370.68</v>
      </c>
      <c r="P21" s="39">
        <v>0.26100000000000001</v>
      </c>
      <c r="Q21" s="40">
        <v>2.76E-2</v>
      </c>
      <c r="R21" s="40">
        <v>0.09</v>
      </c>
      <c r="S21" s="41">
        <v>0.13239999999999999</v>
      </c>
      <c r="T21" s="21">
        <f t="shared" si="34"/>
        <v>0</v>
      </c>
      <c r="U21" s="22">
        <f t="shared" si="35"/>
        <v>0</v>
      </c>
      <c r="V21" s="22">
        <f t="shared" si="36"/>
        <v>116153.33333333333</v>
      </c>
      <c r="W21" s="23">
        <f t="shared" si="37"/>
        <v>116092.74924471301</v>
      </c>
      <c r="X21" s="21">
        <f t="shared" si="12"/>
        <v>116092.74924471301</v>
      </c>
      <c r="Y21" s="42">
        <v>0.95</v>
      </c>
      <c r="Z21" s="22">
        <f t="shared" si="38"/>
        <v>110288.11178247735</v>
      </c>
      <c r="AA21" s="25">
        <f t="shared" si="2"/>
        <v>2.7334816408823567E-2</v>
      </c>
      <c r="AB21" s="22"/>
      <c r="AC21" s="22">
        <f t="shared" si="14"/>
        <v>25824.48</v>
      </c>
      <c r="AD21" s="24">
        <f t="shared" si="15"/>
        <v>0.22244696734301928</v>
      </c>
    </row>
    <row r="22" spans="1:30" x14ac:dyDescent="0.25">
      <c r="A22" t="str">
        <f t="shared" si="3"/>
        <v>23-Jun-26</v>
      </c>
      <c r="B22" s="37">
        <f t="shared" si="16"/>
        <v>4</v>
      </c>
      <c r="C22" s="38">
        <f t="shared" si="43"/>
        <v>46196</v>
      </c>
      <c r="D22" s="32">
        <v>1000000</v>
      </c>
      <c r="E22" s="4">
        <v>3232.46</v>
      </c>
      <c r="F22" s="4">
        <v>19.239999999999998</v>
      </c>
      <c r="G22" s="18">
        <v>7.91</v>
      </c>
      <c r="H22" s="19">
        <v>0</v>
      </c>
      <c r="I22" s="5">
        <v>0</v>
      </c>
      <c r="J22" s="5">
        <v>563</v>
      </c>
      <c r="K22" s="20">
        <v>2014</v>
      </c>
      <c r="L22" s="26">
        <f t="shared" ref="L22:L29" si="44">D22*H22</f>
        <v>0</v>
      </c>
      <c r="M22" s="27">
        <f t="shared" ref="M22:M26" si="45">E22*I22</f>
        <v>0</v>
      </c>
      <c r="N22" s="27">
        <f t="shared" ref="N22:N26" si="46">F22*J22</f>
        <v>10832.119999999999</v>
      </c>
      <c r="O22" s="28">
        <f t="shared" ref="O22:O26" si="47">G22*K22</f>
        <v>15930.74</v>
      </c>
      <c r="P22" s="39">
        <v>0.26100000000000001</v>
      </c>
      <c r="Q22" s="40">
        <v>2.76E-2</v>
      </c>
      <c r="R22" s="40">
        <v>0.09</v>
      </c>
      <c r="S22" s="41">
        <v>0.13239999999999999</v>
      </c>
      <c r="T22" s="21">
        <f t="shared" ref="T22:T23" si="48">L22/P22</f>
        <v>0</v>
      </c>
      <c r="U22" s="22">
        <f t="shared" ref="U22:U23" si="49">M22/Q22</f>
        <v>0</v>
      </c>
      <c r="V22" s="22">
        <f t="shared" ref="V22:V23" si="50">N22/R22</f>
        <v>120356.88888888888</v>
      </c>
      <c r="W22" s="23">
        <f t="shared" ref="W22:W23" si="51">O22/S22</f>
        <v>120322.80966767372</v>
      </c>
      <c r="X22" s="21">
        <f t="shared" ref="X22:X23" si="52">W22</f>
        <v>120322.80966767372</v>
      </c>
      <c r="Y22" s="42">
        <v>0.95</v>
      </c>
      <c r="Z22" s="22">
        <f t="shared" ref="Z22:Z23" si="53">X22*Y22</f>
        <v>114306.66918429003</v>
      </c>
      <c r="AA22" s="25">
        <f t="shared" ref="AA22:AA23" si="54">Z22/$AG$15</f>
        <v>2.8330812505152791E-2</v>
      </c>
      <c r="AB22" s="22"/>
      <c r="AC22" s="22">
        <f t="shared" ref="AC22:AC23" si="55">SUM(L22:O22)</f>
        <v>26762.86</v>
      </c>
      <c r="AD22" s="24">
        <f t="shared" ref="AD22:AD23" si="56">AC22/X22</f>
        <v>0.22242549084348875</v>
      </c>
    </row>
    <row r="23" spans="1:30" x14ac:dyDescent="0.25">
      <c r="A23" t="str">
        <f t="shared" si="3"/>
        <v>26-Jun-26</v>
      </c>
      <c r="B23" s="37">
        <f t="shared" si="16"/>
        <v>3</v>
      </c>
      <c r="C23" s="38">
        <f t="shared" si="43"/>
        <v>46199</v>
      </c>
      <c r="D23" s="32">
        <v>1000000</v>
      </c>
      <c r="E23" s="4">
        <v>3303.79</v>
      </c>
      <c r="F23" s="4">
        <v>18.63</v>
      </c>
      <c r="G23" s="18">
        <v>7.55</v>
      </c>
      <c r="H23" s="19">
        <v>0</v>
      </c>
      <c r="I23" s="5">
        <v>0</v>
      </c>
      <c r="J23" s="5">
        <v>578</v>
      </c>
      <c r="K23" s="20">
        <v>2098</v>
      </c>
      <c r="L23" s="26">
        <f t="shared" si="44"/>
        <v>0</v>
      </c>
      <c r="M23" s="27">
        <f t="shared" si="45"/>
        <v>0</v>
      </c>
      <c r="N23" s="27">
        <f t="shared" si="46"/>
        <v>10768.14</v>
      </c>
      <c r="O23" s="28">
        <f t="shared" si="47"/>
        <v>15839.9</v>
      </c>
      <c r="P23" s="39">
        <v>0.26100000000000001</v>
      </c>
      <c r="Q23" s="40">
        <v>2.76E-2</v>
      </c>
      <c r="R23" s="40">
        <v>0.09</v>
      </c>
      <c r="S23" s="41">
        <v>0.13239999999999999</v>
      </c>
      <c r="T23" s="21">
        <f t="shared" si="48"/>
        <v>0</v>
      </c>
      <c r="U23" s="22">
        <f t="shared" si="49"/>
        <v>0</v>
      </c>
      <c r="V23" s="22">
        <f t="shared" si="50"/>
        <v>119646</v>
      </c>
      <c r="W23" s="23">
        <f t="shared" si="51"/>
        <v>119636.70694864049</v>
      </c>
      <c r="X23" s="21">
        <f t="shared" si="52"/>
        <v>119636.70694864049</v>
      </c>
      <c r="Y23" s="42">
        <v>0.95</v>
      </c>
      <c r="Z23" s="22">
        <f t="shared" si="53"/>
        <v>113654.87160120846</v>
      </c>
      <c r="AA23" s="25">
        <f t="shared" si="54"/>
        <v>2.8169265018471817E-2</v>
      </c>
      <c r="AB23" s="22"/>
      <c r="AC23" s="22">
        <f t="shared" si="55"/>
        <v>26608.04</v>
      </c>
      <c r="AD23" s="24">
        <f t="shared" si="56"/>
        <v>0.22240699095322569</v>
      </c>
    </row>
    <row r="24" spans="1:30" x14ac:dyDescent="0.25">
      <c r="A24" t="str">
        <f t="shared" ref="A24:A32" si="57">TEXT(C24,"dd-mmm-yy")</f>
        <v>30-Jun-26</v>
      </c>
      <c r="B24" s="37">
        <f t="shared" si="16"/>
        <v>4</v>
      </c>
      <c r="C24" s="38">
        <v>46203</v>
      </c>
      <c r="D24" s="32">
        <v>1000000</v>
      </c>
      <c r="E24" s="4">
        <v>3228.96</v>
      </c>
      <c r="F24" s="4">
        <v>20.399999999999999</v>
      </c>
      <c r="G24" s="18">
        <v>7.61</v>
      </c>
      <c r="H24" s="19">
        <v>0</v>
      </c>
      <c r="I24" s="5">
        <v>0</v>
      </c>
      <c r="J24" s="5">
        <v>516</v>
      </c>
      <c r="K24" s="20">
        <v>2034</v>
      </c>
      <c r="L24" s="26">
        <f t="shared" si="44"/>
        <v>0</v>
      </c>
      <c r="M24" s="27">
        <f t="shared" si="45"/>
        <v>0</v>
      </c>
      <c r="N24" s="27">
        <f t="shared" si="46"/>
        <v>10526.4</v>
      </c>
      <c r="O24" s="28">
        <f t="shared" si="47"/>
        <v>15478.74</v>
      </c>
      <c r="P24" s="39">
        <v>0.26100000000000001</v>
      </c>
      <c r="Q24" s="40">
        <v>2.76E-2</v>
      </c>
      <c r="R24" s="40">
        <v>0.09</v>
      </c>
      <c r="S24" s="41">
        <v>0.13239999999999999</v>
      </c>
      <c r="T24" s="21">
        <f t="shared" ref="T24:T29" si="58">L24/P24</f>
        <v>0</v>
      </c>
      <c r="U24" s="22">
        <f t="shared" ref="U24:U29" si="59">M24/Q24</f>
        <v>0</v>
      </c>
      <c r="V24" s="22">
        <f t="shared" ref="V24:V29" si="60">N24/R24</f>
        <v>116960</v>
      </c>
      <c r="W24" s="23">
        <f t="shared" ref="W24:W29" si="61">O24/S24</f>
        <v>116908.91238670696</v>
      </c>
      <c r="X24" s="21">
        <f t="shared" ref="X24:X29" si="62">W24</f>
        <v>116908.91238670696</v>
      </c>
      <c r="Y24" s="42">
        <v>0.95</v>
      </c>
      <c r="Z24" s="22">
        <f t="shared" ref="Z24:Z29" si="63">X24*Y24</f>
        <v>111063.4667673716</v>
      </c>
      <c r="AA24" s="25">
        <f t="shared" ref="AA24:AA29" si="64">Z24/$AG$15</f>
        <v>2.7526987494366786E-2</v>
      </c>
      <c r="AB24" s="22"/>
      <c r="AC24" s="22">
        <f t="shared" ref="AC24:AC29" si="65">SUM(L24:O24)</f>
        <v>26005.14</v>
      </c>
      <c r="AD24" s="24">
        <f t="shared" ref="AD24:AD29" si="66">AC24/X24</f>
        <v>0.2224393287825753</v>
      </c>
    </row>
    <row r="25" spans="1:30" x14ac:dyDescent="0.25">
      <c r="A25" t="str">
        <f t="shared" si="57"/>
        <v>03-Jul-26</v>
      </c>
      <c r="B25" s="37">
        <f t="shared" si="16"/>
        <v>3</v>
      </c>
      <c r="C25" s="38">
        <v>46206</v>
      </c>
      <c r="D25" s="32">
        <v>1000000</v>
      </c>
      <c r="E25" s="4">
        <v>3156.8</v>
      </c>
      <c r="F25" s="4">
        <v>20.059999999999999</v>
      </c>
      <c r="G25" s="18">
        <v>8.0299999999999994</v>
      </c>
      <c r="H25" s="19">
        <v>0</v>
      </c>
      <c r="I25" s="5">
        <v>0</v>
      </c>
      <c r="J25" s="5">
        <v>513</v>
      </c>
      <c r="K25" s="20">
        <v>1884</v>
      </c>
      <c r="L25" s="26">
        <f t="shared" si="44"/>
        <v>0</v>
      </c>
      <c r="M25" s="27">
        <f t="shared" si="45"/>
        <v>0</v>
      </c>
      <c r="N25" s="27">
        <f t="shared" si="46"/>
        <v>10290.779999999999</v>
      </c>
      <c r="O25" s="28">
        <f t="shared" si="47"/>
        <v>15128.519999999999</v>
      </c>
      <c r="P25" s="39">
        <v>0.26100000000000001</v>
      </c>
      <c r="Q25" s="40">
        <v>2.76E-2</v>
      </c>
      <c r="R25" s="40">
        <v>0.09</v>
      </c>
      <c r="S25" s="41">
        <v>0.13239999999999999</v>
      </c>
      <c r="T25" s="21">
        <f t="shared" si="58"/>
        <v>0</v>
      </c>
      <c r="U25" s="22">
        <f t="shared" si="59"/>
        <v>0</v>
      </c>
      <c r="V25" s="22">
        <f t="shared" si="60"/>
        <v>114341.99999999999</v>
      </c>
      <c r="W25" s="23">
        <f t="shared" si="61"/>
        <v>114263.74622356496</v>
      </c>
      <c r="X25" s="21">
        <f t="shared" si="62"/>
        <v>114263.74622356496</v>
      </c>
      <c r="Y25" s="42">
        <v>0.95</v>
      </c>
      <c r="Z25" s="22">
        <f t="shared" si="63"/>
        <v>108550.55891238671</v>
      </c>
      <c r="AA25" s="25">
        <f t="shared" si="64"/>
        <v>2.6904165380921045E-2</v>
      </c>
      <c r="AB25" s="22"/>
      <c r="AC25" s="22">
        <f t="shared" si="65"/>
        <v>25419.299999999996</v>
      </c>
      <c r="AD25" s="24">
        <f t="shared" si="66"/>
        <v>0.22246163669678193</v>
      </c>
    </row>
    <row r="26" spans="1:30" x14ac:dyDescent="0.25">
      <c r="A26" t="str">
        <f t="shared" si="57"/>
        <v>07-Jul-26</v>
      </c>
      <c r="B26" s="37">
        <f t="shared" si="16"/>
        <v>4</v>
      </c>
      <c r="C26" s="38">
        <v>46210</v>
      </c>
      <c r="D26" s="32">
        <v>1000000</v>
      </c>
      <c r="E26" s="4">
        <v>3032.63</v>
      </c>
      <c r="F26" s="4">
        <v>18.98</v>
      </c>
      <c r="G26" s="18">
        <v>7.75</v>
      </c>
      <c r="H26" s="19">
        <v>0</v>
      </c>
      <c r="I26" s="5">
        <v>0</v>
      </c>
      <c r="J26" s="5">
        <v>521</v>
      </c>
      <c r="K26" s="20">
        <v>1875</v>
      </c>
      <c r="L26" s="26">
        <f t="shared" si="44"/>
        <v>0</v>
      </c>
      <c r="M26" s="27">
        <f t="shared" si="45"/>
        <v>0</v>
      </c>
      <c r="N26" s="27">
        <f t="shared" si="46"/>
        <v>9888.58</v>
      </c>
      <c r="O26" s="28">
        <f t="shared" si="47"/>
        <v>14531.25</v>
      </c>
      <c r="P26" s="39">
        <v>0.26100000000000001</v>
      </c>
      <c r="Q26" s="40">
        <v>2.76E-2</v>
      </c>
      <c r="R26" s="40">
        <v>0.09</v>
      </c>
      <c r="S26" s="41">
        <v>0.13239999999999999</v>
      </c>
      <c r="T26" s="21">
        <f t="shared" si="58"/>
        <v>0</v>
      </c>
      <c r="U26" s="22">
        <f t="shared" si="59"/>
        <v>0</v>
      </c>
      <c r="V26" s="22">
        <f t="shared" si="60"/>
        <v>109873.11111111111</v>
      </c>
      <c r="W26" s="23">
        <f t="shared" si="61"/>
        <v>109752.64350453173</v>
      </c>
      <c r="X26" s="21">
        <f t="shared" si="62"/>
        <v>109752.64350453173</v>
      </c>
      <c r="Y26" s="42">
        <v>0.95</v>
      </c>
      <c r="Z26" s="22">
        <f t="shared" si="63"/>
        <v>104265.01132930514</v>
      </c>
      <c r="AA26" s="25">
        <f t="shared" si="64"/>
        <v>2.5841995991115387E-2</v>
      </c>
      <c r="AB26" s="22"/>
      <c r="AC26" s="22">
        <f t="shared" si="65"/>
        <v>24419.83</v>
      </c>
      <c r="AD26" s="24">
        <f t="shared" si="66"/>
        <v>0.22249878654623656</v>
      </c>
    </row>
    <row r="27" spans="1:30" x14ac:dyDescent="0.25">
      <c r="A27" t="str">
        <f t="shared" si="57"/>
        <v>10-Jul-26</v>
      </c>
      <c r="B27" s="37">
        <f t="shared" si="16"/>
        <v>3</v>
      </c>
      <c r="C27" s="38">
        <v>46213</v>
      </c>
      <c r="D27" s="32">
        <v>1000000</v>
      </c>
      <c r="E27" s="4">
        <v>3236.96</v>
      </c>
      <c r="F27" s="4">
        <v>19.690000000000001</v>
      </c>
      <c r="G27" s="18">
        <v>7.84</v>
      </c>
      <c r="H27" s="19">
        <v>0</v>
      </c>
      <c r="I27" s="5">
        <v>0</v>
      </c>
      <c r="J27" s="5">
        <v>536</v>
      </c>
      <c r="K27" s="20">
        <v>1980</v>
      </c>
      <c r="L27" s="26">
        <f t="shared" si="44"/>
        <v>0</v>
      </c>
      <c r="M27" s="27">
        <f t="shared" ref="M27:M29" si="67">E27*I27</f>
        <v>0</v>
      </c>
      <c r="N27" s="27">
        <f t="shared" ref="N27:N29" si="68">F27*J27</f>
        <v>10553.84</v>
      </c>
      <c r="O27" s="28">
        <f t="shared" ref="O27:O29" si="69">G27*K27</f>
        <v>15523.199999999999</v>
      </c>
      <c r="P27" s="39">
        <v>0.26100000000000001</v>
      </c>
      <c r="Q27" s="40">
        <v>2.76E-2</v>
      </c>
      <c r="R27" s="40">
        <v>0.09</v>
      </c>
      <c r="S27" s="41">
        <v>0.13239999999999999</v>
      </c>
      <c r="T27" s="21">
        <f t="shared" si="58"/>
        <v>0</v>
      </c>
      <c r="U27" s="22">
        <f t="shared" si="59"/>
        <v>0</v>
      </c>
      <c r="V27" s="22">
        <f t="shared" si="60"/>
        <v>117264.88888888889</v>
      </c>
      <c r="W27" s="23">
        <f t="shared" si="61"/>
        <v>117244.71299093656</v>
      </c>
      <c r="X27" s="21">
        <f t="shared" si="62"/>
        <v>117244.71299093656</v>
      </c>
      <c r="Y27" s="42">
        <v>0.95</v>
      </c>
      <c r="Z27" s="22">
        <f t="shared" si="63"/>
        <v>111382.47734138973</v>
      </c>
      <c r="AA27" s="25">
        <f t="shared" si="64"/>
        <v>2.7606053998746313E-2</v>
      </c>
      <c r="AB27" s="22"/>
      <c r="AC27" s="22">
        <f t="shared" si="65"/>
        <v>26077.040000000001</v>
      </c>
      <c r="AD27" s="24">
        <f t="shared" si="66"/>
        <v>0.22241548752834467</v>
      </c>
    </row>
    <row r="28" spans="1:30" x14ac:dyDescent="0.25">
      <c r="A28" t="str">
        <f t="shared" si="57"/>
        <v>14-Jul-26</v>
      </c>
      <c r="B28" s="37">
        <f t="shared" si="16"/>
        <v>4</v>
      </c>
      <c r="C28" s="38">
        <v>46217</v>
      </c>
      <c r="D28" s="32">
        <v>1000000</v>
      </c>
      <c r="E28" s="4">
        <v>2872.32</v>
      </c>
      <c r="F28" s="4">
        <v>18.32</v>
      </c>
      <c r="G28" s="18">
        <v>7.53</v>
      </c>
      <c r="H28" s="19">
        <v>0</v>
      </c>
      <c r="I28" s="5">
        <v>0</v>
      </c>
      <c r="J28" s="5">
        <v>511</v>
      </c>
      <c r="K28" s="20">
        <v>1828</v>
      </c>
      <c r="L28" s="26">
        <f t="shared" si="44"/>
        <v>0</v>
      </c>
      <c r="M28" s="27">
        <f t="shared" si="67"/>
        <v>0</v>
      </c>
      <c r="N28" s="27">
        <f t="shared" si="68"/>
        <v>9361.52</v>
      </c>
      <c r="O28" s="28">
        <f t="shared" si="69"/>
        <v>13764.84</v>
      </c>
      <c r="P28" s="39">
        <v>0.26100000000000001</v>
      </c>
      <c r="Q28" s="40">
        <v>2.76E-2</v>
      </c>
      <c r="R28" s="40">
        <v>0.09</v>
      </c>
      <c r="S28" s="41">
        <v>0.13239999999999999</v>
      </c>
      <c r="T28" s="21">
        <f t="shared" si="58"/>
        <v>0</v>
      </c>
      <c r="U28" s="22">
        <f t="shared" si="59"/>
        <v>0</v>
      </c>
      <c r="V28" s="22">
        <f t="shared" si="60"/>
        <v>104016.88888888889</v>
      </c>
      <c r="W28" s="23">
        <f t="shared" si="61"/>
        <v>103964.04833836859</v>
      </c>
      <c r="X28" s="21">
        <f t="shared" si="62"/>
        <v>103964.04833836859</v>
      </c>
      <c r="Y28" s="42">
        <v>0.95</v>
      </c>
      <c r="Z28" s="22">
        <f t="shared" si="63"/>
        <v>98765.845921450164</v>
      </c>
      <c r="AA28" s="25">
        <f t="shared" si="64"/>
        <v>2.4479032436875336E-2</v>
      </c>
      <c r="AB28" s="22"/>
      <c r="AC28" s="22">
        <f t="shared" si="65"/>
        <v>23126.36</v>
      </c>
      <c r="AD28" s="24">
        <f t="shared" si="66"/>
        <v>0.22244574321241653</v>
      </c>
    </row>
    <row r="29" spans="1:30" x14ac:dyDescent="0.25">
      <c r="A29" t="str">
        <f t="shared" si="57"/>
        <v>17-Jul-26</v>
      </c>
      <c r="B29" s="37">
        <f t="shared" si="16"/>
        <v>3</v>
      </c>
      <c r="C29" s="38">
        <v>46220</v>
      </c>
      <c r="D29" s="32">
        <v>1000000</v>
      </c>
      <c r="E29" s="4">
        <v>3062.57</v>
      </c>
      <c r="F29" s="4">
        <v>20.010000000000002</v>
      </c>
      <c r="G29" s="18">
        <v>7.86</v>
      </c>
      <c r="H29" s="19">
        <v>0</v>
      </c>
      <c r="I29" s="5">
        <v>0</v>
      </c>
      <c r="J29" s="5">
        <v>499</v>
      </c>
      <c r="K29" s="20">
        <v>1868</v>
      </c>
      <c r="L29" s="26">
        <f t="shared" si="44"/>
        <v>0</v>
      </c>
      <c r="M29" s="27">
        <f t="shared" si="67"/>
        <v>0</v>
      </c>
      <c r="N29" s="27">
        <f t="shared" si="68"/>
        <v>9984.9900000000016</v>
      </c>
      <c r="O29" s="28">
        <f t="shared" si="69"/>
        <v>14682.480000000001</v>
      </c>
      <c r="P29" s="39">
        <v>0.26100000000000001</v>
      </c>
      <c r="Q29" s="40">
        <v>2.76E-2</v>
      </c>
      <c r="R29" s="40">
        <v>0.09</v>
      </c>
      <c r="S29" s="41">
        <v>0.13239999999999999</v>
      </c>
      <c r="T29" s="21">
        <f t="shared" si="58"/>
        <v>0</v>
      </c>
      <c r="U29" s="22">
        <f t="shared" si="59"/>
        <v>0</v>
      </c>
      <c r="V29" s="22">
        <f t="shared" si="60"/>
        <v>110944.33333333336</v>
      </c>
      <c r="W29" s="23">
        <f t="shared" si="61"/>
        <v>110894.86404833839</v>
      </c>
      <c r="X29" s="21">
        <f t="shared" si="62"/>
        <v>110894.86404833839</v>
      </c>
      <c r="Y29" s="42">
        <v>0.95</v>
      </c>
      <c r="Z29" s="22">
        <f t="shared" si="63"/>
        <v>105350.12084592147</v>
      </c>
      <c r="AA29" s="25">
        <f t="shared" si="64"/>
        <v>2.6110939478684345E-2</v>
      </c>
      <c r="AB29" s="22"/>
      <c r="AC29" s="22">
        <f t="shared" si="65"/>
        <v>24667.47</v>
      </c>
      <c r="AD29" s="24">
        <f t="shared" si="66"/>
        <v>0.22244014825833233</v>
      </c>
    </row>
    <row r="30" spans="1:30" x14ac:dyDescent="0.25">
      <c r="A30" t="str">
        <f t="shared" si="57"/>
        <v>21-Jul-26</v>
      </c>
      <c r="B30" s="37">
        <f t="shared" si="16"/>
        <v>4</v>
      </c>
      <c r="C30" s="38">
        <v>46224</v>
      </c>
      <c r="D30" s="32">
        <v>1000000</v>
      </c>
      <c r="E30" s="4">
        <v>2939.31</v>
      </c>
      <c r="F30" s="4">
        <v>20.61</v>
      </c>
      <c r="G30" s="18">
        <v>7.95</v>
      </c>
      <c r="H30" s="19">
        <v>0</v>
      </c>
      <c r="I30" s="5">
        <v>0</v>
      </c>
      <c r="J30" s="5">
        <v>465</v>
      </c>
      <c r="K30" s="20">
        <v>1772</v>
      </c>
      <c r="L30" s="26">
        <f t="shared" ref="L30:L37" si="70">D30*H30</f>
        <v>0</v>
      </c>
      <c r="M30" s="27">
        <f t="shared" ref="M30:M37" si="71">E30*I30</f>
        <v>0</v>
      </c>
      <c r="N30" s="27">
        <f t="shared" ref="N30:N37" si="72">F30*J30</f>
        <v>9583.65</v>
      </c>
      <c r="O30" s="28">
        <f t="shared" ref="O30:O37" si="73">G30*K30</f>
        <v>14087.4</v>
      </c>
      <c r="P30" s="39">
        <v>0.26100000000000001</v>
      </c>
      <c r="Q30" s="40">
        <v>2.76E-2</v>
      </c>
      <c r="R30" s="40">
        <v>0.09</v>
      </c>
      <c r="S30" s="41">
        <v>0.13239999999999999</v>
      </c>
      <c r="T30" s="21">
        <f t="shared" ref="T30:T37" si="74">L30/P30</f>
        <v>0</v>
      </c>
      <c r="U30" s="22">
        <f t="shared" ref="U30:U37" si="75">M30/Q30</f>
        <v>0</v>
      </c>
      <c r="V30" s="22">
        <f t="shared" ref="V30:V37" si="76">N30/R30</f>
        <v>106485</v>
      </c>
      <c r="W30" s="23">
        <f t="shared" ref="W30:W37" si="77">O30/S30</f>
        <v>106400.30211480364</v>
      </c>
      <c r="X30" s="21">
        <f t="shared" ref="X30:X37" si="78">W30</f>
        <v>106400.30211480364</v>
      </c>
      <c r="Y30" s="42">
        <v>0.95</v>
      </c>
      <c r="Z30" s="22">
        <f t="shared" ref="Z30:Z37" si="79">X30*Y30</f>
        <v>101080.28700906345</v>
      </c>
      <c r="AA30" s="25">
        <f t="shared" ref="AA30:AA37" si="80">Z30/$AG$15</f>
        <v>2.5052664727758377E-2</v>
      </c>
      <c r="AB30" s="22"/>
      <c r="AC30" s="22">
        <f t="shared" ref="AC30:AC37" si="81">SUM(L30:O30)</f>
        <v>23671.05</v>
      </c>
      <c r="AD30" s="24">
        <f t="shared" ref="AD30:AD37" si="82">AC30/X30</f>
        <v>0.22247164274458023</v>
      </c>
    </row>
    <row r="31" spans="1:30" x14ac:dyDescent="0.25">
      <c r="A31" t="str">
        <f t="shared" si="57"/>
        <v>24-Jul-26</v>
      </c>
      <c r="B31" s="37">
        <f t="shared" si="16"/>
        <v>3</v>
      </c>
      <c r="C31" s="38">
        <v>46227</v>
      </c>
      <c r="D31" s="32">
        <v>1000000</v>
      </c>
      <c r="E31" s="4">
        <v>2983.8</v>
      </c>
      <c r="F31" s="4">
        <v>19.149999999999999</v>
      </c>
      <c r="G31" s="18">
        <v>7.72</v>
      </c>
      <c r="H31" s="19">
        <v>0</v>
      </c>
      <c r="I31" s="5">
        <v>0</v>
      </c>
      <c r="J31" s="5">
        <v>508</v>
      </c>
      <c r="K31" s="20">
        <v>1852</v>
      </c>
      <c r="L31" s="26">
        <f t="shared" si="70"/>
        <v>0</v>
      </c>
      <c r="M31" s="27">
        <f t="shared" si="71"/>
        <v>0</v>
      </c>
      <c r="N31" s="27">
        <f t="shared" si="72"/>
        <v>9728.1999999999989</v>
      </c>
      <c r="O31" s="28">
        <f t="shared" si="73"/>
        <v>14297.439999999999</v>
      </c>
      <c r="P31" s="39">
        <v>0.26100000000000001</v>
      </c>
      <c r="Q31" s="40">
        <v>2.76E-2</v>
      </c>
      <c r="R31" s="40">
        <v>0.09</v>
      </c>
      <c r="S31" s="41">
        <v>0.13239999999999999</v>
      </c>
      <c r="T31" s="21">
        <f t="shared" si="74"/>
        <v>0</v>
      </c>
      <c r="U31" s="22">
        <f t="shared" si="75"/>
        <v>0</v>
      </c>
      <c r="V31" s="22">
        <f t="shared" si="76"/>
        <v>108091.11111111111</v>
      </c>
      <c r="W31" s="23">
        <f t="shared" si="77"/>
        <v>107986.70694864048</v>
      </c>
      <c r="X31" s="21">
        <f t="shared" si="78"/>
        <v>107986.70694864048</v>
      </c>
      <c r="Y31" s="42">
        <v>0.95</v>
      </c>
      <c r="Z31" s="22">
        <f t="shared" si="79"/>
        <v>102587.37160120845</v>
      </c>
      <c r="AA31" s="25">
        <f t="shared" si="80"/>
        <v>2.5426194385425389E-2</v>
      </c>
      <c r="AB31" s="22"/>
      <c r="AC31" s="22">
        <f t="shared" si="81"/>
        <v>24025.64</v>
      </c>
      <c r="AD31" s="24">
        <f t="shared" si="82"/>
        <v>0.22248701417876207</v>
      </c>
    </row>
    <row r="32" spans="1:30" x14ac:dyDescent="0.25">
      <c r="A32" t="str">
        <f t="shared" si="57"/>
        <v>28-Jul-26</v>
      </c>
      <c r="B32" s="37">
        <f t="shared" si="16"/>
        <v>4</v>
      </c>
      <c r="C32" s="38">
        <v>46231</v>
      </c>
      <c r="D32" s="32">
        <v>1000000</v>
      </c>
      <c r="E32" s="4">
        <v>2873.55</v>
      </c>
      <c r="F32" s="4">
        <v>21.29</v>
      </c>
      <c r="G32" s="18">
        <v>7.87</v>
      </c>
      <c r="H32" s="19">
        <v>0</v>
      </c>
      <c r="I32" s="5">
        <v>0</v>
      </c>
      <c r="J32" s="5">
        <v>440</v>
      </c>
      <c r="K32" s="20">
        <v>1751</v>
      </c>
      <c r="L32" s="26">
        <f t="shared" si="70"/>
        <v>0</v>
      </c>
      <c r="M32" s="27">
        <f t="shared" si="71"/>
        <v>0</v>
      </c>
      <c r="N32" s="27">
        <f t="shared" si="72"/>
        <v>9367.6</v>
      </c>
      <c r="O32" s="28">
        <f t="shared" si="73"/>
        <v>13780.37</v>
      </c>
      <c r="P32" s="39">
        <v>0.26100000000000001</v>
      </c>
      <c r="Q32" s="40">
        <v>2.76E-2</v>
      </c>
      <c r="R32" s="40">
        <v>0.09</v>
      </c>
      <c r="S32" s="41">
        <v>0.13239999999999999</v>
      </c>
      <c r="T32" s="21">
        <f t="shared" si="74"/>
        <v>0</v>
      </c>
      <c r="U32" s="22">
        <f t="shared" si="75"/>
        <v>0</v>
      </c>
      <c r="V32" s="22">
        <f t="shared" si="76"/>
        <v>104084.44444444445</v>
      </c>
      <c r="W32" s="23">
        <f t="shared" si="77"/>
        <v>104081.34441087615</v>
      </c>
      <c r="X32" s="21">
        <f t="shared" si="78"/>
        <v>104081.34441087615</v>
      </c>
      <c r="Y32" s="42">
        <v>0.95</v>
      </c>
      <c r="Z32" s="22">
        <f t="shared" si="79"/>
        <v>98877.27719033233</v>
      </c>
      <c r="AA32" s="25">
        <f t="shared" si="80"/>
        <v>2.4506650583816722E-2</v>
      </c>
      <c r="AB32" s="22"/>
      <c r="AC32" s="22">
        <f t="shared" si="81"/>
        <v>23147.97</v>
      </c>
      <c r="AD32" s="24">
        <f t="shared" si="82"/>
        <v>0.22240268062468568</v>
      </c>
    </row>
    <row r="33" spans="1:30" x14ac:dyDescent="0.25">
      <c r="A33" t="str">
        <f t="shared" ref="A33:A34" si="83">TEXT(C33,"dd-mmm-yy")</f>
        <v>31-Jul-26</v>
      </c>
      <c r="B33" s="37">
        <f t="shared" ref="B33:B34" si="84">+C33-C32</f>
        <v>3</v>
      </c>
      <c r="C33" s="38">
        <v>46234</v>
      </c>
      <c r="D33" s="32">
        <v>1000000</v>
      </c>
      <c r="E33" s="4">
        <v>2882.2</v>
      </c>
      <c r="F33" s="4">
        <v>20.47</v>
      </c>
      <c r="G33" s="18">
        <v>7.75</v>
      </c>
      <c r="H33" s="19">
        <v>0</v>
      </c>
      <c r="I33" s="5">
        <v>0</v>
      </c>
      <c r="J33" s="5">
        <v>459</v>
      </c>
      <c r="K33" s="20">
        <v>1782</v>
      </c>
      <c r="L33" s="26">
        <f t="shared" si="70"/>
        <v>0</v>
      </c>
      <c r="M33" s="27">
        <f t="shared" si="71"/>
        <v>0</v>
      </c>
      <c r="N33" s="27">
        <f t="shared" si="72"/>
        <v>9395.73</v>
      </c>
      <c r="O33" s="28">
        <f t="shared" si="73"/>
        <v>13810.5</v>
      </c>
      <c r="P33" s="39">
        <v>0.26100000000000001</v>
      </c>
      <c r="Q33" s="40">
        <v>2.76E-2</v>
      </c>
      <c r="R33" s="40">
        <v>0.09</v>
      </c>
      <c r="S33" s="41">
        <v>0.13239999999999999</v>
      </c>
      <c r="T33" s="21">
        <f t="shared" si="74"/>
        <v>0</v>
      </c>
      <c r="U33" s="22">
        <f t="shared" si="75"/>
        <v>0</v>
      </c>
      <c r="V33" s="22">
        <f t="shared" si="76"/>
        <v>104397</v>
      </c>
      <c r="W33" s="23">
        <f t="shared" si="77"/>
        <v>104308.91238670696</v>
      </c>
      <c r="X33" s="21">
        <f t="shared" si="78"/>
        <v>104308.91238670696</v>
      </c>
      <c r="Y33" s="42">
        <v>0.95</v>
      </c>
      <c r="Z33" s="22">
        <f t="shared" si="79"/>
        <v>99093.466767371603</v>
      </c>
      <c r="AA33" s="25">
        <f t="shared" si="80"/>
        <v>2.4560232989956063E-2</v>
      </c>
      <c r="AB33" s="22"/>
      <c r="AC33" s="22">
        <f t="shared" si="81"/>
        <v>23206.23</v>
      </c>
      <c r="AD33" s="24">
        <f t="shared" si="82"/>
        <v>0.22247600391006842</v>
      </c>
    </row>
    <row r="34" spans="1:30" x14ac:dyDescent="0.25">
      <c r="A34" t="str">
        <f t="shared" si="83"/>
        <v>04-Aug-26</v>
      </c>
      <c r="B34" s="37">
        <f t="shared" si="84"/>
        <v>4</v>
      </c>
      <c r="C34" s="38">
        <v>46238</v>
      </c>
      <c r="D34" s="32">
        <v>1000000</v>
      </c>
      <c r="E34" s="4">
        <v>2748.9</v>
      </c>
      <c r="F34" s="4">
        <v>17.57</v>
      </c>
      <c r="G34" s="18">
        <v>7.37</v>
      </c>
      <c r="H34" s="19">
        <v>0</v>
      </c>
      <c r="I34" s="5">
        <v>0</v>
      </c>
      <c r="J34" s="5">
        <v>510</v>
      </c>
      <c r="K34" s="20">
        <v>1789</v>
      </c>
      <c r="L34" s="26">
        <f t="shared" si="70"/>
        <v>0</v>
      </c>
      <c r="M34" s="27">
        <f t="shared" si="71"/>
        <v>0</v>
      </c>
      <c r="N34" s="27">
        <f t="shared" si="72"/>
        <v>8960.7000000000007</v>
      </c>
      <c r="O34" s="28">
        <f t="shared" si="73"/>
        <v>13184.93</v>
      </c>
      <c r="P34" s="39">
        <v>0.26100000000000001</v>
      </c>
      <c r="Q34" s="40">
        <v>2.76E-2</v>
      </c>
      <c r="R34" s="40">
        <v>0.09</v>
      </c>
      <c r="S34" s="41">
        <v>0.13239999999999999</v>
      </c>
      <c r="T34" s="21">
        <f t="shared" si="74"/>
        <v>0</v>
      </c>
      <c r="U34" s="22">
        <f t="shared" si="75"/>
        <v>0</v>
      </c>
      <c r="V34" s="22">
        <f t="shared" si="76"/>
        <v>99563.333333333343</v>
      </c>
      <c r="W34" s="23">
        <f t="shared" si="77"/>
        <v>99584.063444108775</v>
      </c>
      <c r="X34" s="21">
        <f t="shared" si="78"/>
        <v>99584.063444108775</v>
      </c>
      <c r="Y34" s="42">
        <v>0.95</v>
      </c>
      <c r="Z34" s="22">
        <f t="shared" si="79"/>
        <v>94604.860271903337</v>
      </c>
      <c r="AA34" s="25">
        <f t="shared" si="80"/>
        <v>2.3447735618280396E-2</v>
      </c>
      <c r="AB34" s="22"/>
      <c r="AC34" s="22">
        <f t="shared" si="81"/>
        <v>22145.63</v>
      </c>
      <c r="AD34" s="24">
        <f t="shared" si="82"/>
        <v>0.22238126497448221</v>
      </c>
    </row>
    <row r="35" spans="1:30" x14ac:dyDescent="0.25">
      <c r="A35" t="str">
        <f t="shared" ref="A35" si="85">TEXT(C35,"dd-mmm-yy")</f>
        <v>07-Aug-26</v>
      </c>
      <c r="B35" s="37">
        <f t="shared" ref="B35" si="86">+C35-C34</f>
        <v>3</v>
      </c>
      <c r="C35" s="38">
        <v>46241</v>
      </c>
      <c r="D35" s="32">
        <v>1000000</v>
      </c>
      <c r="E35" s="4">
        <v>2760.78</v>
      </c>
      <c r="F35" s="4">
        <v>20.32</v>
      </c>
      <c r="G35" s="18">
        <v>7.98</v>
      </c>
      <c r="H35" s="19">
        <v>0</v>
      </c>
      <c r="I35" s="5">
        <v>0</v>
      </c>
      <c r="J35" s="5">
        <v>443</v>
      </c>
      <c r="K35" s="20">
        <v>1658</v>
      </c>
      <c r="L35" s="26">
        <f t="shared" si="70"/>
        <v>0</v>
      </c>
      <c r="M35" s="27">
        <f t="shared" si="71"/>
        <v>0</v>
      </c>
      <c r="N35" s="27">
        <f t="shared" si="72"/>
        <v>9001.76</v>
      </c>
      <c r="O35" s="28">
        <f t="shared" si="73"/>
        <v>13230.84</v>
      </c>
      <c r="P35" s="39">
        <v>0.26100000000000001</v>
      </c>
      <c r="Q35" s="40">
        <v>2.76E-2</v>
      </c>
      <c r="R35" s="40">
        <v>0.09</v>
      </c>
      <c r="S35" s="41">
        <v>0.13239999999999999</v>
      </c>
      <c r="T35" s="21">
        <f t="shared" si="74"/>
        <v>0</v>
      </c>
      <c r="U35" s="22">
        <f t="shared" si="75"/>
        <v>0</v>
      </c>
      <c r="V35" s="22">
        <f t="shared" si="76"/>
        <v>100019.55555555556</v>
      </c>
      <c r="W35" s="23">
        <f t="shared" si="77"/>
        <v>99930.8157099698</v>
      </c>
      <c r="X35" s="21">
        <f t="shared" si="78"/>
        <v>99930.8157099698</v>
      </c>
      <c r="Y35" s="42">
        <v>0.95</v>
      </c>
      <c r="Z35" s="22">
        <f t="shared" si="79"/>
        <v>94934.274924471305</v>
      </c>
      <c r="AA35" s="25">
        <f t="shared" si="80"/>
        <v>2.3529380764840541E-2</v>
      </c>
      <c r="AB35" s="22"/>
      <c r="AC35" s="22">
        <f t="shared" si="81"/>
        <v>22232.6</v>
      </c>
      <c r="AD35" s="24">
        <f t="shared" si="82"/>
        <v>0.22247992115391008</v>
      </c>
    </row>
    <row r="36" spans="1:30" x14ac:dyDescent="0.25">
      <c r="A36" t="str">
        <f t="shared" ref="A36:A37" si="87">TEXT(C36,"dd-mmm-yy")</f>
        <v>11-Aug-26</v>
      </c>
      <c r="B36" s="37">
        <f t="shared" ref="B36:B37" si="88">+C36-C35</f>
        <v>4</v>
      </c>
      <c r="C36" s="38">
        <v>46245</v>
      </c>
      <c r="D36" s="32">
        <v>1000000</v>
      </c>
      <c r="E36" s="4">
        <v>2559.98</v>
      </c>
      <c r="F36" s="4">
        <v>21.02</v>
      </c>
      <c r="G36" s="18">
        <v>8.0500000000000007</v>
      </c>
      <c r="H36" s="19">
        <v>0</v>
      </c>
      <c r="I36" s="5">
        <v>0</v>
      </c>
      <c r="J36" s="5">
        <v>397</v>
      </c>
      <c r="K36" s="20">
        <v>1525</v>
      </c>
      <c r="L36" s="26">
        <f t="shared" si="70"/>
        <v>0</v>
      </c>
      <c r="M36" s="27">
        <f t="shared" si="71"/>
        <v>0</v>
      </c>
      <c r="N36" s="27">
        <f t="shared" si="72"/>
        <v>8344.94</v>
      </c>
      <c r="O36" s="28">
        <f t="shared" si="73"/>
        <v>12276.250000000002</v>
      </c>
      <c r="P36" s="39">
        <v>0.26100000000000001</v>
      </c>
      <c r="Q36" s="40">
        <v>2.76E-2</v>
      </c>
      <c r="R36" s="40">
        <v>0.09</v>
      </c>
      <c r="S36" s="41">
        <v>0.13239999999999999</v>
      </c>
      <c r="T36" s="21">
        <f t="shared" si="74"/>
        <v>0</v>
      </c>
      <c r="U36" s="22">
        <f t="shared" si="75"/>
        <v>0</v>
      </c>
      <c r="V36" s="22">
        <f t="shared" si="76"/>
        <v>92721.555555555562</v>
      </c>
      <c r="W36" s="23">
        <f t="shared" si="77"/>
        <v>92720.921450151072</v>
      </c>
      <c r="X36" s="21">
        <f t="shared" si="78"/>
        <v>92720.921450151072</v>
      </c>
      <c r="Y36" s="42">
        <v>0.95</v>
      </c>
      <c r="Z36" s="22">
        <f t="shared" si="79"/>
        <v>88084.875377643519</v>
      </c>
      <c r="AA36" s="25">
        <f t="shared" si="80"/>
        <v>2.1831762806773698E-2</v>
      </c>
      <c r="AB36" s="22"/>
      <c r="AC36" s="22">
        <f t="shared" si="81"/>
        <v>20621.190000000002</v>
      </c>
      <c r="AD36" s="24">
        <f t="shared" si="82"/>
        <v>0.2224006154974035</v>
      </c>
    </row>
    <row r="37" spans="1:30" x14ac:dyDescent="0.25">
      <c r="A37" t="str">
        <f t="shared" si="87"/>
        <v>14-Aug-26</v>
      </c>
      <c r="B37" s="37">
        <f t="shared" si="88"/>
        <v>3</v>
      </c>
      <c r="C37" s="38">
        <v>46248</v>
      </c>
      <c r="D37" s="32">
        <v>1000000</v>
      </c>
      <c r="E37" s="4">
        <v>2897.38</v>
      </c>
      <c r="F37" s="4">
        <v>19.16</v>
      </c>
      <c r="G37" s="18">
        <v>7.52</v>
      </c>
      <c r="H37" s="19">
        <v>0</v>
      </c>
      <c r="I37" s="5">
        <v>0</v>
      </c>
      <c r="J37" s="5">
        <v>493</v>
      </c>
      <c r="K37" s="20">
        <v>1847</v>
      </c>
      <c r="L37" s="26">
        <f t="shared" si="70"/>
        <v>0</v>
      </c>
      <c r="M37" s="27">
        <f t="shared" si="71"/>
        <v>0</v>
      </c>
      <c r="N37" s="27">
        <f t="shared" si="72"/>
        <v>9445.8799999999992</v>
      </c>
      <c r="O37" s="28">
        <f t="shared" si="73"/>
        <v>13889.439999999999</v>
      </c>
      <c r="P37" s="39">
        <v>0.26100000000000001</v>
      </c>
      <c r="Q37" s="40">
        <v>2.76E-2</v>
      </c>
      <c r="R37" s="40">
        <v>0.09</v>
      </c>
      <c r="S37" s="41">
        <v>0.13239999999999999</v>
      </c>
      <c r="T37" s="21">
        <f t="shared" si="74"/>
        <v>0</v>
      </c>
      <c r="U37" s="22">
        <f t="shared" si="75"/>
        <v>0</v>
      </c>
      <c r="V37" s="22">
        <f t="shared" si="76"/>
        <v>104954.22222222222</v>
      </c>
      <c r="W37" s="23">
        <f t="shared" si="77"/>
        <v>104905.13595166164</v>
      </c>
      <c r="X37" s="21">
        <f t="shared" si="78"/>
        <v>104905.13595166164</v>
      </c>
      <c r="Y37" s="42">
        <v>0.95</v>
      </c>
      <c r="Z37" s="22">
        <f t="shared" si="79"/>
        <v>99659.879154078546</v>
      </c>
      <c r="AA37" s="25">
        <f t="shared" si="80"/>
        <v>2.4700617827016786E-2</v>
      </c>
      <c r="AB37" s="22"/>
      <c r="AC37" s="22">
        <f t="shared" si="81"/>
        <v>23335.32</v>
      </c>
      <c r="AD37" s="24">
        <f t="shared" si="82"/>
        <v>0.2224421119929961</v>
      </c>
    </row>
    <row r="38" spans="1:30" x14ac:dyDescent="0.25">
      <c r="B38" s="37"/>
      <c r="C38" s="38"/>
      <c r="D38" s="32"/>
      <c r="E38" s="4"/>
      <c r="F38" s="4"/>
      <c r="G38" s="18"/>
      <c r="H38" s="19"/>
      <c r="I38" s="5"/>
      <c r="J38" s="5"/>
      <c r="K38" s="20"/>
      <c r="L38" s="26"/>
      <c r="M38" s="27"/>
      <c r="N38" s="27"/>
      <c r="O38" s="28"/>
      <c r="P38" s="29"/>
      <c r="Q38" s="30"/>
      <c r="R38" s="30"/>
      <c r="S38" s="31"/>
      <c r="T38" s="21"/>
      <c r="U38" s="22"/>
      <c r="V38" s="22"/>
      <c r="W38" s="23"/>
      <c r="X38" s="21"/>
      <c r="Y38" s="4"/>
      <c r="Z38" s="22"/>
      <c r="AA38" s="25"/>
      <c r="AB38" s="22"/>
      <c r="AC38" s="22"/>
      <c r="AD38" s="24"/>
    </row>
    <row r="39" spans="1:30" x14ac:dyDescent="0.25">
      <c r="B39" s="37"/>
      <c r="C39" s="38"/>
      <c r="D39" s="32"/>
      <c r="E39" s="4"/>
      <c r="F39" s="4"/>
      <c r="G39" s="18"/>
      <c r="H39" s="19"/>
      <c r="I39" s="5"/>
      <c r="J39" s="5"/>
      <c r="K39" s="20"/>
      <c r="L39" s="26"/>
      <c r="M39" s="27"/>
      <c r="N39" s="27"/>
      <c r="O39" s="28"/>
      <c r="P39" s="29"/>
      <c r="Q39" s="30"/>
      <c r="R39" s="30"/>
      <c r="S39" s="31"/>
      <c r="T39" s="21"/>
      <c r="U39" s="22"/>
      <c r="V39" s="22"/>
      <c r="W39" s="23"/>
      <c r="X39" s="44" t="s">
        <v>25</v>
      </c>
      <c r="Y39" s="4"/>
      <c r="Z39" s="22"/>
      <c r="AA39" s="25"/>
      <c r="AB39" s="22"/>
      <c r="AC39" s="22"/>
      <c r="AD39" s="24"/>
    </row>
    <row r="40" spans="1:30" x14ac:dyDescent="0.25">
      <c r="B40" s="37"/>
      <c r="C40" s="38"/>
      <c r="D40" s="32"/>
      <c r="E40" s="4"/>
      <c r="F40" s="4"/>
      <c r="G40" s="18"/>
      <c r="H40" s="19"/>
      <c r="I40" s="5"/>
      <c r="J40" s="5"/>
      <c r="K40" s="20"/>
      <c r="L40" s="26"/>
      <c r="M40" s="27"/>
      <c r="N40" s="27"/>
      <c r="O40" s="28"/>
      <c r="P40" s="29"/>
      <c r="Q40" s="30"/>
      <c r="R40" s="30"/>
      <c r="S40" s="31"/>
      <c r="T40" s="21"/>
      <c r="U40" s="22"/>
      <c r="V40" s="22"/>
      <c r="W40" s="23"/>
      <c r="X40" s="21"/>
      <c r="Y40" s="4"/>
      <c r="Z40" s="22"/>
      <c r="AA40" s="25"/>
      <c r="AB40" s="22"/>
      <c r="AC40" s="22"/>
      <c r="AD40" s="24"/>
    </row>
    <row r="41" spans="1:30" x14ac:dyDescent="0.25">
      <c r="B41" s="37"/>
      <c r="C41" s="38"/>
      <c r="D41" s="32"/>
      <c r="E41" s="4"/>
      <c r="F41" s="4"/>
      <c r="G41" s="18"/>
      <c r="H41" s="19"/>
      <c r="I41" s="5"/>
      <c r="J41" s="5"/>
      <c r="K41" s="20"/>
      <c r="L41" s="26"/>
      <c r="M41" s="27"/>
      <c r="N41" s="27"/>
      <c r="O41" s="28"/>
      <c r="P41" s="29"/>
      <c r="Q41" s="30"/>
      <c r="R41" s="30"/>
      <c r="S41" s="31"/>
      <c r="T41" s="21"/>
      <c r="U41" s="22"/>
      <c r="V41" s="22"/>
      <c r="W41" s="23"/>
      <c r="X41" s="21"/>
      <c r="Y41" s="4"/>
      <c r="Z41" s="22"/>
      <c r="AA41" s="25"/>
      <c r="AB41" s="22"/>
      <c r="AC41" s="22"/>
      <c r="AD41" s="24"/>
    </row>
    <row r="42" spans="1:30" x14ac:dyDescent="0.25">
      <c r="B42" s="37"/>
      <c r="C42" s="38"/>
      <c r="D42" s="32"/>
      <c r="E42" s="4"/>
      <c r="F42" s="4"/>
      <c r="G42" s="18"/>
      <c r="H42" s="19"/>
      <c r="I42" s="5"/>
      <c r="J42" s="5"/>
      <c r="K42" s="20"/>
      <c r="L42" s="26"/>
      <c r="M42" s="27"/>
      <c r="N42" s="27"/>
      <c r="O42" s="28"/>
      <c r="P42" s="29"/>
      <c r="Q42" s="30"/>
      <c r="R42" s="30"/>
      <c r="S42" s="31"/>
      <c r="T42" s="21"/>
      <c r="U42" s="22"/>
      <c r="V42" s="22"/>
      <c r="W42" s="23"/>
      <c r="X42" s="21"/>
      <c r="Y42" s="4"/>
      <c r="Z42" s="22"/>
      <c r="AA42" s="25"/>
      <c r="AB42" s="22"/>
      <c r="AC42" s="22"/>
      <c r="AD42" s="24"/>
    </row>
  </sheetData>
  <phoneticPr fontId="3" type="noConversion"/>
  <pageMargins left="0.7" right="0.7" top="0.75" bottom="0.75" header="0.3" footer="0.3"/>
  <pageSetup paperSize="9" scale="96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2035FD4592B940B8CC451C160B5430" ma:contentTypeVersion="13" ma:contentTypeDescription="Create a new document." ma:contentTypeScope="" ma:versionID="36ad4a2f1f9c06a378fe62b4e8bd2e34">
  <xsd:schema xmlns:xsd="http://www.w3.org/2001/XMLSchema" xmlns:xs="http://www.w3.org/2001/XMLSchema" xmlns:p="http://schemas.microsoft.com/office/2006/metadata/properties" xmlns:ns2="aff42850-5a5d-46ab-8d3c-8b08a9b188ae" xmlns:ns3="fe8c01d5-b9ae-4f51-9ba7-1a87a296ebe7" targetNamespace="http://schemas.microsoft.com/office/2006/metadata/properties" ma:root="true" ma:fieldsID="d440fae5a415c8cb40afe9137f0cd3bb" ns2:_="" ns3:_="">
    <xsd:import namespace="aff42850-5a5d-46ab-8d3c-8b08a9b188ae"/>
    <xsd:import namespace="fe8c01d5-b9ae-4f51-9ba7-1a87a296e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42850-5a5d-46ab-8d3c-8b08a9b188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a75e7b2-b228-4221-bdb1-9660e8795d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Number" ma:index="20" nillable="true" ma:displayName="Number" ma:format="Dropdown" ma:indexed="true" ma:internalName="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c01d5-b9ae-4f51-9ba7-1a87a296eb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454fe97-4891-4668-abca-8dff6fbfe58e}" ma:internalName="TaxCatchAll" ma:showField="CatchAllData" ma:web="fe8c01d5-b9ae-4f51-9ba7-1a87a296e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f42850-5a5d-46ab-8d3c-8b08a9b188ae">
      <Terms xmlns="http://schemas.microsoft.com/office/infopath/2007/PartnerControls"/>
    </lcf76f155ced4ddcb4097134ff3c332f>
    <TaxCatchAll xmlns="fe8c01d5-b9ae-4f51-9ba7-1a87a296ebe7" xsi:nil="true"/>
    <Number xmlns="aff42850-5a5d-46ab-8d3c-8b08a9b188ae" xsi:nil="true"/>
  </documentManagement>
</p:properties>
</file>

<file path=customXml/itemProps1.xml><?xml version="1.0" encoding="utf-8"?>
<ds:datastoreItem xmlns:ds="http://schemas.openxmlformats.org/officeDocument/2006/customXml" ds:itemID="{DD94BD81-1F99-4FF0-B219-84FF21D81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42850-5a5d-46ab-8d3c-8b08a9b188ae"/>
    <ds:schemaRef ds:uri="fe8c01d5-b9ae-4f51-9ba7-1a87a296e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695A7A-394B-4227-B2B7-B9DC2A3A2A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3EB71A-1C34-473A-9879-C029AF6A05D7}">
  <ds:schemaRefs>
    <ds:schemaRef ds:uri="http://schemas.microsoft.com/office/2006/metadata/properties"/>
    <ds:schemaRef ds:uri="http://schemas.microsoft.com/office/infopath/2007/PartnerControls"/>
    <ds:schemaRef ds:uri="aff42850-5a5d-46ab-8d3c-8b08a9b188ae"/>
    <ds:schemaRef ds:uri="fe8c01d5-b9ae-4f51-9ba7-1a87a296eb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</vt:lpstr>
      <vt:lpstr>Actual Draws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cp:lastPrinted>2026-08-16T03:36:44Z</cp:lastPrinted>
  <dcterms:created xsi:type="dcterms:W3CDTF">2026-05-04T05:29:12Z</dcterms:created>
  <dcterms:modified xsi:type="dcterms:W3CDTF">2026-08-17T05:01:27Z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2026-05-04T05:50:03Z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8d038fe9-8676-4ebb-b13b-929821496313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  <property fmtid="{D5CDD505-2E9C-101B-9397-08002B2CF9AE}" pid="10" name="ContentTypeId">
    <vt:lpwstr>0x010100992035FD4592B940B8CC451C160B5430</vt:lpwstr>
  </property>
  <property fmtid="{D5CDD505-2E9C-101B-9397-08002B2CF9AE}" pid="11" name="Id">
    <vt:lpwstr>873af503-c3c7-47b1-9adc-c445a9371c05</vt:lpwstr>
  </property>
</Properties>
</file>