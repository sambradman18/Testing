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codeName="ThisWorkbook"/>
  <mc:AlternateContent xmlns:mc="http://schemas.openxmlformats.org/markup-compatibility/2006">
    <mc:Choice Requires="x15">
      <x15ac:absPath xmlns:x15ac="http://schemas.microsoft.com/office/spreadsheetml/2010/11/ac" url="P:\Research\SB - Research\4. Lotteries\3. Market Data\5. Alt Products\"/>
    </mc:Choice>
  </mc:AlternateContent>
  <xr:revisionPtr revIDLastSave="0" documentId="13_ncr:1_{1DEECD6B-396B-45C8-806F-15F0C56E02B2}" xr6:coauthVersionLast="47" xr6:coauthVersionMax="47" xr10:uidLastSave="{00000000-0000-0000-0000-000000000000}"/>
  <bookViews>
    <workbookView xWindow="-120" yWindow="-120" windowWidth="29040" windowHeight="15720" tabRatio="571" activeTab="7" xr2:uid="{00000000-000D-0000-FFFF-FFFF00000000}"/>
  </bookViews>
  <sheets>
    <sheet name="Rewards Clubs" sheetId="20" r:id="rId1"/>
    <sheet name="Full List" sheetId="6" r:id="rId2"/>
    <sheet name="LMCT+" sheetId="21" r:id="rId3"/>
    <sheet name="TP Stats" sheetId="9" r:id="rId4"/>
    <sheet name="Marketing Channels" sheetId="11" r:id="rId5"/>
    <sheet name="Kogan" sheetId="10" r:id="rId6"/>
    <sheet name="Impact on SA" sheetId="8" r:id="rId7"/>
    <sheet name="Regulation" sheetId="19" r:id="rId8"/>
    <sheet name="Permits"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1" l="1"/>
  <c r="H5" i="21" s="1"/>
  <c r="I5" i="21" s="1"/>
  <c r="H6" i="21" s="1"/>
  <c r="I6" i="21" s="1"/>
  <c r="H7" i="21" s="1"/>
  <c r="I7" i="21" s="1"/>
  <c r="H8" i="21" s="1"/>
  <c r="I8" i="21" s="1"/>
  <c r="H9" i="21" s="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25" i="8"/>
  <c r="E25" i="8"/>
  <c r="F25" i="8"/>
  <c r="G25" i="8"/>
  <c r="G28" i="8" s="1"/>
  <c r="H25" i="8"/>
  <c r="H28" i="8" s="1"/>
  <c r="C25" i="8"/>
  <c r="D24" i="8"/>
  <c r="E24" i="8"/>
  <c r="F24" i="8"/>
  <c r="F27" i="8" s="1"/>
  <c r="G24" i="8"/>
  <c r="G27" i="8" s="1"/>
  <c r="H24" i="8"/>
  <c r="C24" i="8"/>
  <c r="F28" i="8" l="1"/>
  <c r="D28" i="8"/>
  <c r="D27" i="8"/>
  <c r="E28" i="8"/>
  <c r="H27" i="8"/>
  <c r="E27" i="8"/>
  <c r="I9" i="21"/>
  <c r="H10" i="21" s="1"/>
  <c r="I12" i="8"/>
  <c r="H12" i="8"/>
  <c r="G12" i="8"/>
  <c r="C7" i="8"/>
  <c r="D7" i="8"/>
  <c r="E7" i="8"/>
  <c r="F7" i="8"/>
  <c r="G7" i="8"/>
  <c r="G8" i="8" s="1"/>
  <c r="H7" i="8"/>
  <c r="I7" i="8"/>
  <c r="K9" i="21" l="1"/>
  <c r="I10" i="21"/>
  <c r="H11" i="21" s="1"/>
  <c r="L9" i="21"/>
  <c r="O9" i="21" s="1"/>
  <c r="J9" i="21"/>
  <c r="E8" i="8"/>
  <c r="I8" i="8"/>
  <c r="F8" i="8"/>
  <c r="D8" i="8"/>
  <c r="H8" i="8"/>
  <c r="I11" i="21" l="1"/>
  <c r="H12" i="21" s="1"/>
  <c r="L10" i="21"/>
  <c r="K10" i="21"/>
  <c r="J10" i="21"/>
  <c r="K19" i="14"/>
  <c r="M10" i="21" l="1"/>
  <c r="O10" i="21"/>
  <c r="I12" i="21"/>
  <c r="H13" i="21" s="1"/>
  <c r="L11" i="21"/>
  <c r="J11" i="21"/>
  <c r="K11" i="21"/>
  <c r="H49" i="11"/>
  <c r="H50" i="11" s="1"/>
  <c r="L13" i="11"/>
  <c r="K13" i="11"/>
  <c r="J13" i="11"/>
  <c r="I13" i="11"/>
  <c r="H13" i="11"/>
  <c r="G13" i="11"/>
  <c r="F13" i="11"/>
  <c r="D13" i="11"/>
  <c r="T16" i="6"/>
  <c r="AA205" i="6"/>
  <c r="Z205" i="6"/>
  <c r="Y205" i="6"/>
  <c r="X205" i="6"/>
  <c r="W205" i="6"/>
  <c r="V205" i="6"/>
  <c r="Q205" i="6"/>
  <c r="R205" i="6"/>
  <c r="P205" i="6"/>
  <c r="AM11" i="10"/>
  <c r="AM54" i="10" s="1"/>
  <c r="AN11" i="10"/>
  <c r="AN54" i="10" s="1"/>
  <c r="AM58" i="10"/>
  <c r="AL58" i="10"/>
  <c r="AK58" i="10"/>
  <c r="AJ58" i="10"/>
  <c r="AN58" i="10"/>
  <c r="T33" i="6"/>
  <c r="T32" i="6"/>
  <c r="T28" i="6"/>
  <c r="T27" i="6"/>
  <c r="T26" i="6"/>
  <c r="T18" i="6"/>
  <c r="T17" i="6"/>
  <c r="T15" i="6"/>
  <c r="T14" i="6"/>
  <c r="T204" i="6"/>
  <c r="T203" i="6"/>
  <c r="T202" i="6"/>
  <c r="T201" i="6"/>
  <c r="T195" i="6"/>
  <c r="T194" i="6"/>
  <c r="T193" i="6"/>
  <c r="T200" i="6"/>
  <c r="T199" i="6"/>
  <c r="L46" i="9"/>
  <c r="M46" i="9" s="1"/>
  <c r="L47" i="9"/>
  <c r="M47" i="9" s="1"/>
  <c r="H45" i="9"/>
  <c r="I45" i="9"/>
  <c r="H46" i="9"/>
  <c r="I46" i="9"/>
  <c r="H47" i="9"/>
  <c r="I47" i="9"/>
  <c r="AA75" i="6"/>
  <c r="AA76" i="6"/>
  <c r="E13" i="11"/>
  <c r="C13" i="11"/>
  <c r="T75" i="6"/>
  <c r="T76" i="6"/>
  <c r="T74" i="6"/>
  <c r="R44" i="10"/>
  <c r="N44" i="10"/>
  <c r="L44" i="10"/>
  <c r="L36" i="10"/>
  <c r="J44" i="10"/>
  <c r="J36" i="10"/>
  <c r="K25" i="10"/>
  <c r="M25" i="10"/>
  <c r="O25" i="10"/>
  <c r="Q25" i="10"/>
  <c r="I25" i="10"/>
  <c r="C40" i="10"/>
  <c r="D40" i="10"/>
  <c r="E40" i="10"/>
  <c r="F40" i="10"/>
  <c r="G40" i="10"/>
  <c r="Q15" i="10"/>
  <c r="O15" i="10"/>
  <c r="M15" i="10"/>
  <c r="K15" i="10"/>
  <c r="I15" i="10"/>
  <c r="Q13" i="10"/>
  <c r="O13" i="10"/>
  <c r="M13" i="10"/>
  <c r="K13" i="10"/>
  <c r="I13" i="10"/>
  <c r="Q18" i="10"/>
  <c r="O18" i="10"/>
  <c r="M18" i="10"/>
  <c r="K18" i="10"/>
  <c r="I18" i="10"/>
  <c r="G18" i="10"/>
  <c r="F18" i="10"/>
  <c r="E18" i="10"/>
  <c r="D18" i="10"/>
  <c r="C18" i="10"/>
  <c r="Q7" i="10"/>
  <c r="P7" i="10"/>
  <c r="O7" i="10"/>
  <c r="N7" i="10"/>
  <c r="M7" i="10"/>
  <c r="K7" i="10"/>
  <c r="I7" i="10"/>
  <c r="D7" i="10"/>
  <c r="E7" i="10"/>
  <c r="F7" i="10"/>
  <c r="C7" i="10"/>
  <c r="T51" i="10"/>
  <c r="AG51" i="10"/>
  <c r="AE51" i="10"/>
  <c r="AD51" i="10"/>
  <c r="W51" i="10"/>
  <c r="V51" i="10"/>
  <c r="U51" i="10"/>
  <c r="X48" i="10"/>
  <c r="X51" i="10" s="1"/>
  <c r="Y47" i="10"/>
  <c r="R36" i="10"/>
  <c r="N36" i="10"/>
  <c r="Q23" i="10"/>
  <c r="O23" i="10"/>
  <c r="M23" i="10"/>
  <c r="K23" i="10"/>
  <c r="I23" i="10"/>
  <c r="Q21" i="10"/>
  <c r="O21" i="10"/>
  <c r="M21" i="10"/>
  <c r="K21" i="10"/>
  <c r="I21" i="10"/>
  <c r="N19" i="10"/>
  <c r="N23" i="10" s="1"/>
  <c r="N17" i="10"/>
  <c r="N21" i="10" s="1"/>
  <c r="R19" i="10"/>
  <c r="R17" i="10"/>
  <c r="L19" i="10"/>
  <c r="L17" i="10"/>
  <c r="J19" i="10"/>
  <c r="J17" i="10"/>
  <c r="J8" i="10"/>
  <c r="J6" i="10"/>
  <c r="L8" i="10"/>
  <c r="L6" i="10"/>
  <c r="R8" i="10"/>
  <c r="Z8" i="10"/>
  <c r="Z6" i="10"/>
  <c r="AB10" i="10" s="1"/>
  <c r="AB53" i="10" s="1"/>
  <c r="AD8" i="10"/>
  <c r="AD6" i="10"/>
  <c r="AA11" i="10" s="1"/>
  <c r="AF8" i="10"/>
  <c r="AF6" i="10"/>
  <c r="Y48" i="10"/>
  <c r="Z48" i="10"/>
  <c r="Z51" i="10" s="1"/>
  <c r="AA48" i="10"/>
  <c r="AA51" i="10" s="1"/>
  <c r="D34" i="10"/>
  <c r="D35" i="10" s="1"/>
  <c r="G51" i="10"/>
  <c r="F51" i="10"/>
  <c r="E51" i="10"/>
  <c r="D51" i="10"/>
  <c r="C51" i="10"/>
  <c r="R51" i="10"/>
  <c r="Q51" i="10"/>
  <c r="P51" i="10"/>
  <c r="O51" i="10"/>
  <c r="N51" i="10"/>
  <c r="M51" i="10"/>
  <c r="L51" i="10"/>
  <c r="K51" i="10"/>
  <c r="J51" i="10"/>
  <c r="I51" i="10"/>
  <c r="AB51" i="10"/>
  <c r="AC51" i="10"/>
  <c r="AF51" i="10"/>
  <c r="AH51" i="10"/>
  <c r="AI51" i="10"/>
  <c r="AJ51" i="10"/>
  <c r="AK51" i="10"/>
  <c r="AL51" i="10"/>
  <c r="AM51" i="10"/>
  <c r="AN51" i="10"/>
  <c r="AB50" i="10"/>
  <c r="AA50" i="10"/>
  <c r="Z50" i="10"/>
  <c r="AC50" i="10"/>
  <c r="M34" i="10"/>
  <c r="M35" i="10" s="1"/>
  <c r="V3" i="10"/>
  <c r="W3" i="10" s="1"/>
  <c r="X3" i="10" s="1"/>
  <c r="Y3" i="10" s="1"/>
  <c r="Z3" i="10" s="1"/>
  <c r="AA3" i="10" s="1"/>
  <c r="AB3" i="10" s="1"/>
  <c r="AC3" i="10" s="1"/>
  <c r="AD3" i="10" s="1"/>
  <c r="AE3" i="10" s="1"/>
  <c r="AF3" i="10" s="1"/>
  <c r="AG3" i="10" s="1"/>
  <c r="AH3" i="10" s="1"/>
  <c r="AI3" i="10" s="1"/>
  <c r="AJ3" i="10" s="1"/>
  <c r="AK3" i="10" s="1"/>
  <c r="AL3" i="10" s="1"/>
  <c r="AM3" i="10" s="1"/>
  <c r="AN3" i="10" s="1"/>
  <c r="G23" i="10"/>
  <c r="F23" i="10"/>
  <c r="E23" i="10"/>
  <c r="D23" i="10"/>
  <c r="C23" i="10"/>
  <c r="F21" i="10"/>
  <c r="E21" i="10"/>
  <c r="D21" i="10"/>
  <c r="C21" i="10"/>
  <c r="G15" i="10"/>
  <c r="F15" i="10"/>
  <c r="E15" i="10"/>
  <c r="D15" i="10"/>
  <c r="F13" i="10"/>
  <c r="E13" i="10"/>
  <c r="D13" i="10"/>
  <c r="C13" i="10"/>
  <c r="C15" i="10"/>
  <c r="E34" i="10"/>
  <c r="E38" i="10" s="1"/>
  <c r="P17" i="10"/>
  <c r="P21" i="10" s="1"/>
  <c r="P19" i="10"/>
  <c r="P15" i="10" s="1"/>
  <c r="P44" i="10"/>
  <c r="P43" i="10"/>
  <c r="P42" i="10"/>
  <c r="P36" i="10"/>
  <c r="P34" i="10" s="1"/>
  <c r="AL8" i="10"/>
  <c r="AH8" i="10"/>
  <c r="O34" i="10"/>
  <c r="Q34" i="10"/>
  <c r="Q35" i="10" s="1"/>
  <c r="AH6" i="10"/>
  <c r="AK10" i="10" s="1"/>
  <c r="AK53" i="10" s="1"/>
  <c r="AL6" i="10"/>
  <c r="G6" i="10" s="1"/>
  <c r="R6" i="10" s="1"/>
  <c r="J3" i="10"/>
  <c r="K3" i="10" s="1"/>
  <c r="L3" i="10" s="1"/>
  <c r="M3" i="10" s="1"/>
  <c r="N3" i="10" s="1"/>
  <c r="O3" i="10" s="1"/>
  <c r="P3" i="10" s="1"/>
  <c r="Q3" i="10" s="1"/>
  <c r="R3" i="10" s="1"/>
  <c r="D3" i="10"/>
  <c r="E3" i="10" s="1"/>
  <c r="F3" i="10" s="1"/>
  <c r="G3" i="10" s="1"/>
  <c r="G34" i="10"/>
  <c r="L12" i="21" l="1"/>
  <c r="M11" i="21"/>
  <c r="O11" i="21"/>
  <c r="J12" i="21"/>
  <c r="I13" i="21"/>
  <c r="H14" i="21" s="1"/>
  <c r="K12" i="21"/>
  <c r="C14" i="10"/>
  <c r="T34" i="6"/>
  <c r="T9" i="6" s="1"/>
  <c r="AA54" i="10"/>
  <c r="Z11" i="10"/>
  <c r="Z54" i="10" s="1"/>
  <c r="T19" i="6"/>
  <c r="T7" i="6" s="1"/>
  <c r="T205" i="6"/>
  <c r="T11" i="6" s="1"/>
  <c r="AE11" i="10"/>
  <c r="AE54" i="10" s="1"/>
  <c r="Y11" i="10"/>
  <c r="AL11" i="10"/>
  <c r="AL54" i="10" s="1"/>
  <c r="AK11" i="10"/>
  <c r="AK54" i="10" s="1"/>
  <c r="AJ11" i="10"/>
  <c r="AJ54" i="10" s="1"/>
  <c r="AG11" i="10"/>
  <c r="AG54" i="10" s="1"/>
  <c r="AF11" i="10"/>
  <c r="AF54" i="10" s="1"/>
  <c r="AI11" i="10"/>
  <c r="AI54" i="10" s="1"/>
  <c r="AD11" i="10"/>
  <c r="AD54" i="10" s="1"/>
  <c r="AC11" i="10"/>
  <c r="AC54" i="10" s="1"/>
  <c r="AB11" i="10"/>
  <c r="AB54" i="10" s="1"/>
  <c r="AH11" i="10"/>
  <c r="AH54" i="10" s="1"/>
  <c r="Z53" i="10"/>
  <c r="AA53" i="10"/>
  <c r="AG10" i="10"/>
  <c r="AG53" i="10" s="1"/>
  <c r="R21" i="10"/>
  <c r="AH10" i="10"/>
  <c r="AH53" i="10" s="1"/>
  <c r="AD10" i="10"/>
  <c r="AD53" i="10" s="1"/>
  <c r="M14" i="10"/>
  <c r="AE10" i="10"/>
  <c r="AE53" i="10" s="1"/>
  <c r="AF10" i="10"/>
  <c r="AF53" i="10" s="1"/>
  <c r="AC10" i="10"/>
  <c r="AC53" i="10" s="1"/>
  <c r="AN10" i="10"/>
  <c r="AN53" i="10" s="1"/>
  <c r="O22" i="10"/>
  <c r="AI10" i="10"/>
  <c r="AI53" i="10" s="1"/>
  <c r="J7" i="10"/>
  <c r="R34" i="10"/>
  <c r="R32" i="10" s="1"/>
  <c r="AJ10" i="10"/>
  <c r="AJ53" i="10" s="1"/>
  <c r="AL10" i="10"/>
  <c r="AL53" i="10" s="1"/>
  <c r="R25" i="10"/>
  <c r="AM10" i="10"/>
  <c r="AM53" i="10" s="1"/>
  <c r="L7" i="10"/>
  <c r="K22" i="10"/>
  <c r="J21" i="10"/>
  <c r="T29" i="6"/>
  <c r="T8" i="6" s="1"/>
  <c r="D14" i="10"/>
  <c r="E14" i="10"/>
  <c r="R18" i="10"/>
  <c r="O14" i="10"/>
  <c r="F14" i="10"/>
  <c r="L25" i="10"/>
  <c r="R7" i="10"/>
  <c r="Q14" i="10"/>
  <c r="D38" i="10"/>
  <c r="K14" i="10"/>
  <c r="D39" i="10"/>
  <c r="N25" i="10"/>
  <c r="L18" i="10"/>
  <c r="M22" i="10"/>
  <c r="P25" i="10"/>
  <c r="P18" i="10"/>
  <c r="P22" i="10" s="1"/>
  <c r="E35" i="10"/>
  <c r="E39" i="10" s="1"/>
  <c r="J15" i="10"/>
  <c r="L23" i="10"/>
  <c r="F34" i="10"/>
  <c r="F32" i="10" s="1"/>
  <c r="R23" i="10"/>
  <c r="Q22" i="10"/>
  <c r="J25" i="10"/>
  <c r="C22" i="10"/>
  <c r="G35" i="10"/>
  <c r="L13" i="10"/>
  <c r="L21" i="10"/>
  <c r="R15" i="10"/>
  <c r="G38" i="10"/>
  <c r="R13" i="10"/>
  <c r="N34" i="10"/>
  <c r="N32" i="10" s="1"/>
  <c r="N18" i="10"/>
  <c r="N22" i="10" s="1"/>
  <c r="J13" i="10"/>
  <c r="F22" i="10"/>
  <c r="J23" i="10"/>
  <c r="P23" i="10"/>
  <c r="D22" i="10"/>
  <c r="N13" i="10"/>
  <c r="N15" i="10"/>
  <c r="O35" i="10"/>
  <c r="E22" i="10"/>
  <c r="I22" i="10"/>
  <c r="P35" i="10"/>
  <c r="G7" i="10"/>
  <c r="G22" i="10" s="1"/>
  <c r="I14" i="10"/>
  <c r="L15" i="10"/>
  <c r="J18" i="10"/>
  <c r="P13" i="10"/>
  <c r="P14" i="10" s="1"/>
  <c r="Y51" i="10"/>
  <c r="G13" i="10"/>
  <c r="G14" i="10" s="1"/>
  <c r="G21" i="10"/>
  <c r="I14" i="21" l="1"/>
  <c r="H15" i="21" s="1"/>
  <c r="L13" i="21"/>
  <c r="J13" i="21"/>
  <c r="K13" i="21"/>
  <c r="O12" i="21"/>
  <c r="M12" i="21"/>
  <c r="L22" i="10"/>
  <c r="L14" i="10"/>
  <c r="R22" i="10"/>
  <c r="N14" i="10"/>
  <c r="J22" i="10"/>
  <c r="R35" i="10"/>
  <c r="J14" i="10"/>
  <c r="F38" i="10"/>
  <c r="F35" i="10"/>
  <c r="F39" i="10" s="1"/>
  <c r="N35" i="10"/>
  <c r="R14" i="10"/>
  <c r="G39" i="10"/>
  <c r="I15" i="21" l="1"/>
  <c r="H16" i="21" s="1"/>
  <c r="M13" i="21"/>
  <c r="O13" i="21"/>
  <c r="J14" i="21"/>
  <c r="L14" i="21"/>
  <c r="K14" i="21"/>
  <c r="T39" i="6"/>
  <c r="T40" i="6"/>
  <c r="T41" i="6"/>
  <c r="T42" i="6"/>
  <c r="T43" i="6"/>
  <c r="T44" i="6"/>
  <c r="T45" i="6"/>
  <c r="T46" i="6"/>
  <c r="T47" i="6"/>
  <c r="T48" i="6"/>
  <c r="T49" i="6"/>
  <c r="T50" i="6"/>
  <c r="T51" i="6"/>
  <c r="T52" i="6"/>
  <c r="T68" i="6"/>
  <c r="T53" i="6"/>
  <c r="T54" i="6"/>
  <c r="T55" i="6"/>
  <c r="T56" i="6"/>
  <c r="T57" i="6"/>
  <c r="T58" i="6"/>
  <c r="T59" i="6"/>
  <c r="T60" i="6"/>
  <c r="T69" i="6"/>
  <c r="T61" i="6"/>
  <c r="T62" i="6"/>
  <c r="T63" i="6"/>
  <c r="T64" i="6"/>
  <c r="T65" i="6"/>
  <c r="T66" i="6"/>
  <c r="T70" i="6"/>
  <c r="T67" i="6"/>
  <c r="T71" i="6"/>
  <c r="T72" i="6"/>
  <c r="T73" i="6"/>
  <c r="T38" i="6"/>
  <c r="T4" i="9"/>
  <c r="T5" i="9" s="1"/>
  <c r="T6" i="9" s="1"/>
  <c r="T7" i="9" s="1"/>
  <c r="T8" i="9" s="1"/>
  <c r="T9" i="9" s="1"/>
  <c r="T10" i="9" s="1"/>
  <c r="T11" i="9" s="1"/>
  <c r="T12" i="9" s="1"/>
  <c r="T13" i="9" s="1"/>
  <c r="T14" i="9" s="1"/>
  <c r="T15" i="9" s="1"/>
  <c r="T16" i="9" s="1"/>
  <c r="T17" i="9" s="1"/>
  <c r="T18" i="9" s="1"/>
  <c r="T19" i="9" s="1"/>
  <c r="T20" i="9" s="1"/>
  <c r="T21" i="9" s="1"/>
  <c r="T22" i="9" s="1"/>
  <c r="T23" i="9" s="1"/>
  <c r="T24" i="9" s="1"/>
  <c r="T25" i="9" s="1"/>
  <c r="T26" i="9" s="1"/>
  <c r="T27" i="9" s="1"/>
  <c r="T28" i="9" s="1"/>
  <c r="T29" i="9" s="1"/>
  <c r="T30" i="9" s="1"/>
  <c r="T31" i="9" s="1"/>
  <c r="T32" i="9" s="1"/>
  <c r="T33" i="9" s="1"/>
  <c r="T34" i="9" s="1"/>
  <c r="T35" i="9" s="1"/>
  <c r="T36" i="9" s="1"/>
  <c r="T37" i="9" s="1"/>
  <c r="T38" i="9" s="1"/>
  <c r="T39" i="9" s="1"/>
  <c r="T40" i="9" s="1"/>
  <c r="T41" i="9" s="1"/>
  <c r="T42" i="9" s="1"/>
  <c r="T43" i="9" s="1"/>
  <c r="T44" i="9" s="1"/>
  <c r="T45" i="9" s="1"/>
  <c r="T46" i="9" s="1"/>
  <c r="T47" i="9" s="1"/>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3" i="9"/>
  <c r="O14" i="21" l="1"/>
  <c r="M14" i="21"/>
  <c r="J15" i="21"/>
  <c r="L15" i="21"/>
  <c r="I16" i="21"/>
  <c r="H17" i="21" s="1"/>
  <c r="K15" i="21"/>
  <c r="T86" i="6"/>
  <c r="T10" i="6" s="1"/>
  <c r="L42" i="9"/>
  <c r="M42" i="9" s="1"/>
  <c r="L43" i="9"/>
  <c r="M43" i="9" s="1"/>
  <c r="L44" i="9"/>
  <c r="M44" i="9" s="1"/>
  <c r="L45" i="9"/>
  <c r="M45" i="9" s="1"/>
  <c r="L3" i="9"/>
  <c r="M3" i="9" s="1"/>
  <c r="AA39" i="6"/>
  <c r="AA40" i="6"/>
  <c r="AA41" i="6"/>
  <c r="AA42" i="6"/>
  <c r="AA43" i="6"/>
  <c r="AA44" i="6"/>
  <c r="AA45" i="6"/>
  <c r="AA46" i="6"/>
  <c r="AA47" i="6"/>
  <c r="AA48" i="6"/>
  <c r="AA49" i="6"/>
  <c r="AA74" i="6"/>
  <c r="AA50" i="6"/>
  <c r="AA51" i="6"/>
  <c r="AA52" i="6"/>
  <c r="AA68" i="6"/>
  <c r="AA53" i="6"/>
  <c r="AA54" i="6"/>
  <c r="AA55" i="6"/>
  <c r="AA56" i="6"/>
  <c r="AA57" i="6"/>
  <c r="AA58" i="6"/>
  <c r="AA59" i="6"/>
  <c r="AA80" i="6"/>
  <c r="AA60" i="6"/>
  <c r="AA69" i="6"/>
  <c r="AA61" i="6"/>
  <c r="AA62" i="6"/>
  <c r="AA63" i="6"/>
  <c r="AA64" i="6"/>
  <c r="AA65" i="6"/>
  <c r="AA66" i="6"/>
  <c r="AA77" i="6"/>
  <c r="AA79" i="6"/>
  <c r="AA70" i="6"/>
  <c r="AA67" i="6"/>
  <c r="AA71" i="6"/>
  <c r="AA78" i="6"/>
  <c r="AA81" i="6"/>
  <c r="AA82" i="6"/>
  <c r="AA72" i="6"/>
  <c r="AA73" i="6"/>
  <c r="AA38" i="6"/>
  <c r="Z86" i="6"/>
  <c r="Z10" i="6" s="1"/>
  <c r="Y86" i="6"/>
  <c r="Y10" i="6" s="1"/>
  <c r="X86" i="6"/>
  <c r="X10" i="6" s="1"/>
  <c r="W86" i="6"/>
  <c r="W10" i="6" s="1"/>
  <c r="V86" i="6"/>
  <c r="V10" i="6" s="1"/>
  <c r="R86" i="6"/>
  <c r="R10" i="6" s="1"/>
  <c r="Q86" i="6"/>
  <c r="Q10" i="6" s="1"/>
  <c r="P86" i="6"/>
  <c r="P10" i="6" s="1"/>
  <c r="Z11" i="6"/>
  <c r="Y11" i="6"/>
  <c r="X11" i="6"/>
  <c r="W11" i="6"/>
  <c r="V11" i="6"/>
  <c r="R11" i="6"/>
  <c r="Q11" i="6"/>
  <c r="P11" i="6"/>
  <c r="Z34" i="6"/>
  <c r="Z9" i="6" s="1"/>
  <c r="Y34" i="6"/>
  <c r="Y9" i="6" s="1"/>
  <c r="X34" i="6"/>
  <c r="X9" i="6" s="1"/>
  <c r="W34" i="6"/>
  <c r="W9" i="6" s="1"/>
  <c r="V34" i="6"/>
  <c r="V9" i="6" s="1"/>
  <c r="R34" i="6"/>
  <c r="R9" i="6" s="1"/>
  <c r="Q34" i="6"/>
  <c r="Q9" i="6" s="1"/>
  <c r="P34" i="6"/>
  <c r="P9" i="6" s="1"/>
  <c r="Z29" i="6"/>
  <c r="Z8" i="6" s="1"/>
  <c r="Y29" i="6"/>
  <c r="Y8" i="6" s="1"/>
  <c r="X29" i="6"/>
  <c r="X8" i="6" s="1"/>
  <c r="W29" i="6"/>
  <c r="W8" i="6" s="1"/>
  <c r="V29" i="6"/>
  <c r="V8" i="6" s="1"/>
  <c r="R29" i="6"/>
  <c r="R8" i="6" s="1"/>
  <c r="Q29" i="6"/>
  <c r="Q8" i="6" s="1"/>
  <c r="P29" i="6"/>
  <c r="P8" i="6" s="1"/>
  <c r="X19" i="6"/>
  <c r="X7" i="6" s="1"/>
  <c r="Q19" i="6"/>
  <c r="Q7" i="6" s="1"/>
  <c r="R19" i="6"/>
  <c r="R7" i="6" s="1"/>
  <c r="V19" i="6"/>
  <c r="V7" i="6" s="1"/>
  <c r="W19" i="6"/>
  <c r="W7" i="6" s="1"/>
  <c r="Y19" i="6"/>
  <c r="Y7" i="6" s="1"/>
  <c r="Z19" i="6"/>
  <c r="Z7" i="6" s="1"/>
  <c r="P19" i="6"/>
  <c r="P7" i="6" s="1"/>
  <c r="L16" i="21" l="1"/>
  <c r="J16" i="21"/>
  <c r="K16" i="21"/>
  <c r="I17" i="21"/>
  <c r="L17" i="21" s="1"/>
  <c r="O17" i="21" s="1"/>
  <c r="M15" i="21"/>
  <c r="O15" i="21"/>
  <c r="L9" i="6"/>
  <c r="L8" i="6"/>
  <c r="L10" i="6"/>
  <c r="L11" i="6"/>
  <c r="L7" i="6"/>
  <c r="L4" i="9"/>
  <c r="M4" i="9" s="1"/>
  <c r="L5" i="9"/>
  <c r="M5" i="9" s="1"/>
  <c r="L6" i="9"/>
  <c r="M6" i="9" s="1"/>
  <c r="L7" i="9"/>
  <c r="M7" i="9" s="1"/>
  <c r="L8" i="9"/>
  <c r="M8" i="9" s="1"/>
  <c r="L9" i="9"/>
  <c r="M9" i="9" s="1"/>
  <c r="L10" i="9"/>
  <c r="M10" i="9" s="1"/>
  <c r="L11" i="9"/>
  <c r="M11" i="9" s="1"/>
  <c r="L12" i="9"/>
  <c r="M12" i="9" s="1"/>
  <c r="L13" i="9"/>
  <c r="M13" i="9" s="1"/>
  <c r="L14" i="9"/>
  <c r="M14" i="9" s="1"/>
  <c r="L15" i="9"/>
  <c r="M15" i="9" s="1"/>
  <c r="L16" i="9"/>
  <c r="M16" i="9" s="1"/>
  <c r="L17" i="9"/>
  <c r="M17" i="9" s="1"/>
  <c r="L18" i="9"/>
  <c r="M18" i="9" s="1"/>
  <c r="L19" i="9"/>
  <c r="M19" i="9" s="1"/>
  <c r="L20" i="9"/>
  <c r="M20" i="9" s="1"/>
  <c r="L21" i="9"/>
  <c r="M21" i="9" s="1"/>
  <c r="L22" i="9"/>
  <c r="M22" i="9" s="1"/>
  <c r="L23" i="9"/>
  <c r="M23" i="9" s="1"/>
  <c r="L24" i="9"/>
  <c r="M24" i="9" s="1"/>
  <c r="L25" i="9"/>
  <c r="M25" i="9" s="1"/>
  <c r="L26" i="9"/>
  <c r="M26" i="9" s="1"/>
  <c r="L27" i="9"/>
  <c r="M27" i="9" s="1"/>
  <c r="L28" i="9"/>
  <c r="M28" i="9" s="1"/>
  <c r="L29" i="9"/>
  <c r="M29" i="9" s="1"/>
  <c r="L30" i="9"/>
  <c r="M30" i="9" s="1"/>
  <c r="L31" i="9"/>
  <c r="M31" i="9" s="1"/>
  <c r="L32" i="9"/>
  <c r="M32" i="9" s="1"/>
  <c r="L33" i="9"/>
  <c r="M33" i="9" s="1"/>
  <c r="L34" i="9"/>
  <c r="M34" i="9" s="1"/>
  <c r="L35" i="9"/>
  <c r="M35" i="9" s="1"/>
  <c r="L36" i="9"/>
  <c r="M36" i="9" s="1"/>
  <c r="L37" i="9"/>
  <c r="M37" i="9" s="1"/>
  <c r="L38" i="9"/>
  <c r="M38" i="9" s="1"/>
  <c r="L39" i="9"/>
  <c r="M39" i="9" s="1"/>
  <c r="L40" i="9"/>
  <c r="M40" i="9" s="1"/>
  <c r="L41" i="9"/>
  <c r="M41" i="9" s="1"/>
  <c r="K17" i="21" l="1"/>
  <c r="J17" i="21"/>
  <c r="M16" i="21"/>
  <c r="O16" i="21"/>
  <c r="N45" i="9"/>
  <c r="N20" i="9"/>
  <c r="N6" i="9"/>
  <c r="N18" i="9"/>
  <c r="N39" i="9"/>
  <c r="N21" i="9"/>
  <c r="N16" i="9"/>
  <c r="N15" i="9"/>
  <c r="N42" i="9"/>
  <c r="N7" i="9"/>
  <c r="N36" i="9"/>
  <c r="N34" i="9"/>
  <c r="N30" i="9"/>
  <c r="N13" i="9"/>
  <c r="N43" i="9"/>
  <c r="N38" i="9"/>
  <c r="N35" i="9"/>
  <c r="N17" i="9"/>
  <c r="N14" i="9"/>
  <c r="N29" i="9"/>
  <c r="N28" i="9"/>
  <c r="N12" i="9"/>
  <c r="N44" i="9"/>
  <c r="N22" i="9"/>
  <c r="N19" i="9"/>
  <c r="N32" i="9"/>
  <c r="N27" i="9"/>
  <c r="N11" i="9"/>
  <c r="N23" i="9"/>
  <c r="N4" i="9"/>
  <c r="N33" i="9"/>
  <c r="N26" i="9"/>
  <c r="N10" i="9"/>
  <c r="N46" i="9"/>
  <c r="N5" i="9"/>
  <c r="N25" i="9"/>
  <c r="N9" i="9"/>
  <c r="N3" i="9"/>
  <c r="N37" i="9"/>
  <c r="N31" i="9"/>
  <c r="N41" i="9"/>
  <c r="N40" i="9"/>
  <c r="N24" i="9"/>
  <c r="N8" i="9"/>
  <c r="N4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AG194" authorId="0" shapeId="0" xr:uid="{68B6FF94-86D5-426F-8900-626E9CCC18F4}">
      <text>
        <r>
          <rPr>
            <b/>
            <sz val="9"/>
            <color indexed="81"/>
            <rFont val="Tahoma"/>
            <family val="2"/>
          </rPr>
          <t>Sam Bradshaw:</t>
        </r>
        <r>
          <rPr>
            <sz val="9"/>
            <color indexed="81"/>
            <rFont val="Tahoma"/>
            <family val="2"/>
          </rPr>
          <t xml:space="preserve">
 Commercial fundraising activities</t>
        </r>
      </text>
    </comment>
    <comment ref="AG195" authorId="0" shapeId="0" xr:uid="{6E0F05A4-C3E1-4F54-A4F5-84B1ACE020F4}">
      <text>
        <r>
          <rPr>
            <b/>
            <sz val="9"/>
            <color indexed="81"/>
            <rFont val="Tahoma"/>
            <family val="2"/>
          </rPr>
          <t>Sam Bradshaw:</t>
        </r>
        <r>
          <rPr>
            <sz val="9"/>
            <color indexed="81"/>
            <rFont val="Tahoma"/>
            <family val="2"/>
          </rPr>
          <t xml:space="preserve">
Fundraising income</t>
        </r>
      </text>
    </comment>
    <comment ref="AG201" authorId="0" shapeId="0" xr:uid="{3605BEB0-DDD9-48AF-AD42-2A0E169CCE3B}">
      <text>
        <r>
          <rPr>
            <b/>
            <sz val="9"/>
            <color indexed="81"/>
            <rFont val="Tahoma"/>
            <family val="2"/>
          </rPr>
          <t>Sam Bradshaw:</t>
        </r>
        <r>
          <rPr>
            <sz val="9"/>
            <color indexed="81"/>
            <rFont val="Tahoma"/>
            <family val="2"/>
          </rPr>
          <t xml:space="preserve">
Commercial Revenue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N3" authorId="0" shapeId="0" xr:uid="{7004185A-F179-4AE7-A66D-0619C4D50A9F}">
      <text>
        <r>
          <rPr>
            <b/>
            <sz val="9"/>
            <color indexed="81"/>
            <rFont val="Tahoma"/>
            <family val="2"/>
          </rPr>
          <t>Sam Bradshaw:</t>
        </r>
        <r>
          <rPr>
            <sz val="9"/>
            <color indexed="81"/>
            <rFont val="Tahoma"/>
            <family val="2"/>
          </rPr>
          <t xml:space="preserve">
Fundraising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29" authorId="0" shapeId="0" xr:uid="{5B807C5B-F4A8-4D8B-853F-ABE257DD72A6}">
      <text>
        <r>
          <rPr>
            <b/>
            <sz val="9"/>
            <color indexed="81"/>
            <rFont val="Tahoma"/>
            <family val="2"/>
          </rPr>
          <t>Sam Bradshaw:</t>
        </r>
        <r>
          <rPr>
            <sz val="9"/>
            <color indexed="81"/>
            <rFont val="Tahoma"/>
            <family val="2"/>
          </rPr>
          <t xml:space="preserve">
K Kogan FIRST Subscriber contribution measures the proportion of Gross Sales generated from Kogan FIRST Subscribers within Kogan.com (excluding Mighty Ape), calculated as Kogan.com only (excluding Mighty Ape) Gross Sales value purchased by Kogan FIRST Subscribers divided by total 
Kogan.com only (excluding Mighty Ape) Gross Sales value.</t>
        </r>
      </text>
    </comment>
  </commentList>
</comments>
</file>

<file path=xl/sharedStrings.xml><?xml version="1.0" encoding="utf-8"?>
<sst xmlns="http://schemas.openxmlformats.org/spreadsheetml/2006/main" count="1055" uniqueCount="637">
  <si>
    <t>XCLUSIVE TECH PTY LTD</t>
  </si>
  <si>
    <t>TP/00040</t>
  </si>
  <si>
    <t>Raffle Saints</t>
  </si>
  <si>
    <t>NSW</t>
  </si>
  <si>
    <t>SA</t>
  </si>
  <si>
    <t>ACT</t>
  </si>
  <si>
    <t>Mater Lotteries</t>
  </si>
  <si>
    <t>RSL Art Union</t>
  </si>
  <si>
    <t>Your Town</t>
  </si>
  <si>
    <t>Endeavour Lotteries</t>
  </si>
  <si>
    <t>Deaf Lottery</t>
  </si>
  <si>
    <t>LMCT+</t>
  </si>
  <si>
    <t>Luxe Plus (LMCT+)</t>
  </si>
  <si>
    <t>Goat Club</t>
  </si>
  <si>
    <t>Gaming Products</t>
  </si>
  <si>
    <t>Giveaways</t>
  </si>
  <si>
    <t>Front Business</t>
  </si>
  <si>
    <t>Alluxe</t>
  </si>
  <si>
    <t>Cars &amp; Motorbikes</t>
  </si>
  <si>
    <t>TP/01006</t>
  </si>
  <si>
    <t>No</t>
  </si>
  <si>
    <t>ALLUXE GROUP PTY LTD</t>
  </si>
  <si>
    <t>https://www.alluxe.com.au/</t>
  </si>
  <si>
    <t>Total Prizes</t>
  </si>
  <si>
    <t>GOAT CLUB PTY LTD</t>
  </si>
  <si>
    <t>TP/02233</t>
  </si>
  <si>
    <t>TP24/01710</t>
  </si>
  <si>
    <t>TP24/01413</t>
  </si>
  <si>
    <t>NTP/10131</t>
  </si>
  <si>
    <t>NTP/10323</t>
  </si>
  <si>
    <t>Yes</t>
  </si>
  <si>
    <t>Charity</t>
  </si>
  <si>
    <t>Revenue</t>
  </si>
  <si>
    <t>Overseas</t>
  </si>
  <si>
    <t>NZ/US/CA</t>
  </si>
  <si>
    <t>Keep it Reet</t>
  </si>
  <si>
    <t>KEEP IT REET PTY LTD</t>
  </si>
  <si>
    <t>Tuff Streeters</t>
  </si>
  <si>
    <t>TP/02041</t>
  </si>
  <si>
    <t>TUFF STREETERS CO PTY LTD</t>
  </si>
  <si>
    <t>Cars</t>
  </si>
  <si>
    <t>Motor Culture</t>
  </si>
  <si>
    <t>Cars, Motorbikes, Caravans</t>
  </si>
  <si>
    <t>TP/01099</t>
  </si>
  <si>
    <t>TP24/01676 </t>
  </si>
  <si>
    <t>TP24/01739</t>
  </si>
  <si>
    <t>Discounts</t>
  </si>
  <si>
    <t>Discounts/Drifting Events</t>
  </si>
  <si>
    <t>Discounts/Events</t>
  </si>
  <si>
    <t>Also have play to win</t>
  </si>
  <si>
    <t>MOTOR CULTURE AUSTRALIA PTY LTD</t>
  </si>
  <si>
    <t>TP/01227</t>
  </si>
  <si>
    <t>NTP/01227</t>
  </si>
  <si>
    <t>IGNITE HQ AUSTRALIA PTY LTD</t>
  </si>
  <si>
    <t>IgniteHQ</t>
  </si>
  <si>
    <t>TP 24/01816</t>
  </si>
  <si>
    <t>TP24/01816</t>
  </si>
  <si>
    <t>TP/00038</t>
  </si>
  <si>
    <t>UK</t>
  </si>
  <si>
    <t>TP/03475</t>
  </si>
  <si>
    <t>Laced Up Giveaways</t>
  </si>
  <si>
    <t>TJT PLUS PTY LTD</t>
  </si>
  <si>
    <t>Luxury Fashion, Electronics, Holidays</t>
  </si>
  <si>
    <t>https://raffle.com.au/</t>
  </si>
  <si>
    <t>Hello Lifestyle</t>
  </si>
  <si>
    <t>App</t>
  </si>
  <si>
    <t>Dreams Come True</t>
  </si>
  <si>
    <t>DREAMS COME TRUE PTY LTD</t>
  </si>
  <si>
    <t xml:space="preserve">No </t>
  </si>
  <si>
    <t>No ACT either</t>
  </si>
  <si>
    <t>Vincere</t>
  </si>
  <si>
    <t>TP24/1069</t>
  </si>
  <si>
    <t>VINCERE AUSTRALIA PTY LTD</t>
  </si>
  <si>
    <t>Events</t>
  </si>
  <si>
    <t>TP/03687</t>
  </si>
  <si>
    <t>https://highroller.com.au/coming-soon/</t>
  </si>
  <si>
    <t>Giveaways.com.au</t>
  </si>
  <si>
    <t>GIVEAWAYS.COM.AU PTY LTD</t>
  </si>
  <si>
    <t>TP/03063</t>
  </si>
  <si>
    <t>Electronics, Home Goods, Cars</t>
  </si>
  <si>
    <t>NTP/10440</t>
  </si>
  <si>
    <t>https://musthaveit.com.au/terms</t>
  </si>
  <si>
    <t>Classics for a Cause</t>
  </si>
  <si>
    <t>TP/02303</t>
  </si>
  <si>
    <t>CLASSICS FOR A CAUSE PTY LTD</t>
  </si>
  <si>
    <t>Car Hub Australia</t>
  </si>
  <si>
    <t>https://carhubaustralia.com.au/</t>
  </si>
  <si>
    <t>https://tunedgiveaways.com/</t>
  </si>
  <si>
    <t>https://www.luxegiveaway.net.au/</t>
  </si>
  <si>
    <t>https://mswa.org.au/get-involved/lotteries-raffles</t>
  </si>
  <si>
    <t>https://hospitalresearch.org.au/support-us/home-lottery/</t>
  </si>
  <si>
    <t>https://stjohnlottery.com.au/</t>
  </si>
  <si>
    <t>https://rafflehouse.com/</t>
  </si>
  <si>
    <t>https://www.omaze.com/</t>
  </si>
  <si>
    <t>https://www.raffleofblessings.com.au/terms-conditions</t>
  </si>
  <si>
    <t>NTP/09047</t>
  </si>
  <si>
    <t>CHA INDUSTRIES PTY LTD</t>
  </si>
  <si>
    <t>Cars &amp; Caravans</t>
  </si>
  <si>
    <t>TP/01021</t>
  </si>
  <si>
    <t>Facebook</t>
  </si>
  <si>
    <t>Instagram</t>
  </si>
  <si>
    <t>Youtube</t>
  </si>
  <si>
    <t>TikTok</t>
  </si>
  <si>
    <t>TUNED. GIVEAWAYS PTY LTD</t>
  </si>
  <si>
    <t>Tuned</t>
  </si>
  <si>
    <t>TP24/01695</t>
  </si>
  <si>
    <t>Luxe Giveaway</t>
  </si>
  <si>
    <t>TP/02803</t>
  </si>
  <si>
    <t>LUXE GIVEAWAY PTY LTD</t>
  </si>
  <si>
    <t>Lucky Puppy Lottery</t>
  </si>
  <si>
    <t>KidsWish</t>
  </si>
  <si>
    <t>Act for Kids</t>
  </si>
  <si>
    <t>4 Play Giveaway</t>
  </si>
  <si>
    <t>Raffle of Blessings</t>
  </si>
  <si>
    <t>Lucky Aussie</t>
  </si>
  <si>
    <t>May</t>
  </si>
  <si>
    <t>June</t>
  </si>
  <si>
    <t>July</t>
  </si>
  <si>
    <t>TP/01336</t>
  </si>
  <si>
    <t>RS REWARDS CLUB PTY LTD</t>
  </si>
  <si>
    <t>Cars &amp; Other</t>
  </si>
  <si>
    <t>Houses, Cars</t>
  </si>
  <si>
    <t>The Lott</t>
  </si>
  <si>
    <t>Oz Lotteries</t>
  </si>
  <si>
    <t>LotteryWest</t>
  </si>
  <si>
    <t>The Lottery Office</t>
  </si>
  <si>
    <t>LottoGo</t>
  </si>
  <si>
    <t>The Lotter</t>
  </si>
  <si>
    <t>https://www.thelott.com/</t>
  </si>
  <si>
    <t>https://www.ozlotteries.com/</t>
  </si>
  <si>
    <t>https://www.lotterywest.wa.gov.au/</t>
  </si>
  <si>
    <t>https://www.lotteryoffice.com.au/</t>
  </si>
  <si>
    <t>https://www.thelotter.com.au/</t>
  </si>
  <si>
    <t>https://www.lottogo.com/en</t>
  </si>
  <si>
    <t>https://rsrewards.com.au/</t>
  </si>
  <si>
    <t>https://www.motorcultureaustralia.com/</t>
  </si>
  <si>
    <t>https://luxeplus.com.au/</t>
  </si>
  <si>
    <t>https://ignitehq.com.au/</t>
  </si>
  <si>
    <t>https://www.keepitreet.com/</t>
  </si>
  <si>
    <t>https://classicsforacause.com.au/</t>
  </si>
  <si>
    <t>https://vincere.com.au/</t>
  </si>
  <si>
    <t>https://dct.club/pages/about</t>
  </si>
  <si>
    <t>https://tuffstreeters.com.au/</t>
  </si>
  <si>
    <t>https://goatclub.com.au/</t>
  </si>
  <si>
    <t>https://lacedupgiveaways.com.au/</t>
  </si>
  <si>
    <t>https://giveaways.com.au/</t>
  </si>
  <si>
    <t>https://www.endeavourlotteries.com.au/</t>
  </si>
  <si>
    <t>https://www.deaflottery.com.au/</t>
  </si>
  <si>
    <t>https://www.materlotteries.com.au/</t>
  </si>
  <si>
    <t>https://surflottery.com.au/</t>
  </si>
  <si>
    <t>Surf Life Saving Lotteries</t>
  </si>
  <si>
    <t>St John Ambulance Lottery</t>
  </si>
  <si>
    <t>https://www.luckypuppylottery.org.au/</t>
  </si>
  <si>
    <t>https://mscashforacause.auraffles.com.au/</t>
  </si>
  <si>
    <t>Multiple Sclerosis Society of South Australia &amp; Northern Territory</t>
  </si>
  <si>
    <t>https://youththreesixty.org.au/lottery-bbbs/</t>
  </si>
  <si>
    <t>Big Brother Big Sisters</t>
  </si>
  <si>
    <t>https://kidswish.org.au/index.php/raffle/</t>
  </si>
  <si>
    <t>https://epilepsyfoundation.org.au/you-can-help/fundraise/playforpurpose/</t>
  </si>
  <si>
    <t>Epilepsy Foundation</t>
  </si>
  <si>
    <t>Multiple Sclerosis Society of Western Australia</t>
  </si>
  <si>
    <t>https://hri.charityraffle.com.au/</t>
  </si>
  <si>
    <t>Lottery</t>
  </si>
  <si>
    <t>Raffle</t>
  </si>
  <si>
    <t>Heart Research Institute</t>
  </si>
  <si>
    <t>https://vic.guidedogs.com.au/get-involved/guide-dogs-victoria-raffle/</t>
  </si>
  <si>
    <t>Guide Dogs Victoria</t>
  </si>
  <si>
    <t>https://platinumclass.com.au/</t>
  </si>
  <si>
    <t>Hospital Research Foundation Group</t>
  </si>
  <si>
    <t>Royal Melbourne Hospital</t>
  </si>
  <si>
    <t>https://www.oz.lotterywest.com/</t>
  </si>
  <si>
    <t>Oz LotteriesWest</t>
  </si>
  <si>
    <t>X</t>
  </si>
  <si>
    <t>Subcribers</t>
  </si>
  <si>
    <t>Followers</t>
  </si>
  <si>
    <t>Straight to LW</t>
  </si>
  <si>
    <t>https://www.kenogo.com.au/?gclid=Cj0KCQjwzva1BhD3ARIsADQuPnWhpqtJMzJgLj_Bsvgsb-5PKLRH1smB4Noa8FV_v9WtwgVJBswj5jEaAgqlEALw_wcB&amp;gclsrc=aw.ds</t>
  </si>
  <si>
    <t>KenoGo</t>
  </si>
  <si>
    <t>https://www.australianrewardsclub.com.au/</t>
  </si>
  <si>
    <t>Australian Rewards Club</t>
  </si>
  <si>
    <t>Max Out Australia</t>
  </si>
  <si>
    <t>https://maxoutaustralia.com.au/</t>
  </si>
  <si>
    <t>https://winnerslocker.com.au/</t>
  </si>
  <si>
    <t>Winners Locker</t>
  </si>
  <si>
    <t>https://ausso.com/</t>
  </si>
  <si>
    <t>Ausso</t>
  </si>
  <si>
    <t>Not sure on size</t>
  </si>
  <si>
    <t>Cars &amp; Events</t>
  </si>
  <si>
    <t>WINNERS LOCKER PTY LTD</t>
  </si>
  <si>
    <t>News Articles &amp; Discounts</t>
  </si>
  <si>
    <t>AZURE GROUP VENTURES PTY LTD</t>
  </si>
  <si>
    <t>https://thewatchsociety.co/</t>
  </si>
  <si>
    <t>The Watch Society</t>
  </si>
  <si>
    <t>THE WATCH SOCIETY CO PTY LTD</t>
  </si>
  <si>
    <t>TP/03268</t>
  </si>
  <si>
    <t>TP/03141</t>
  </si>
  <si>
    <t>Watches</t>
  </si>
  <si>
    <t>https://primedriven.com/</t>
  </si>
  <si>
    <t>US</t>
  </si>
  <si>
    <t>TP/03097</t>
  </si>
  <si>
    <t>TP 23/02554</t>
  </si>
  <si>
    <t>MAX OUT TECH PTY LTD</t>
  </si>
  <si>
    <t>Motorbikes</t>
  </si>
  <si>
    <t>TP/03117</t>
  </si>
  <si>
    <t>AUSTRALIAN REWARDS GROUP PTY LTD</t>
  </si>
  <si>
    <t>https://carmarewards.club/</t>
  </si>
  <si>
    <t>TP/02838</t>
  </si>
  <si>
    <t>TP/02792</t>
  </si>
  <si>
    <t>QLD Licence No 29762, ACT Permit No R23/00000 VIC Permit 00000/23, NSW Permit No GOCAU/2333</t>
  </si>
  <si>
    <t>000's</t>
  </si>
  <si>
    <t>change in reporting</t>
  </si>
  <si>
    <t>Keno</t>
  </si>
  <si>
    <t>https://luxurywatchsupply.com/</t>
  </si>
  <si>
    <t>rmhhomelottery.com.au</t>
  </si>
  <si>
    <t>netlotto.com.au</t>
  </si>
  <si>
    <t>YourTown</t>
  </si>
  <si>
    <t>pcyclottery.org.au</t>
  </si>
  <si>
    <t>RSPCA Lottery</t>
  </si>
  <si>
    <t>Sunshine Lottery</t>
  </si>
  <si>
    <t>JUMBO</t>
  </si>
  <si>
    <t>Life Flight Lotteries</t>
  </si>
  <si>
    <t>Sweep Rewards</t>
  </si>
  <si>
    <t>https://sweeprewards.com.au/</t>
  </si>
  <si>
    <t>TP/03395</t>
  </si>
  <si>
    <t>TP 24/01922</t>
  </si>
  <si>
    <t>Not sure</t>
  </si>
  <si>
    <t>Drip Social Club</t>
  </si>
  <si>
    <t>SWEEP PTY LTD</t>
  </si>
  <si>
    <t>DRIP SOCIAL PTY LTD</t>
  </si>
  <si>
    <t>TP/03460</t>
  </si>
  <si>
    <t>Consumer Products</t>
  </si>
  <si>
    <t>Unlckd</t>
  </si>
  <si>
    <t>TP/02695</t>
  </si>
  <si>
    <t>https://publishednotices.asic.gov.au/browsesearch-notices/notice-details/DCA-REWARDS-CLUB-PTY-LTD-652215140/1c0ae5a5-821e-4cf2-83ce-462aed43e478</t>
  </si>
  <si>
    <t>No longer exist</t>
  </si>
  <si>
    <t>Motorcycle Rewards Club</t>
  </si>
  <si>
    <t>TierWon</t>
  </si>
  <si>
    <t>FREEDOM FOUNDATION PTY LTD</t>
  </si>
  <si>
    <t>UNLCKD PTY LTD</t>
  </si>
  <si>
    <t>TP/03583</t>
  </si>
  <si>
    <t>https://unlckd.com/</t>
  </si>
  <si>
    <t>https://tierwon.com.au/</t>
  </si>
  <si>
    <t>TP/02822</t>
  </si>
  <si>
    <t>https://www.staticgiveaway.com.au/r34gtr</t>
  </si>
  <si>
    <t>Static</t>
  </si>
  <si>
    <t>THE LIM CAPITAL PTY LTD</t>
  </si>
  <si>
    <t>https://mwmx.com.au/</t>
  </si>
  <si>
    <t>MWMX</t>
  </si>
  <si>
    <t>TP23/02157</t>
  </si>
  <si>
    <t>TP/02960</t>
  </si>
  <si>
    <t>Discounts/Events/Coachin</t>
  </si>
  <si>
    <t>Kale Makeham</t>
  </si>
  <si>
    <t>Gltchd</t>
  </si>
  <si>
    <t>https://gltchd.com.au/</t>
  </si>
  <si>
    <t>GLTCHD PTY LTD</t>
  </si>
  <si>
    <t>TP/03625</t>
  </si>
  <si>
    <t>https://theexploredream.com.au/</t>
  </si>
  <si>
    <t>The Explore Dream</t>
  </si>
  <si>
    <t>Cars, JetSki's, Boats, Campers</t>
  </si>
  <si>
    <t>THE EXPLORE LIFESTYLE PTY LTD</t>
  </si>
  <si>
    <t>TP/03406</t>
  </si>
  <si>
    <t>TP/02928</t>
  </si>
  <si>
    <t>Flex Club Pty Ltd</t>
  </si>
  <si>
    <t>Grail Flex</t>
  </si>
  <si>
    <t>https://grailflex.com/</t>
  </si>
  <si>
    <t>https://styleside.club/</t>
  </si>
  <si>
    <t>StyleSide</t>
  </si>
  <si>
    <t>TP/02653</t>
  </si>
  <si>
    <t>NTP/09363</t>
  </si>
  <si>
    <t>STYLESIDE PTY LTD</t>
  </si>
  <si>
    <t>CARMA REWARDS PTY LTD</t>
  </si>
  <si>
    <t>Carma Rewards</t>
  </si>
  <si>
    <t>https://bitslab.com.au/</t>
  </si>
  <si>
    <t>DEMETRE, PETER</t>
  </si>
  <si>
    <t>Yes, no ACT</t>
  </si>
  <si>
    <t>BitsLab</t>
  </si>
  <si>
    <t>RewardSZN</t>
  </si>
  <si>
    <t>https://www.rewardszn.com/</t>
  </si>
  <si>
    <t>Cash</t>
  </si>
  <si>
    <t>DOMA BEAUTY PTY LTD</t>
  </si>
  <si>
    <t>Database access</t>
  </si>
  <si>
    <t>https://horseypeople.com.au/</t>
  </si>
  <si>
    <t>Horsey People</t>
  </si>
  <si>
    <t>Horse/Farming Vechiles</t>
  </si>
  <si>
    <t>TP/02492</t>
  </si>
  <si>
    <t>TP 24/01785</t>
  </si>
  <si>
    <t>ADELIA GROUP PTY LTD</t>
  </si>
  <si>
    <t>https://mumbubloyalty.com.au/</t>
  </si>
  <si>
    <t>MumBub Loyalty</t>
  </si>
  <si>
    <t>Utopia Giveaway</t>
  </si>
  <si>
    <t>The Travel Society</t>
  </si>
  <si>
    <t>https://thetravelsociety.com.au/</t>
  </si>
  <si>
    <t>https://www.utopiagiveaway.com/</t>
  </si>
  <si>
    <t>Ace Premium</t>
  </si>
  <si>
    <t>https://acepremium.com.au/</t>
  </si>
  <si>
    <t>Aus Club</t>
  </si>
  <si>
    <t>https://ausclub.com.au/</t>
  </si>
  <si>
    <t>https://www.kangarookickback.com/</t>
  </si>
  <si>
    <t>Kangaroo Kickback</t>
  </si>
  <si>
    <t>MK &amp; JT ENTERPRISES PTY LTD</t>
  </si>
  <si>
    <t>not needed if under XX</t>
  </si>
  <si>
    <t>TP/03016</t>
  </si>
  <si>
    <t>UTOPIA REWARDS PTY LTD</t>
  </si>
  <si>
    <t>THE TRAVEL SOCIETY PTY LTD</t>
  </si>
  <si>
    <t>Travel Products</t>
  </si>
  <si>
    <t>Too small</t>
  </si>
  <si>
    <t>TP/03177</t>
  </si>
  <si>
    <t>Motorbikes &amp; Cash</t>
  </si>
  <si>
    <t>AUSCLUB PTY LTD</t>
  </si>
  <si>
    <t>ACE MANAGEMENT SERVICES PTY LIMITED</t>
  </si>
  <si>
    <t>Cars &amp; Cash</t>
  </si>
  <si>
    <t>TP/02785</t>
  </si>
  <si>
    <t>TP/03372</t>
  </si>
  <si>
    <t>KANGAROO MEMBERSHIP REWARDS PTY LTD</t>
  </si>
  <si>
    <t>Content Access</t>
  </si>
  <si>
    <t>https://www.lux4u.com.au/</t>
  </si>
  <si>
    <t>https://purejdm.com/</t>
  </si>
  <si>
    <t>BDLJ INVESTMENTS PTY LTD</t>
  </si>
  <si>
    <t>No ACT or NT either</t>
  </si>
  <si>
    <t>Luxury Fashion</t>
  </si>
  <si>
    <t>TP/03720</t>
  </si>
  <si>
    <t>https://www.fullthrottleempireaustralia.com/</t>
  </si>
  <si>
    <t>TP/00848</t>
  </si>
  <si>
    <t>NTP/10750</t>
  </si>
  <si>
    <t>TP24/01854</t>
  </si>
  <si>
    <t>FULL THROTTLE EMPIRE PTY LTD</t>
  </si>
  <si>
    <t>Full Throttle Empire</t>
  </si>
  <si>
    <t>TP/03266</t>
  </si>
  <si>
    <t>NTP/10713</t>
  </si>
  <si>
    <t>MONAD CAPITAL PTY LTD</t>
  </si>
  <si>
    <t>TP 24/01800</t>
  </si>
  <si>
    <t>NetLotto</t>
  </si>
  <si>
    <t>Lux4u</t>
  </si>
  <si>
    <t>PureJDM</t>
  </si>
  <si>
    <t>Greynomads.</t>
  </si>
  <si>
    <t>Bucketlist.</t>
  </si>
  <si>
    <t>Licence Date</t>
  </si>
  <si>
    <t>TP/01160</t>
  </si>
  <si>
    <t>Vista Golf</t>
  </si>
  <si>
    <t>MTB giveaways</t>
  </si>
  <si>
    <t>Luny</t>
  </si>
  <si>
    <t>0-100 Australia</t>
  </si>
  <si>
    <t>Other Charity</t>
  </si>
  <si>
    <t>Trade Promos</t>
  </si>
  <si>
    <t>Foreign Matched Lotteries</t>
  </si>
  <si>
    <t>Lotteries</t>
  </si>
  <si>
    <t>Golf Equipment</t>
  </si>
  <si>
    <t>VISTA GOLF PTY LTD</t>
  </si>
  <si>
    <t>https://vistagolf.com.au/</t>
  </si>
  <si>
    <t>Mountain Bikes</t>
  </si>
  <si>
    <t>XX</t>
  </si>
  <si>
    <t>CREATIVE EDGE AUSTRALIA PTY LTD</t>
  </si>
  <si>
    <t>https://www.mtbgiveawaysaustralia.com.au/</t>
  </si>
  <si>
    <t>https://luny.club/</t>
  </si>
  <si>
    <t>LUNY PTY LTD</t>
  </si>
  <si>
    <t>Should need one</t>
  </si>
  <si>
    <t>0-100 AUSTRALIA PTY LTD</t>
  </si>
  <si>
    <t>https://0-100australia.com.au/</t>
  </si>
  <si>
    <t>TP/03523</t>
  </si>
  <si>
    <t>TP24/02058</t>
  </si>
  <si>
    <t>Not Using</t>
  </si>
  <si>
    <t>Website Down</t>
  </si>
  <si>
    <t>No TP</t>
  </si>
  <si>
    <t>https://tradiewins.com.au/</t>
  </si>
  <si>
    <t>Trademan Equipment</t>
  </si>
  <si>
    <t>TP/03821</t>
  </si>
  <si>
    <t>TRADIE WINS PTY LTD</t>
  </si>
  <si>
    <t>Tradie Wins</t>
  </si>
  <si>
    <t>Discounts/Sport Content</t>
  </si>
  <si>
    <t>No, Only VIC NSW QLD</t>
  </si>
  <si>
    <t>TP/03571</t>
  </si>
  <si>
    <t>Sport Events</t>
  </si>
  <si>
    <t>SPORT SENSATIONS GROUP PTY LTD</t>
  </si>
  <si>
    <t>Sport Sensations</t>
  </si>
  <si>
    <t>https://sportsensationsgroup.com/</t>
  </si>
  <si>
    <t>TP/03530</t>
  </si>
  <si>
    <t>https://billionballers.com/</t>
  </si>
  <si>
    <t>BILLION BALLERS PTY LTD</t>
  </si>
  <si>
    <t>Billion Ballers</t>
  </si>
  <si>
    <t>Luxury Goods</t>
  </si>
  <si>
    <t>SLSREWARDS PTY LTD</t>
  </si>
  <si>
    <t>SLS Rewards</t>
  </si>
  <si>
    <t>https://slsrewards.com.au/</t>
  </si>
  <si>
    <t>Sri Lankan Products</t>
  </si>
  <si>
    <t>TP/03450</t>
  </si>
  <si>
    <t>Company</t>
  </si>
  <si>
    <t>NSW TP</t>
  </si>
  <si>
    <t>Convert</t>
  </si>
  <si>
    <t>Date</t>
  </si>
  <si>
    <t>FB + Insta</t>
  </si>
  <si>
    <t>Rank</t>
  </si>
  <si>
    <t>FB + Insta Edit</t>
  </si>
  <si>
    <t>Sqr</t>
  </si>
  <si>
    <t>Sqr Edit</t>
  </si>
  <si>
    <t>Total</t>
  </si>
  <si>
    <t>August</t>
  </si>
  <si>
    <t>Totals</t>
  </si>
  <si>
    <t>DCA rewards club</t>
  </si>
  <si>
    <t>Must Have It</t>
  </si>
  <si>
    <t>Acquirely Pty Ltd</t>
  </si>
  <si>
    <t>https://ellamayding.com.au/</t>
  </si>
  <si>
    <t>Womens Products</t>
  </si>
  <si>
    <t>TP/03760</t>
  </si>
  <si>
    <t>NTP/10803</t>
  </si>
  <si>
    <t>ELLA DING ENTERPRISE PTY LTD</t>
  </si>
  <si>
    <t>Ella May Ding</t>
  </si>
  <si>
    <t>MAFS</t>
  </si>
  <si>
    <t>TP/03332</t>
  </si>
  <si>
    <t>https://dreamtone.au/</t>
  </si>
  <si>
    <t>Dreamtone</t>
  </si>
  <si>
    <t>ZAPTARA PTY LTD</t>
  </si>
  <si>
    <t>TP24/02107</t>
  </si>
  <si>
    <t>Wallpapers</t>
  </si>
  <si>
    <t>Guitars</t>
  </si>
  <si>
    <t>https://www.lawncultureaustralia.com.au/</t>
  </si>
  <si>
    <t>Lawn Culture</t>
  </si>
  <si>
    <t>Lawn Mowing Products</t>
  </si>
  <si>
    <t>Club Culture</t>
  </si>
  <si>
    <t>https://australianhunters.com.au/terms-and-conditions/</t>
  </si>
  <si>
    <t>Australian Hunters Club</t>
  </si>
  <si>
    <t>Kogan First</t>
  </si>
  <si>
    <t>Gross Sales</t>
  </si>
  <si>
    <t>1Q23</t>
  </si>
  <si>
    <t>2Q23</t>
  </si>
  <si>
    <t>3Q23</t>
  </si>
  <si>
    <t>4Q23</t>
  </si>
  <si>
    <t>1Q24</t>
  </si>
  <si>
    <t>2Q24</t>
  </si>
  <si>
    <t>3Q24</t>
  </si>
  <si>
    <t>4Q24</t>
  </si>
  <si>
    <t>1Q22</t>
  </si>
  <si>
    <t>2Q22</t>
  </si>
  <si>
    <t>3Q22</t>
  </si>
  <si>
    <t>4Q22</t>
  </si>
  <si>
    <t>FY20</t>
  </si>
  <si>
    <t>FY21</t>
  </si>
  <si>
    <t>FY22</t>
  </si>
  <si>
    <t>FY23</t>
  </si>
  <si>
    <t>FY24</t>
  </si>
  <si>
    <t>Other</t>
  </si>
  <si>
    <t>Gross Profit contribution</t>
  </si>
  <si>
    <t>Gross Profit</t>
  </si>
  <si>
    <t>Kogan.Com</t>
  </si>
  <si>
    <t>Subscribers</t>
  </si>
  <si>
    <t>Variable costs</t>
  </si>
  <si>
    <t>Fixed costs</t>
  </si>
  <si>
    <t>EBITDA</t>
  </si>
  <si>
    <t>1H20</t>
  </si>
  <si>
    <t>1H21</t>
  </si>
  <si>
    <t>1H22</t>
  </si>
  <si>
    <t>1H23</t>
  </si>
  <si>
    <t>1H24</t>
  </si>
  <si>
    <t>2H20</t>
  </si>
  <si>
    <t>2H21</t>
  </si>
  <si>
    <t>2H22</t>
  </si>
  <si>
    <t>2H23</t>
  </si>
  <si>
    <t>2H24</t>
  </si>
  <si>
    <t>Kogan FIRST contribution</t>
  </si>
  <si>
    <t>COGS</t>
  </si>
  <si>
    <t>1Q20</t>
  </si>
  <si>
    <t>2Q20</t>
  </si>
  <si>
    <t>3Q20</t>
  </si>
  <si>
    <t>4Q20</t>
  </si>
  <si>
    <t>1Q21</t>
  </si>
  <si>
    <t>2Q21</t>
  </si>
  <si>
    <t>3Q21</t>
  </si>
  <si>
    <t>4Q21</t>
  </si>
  <si>
    <t>Margin</t>
  </si>
  <si>
    <t>despite price rises</t>
  </si>
  <si>
    <t>Kogan First/ Kogan.Com</t>
  </si>
  <si>
    <t>Kogan First/Total</t>
  </si>
  <si>
    <t>Mighty Ape</t>
  </si>
  <si>
    <t>4Q19</t>
  </si>
  <si>
    <t>Gross Profit/Sales</t>
  </si>
  <si>
    <t>TP24/00770</t>
  </si>
  <si>
    <t>Direct</t>
  </si>
  <si>
    <t>Email</t>
  </si>
  <si>
    <t>Referrals</t>
  </si>
  <si>
    <t>Social</t>
  </si>
  <si>
    <t>Organic Serach</t>
  </si>
  <si>
    <t>Paid Search</t>
  </si>
  <si>
    <t>Display Ads</t>
  </si>
  <si>
    <t>Jumbo</t>
  </si>
  <si>
    <t>Pages/Visit</t>
  </si>
  <si>
    <t>Bounce Rate</t>
  </si>
  <si>
    <t>Mobile</t>
  </si>
  <si>
    <t>https://www.rslartunion.com.au/</t>
  </si>
  <si>
    <t>https://www.yourtown.com.au/</t>
  </si>
  <si>
    <t>Kogan First Annual Subscription</t>
  </si>
  <si>
    <t>MS Queensland</t>
  </si>
  <si>
    <t>PCYC Queensland</t>
  </si>
  <si>
    <t>https://www.rspcalottery.com.au/</t>
  </si>
  <si>
    <t>https://www.msle.com.au/</t>
  </si>
  <si>
    <t>Visit Duration (mins)</t>
  </si>
  <si>
    <t>https://www.keno.com.au/</t>
  </si>
  <si>
    <t>Rewards Clubs</t>
  </si>
  <si>
    <t>Charity Lotteries</t>
  </si>
  <si>
    <t>Social Media</t>
  </si>
  <si>
    <t>Internet</t>
  </si>
  <si>
    <t>Tiktok</t>
  </si>
  <si>
    <t>ACT Permit No. R24/00067.2</t>
  </si>
  <si>
    <t>NSW Authority No. GOCAU/2332</t>
  </si>
  <si>
    <t>Starlight</t>
  </si>
  <si>
    <t>https://www.starlight.org.au/about-us/who-we-are/our-performance/</t>
  </si>
  <si>
    <t>NT Permit No. FNL1009</t>
  </si>
  <si>
    <t>VIC Permit No. 10146/24.</t>
  </si>
  <si>
    <t>SA Permit No. M14569</t>
  </si>
  <si>
    <t>QLD Licence No. 29819</t>
  </si>
  <si>
    <t>https://www.acnc.gov.au/charity/charities/588cf203-39af-e811-a963-000d3ad24077/documents/</t>
  </si>
  <si>
    <t>https://www.acnc.gov.au/charity/charities/96418be4-38af-e811-a95e-000d3ad24c60/documents/</t>
  </si>
  <si>
    <t>https://hega.au/giveaways/</t>
  </si>
  <si>
    <t>Look Into</t>
  </si>
  <si>
    <t>Gibbon Rewards</t>
  </si>
  <si>
    <t>https://portal.revmoto.com.au/</t>
  </si>
  <si>
    <t>https://www.formuladream.com.au/</t>
  </si>
  <si>
    <t>Formula Dream</t>
  </si>
  <si>
    <t>Australian</t>
  </si>
  <si>
    <t>State or Territory</t>
  </si>
  <si>
    <t>Game of Skill</t>
  </si>
  <si>
    <t>Permit Required?</t>
  </si>
  <si>
    <t>Game of Chance</t>
  </si>
  <si>
    <t>Regulator</t>
  </si>
  <si>
    <t>Yes, if total prize value &gt; $10,000</t>
  </si>
  <si>
    <t>NSW Fair Trading</t>
  </si>
  <si>
    <t>VIC</t>
  </si>
  <si>
    <t>VGCCC</t>
  </si>
  <si>
    <t>QLD</t>
  </si>
  <si>
    <t>Business Queensland</t>
  </si>
  <si>
    <t>Yes, if total prize value &gt; $5,000</t>
  </si>
  <si>
    <t>Consumer &amp; Business Services SA</t>
  </si>
  <si>
    <t>WA</t>
  </si>
  <si>
    <t>DLGSC</t>
  </si>
  <si>
    <t>TAS</t>
  </si>
  <si>
    <t>Treasury &amp; Finance TAS</t>
  </si>
  <si>
    <t>Yes, if total prize value &gt; $3,000</t>
  </si>
  <si>
    <t>ACT Gambling &amp; Racing Commission</t>
  </si>
  <si>
    <t>NT</t>
  </si>
  <si>
    <t>Yes, if total prize value &gt; $5,000 (and without permit from another State)</t>
  </si>
  <si>
    <t>Licensing NT</t>
  </si>
  <si>
    <t>https://luredinnfishing.com/</t>
  </si>
  <si>
    <t>https://www.botb.com/</t>
  </si>
  <si>
    <t>jonez lrc</t>
  </si>
  <si>
    <t>NZ</t>
  </si>
  <si>
    <t> TP/03658</t>
  </si>
  <si>
    <t>De Goey</t>
  </si>
  <si>
    <t>Kyriogs</t>
  </si>
  <si>
    <t>Addo Carr</t>
  </si>
  <si>
    <t>Beau Ryan</t>
  </si>
  <si>
    <t>&gt;$10,000</t>
  </si>
  <si>
    <t xml:space="preserve"> If Prize Pool is</t>
  </si>
  <si>
    <t>&gt;$5,000</t>
  </si>
  <si>
    <t>and without permit from another State</t>
  </si>
  <si>
    <t>https://dreamcargiveaways.co.uk/</t>
  </si>
  <si>
    <t>https://find-and-update.company-information.service.gov.uk/company/09612888/filing-history</t>
  </si>
  <si>
    <t>https://find-and-update.company-information.service.gov.uk/company/03755182/filing-history</t>
  </si>
  <si>
    <t>https://elitecompetitions.co.uk/</t>
  </si>
  <si>
    <t>https://find-and-update.company-information.service.gov.uk/company/11320154</t>
  </si>
  <si>
    <t>No P&amp;L</t>
  </si>
  <si>
    <t>https://find-and-update.company-information.service.gov.uk/company/11971914/filing-history</t>
  </si>
  <si>
    <t>Straight to GP</t>
  </si>
  <si>
    <t>https://find-and-update.company-information.service.gov.uk/company/10928240/filing-history</t>
  </si>
  <si>
    <t>https://find-and-update.company-information.service.gov.uk/company/12056935</t>
  </si>
  <si>
    <t>Aussie Made Giveaway</t>
  </si>
  <si>
    <t>Stax.com.au</t>
  </si>
  <si>
    <t>TLC</t>
  </si>
  <si>
    <t>£</t>
  </si>
  <si>
    <t>Childhood Dementia Lottery</t>
  </si>
  <si>
    <t>Animal Welfare League</t>
  </si>
  <si>
    <t>4D Lotto</t>
  </si>
  <si>
    <t>Alannah &amp; Madeline Foundation</t>
  </si>
  <si>
    <t>RMH 34</t>
  </si>
  <si>
    <t>PolyPlatinum</t>
  </si>
  <si>
    <t>Neuroblastoma Australia</t>
  </si>
  <si>
    <t>Digicel</t>
  </si>
  <si>
    <t>Safety Drive</t>
  </si>
  <si>
    <t>Commissions</t>
  </si>
  <si>
    <t>Growth</t>
  </si>
  <si>
    <t>FY19</t>
  </si>
  <si>
    <t>FY18</t>
  </si>
  <si>
    <t>Sales</t>
  </si>
  <si>
    <t>Turnover</t>
  </si>
  <si>
    <t>SOUTH AUSTRALIA</t>
  </si>
  <si>
    <t>FY25</t>
  </si>
  <si>
    <t>FY26</t>
  </si>
  <si>
    <t>FY27</t>
  </si>
  <si>
    <t>FY28</t>
  </si>
  <si>
    <t>FY29</t>
  </si>
  <si>
    <t>FY30</t>
  </si>
  <si>
    <t>Camp Quality</t>
  </si>
  <si>
    <t>Gyprcok Trade</t>
  </si>
  <si>
    <t>Bmsports</t>
  </si>
  <si>
    <t>Skyrich Club</t>
  </si>
  <si>
    <t>AUS GAMBLING STATS</t>
  </si>
  <si>
    <t>Aus ex-SA</t>
  </si>
  <si>
    <t>&lt;&lt; includes KENO</t>
  </si>
  <si>
    <t>https://www.theguardian.com/australia-news/2024/nov/15/the-block-adrian-portelli-houses-rewards-club-lmct-ntwnfb</t>
  </si>
  <si>
    <t>The Explore Drean</t>
  </si>
  <si>
    <t>Nakie</t>
  </si>
  <si>
    <t>Quantum Promos</t>
  </si>
  <si>
    <t>Giveaways.com</t>
  </si>
  <si>
    <t>Grail Flex Club</t>
  </si>
  <si>
    <t>Aussiewins</t>
  </si>
  <si>
    <t>Lottos1</t>
  </si>
  <si>
    <t>Savings Sidekick</t>
  </si>
  <si>
    <t>Dooleys Lidcombe</t>
  </si>
  <si>
    <t>Coinxchnage</t>
  </si>
  <si>
    <t>Prize Pop</t>
  </si>
  <si>
    <t>The Goat</t>
  </si>
  <si>
    <t>Compare Club</t>
  </si>
  <si>
    <t>HealthInsuranceComparison</t>
  </si>
  <si>
    <t>Emamaco</t>
  </si>
  <si>
    <t>Tropeaka</t>
  </si>
  <si>
    <t>LXG</t>
  </si>
  <si>
    <t>2 Ezi</t>
  </si>
  <si>
    <t>Nex360</t>
  </si>
  <si>
    <t>https://www.materlotteries.com.au/mater-prize-home/vip-club</t>
  </si>
  <si>
    <t>FY17</t>
  </si>
  <si>
    <t>FY16</t>
  </si>
  <si>
    <t>FY15</t>
  </si>
  <si>
    <t>FY14</t>
  </si>
  <si>
    <t>FY13</t>
  </si>
  <si>
    <t>Prizes / Reported</t>
  </si>
  <si>
    <t>Reported Revenue</t>
  </si>
  <si>
    <t>Prize Growth</t>
  </si>
  <si>
    <t>Average Prizes</t>
  </si>
  <si>
    <t>Count</t>
  </si>
  <si>
    <t>To</t>
  </si>
  <si>
    <t>From</t>
  </si>
  <si>
    <t>FY</t>
  </si>
  <si>
    <t>Prize</t>
  </si>
  <si>
    <t>Days</t>
  </si>
  <si>
    <t>Revs &amp; reels</t>
  </si>
  <si>
    <t>Torque Crew</t>
  </si>
  <si>
    <t>Happy Bubbles</t>
  </si>
  <si>
    <t>LMC</t>
  </si>
  <si>
    <t>https://prizepop.com.au/</t>
  </si>
  <si>
    <t>https://www.parliament.nsw.gov.au/lcdocs/other/22380/2.%20ASupps%20-%20Hon%20Anoulak%20Chanthivong%20MP%20-%20Received19%20September%202025.pdf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</si>
</sst>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64" formatCode="&quot;$&quot;#,##0_);[Red]\(&quot;$&quot;#,##0\)"/>
    <numFmt numFmtId="165" formatCode="0.0%"/>
    <numFmt numFmtId="166" formatCode="#,##0.0"/>
    <numFmt numFmtId="167" formatCode="0.0"/>
    <numFmt numFmtId="168" formatCode="&quot;$&quot;#,##0.0;[Red]\-&quot;$&quot;#,##0.0"/>
    <numFmt numFmtId="169" formatCode="[Color10]\+0.0%;[Red]\-0.0%;\-"/>
  </numFmts>
  <fonts count="24" x14ac:knownFonts="1">
    <font>
      <sz val="11"/>
      <color rgb="FF000000"/>
      <name val="Calibri"/>
      <family val="2"/>
    </font>
    <font>
      <u/>
      <sz val="11"/>
      <color theme="10"/>
      <name val="Calibri"/>
      <family val="2"/>
    </font>
    <font>
      <sz val="9"/>
      <color indexed="81"/>
      <name val="Tahoma"/>
      <family val="2"/>
    </font>
    <font>
      <b/>
      <sz val="9"/>
      <color indexed="81"/>
      <name val="Tahoma"/>
      <family val="2"/>
    </font>
    <font>
      <sz val="11"/>
      <color rgb="FF000000"/>
      <name val="Aptos"/>
      <family val="2"/>
    </font>
    <font>
      <b/>
      <sz val="11"/>
      <color rgb="FF000000"/>
      <name val="Calibri"/>
      <family val="2"/>
    </font>
    <font>
      <b/>
      <u/>
      <sz val="11"/>
      <color theme="10"/>
      <name val="Calibri"/>
      <family val="2"/>
    </font>
    <font>
      <sz val="8"/>
      <name val="Calibri"/>
      <family val="2"/>
    </font>
    <font>
      <sz val="11"/>
      <color rgb="FFFF0000"/>
      <name val="Calibri"/>
      <family val="2"/>
    </font>
    <font>
      <b/>
      <sz val="11"/>
      <color theme="0"/>
      <name val="Calibri"/>
      <family val="2"/>
    </font>
    <font>
      <b/>
      <sz val="11"/>
      <color rgb="FFFF0000"/>
      <name val="Calibri"/>
      <family val="2"/>
    </font>
    <font>
      <b/>
      <sz val="11"/>
      <name val="Calibri"/>
      <family val="2"/>
    </font>
    <font>
      <sz val="11"/>
      <name val="Calibri"/>
      <family val="2"/>
    </font>
    <font>
      <sz val="11"/>
      <color rgb="FF0000FF"/>
      <name val="Calibri"/>
      <family val="2"/>
    </font>
    <font>
      <sz val="11"/>
      <color rgb="FFFF0000"/>
      <name val="Calibri"/>
      <family val="2"/>
      <scheme val="minor"/>
    </font>
    <font>
      <sz val="11"/>
      <color rgb="FF000000"/>
      <name val="Aptos Narrow"/>
      <family val="2"/>
    </font>
    <font>
      <b/>
      <u/>
      <sz val="11"/>
      <color rgb="FF000000"/>
      <name val="Calibri"/>
      <family val="2"/>
    </font>
    <font>
      <sz val="11"/>
      <color theme="0"/>
      <name val="Calibri"/>
      <family val="2"/>
    </font>
    <font>
      <sz val="8"/>
      <color rgb="FFFF0000"/>
      <name val="Calibri"/>
      <family val="2"/>
      <scheme val="minor"/>
    </font>
    <font>
      <b/>
      <sz val="11"/>
      <color theme="0"/>
      <name val="Calibri"/>
      <family val="2"/>
      <scheme val="minor"/>
    </font>
    <font>
      <b/>
      <sz val="11"/>
      <color theme="1"/>
      <name val="Calibri"/>
      <family val="2"/>
      <scheme val="minor"/>
    </font>
    <font>
      <sz val="11"/>
      <color rgb="FF0000FF"/>
      <name val="Calibri"/>
      <family val="2"/>
      <scheme val="minor"/>
    </font>
    <font>
      <sz val="10"/>
      <color theme="1"/>
      <name val="Calibri"/>
      <family val="2"/>
      <scheme val="minor"/>
    </font>
    <font>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theme="3" tint="0.79998168889431442"/>
        <bgColor indexed="64"/>
      </patternFill>
    </fill>
    <fill>
      <patternFill patternType="solid">
        <fgColor theme="3"/>
        <bgColor indexed="64"/>
      </patternFill>
    </fill>
  </fills>
  <borders count="7">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hair">
        <color auto="1"/>
      </left>
      <right style="hair">
        <color auto="1"/>
      </right>
      <top/>
      <bottom/>
      <diagonal/>
    </border>
    <border>
      <left style="hair">
        <color auto="1"/>
      </left>
      <right/>
      <top/>
      <bottom/>
      <diagonal/>
    </border>
    <border>
      <left/>
      <right style="hair">
        <color auto="1"/>
      </right>
      <top/>
      <bottom/>
      <diagonal/>
    </border>
  </borders>
  <cellStyleXfs count="2">
    <xf numFmtId="0" fontId="0" fillId="0" borderId="0" applyBorder="0"/>
    <xf numFmtId="0" fontId="1" fillId="0" borderId="0" applyNumberFormat="0" applyFill="0" applyBorder="0" applyAlignment="0" applyProtection="0"/>
  </cellStyleXfs>
  <cellXfs count="121">
    <xf numFmtId="0" fontId="0" fillId="0" borderId="0" xfId="0"/>
    <xf numFmtId="3" fontId="0" fillId="0" borderId="0" xfId="0" applyNumberFormat="1"/>
    <xf numFmtId="0" fontId="1" fillId="0" borderId="0" xfId="1"/>
    <xf numFmtId="17" fontId="0" fillId="0" borderId="0" xfId="0" applyNumberFormat="1"/>
    <xf numFmtId="164" fontId="0" fillId="0" borderId="0" xfId="0" applyNumberFormat="1"/>
    <xf numFmtId="2" fontId="0" fillId="0" borderId="0" xfId="0" applyNumberFormat="1"/>
    <xf numFmtId="165" fontId="0" fillId="0" borderId="0" xfId="0" applyNumberFormat="1"/>
    <xf numFmtId="0" fontId="4" fillId="0" borderId="0" xfId="0" applyFont="1" applyAlignment="1">
      <alignment vertical="center"/>
    </xf>
    <xf numFmtId="15" fontId="0" fillId="0" borderId="0" xfId="0" applyNumberFormat="1"/>
    <xf numFmtId="4" fontId="0" fillId="0" borderId="0" xfId="0" applyNumberFormat="1"/>
    <xf numFmtId="0" fontId="5" fillId="0" borderId="0" xfId="0" applyFont="1"/>
    <xf numFmtId="0" fontId="0" fillId="0" borderId="0" xfId="0" applyAlignment="1">
      <alignment horizontal="left" indent="1"/>
    </xf>
    <xf numFmtId="0" fontId="6" fillId="0" borderId="1" xfId="1" applyFont="1" applyBorder="1"/>
    <xf numFmtId="0" fontId="5" fillId="0" borderId="1" xfId="0" applyFont="1" applyBorder="1" applyAlignment="1">
      <alignment horizontal="left" indent="1"/>
    </xf>
    <xf numFmtId="0" fontId="5" fillId="0" borderId="1" xfId="0" applyFont="1" applyBorder="1"/>
    <xf numFmtId="3" fontId="5" fillId="0" borderId="1" xfId="0" applyNumberFormat="1" applyFont="1" applyBorder="1"/>
    <xf numFmtId="3" fontId="0" fillId="2" borderId="0" xfId="0" applyNumberFormat="1" applyFill="1"/>
    <xf numFmtId="3" fontId="0" fillId="3" borderId="0" xfId="0" applyNumberFormat="1" applyFill="1"/>
    <xf numFmtId="3" fontId="0" fillId="4" borderId="0" xfId="0" applyNumberFormat="1" applyFill="1"/>
    <xf numFmtId="166" fontId="0" fillId="0" borderId="0" xfId="0" applyNumberFormat="1"/>
    <xf numFmtId="0" fontId="0" fillId="0" borderId="0" xfId="0" applyAlignment="1">
      <alignment horizontal="center"/>
    </xf>
    <xf numFmtId="167" fontId="5" fillId="0" borderId="0" xfId="0" applyNumberFormat="1" applyFont="1"/>
    <xf numFmtId="167" fontId="0" fillId="0" borderId="0" xfId="0" applyNumberFormat="1"/>
    <xf numFmtId="0" fontId="0" fillId="0" borderId="2" xfId="0" applyBorder="1"/>
    <xf numFmtId="0" fontId="0" fillId="0" borderId="2" xfId="0" applyBorder="1" applyAlignment="1">
      <alignment horizontal="center"/>
    </xf>
    <xf numFmtId="17" fontId="9" fillId="5" borderId="0" xfId="0" applyNumberFormat="1" applyFont="1" applyFill="1" applyAlignment="1">
      <alignment horizontal="center"/>
    </xf>
    <xf numFmtId="165" fontId="8" fillId="0" borderId="0" xfId="0" applyNumberFormat="1" applyFont="1"/>
    <xf numFmtId="167" fontId="10" fillId="0" borderId="3" xfId="0" applyNumberFormat="1" applyFont="1" applyBorder="1"/>
    <xf numFmtId="3" fontId="8" fillId="0" borderId="0" xfId="0" applyNumberFormat="1" applyFont="1"/>
    <xf numFmtId="167" fontId="8" fillId="0" borderId="0" xfId="0" applyNumberFormat="1" applyFont="1"/>
    <xf numFmtId="0" fontId="0" fillId="0" borderId="0" xfId="0" applyBorder="1"/>
    <xf numFmtId="167" fontId="8" fillId="0" borderId="0" xfId="0" applyNumberFormat="1" applyFont="1" applyBorder="1"/>
    <xf numFmtId="167" fontId="0" fillId="0" borderId="0" xfId="0" applyNumberFormat="1" applyBorder="1"/>
    <xf numFmtId="167" fontId="10" fillId="0" borderId="0" xfId="0" applyNumberFormat="1" applyFont="1" applyBorder="1"/>
    <xf numFmtId="17" fontId="9" fillId="0" borderId="0" xfId="0" applyNumberFormat="1" applyFont="1" applyBorder="1" applyAlignment="1">
      <alignment horizontal="center"/>
    </xf>
    <xf numFmtId="2" fontId="0" fillId="0" borderId="0" xfId="0" applyNumberFormat="1" applyAlignment="1">
      <alignment horizontal="center"/>
    </xf>
    <xf numFmtId="165" fontId="8" fillId="0" borderId="0" xfId="0" applyNumberFormat="1" applyFont="1" applyBorder="1"/>
    <xf numFmtId="167" fontId="11" fillId="0" borderId="3" xfId="0" applyNumberFormat="1" applyFont="1" applyBorder="1"/>
    <xf numFmtId="167" fontId="12" fillId="0" borderId="0" xfId="0" applyNumberFormat="1" applyFont="1"/>
    <xf numFmtId="166" fontId="8" fillId="0" borderId="0" xfId="0" applyNumberFormat="1" applyFont="1"/>
    <xf numFmtId="0" fontId="0" fillId="0" borderId="0" xfId="0" applyAlignment="1">
      <alignment horizontal="right"/>
    </xf>
    <xf numFmtId="167" fontId="8" fillId="0" borderId="0" xfId="0" applyNumberFormat="1" applyFont="1" applyAlignment="1">
      <alignment horizontal="right"/>
    </xf>
    <xf numFmtId="167" fontId="0" fillId="0" borderId="0" xfId="0" applyNumberFormat="1" applyAlignment="1">
      <alignment horizontal="right"/>
    </xf>
    <xf numFmtId="167" fontId="10" fillId="0" borderId="3" xfId="0" applyNumberFormat="1" applyFont="1" applyBorder="1" applyAlignment="1">
      <alignment horizontal="right"/>
    </xf>
    <xf numFmtId="165" fontId="8" fillId="0" borderId="0" xfId="0" applyNumberFormat="1" applyFont="1" applyAlignment="1">
      <alignment horizontal="right"/>
    </xf>
    <xf numFmtId="10" fontId="8" fillId="0" borderId="0" xfId="0" applyNumberFormat="1" applyFont="1" applyAlignment="1">
      <alignment horizontal="right"/>
    </xf>
    <xf numFmtId="0" fontId="5" fillId="0" borderId="3" xfId="0" applyFont="1" applyBorder="1"/>
    <xf numFmtId="166" fontId="10" fillId="0" borderId="3" xfId="0" applyNumberFormat="1" applyFont="1" applyBorder="1"/>
    <xf numFmtId="166" fontId="5" fillId="0" borderId="3" xfId="0" applyNumberFormat="1" applyFont="1" applyBorder="1"/>
    <xf numFmtId="166" fontId="10" fillId="0" borderId="3" xfId="0" applyNumberFormat="1" applyFont="1" applyBorder="1" applyAlignment="1">
      <alignment horizontal="right"/>
    </xf>
    <xf numFmtId="166" fontId="5" fillId="0" borderId="3" xfId="0" applyNumberFormat="1" applyFont="1" applyBorder="1" applyAlignment="1">
      <alignment horizontal="right"/>
    </xf>
    <xf numFmtId="0" fontId="0" fillId="0" borderId="3" xfId="0" applyBorder="1"/>
    <xf numFmtId="0" fontId="0" fillId="0" borderId="3" xfId="0" applyBorder="1" applyAlignment="1">
      <alignment horizontal="right"/>
    </xf>
    <xf numFmtId="0" fontId="5" fillId="0" borderId="3" xfId="0" applyFont="1" applyBorder="1" applyAlignment="1">
      <alignment horizontal="left"/>
    </xf>
    <xf numFmtId="166" fontId="12" fillId="0" borderId="0" xfId="0" applyNumberFormat="1" applyFont="1"/>
    <xf numFmtId="165" fontId="12" fillId="0" borderId="0" xfId="0" applyNumberFormat="1" applyFont="1"/>
    <xf numFmtId="165" fontId="11" fillId="0" borderId="3" xfId="0" applyNumberFormat="1" applyFont="1" applyBorder="1"/>
    <xf numFmtId="3" fontId="12" fillId="0" borderId="0" xfId="0" applyNumberFormat="1" applyFont="1"/>
    <xf numFmtId="166" fontId="11" fillId="0" borderId="3" xfId="0" applyNumberFormat="1" applyFont="1" applyBorder="1"/>
    <xf numFmtId="165" fontId="13" fillId="0" borderId="0" xfId="0" applyNumberFormat="1" applyFont="1"/>
    <xf numFmtId="168" fontId="8" fillId="0" borderId="0" xfId="0" applyNumberFormat="1" applyFont="1"/>
    <xf numFmtId="168" fontId="13" fillId="0" borderId="0" xfId="0" applyNumberFormat="1" applyFont="1"/>
    <xf numFmtId="0" fontId="0" fillId="0" borderId="0" xfId="0" applyAlignment="1">
      <alignment horizontal="center" vertical="center" wrapText="1"/>
    </xf>
    <xf numFmtId="165" fontId="0" fillId="0" borderId="0" xfId="0" applyNumberFormat="1" applyAlignment="1">
      <alignment horizontal="center"/>
    </xf>
    <xf numFmtId="0" fontId="0" fillId="0" borderId="0" xfId="0" applyAlignment="1">
      <alignment horizontal="centerContinuous"/>
    </xf>
    <xf numFmtId="0" fontId="0" fillId="4" borderId="0" xfId="0" applyFill="1" applyAlignment="1">
      <alignment horizontal="center" vertical="center" wrapText="1"/>
    </xf>
    <xf numFmtId="0" fontId="0" fillId="4" borderId="5" xfId="0" applyFill="1" applyBorder="1" applyAlignment="1">
      <alignment horizontal="center" vertical="center" wrapText="1"/>
    </xf>
    <xf numFmtId="0" fontId="0" fillId="4" borderId="0" xfId="0" applyFill="1" applyBorder="1" applyAlignment="1">
      <alignment horizontal="center" vertical="center" wrapText="1"/>
    </xf>
    <xf numFmtId="0" fontId="0" fillId="4" borderId="6" xfId="0" applyFill="1" applyBorder="1" applyAlignment="1">
      <alignment horizontal="center" vertical="center" wrapText="1"/>
    </xf>
    <xf numFmtId="165" fontId="0" fillId="0" borderId="5" xfId="0" applyNumberFormat="1" applyBorder="1" applyAlignment="1">
      <alignment horizontal="center"/>
    </xf>
    <xf numFmtId="165" fontId="0" fillId="0" borderId="0" xfId="0" applyNumberFormat="1" applyBorder="1" applyAlignment="1">
      <alignment horizontal="center"/>
    </xf>
    <xf numFmtId="165" fontId="0" fillId="0" borderId="6" xfId="0" applyNumberFormat="1"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2" fontId="0" fillId="0" borderId="5" xfId="0" applyNumberFormat="1" applyBorder="1" applyAlignment="1">
      <alignment horizontal="center"/>
    </xf>
    <xf numFmtId="2" fontId="0" fillId="0" borderId="0" xfId="0" applyNumberFormat="1" applyBorder="1" applyAlignment="1">
      <alignment horizontal="center"/>
    </xf>
    <xf numFmtId="2" fontId="0" fillId="0" borderId="6" xfId="0" applyNumberFormat="1" applyBorder="1" applyAlignment="1">
      <alignment horizontal="center"/>
    </xf>
    <xf numFmtId="0" fontId="9" fillId="5" borderId="0" xfId="0" applyFont="1" applyFill="1" applyAlignment="1">
      <alignment horizontal="center" vertical="center" wrapText="1"/>
    </xf>
    <xf numFmtId="0" fontId="5" fillId="0" borderId="0" xfId="0" applyFont="1" applyAlignment="1">
      <alignment horizontal="center" vertical="center" wrapText="1"/>
    </xf>
    <xf numFmtId="0" fontId="9" fillId="5" borderId="5" xfId="0" applyFont="1" applyFill="1" applyBorder="1" applyAlignment="1">
      <alignment horizontal="centerContinuous" vertical="center" wrapText="1"/>
    </xf>
    <xf numFmtId="0" fontId="9" fillId="5" borderId="6" xfId="0" applyFont="1" applyFill="1" applyBorder="1" applyAlignment="1">
      <alignment horizontal="centerContinuous" vertical="center" wrapText="1"/>
    </xf>
    <xf numFmtId="0" fontId="9" fillId="5" borderId="0" xfId="0" applyFont="1" applyFill="1" applyBorder="1" applyAlignment="1">
      <alignment horizontal="centerContinuous" vertical="center" wrapText="1"/>
    </xf>
    <xf numFmtId="0" fontId="9" fillId="5" borderId="4" xfId="0" applyFont="1" applyFill="1" applyBorder="1" applyAlignment="1">
      <alignment horizontal="center" vertical="center" wrapText="1"/>
    </xf>
    <xf numFmtId="0" fontId="0" fillId="4" borderId="4" xfId="0" applyFill="1" applyBorder="1" applyAlignment="1">
      <alignment horizontal="center" vertical="center" wrapText="1"/>
    </xf>
    <xf numFmtId="165" fontId="0" fillId="0" borderId="4" xfId="0" applyNumberFormat="1" applyBorder="1" applyAlignment="1">
      <alignment horizontal="center"/>
    </xf>
    <xf numFmtId="0" fontId="0" fillId="0" borderId="4" xfId="0" applyBorder="1" applyAlignment="1">
      <alignment horizontal="center"/>
    </xf>
    <xf numFmtId="2" fontId="0" fillId="0" borderId="4" xfId="0" applyNumberFormat="1" applyBorder="1" applyAlignment="1">
      <alignment horizontal="center"/>
    </xf>
    <xf numFmtId="0" fontId="0" fillId="4" borderId="0" xfId="0" applyFill="1" applyBorder="1" applyAlignment="1">
      <alignment horizontal="center" vertical="center"/>
    </xf>
    <xf numFmtId="3" fontId="0" fillId="0" borderId="0" xfId="0" applyNumberFormat="1" applyAlignment="1">
      <alignment horizontal="center"/>
    </xf>
    <xf numFmtId="0" fontId="0" fillId="0" borderId="0" xfId="0" applyAlignment="1">
      <alignment horizontal="left"/>
    </xf>
    <xf numFmtId="3" fontId="5" fillId="0" borderId="0" xfId="0" applyNumberFormat="1" applyFont="1"/>
    <xf numFmtId="0" fontId="0" fillId="0" borderId="0" xfId="0" applyAlignment="1">
      <alignment vertical="center"/>
    </xf>
    <xf numFmtId="0" fontId="5" fillId="0" borderId="0" xfId="0" applyFont="1" applyAlignment="1">
      <alignment vertical="center"/>
    </xf>
    <xf numFmtId="0" fontId="0" fillId="0" borderId="0" xfId="0" applyAlignment="1">
      <alignment vertical="center" wrapText="1"/>
    </xf>
    <xf numFmtId="0" fontId="0" fillId="0" borderId="0" xfId="0" applyAlignment="1">
      <alignment horizontal="center" vertical="center"/>
    </xf>
    <xf numFmtId="3" fontId="1" fillId="0" borderId="0" xfId="1" applyNumberFormat="1"/>
    <xf numFmtId="3" fontId="14" fillId="0" borderId="0" xfId="0" applyNumberFormat="1" applyFont="1"/>
    <xf numFmtId="0" fontId="15" fillId="0" borderId="0" xfId="0" applyFont="1"/>
    <xf numFmtId="165" fontId="0" fillId="0" borderId="0" xfId="0" applyNumberFormat="1" applyBorder="1"/>
    <xf numFmtId="0" fontId="16" fillId="0" borderId="0" xfId="0" applyFont="1"/>
    <xf numFmtId="0" fontId="0" fillId="0" borderId="0" xfId="0" applyAlignment="1">
      <alignment horizontal="left" indent="2"/>
    </xf>
    <xf numFmtId="0" fontId="17" fillId="0" borderId="0" xfId="0" applyFont="1"/>
    <xf numFmtId="0" fontId="17" fillId="0" borderId="0" xfId="0" applyFont="1" applyAlignment="1">
      <alignment horizontal="center"/>
    </xf>
    <xf numFmtId="165" fontId="5" fillId="0" borderId="0" xfId="0" applyNumberFormat="1" applyFont="1" applyBorder="1"/>
    <xf numFmtId="0" fontId="9" fillId="5" borderId="0" xfId="0" applyFont="1" applyFill="1"/>
    <xf numFmtId="0" fontId="9" fillId="5" borderId="0" xfId="0" applyFont="1" applyFill="1" applyAlignment="1">
      <alignment horizontal="center"/>
    </xf>
    <xf numFmtId="0" fontId="5" fillId="0" borderId="0" xfId="0" applyFont="1" applyBorder="1"/>
    <xf numFmtId="166" fontId="18" fillId="0" borderId="0" xfId="0" applyNumberFormat="1" applyFont="1"/>
    <xf numFmtId="6" fontId="0" fillId="0" borderId="0" xfId="0" applyNumberFormat="1"/>
    <xf numFmtId="15" fontId="0" fillId="0" borderId="0" xfId="0" applyNumberFormat="1" applyAlignment="1">
      <alignment horizontal="center"/>
    </xf>
    <xf numFmtId="6" fontId="21" fillId="0" borderId="0" xfId="0" applyNumberFormat="1" applyFont="1"/>
    <xf numFmtId="15" fontId="21" fillId="0" borderId="0" xfId="0" applyNumberFormat="1" applyFont="1" applyAlignment="1">
      <alignment horizontal="center"/>
    </xf>
    <xf numFmtId="0" fontId="21" fillId="0" borderId="0" xfId="0" applyFont="1" applyAlignment="1">
      <alignment horizontal="center"/>
    </xf>
    <xf numFmtId="169" fontId="22" fillId="0" borderId="0" xfId="0" applyNumberFormat="1" applyFont="1" applyAlignment="1">
      <alignment horizontal="right"/>
    </xf>
    <xf numFmtId="6" fontId="23" fillId="0" borderId="0" xfId="0" applyNumberFormat="1" applyFont="1"/>
    <xf numFmtId="0" fontId="23" fillId="0" borderId="0" xfId="0" applyFont="1" applyAlignment="1">
      <alignment horizontal="center"/>
    </xf>
    <xf numFmtId="15" fontId="23" fillId="0" borderId="0" xfId="0" applyNumberFormat="1" applyFont="1" applyAlignment="1">
      <alignment horizontal="center"/>
    </xf>
    <xf numFmtId="169" fontId="0" fillId="0" borderId="0" xfId="0" applyNumberFormat="1" applyAlignment="1">
      <alignment horizontal="right"/>
    </xf>
    <xf numFmtId="0" fontId="20" fillId="4" borderId="0" xfId="0" applyFont="1" applyFill="1" applyAlignment="1">
      <alignment horizontal="center" vertical="center" wrapText="1"/>
    </xf>
    <xf numFmtId="0" fontId="19" fillId="5" borderId="0" xfId="0" applyFont="1" applyFill="1" applyAlignment="1">
      <alignment horizontal="centerContinuous"/>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B9-49C9-B9A7-8B714CA989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B9-49C9-B9A7-8B714CA989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B9-49C9-B9A7-8B714CA989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B9-49C9-B9A7-8B714CA989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B9-49C9-B9A7-8B714CA98939}"/>
              </c:ext>
            </c:extLst>
          </c:dPt>
          <c:val>
            <c:numRef>
              <c:f>'Full List'!$T$7:$T$11</c:f>
              <c:numCache>
                <c:formatCode>#,##0</c:formatCode>
                <c:ptCount val="5"/>
                <c:pt idx="0">
                  <c:v>13513034.333333332</c:v>
                </c:pt>
                <c:pt idx="1">
                  <c:v>692628.33333333326</c:v>
                </c:pt>
                <c:pt idx="2">
                  <c:v>336829.33333333331</c:v>
                </c:pt>
                <c:pt idx="3">
                  <c:v>1523867.666666667</c:v>
                </c:pt>
                <c:pt idx="4">
                  <c:v>2359803.666666667</c:v>
                </c:pt>
              </c:numCache>
            </c:numRef>
          </c:val>
          <c:extLst>
            <c:ext xmlns:c16="http://schemas.microsoft.com/office/drawing/2014/chart" uri="{C3380CC4-5D6E-409C-BE32-E72D297353CC}">
              <c16:uniqueId val="{00000000-2D13-495E-9702-CC829680F8F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spPr>
            <a:solidFill>
              <a:schemeClr val="accent1"/>
            </a:solidFill>
            <a:ln>
              <a:noFill/>
            </a:ln>
            <a:effectLst/>
          </c:spPr>
          <c:invertIfNegative val="0"/>
          <c:val>
            <c:numRef>
              <c:f>('Full List'!$T$7,'Full List'!$V$7:$X$7)</c:f>
              <c:numCache>
                <c:formatCode>#,##0</c:formatCode>
                <c:ptCount val="4"/>
                <c:pt idx="0">
                  <c:v>13513034.333333332</c:v>
                </c:pt>
                <c:pt idx="1">
                  <c:v>711000</c:v>
                </c:pt>
                <c:pt idx="2">
                  <c:v>44394</c:v>
                </c:pt>
                <c:pt idx="3">
                  <c:v>0</c:v>
                </c:pt>
              </c:numCache>
            </c:numRef>
          </c:val>
          <c:extLst>
            <c:ext xmlns:c16="http://schemas.microsoft.com/office/drawing/2014/chart" uri="{C3380CC4-5D6E-409C-BE32-E72D297353CC}">
              <c16:uniqueId val="{00000000-77B5-4C49-92F7-D0DDAB57BAAA}"/>
            </c:ext>
          </c:extLst>
        </c:ser>
        <c:ser>
          <c:idx val="1"/>
          <c:order val="1"/>
          <c:spPr>
            <a:solidFill>
              <a:schemeClr val="accent2"/>
            </a:solidFill>
            <a:ln>
              <a:noFill/>
            </a:ln>
            <a:effectLst/>
          </c:spPr>
          <c:invertIfNegative val="0"/>
          <c:val>
            <c:numRef>
              <c:f>('Full List'!$T$8,'Full List'!$V$8:$X$8)</c:f>
              <c:numCache>
                <c:formatCode>#,##0</c:formatCode>
                <c:ptCount val="4"/>
                <c:pt idx="0">
                  <c:v>692628.33333333326</c:v>
                </c:pt>
                <c:pt idx="1">
                  <c:v>38117</c:v>
                </c:pt>
                <c:pt idx="2">
                  <c:v>4952</c:v>
                </c:pt>
                <c:pt idx="3">
                  <c:v>0</c:v>
                </c:pt>
              </c:numCache>
            </c:numRef>
          </c:val>
          <c:extLst>
            <c:ext xmlns:c16="http://schemas.microsoft.com/office/drawing/2014/chart" uri="{C3380CC4-5D6E-409C-BE32-E72D297353CC}">
              <c16:uniqueId val="{00000001-77B5-4C49-92F7-D0DDAB57BAAA}"/>
            </c:ext>
          </c:extLst>
        </c:ser>
        <c:ser>
          <c:idx val="2"/>
          <c:order val="2"/>
          <c:spPr>
            <a:solidFill>
              <a:schemeClr val="accent3"/>
            </a:solidFill>
            <a:ln>
              <a:noFill/>
            </a:ln>
            <a:effectLst/>
          </c:spPr>
          <c:invertIfNegative val="0"/>
          <c:val>
            <c:numRef>
              <c:f>('Full List'!$T$9,'Full List'!$V$9:$X$9)</c:f>
              <c:numCache>
                <c:formatCode>#,##0</c:formatCode>
                <c:ptCount val="4"/>
                <c:pt idx="0">
                  <c:v>336829.33333333331</c:v>
                </c:pt>
                <c:pt idx="1">
                  <c:v>46000</c:v>
                </c:pt>
                <c:pt idx="2">
                  <c:v>1317</c:v>
                </c:pt>
                <c:pt idx="3">
                  <c:v>0</c:v>
                </c:pt>
              </c:numCache>
            </c:numRef>
          </c:val>
          <c:extLst>
            <c:ext xmlns:c16="http://schemas.microsoft.com/office/drawing/2014/chart" uri="{C3380CC4-5D6E-409C-BE32-E72D297353CC}">
              <c16:uniqueId val="{00000002-77B5-4C49-92F7-D0DDAB57BAAA}"/>
            </c:ext>
          </c:extLst>
        </c:ser>
        <c:ser>
          <c:idx val="3"/>
          <c:order val="3"/>
          <c:spPr>
            <a:solidFill>
              <a:schemeClr val="accent4"/>
            </a:solidFill>
            <a:ln>
              <a:noFill/>
            </a:ln>
            <a:effectLst/>
          </c:spPr>
          <c:invertIfNegative val="0"/>
          <c:val>
            <c:numRef>
              <c:f>('Full List'!$T$10,'Full List'!$V$10:$X$10)</c:f>
              <c:numCache>
                <c:formatCode>#,##0</c:formatCode>
                <c:ptCount val="4"/>
                <c:pt idx="0">
                  <c:v>1523867.666666667</c:v>
                </c:pt>
                <c:pt idx="1">
                  <c:v>2443167</c:v>
                </c:pt>
                <c:pt idx="2">
                  <c:v>1664387</c:v>
                </c:pt>
                <c:pt idx="3">
                  <c:v>551921</c:v>
                </c:pt>
              </c:numCache>
            </c:numRef>
          </c:val>
          <c:extLst>
            <c:ext xmlns:c16="http://schemas.microsoft.com/office/drawing/2014/chart" uri="{C3380CC4-5D6E-409C-BE32-E72D297353CC}">
              <c16:uniqueId val="{00000003-77B5-4C49-92F7-D0DDAB57BAAA}"/>
            </c:ext>
          </c:extLst>
        </c:ser>
        <c:ser>
          <c:idx val="4"/>
          <c:order val="4"/>
          <c:spPr>
            <a:solidFill>
              <a:schemeClr val="accent5"/>
            </a:solidFill>
            <a:ln>
              <a:noFill/>
            </a:ln>
            <a:effectLst/>
          </c:spPr>
          <c:invertIfNegative val="0"/>
          <c:val>
            <c:numRef>
              <c:f>('Full List'!$T$11,'Full List'!$V$11:$X$11)</c:f>
              <c:numCache>
                <c:formatCode>#,##0</c:formatCode>
                <c:ptCount val="4"/>
                <c:pt idx="0">
                  <c:v>2359803.666666667</c:v>
                </c:pt>
                <c:pt idx="1">
                  <c:v>627036</c:v>
                </c:pt>
                <c:pt idx="2">
                  <c:v>140121</c:v>
                </c:pt>
                <c:pt idx="3">
                  <c:v>0</c:v>
                </c:pt>
              </c:numCache>
            </c:numRef>
          </c:val>
          <c:extLst>
            <c:ext xmlns:c16="http://schemas.microsoft.com/office/drawing/2014/chart" uri="{C3380CC4-5D6E-409C-BE32-E72D297353CC}">
              <c16:uniqueId val="{00000004-77B5-4C49-92F7-D0DDAB57BAAA}"/>
            </c:ext>
          </c:extLst>
        </c:ser>
        <c:dLbls>
          <c:showLegendKey val="0"/>
          <c:showVal val="0"/>
          <c:showCatName val="0"/>
          <c:showSerName val="0"/>
          <c:showPercent val="0"/>
          <c:showBubbleSize val="0"/>
        </c:dLbls>
        <c:gapWidth val="150"/>
        <c:overlap val="100"/>
        <c:axId val="1104681407"/>
        <c:axId val="1104683327"/>
      </c:barChart>
      <c:catAx>
        <c:axId val="11046814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83327"/>
        <c:crosses val="autoZero"/>
        <c:auto val="1"/>
        <c:lblAlgn val="ctr"/>
        <c:lblOffset val="100"/>
        <c:noMultiLvlLbl val="0"/>
      </c:catAx>
      <c:valAx>
        <c:axId val="1104683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81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noFill/>
              <a:round/>
            </a:ln>
            <a:effectLst/>
          </c:spPr>
          <c:marker>
            <c:symbol val="x"/>
            <c:size val="10"/>
            <c:spPr>
              <a:noFill/>
              <a:ln w="9525">
                <a:solidFill>
                  <a:srgbClr val="C00000"/>
                </a:solidFill>
              </a:ln>
              <a:effectLst/>
            </c:spPr>
          </c:marker>
          <c:cat>
            <c:numRef>
              <c:f>'TP Stats'!$E$3:$E$45</c:f>
              <c:numCache>
                <c:formatCode>d\-mmm\-yy</c:formatCode>
                <c:ptCount val="43"/>
                <c:pt idx="0">
                  <c:v>44021</c:v>
                </c:pt>
                <c:pt idx="1">
                  <c:v>44351</c:v>
                </c:pt>
                <c:pt idx="2">
                  <c:v>44021</c:v>
                </c:pt>
                <c:pt idx="3">
                  <c:v>44462</c:v>
                </c:pt>
                <c:pt idx="4">
                  <c:v>44021</c:v>
                </c:pt>
                <c:pt idx="5">
                  <c:v>44404</c:v>
                </c:pt>
                <c:pt idx="6">
                  <c:v>44880</c:v>
                </c:pt>
                <c:pt idx="7">
                  <c:v>44376</c:v>
                </c:pt>
                <c:pt idx="8">
                  <c:v>45489</c:v>
                </c:pt>
                <c:pt idx="9">
                  <c:v>44764</c:v>
                </c:pt>
                <c:pt idx="10">
                  <c:v>44315</c:v>
                </c:pt>
                <c:pt idx="11">
                  <c:v>44847</c:v>
                </c:pt>
                <c:pt idx="12">
                  <c:v>45222</c:v>
                </c:pt>
                <c:pt idx="13">
                  <c:v>45114</c:v>
                </c:pt>
                <c:pt idx="14">
                  <c:v>44321</c:v>
                </c:pt>
                <c:pt idx="15">
                  <c:v>45238</c:v>
                </c:pt>
                <c:pt idx="16">
                  <c:v>45139</c:v>
                </c:pt>
                <c:pt idx="17">
                  <c:v>45327</c:v>
                </c:pt>
                <c:pt idx="18">
                  <c:v>45251</c:v>
                </c:pt>
                <c:pt idx="19">
                  <c:v>45371</c:v>
                </c:pt>
                <c:pt idx="20">
                  <c:v>45401</c:v>
                </c:pt>
                <c:pt idx="21">
                  <c:v>45072</c:v>
                </c:pt>
                <c:pt idx="22">
                  <c:v>45131</c:v>
                </c:pt>
                <c:pt idx="23">
                  <c:v>45468</c:v>
                </c:pt>
                <c:pt idx="24">
                  <c:v>45376</c:v>
                </c:pt>
                <c:pt idx="25">
                  <c:v>45168</c:v>
                </c:pt>
                <c:pt idx="26">
                  <c:v>45057</c:v>
                </c:pt>
                <c:pt idx="27">
                  <c:v>44978</c:v>
                </c:pt>
                <c:pt idx="28">
                  <c:v>45197</c:v>
                </c:pt>
                <c:pt idx="29">
                  <c:v>45324</c:v>
                </c:pt>
                <c:pt idx="30">
                  <c:v>45240</c:v>
                </c:pt>
                <c:pt idx="31">
                  <c:v>45177</c:v>
                </c:pt>
                <c:pt idx="32">
                  <c:v>45505</c:v>
                </c:pt>
                <c:pt idx="33">
                  <c:v>44260</c:v>
                </c:pt>
                <c:pt idx="34">
                  <c:v>45432</c:v>
                </c:pt>
                <c:pt idx="35">
                  <c:v>45397</c:v>
                </c:pt>
                <c:pt idx="36">
                  <c:v>45408</c:v>
                </c:pt>
                <c:pt idx="37">
                  <c:v>45523</c:v>
                </c:pt>
                <c:pt idx="38">
                  <c:v>45348</c:v>
                </c:pt>
                <c:pt idx="39">
                  <c:v>45112</c:v>
                </c:pt>
                <c:pt idx="40">
                  <c:v>45427</c:v>
                </c:pt>
                <c:pt idx="41">
                  <c:v>45363</c:v>
                </c:pt>
                <c:pt idx="42">
                  <c:v>45450</c:v>
                </c:pt>
              </c:numCache>
            </c:numRef>
          </c:cat>
          <c:val>
            <c:numRef>
              <c:f>'TP Stats'!$M$3:$M$45</c:f>
              <c:numCache>
                <c:formatCode>General</c:formatCode>
                <c:ptCount val="43"/>
                <c:pt idx="0">
                  <c:v>40</c:v>
                </c:pt>
                <c:pt idx="1">
                  <c:v>1099</c:v>
                </c:pt>
                <c:pt idx="2">
                  <c:v>38</c:v>
                </c:pt>
                <c:pt idx="3">
                  <c:v>1336</c:v>
                </c:pt>
                <c:pt idx="4">
                  <c:v>40</c:v>
                </c:pt>
                <c:pt idx="5">
                  <c:v>1227</c:v>
                </c:pt>
                <c:pt idx="6">
                  <c:v>2303</c:v>
                </c:pt>
                <c:pt idx="7">
                  <c:v>1160</c:v>
                </c:pt>
                <c:pt idx="8">
                  <c:v>3687</c:v>
                </c:pt>
                <c:pt idx="9">
                  <c:v>2041</c:v>
                </c:pt>
                <c:pt idx="10">
                  <c:v>1006</c:v>
                </c:pt>
                <c:pt idx="11">
                  <c:v>2233</c:v>
                </c:pt>
                <c:pt idx="12">
                  <c:v>3063</c:v>
                </c:pt>
                <c:pt idx="13">
                  <c:v>2792</c:v>
                </c:pt>
                <c:pt idx="14">
                  <c:v>1021</c:v>
                </c:pt>
                <c:pt idx="15">
                  <c:v>3097</c:v>
                </c:pt>
                <c:pt idx="16">
                  <c:v>2838</c:v>
                </c:pt>
                <c:pt idx="17">
                  <c:v>3268</c:v>
                </c:pt>
                <c:pt idx="18">
                  <c:v>3141</c:v>
                </c:pt>
                <c:pt idx="19">
                  <c:v>3395</c:v>
                </c:pt>
                <c:pt idx="20">
                  <c:v>3460</c:v>
                </c:pt>
                <c:pt idx="21">
                  <c:v>2695</c:v>
                </c:pt>
                <c:pt idx="22">
                  <c:v>2822</c:v>
                </c:pt>
                <c:pt idx="23">
                  <c:v>3625</c:v>
                </c:pt>
                <c:pt idx="24">
                  <c:v>3406</c:v>
                </c:pt>
                <c:pt idx="25">
                  <c:v>2928</c:v>
                </c:pt>
                <c:pt idx="26">
                  <c:v>2653</c:v>
                </c:pt>
                <c:pt idx="27">
                  <c:v>2492</c:v>
                </c:pt>
                <c:pt idx="28">
                  <c:v>3016</c:v>
                </c:pt>
                <c:pt idx="29">
                  <c:v>3266</c:v>
                </c:pt>
                <c:pt idx="30">
                  <c:v>3117</c:v>
                </c:pt>
                <c:pt idx="31">
                  <c:v>2960</c:v>
                </c:pt>
                <c:pt idx="32">
                  <c:v>3720</c:v>
                </c:pt>
                <c:pt idx="33">
                  <c:v>848</c:v>
                </c:pt>
                <c:pt idx="34">
                  <c:v>3530</c:v>
                </c:pt>
                <c:pt idx="35">
                  <c:v>3450</c:v>
                </c:pt>
                <c:pt idx="36">
                  <c:v>3475</c:v>
                </c:pt>
                <c:pt idx="37">
                  <c:v>3760</c:v>
                </c:pt>
                <c:pt idx="38">
                  <c:v>3332</c:v>
                </c:pt>
                <c:pt idx="39">
                  <c:v>2785</c:v>
                </c:pt>
                <c:pt idx="40">
                  <c:v>3523</c:v>
                </c:pt>
                <c:pt idx="41">
                  <c:v>3372</c:v>
                </c:pt>
                <c:pt idx="42">
                  <c:v>3583</c:v>
                </c:pt>
              </c:numCache>
            </c:numRef>
          </c:val>
          <c:smooth val="0"/>
          <c:extLst>
            <c:ext xmlns:c16="http://schemas.microsoft.com/office/drawing/2014/chart" uri="{C3380CC4-5D6E-409C-BE32-E72D297353CC}">
              <c16:uniqueId val="{00000027-FF06-448E-8E45-B37390CBD74E}"/>
            </c:ext>
          </c:extLst>
        </c:ser>
        <c:dLbls>
          <c:showLegendKey val="0"/>
          <c:showVal val="0"/>
          <c:showCatName val="0"/>
          <c:showSerName val="0"/>
          <c:showPercent val="0"/>
          <c:showBubbleSize val="0"/>
        </c:dLbls>
        <c:marker val="1"/>
        <c:smooth val="0"/>
        <c:axId val="1193996384"/>
        <c:axId val="1193998304"/>
      </c:lineChart>
      <c:dateAx>
        <c:axId val="119399638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3998304"/>
        <c:crosses val="autoZero"/>
        <c:auto val="1"/>
        <c:lblOffset val="100"/>
        <c:baseTimeUnit val="days"/>
        <c:majorUnit val="12"/>
        <c:majorTimeUnit val="months"/>
      </c:dateAx>
      <c:valAx>
        <c:axId val="119399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399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5400" cap="rnd">
              <a:solidFill>
                <a:schemeClr val="tx2"/>
              </a:solidFill>
              <a:round/>
            </a:ln>
            <a:effectLst/>
          </c:spPr>
          <c:marker>
            <c:symbol val="none"/>
          </c:marker>
          <c:cat>
            <c:numRef>
              <c:f>'TP Stats'!$R$3:$R$47</c:f>
              <c:numCache>
                <c:formatCode>d\-mmm\-yy</c:formatCode>
                <c:ptCount val="45"/>
                <c:pt idx="0">
                  <c:v>44021</c:v>
                </c:pt>
                <c:pt idx="1">
                  <c:v>44021</c:v>
                </c:pt>
                <c:pt idx="2">
                  <c:v>44021</c:v>
                </c:pt>
                <c:pt idx="3">
                  <c:v>44260</c:v>
                </c:pt>
                <c:pt idx="4">
                  <c:v>44315</c:v>
                </c:pt>
                <c:pt idx="5">
                  <c:v>44321</c:v>
                </c:pt>
                <c:pt idx="6">
                  <c:v>44351</c:v>
                </c:pt>
                <c:pt idx="7">
                  <c:v>44376</c:v>
                </c:pt>
                <c:pt idx="8">
                  <c:v>44404</c:v>
                </c:pt>
                <c:pt idx="9">
                  <c:v>44462</c:v>
                </c:pt>
                <c:pt idx="10">
                  <c:v>44764</c:v>
                </c:pt>
                <c:pt idx="11">
                  <c:v>44847</c:v>
                </c:pt>
                <c:pt idx="12">
                  <c:v>44880</c:v>
                </c:pt>
                <c:pt idx="13">
                  <c:v>44978</c:v>
                </c:pt>
                <c:pt idx="14">
                  <c:v>45057</c:v>
                </c:pt>
                <c:pt idx="15">
                  <c:v>45072</c:v>
                </c:pt>
                <c:pt idx="16">
                  <c:v>45112</c:v>
                </c:pt>
                <c:pt idx="17">
                  <c:v>45114</c:v>
                </c:pt>
                <c:pt idx="18">
                  <c:v>45131</c:v>
                </c:pt>
                <c:pt idx="19">
                  <c:v>45139</c:v>
                </c:pt>
                <c:pt idx="20">
                  <c:v>45168</c:v>
                </c:pt>
                <c:pt idx="21">
                  <c:v>45177</c:v>
                </c:pt>
                <c:pt idx="22">
                  <c:v>45197</c:v>
                </c:pt>
                <c:pt idx="23">
                  <c:v>45222</c:v>
                </c:pt>
                <c:pt idx="24">
                  <c:v>45238</c:v>
                </c:pt>
                <c:pt idx="25">
                  <c:v>45240</c:v>
                </c:pt>
                <c:pt idx="26">
                  <c:v>45251</c:v>
                </c:pt>
                <c:pt idx="27">
                  <c:v>45324</c:v>
                </c:pt>
                <c:pt idx="28">
                  <c:v>45327</c:v>
                </c:pt>
                <c:pt idx="29">
                  <c:v>45348</c:v>
                </c:pt>
                <c:pt idx="30">
                  <c:v>45363</c:v>
                </c:pt>
                <c:pt idx="31">
                  <c:v>45371</c:v>
                </c:pt>
                <c:pt idx="32">
                  <c:v>45376</c:v>
                </c:pt>
                <c:pt idx="33">
                  <c:v>45397</c:v>
                </c:pt>
                <c:pt idx="34">
                  <c:v>45401</c:v>
                </c:pt>
                <c:pt idx="35">
                  <c:v>45408</c:v>
                </c:pt>
                <c:pt idx="36">
                  <c:v>45427</c:v>
                </c:pt>
                <c:pt idx="37">
                  <c:v>45432</c:v>
                </c:pt>
                <c:pt idx="38">
                  <c:v>45446</c:v>
                </c:pt>
                <c:pt idx="39">
                  <c:v>45450</c:v>
                </c:pt>
                <c:pt idx="40">
                  <c:v>45468</c:v>
                </c:pt>
                <c:pt idx="41">
                  <c:v>45489</c:v>
                </c:pt>
                <c:pt idx="42">
                  <c:v>45505</c:v>
                </c:pt>
                <c:pt idx="43">
                  <c:v>45523</c:v>
                </c:pt>
                <c:pt idx="44">
                  <c:v>45546</c:v>
                </c:pt>
              </c:numCache>
            </c:numRef>
          </c:cat>
          <c:val>
            <c:numRef>
              <c:f>'TP Stats'!$T$3:$T$47</c:f>
              <c:numCache>
                <c:formatCode>General</c:formatCod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numCache>
            </c:numRef>
          </c:val>
          <c:smooth val="0"/>
          <c:extLst>
            <c:ext xmlns:c16="http://schemas.microsoft.com/office/drawing/2014/chart" uri="{C3380CC4-5D6E-409C-BE32-E72D297353CC}">
              <c16:uniqueId val="{00000000-86DA-4E60-BADC-85AA848CA342}"/>
            </c:ext>
          </c:extLst>
        </c:ser>
        <c:dLbls>
          <c:showLegendKey val="0"/>
          <c:showVal val="0"/>
          <c:showCatName val="0"/>
          <c:showSerName val="0"/>
          <c:showPercent val="0"/>
          <c:showBubbleSize val="0"/>
        </c:dLbls>
        <c:smooth val="0"/>
        <c:axId val="1193996384"/>
        <c:axId val="1193998304"/>
      </c:lineChart>
      <c:dateAx>
        <c:axId val="119399638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3998304"/>
        <c:crosses val="autoZero"/>
        <c:auto val="1"/>
        <c:lblOffset val="100"/>
        <c:baseTimeUnit val="days"/>
        <c:majorUnit val="12"/>
        <c:majorTimeUnit val="months"/>
      </c:dateAx>
      <c:valAx>
        <c:axId val="119399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399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1"/>
        <c:ser>
          <c:idx val="1"/>
          <c:order val="0"/>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2-5154-4593-85A3-A570FB525A4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154-4593-85A3-A570FB525A4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5154-4593-85A3-A570FB525A4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5154-4593-85A3-A570FB525A4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5154-4593-85A3-A570FB525A4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5154-4593-85A3-A570FB525A4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5154-4593-85A3-A570FB525A4C}"/>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9-5154-4593-85A3-A570FB525A4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A-5154-4593-85A3-A570FB525A4C}"/>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B-5154-4593-85A3-A570FB525A4C}"/>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5154-4593-85A3-A570FB525A4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5154-4593-85A3-A570FB525A4C}"/>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0E-5154-4593-85A3-A570FB525A4C}"/>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0F-5154-4593-85A3-A570FB525A4C}"/>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0-5154-4593-85A3-A570FB525A4C}"/>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1-5154-4593-85A3-A570FB525A4C}"/>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12-5154-4593-85A3-A570FB525A4C}"/>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13-5154-4593-85A3-A570FB525A4C}"/>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14-5154-4593-85A3-A570FB525A4C}"/>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15-5154-4593-85A3-A570FB525A4C}"/>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16-5154-4593-85A3-A570FB525A4C}"/>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17-5154-4593-85A3-A570FB525A4C}"/>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18-5154-4593-85A3-A570FB525A4C}"/>
              </c:ext>
            </c:extLst>
          </c:dPt>
          <c:dPt>
            <c:idx val="23"/>
            <c:invertIfNegative val="0"/>
            <c:bubble3D val="0"/>
            <c:spPr>
              <a:solidFill>
                <a:schemeClr val="accent6">
                  <a:lumMod val="80000"/>
                </a:schemeClr>
              </a:solidFill>
              <a:ln>
                <a:noFill/>
              </a:ln>
              <a:effectLst/>
            </c:spPr>
            <c:extLst>
              <c:ext xmlns:c16="http://schemas.microsoft.com/office/drawing/2014/chart" uri="{C3380CC4-5D6E-409C-BE32-E72D297353CC}">
                <c16:uniqueId val="{00000019-5154-4593-85A3-A570FB525A4C}"/>
              </c:ext>
            </c:extLst>
          </c:dPt>
          <c:dPt>
            <c:idx val="2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A-5154-4593-85A3-A570FB525A4C}"/>
              </c:ext>
            </c:extLst>
          </c:dPt>
          <c:dPt>
            <c:idx val="2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1B-5154-4593-85A3-A570FB525A4C}"/>
              </c:ext>
            </c:extLst>
          </c:dPt>
          <c:dPt>
            <c:idx val="2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C-5154-4593-85A3-A570FB525A4C}"/>
              </c:ext>
            </c:extLst>
          </c:dPt>
          <c:dPt>
            <c:idx val="2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D-5154-4593-85A3-A570FB525A4C}"/>
              </c:ext>
            </c:extLst>
          </c:dPt>
          <c:dPt>
            <c:idx val="28"/>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E-5154-4593-85A3-A570FB525A4C}"/>
              </c:ext>
            </c:extLst>
          </c:dPt>
          <c:dPt>
            <c:idx val="2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F-5154-4593-85A3-A570FB525A4C}"/>
              </c:ext>
            </c:extLst>
          </c:dPt>
          <c:dPt>
            <c:idx val="30"/>
            <c:invertIfNegative val="0"/>
            <c:bubble3D val="0"/>
            <c:spPr>
              <a:solidFill>
                <a:schemeClr val="accent1">
                  <a:lumMod val="50000"/>
                </a:schemeClr>
              </a:solidFill>
              <a:ln>
                <a:noFill/>
              </a:ln>
              <a:effectLst/>
            </c:spPr>
            <c:extLst>
              <c:ext xmlns:c16="http://schemas.microsoft.com/office/drawing/2014/chart" uri="{C3380CC4-5D6E-409C-BE32-E72D297353CC}">
                <c16:uniqueId val="{00000020-5154-4593-85A3-A570FB525A4C}"/>
              </c:ext>
            </c:extLst>
          </c:dPt>
          <c:dPt>
            <c:idx val="31"/>
            <c:invertIfNegative val="0"/>
            <c:bubble3D val="0"/>
            <c:spPr>
              <a:solidFill>
                <a:schemeClr val="accent2">
                  <a:lumMod val="50000"/>
                </a:schemeClr>
              </a:solidFill>
              <a:ln>
                <a:noFill/>
              </a:ln>
              <a:effectLst/>
            </c:spPr>
            <c:extLst>
              <c:ext xmlns:c16="http://schemas.microsoft.com/office/drawing/2014/chart" uri="{C3380CC4-5D6E-409C-BE32-E72D297353CC}">
                <c16:uniqueId val="{00000021-5154-4593-85A3-A570FB525A4C}"/>
              </c:ext>
            </c:extLst>
          </c:dPt>
          <c:dPt>
            <c:idx val="32"/>
            <c:invertIfNegative val="0"/>
            <c:bubble3D val="0"/>
            <c:spPr>
              <a:solidFill>
                <a:schemeClr val="accent3">
                  <a:lumMod val="50000"/>
                </a:schemeClr>
              </a:solidFill>
              <a:ln>
                <a:noFill/>
              </a:ln>
              <a:effectLst/>
            </c:spPr>
            <c:extLst>
              <c:ext xmlns:c16="http://schemas.microsoft.com/office/drawing/2014/chart" uri="{C3380CC4-5D6E-409C-BE32-E72D297353CC}">
                <c16:uniqueId val="{00000022-5154-4593-85A3-A570FB525A4C}"/>
              </c:ext>
            </c:extLst>
          </c:dPt>
          <c:dPt>
            <c:idx val="33"/>
            <c:invertIfNegative val="0"/>
            <c:bubble3D val="0"/>
            <c:spPr>
              <a:solidFill>
                <a:schemeClr val="accent4">
                  <a:lumMod val="50000"/>
                </a:schemeClr>
              </a:solidFill>
              <a:ln>
                <a:noFill/>
              </a:ln>
              <a:effectLst/>
            </c:spPr>
            <c:extLst>
              <c:ext xmlns:c16="http://schemas.microsoft.com/office/drawing/2014/chart" uri="{C3380CC4-5D6E-409C-BE32-E72D297353CC}">
                <c16:uniqueId val="{00000023-5154-4593-85A3-A570FB525A4C}"/>
              </c:ext>
            </c:extLst>
          </c:dPt>
          <c:dPt>
            <c:idx val="34"/>
            <c:invertIfNegative val="0"/>
            <c:bubble3D val="0"/>
            <c:spPr>
              <a:solidFill>
                <a:schemeClr val="accent5">
                  <a:lumMod val="50000"/>
                </a:schemeClr>
              </a:solidFill>
              <a:ln>
                <a:noFill/>
              </a:ln>
              <a:effectLst/>
            </c:spPr>
            <c:extLst>
              <c:ext xmlns:c16="http://schemas.microsoft.com/office/drawing/2014/chart" uri="{C3380CC4-5D6E-409C-BE32-E72D297353CC}">
                <c16:uniqueId val="{00000024-5154-4593-85A3-A570FB525A4C}"/>
              </c:ext>
            </c:extLst>
          </c:dPt>
          <c:dPt>
            <c:idx val="35"/>
            <c:invertIfNegative val="0"/>
            <c:bubble3D val="0"/>
            <c:spPr>
              <a:solidFill>
                <a:schemeClr val="accent6">
                  <a:lumMod val="50000"/>
                </a:schemeClr>
              </a:solidFill>
              <a:ln>
                <a:noFill/>
              </a:ln>
              <a:effectLst/>
            </c:spPr>
            <c:extLst>
              <c:ext xmlns:c16="http://schemas.microsoft.com/office/drawing/2014/chart" uri="{C3380CC4-5D6E-409C-BE32-E72D297353CC}">
                <c16:uniqueId val="{00000025-5154-4593-85A3-A570FB525A4C}"/>
              </c:ext>
            </c:extLst>
          </c:dPt>
          <c:dPt>
            <c:idx val="36"/>
            <c:invertIfNegative val="0"/>
            <c:bubble3D val="0"/>
            <c:spPr>
              <a:solidFill>
                <a:schemeClr val="accent1">
                  <a:lumMod val="70000"/>
                  <a:lumOff val="30000"/>
                </a:schemeClr>
              </a:solidFill>
              <a:ln>
                <a:noFill/>
              </a:ln>
              <a:effectLst/>
            </c:spPr>
            <c:extLst>
              <c:ext xmlns:c16="http://schemas.microsoft.com/office/drawing/2014/chart" uri="{C3380CC4-5D6E-409C-BE32-E72D297353CC}">
                <c16:uniqueId val="{00000026-5154-4593-85A3-A570FB525A4C}"/>
              </c:ext>
            </c:extLst>
          </c:dPt>
          <c:dPt>
            <c:idx val="37"/>
            <c:invertIfNegative val="0"/>
            <c:bubble3D val="0"/>
            <c:spPr>
              <a:solidFill>
                <a:schemeClr val="accent2">
                  <a:lumMod val="70000"/>
                  <a:lumOff val="30000"/>
                </a:schemeClr>
              </a:solidFill>
              <a:ln>
                <a:noFill/>
              </a:ln>
              <a:effectLst/>
            </c:spPr>
            <c:extLst>
              <c:ext xmlns:c16="http://schemas.microsoft.com/office/drawing/2014/chart" uri="{C3380CC4-5D6E-409C-BE32-E72D297353CC}">
                <c16:uniqueId val="{00000027-5154-4593-85A3-A570FB525A4C}"/>
              </c:ext>
            </c:extLst>
          </c:dPt>
          <c:dPt>
            <c:idx val="38"/>
            <c:invertIfNegative val="0"/>
            <c:bubble3D val="0"/>
            <c:spPr>
              <a:solidFill>
                <a:schemeClr val="accent3">
                  <a:lumMod val="70000"/>
                  <a:lumOff val="30000"/>
                </a:schemeClr>
              </a:solidFill>
              <a:ln>
                <a:noFill/>
              </a:ln>
              <a:effectLst/>
            </c:spPr>
            <c:extLst>
              <c:ext xmlns:c16="http://schemas.microsoft.com/office/drawing/2014/chart" uri="{C3380CC4-5D6E-409C-BE32-E72D297353CC}">
                <c16:uniqueId val="{00000028-5154-4593-85A3-A570FB525A4C}"/>
              </c:ext>
            </c:extLst>
          </c:dPt>
          <c:dPt>
            <c:idx val="39"/>
            <c:invertIfNegative val="0"/>
            <c:bubble3D val="0"/>
            <c:spPr>
              <a:solidFill>
                <a:schemeClr val="accent4">
                  <a:lumMod val="70000"/>
                  <a:lumOff val="30000"/>
                </a:schemeClr>
              </a:solidFill>
              <a:ln>
                <a:noFill/>
              </a:ln>
              <a:effectLst/>
            </c:spPr>
            <c:extLst>
              <c:ext xmlns:c16="http://schemas.microsoft.com/office/drawing/2014/chart" uri="{C3380CC4-5D6E-409C-BE32-E72D297353CC}">
                <c16:uniqueId val="{00000029-5154-4593-85A3-A570FB525A4C}"/>
              </c:ext>
            </c:extLst>
          </c:dPt>
          <c:dPt>
            <c:idx val="40"/>
            <c:invertIfNegative val="0"/>
            <c:bubble3D val="0"/>
            <c:spPr>
              <a:solidFill>
                <a:schemeClr val="accent5">
                  <a:lumMod val="70000"/>
                  <a:lumOff val="30000"/>
                </a:schemeClr>
              </a:solidFill>
              <a:ln>
                <a:noFill/>
              </a:ln>
              <a:effectLst/>
            </c:spPr>
            <c:extLst>
              <c:ext xmlns:c16="http://schemas.microsoft.com/office/drawing/2014/chart" uri="{C3380CC4-5D6E-409C-BE32-E72D297353CC}">
                <c16:uniqueId val="{0000002A-5154-4593-85A3-A570FB525A4C}"/>
              </c:ext>
            </c:extLst>
          </c:dPt>
          <c:dPt>
            <c:idx val="41"/>
            <c:invertIfNegative val="0"/>
            <c:bubble3D val="0"/>
            <c:spPr>
              <a:solidFill>
                <a:schemeClr val="accent6">
                  <a:lumMod val="70000"/>
                  <a:lumOff val="30000"/>
                </a:schemeClr>
              </a:solidFill>
              <a:ln>
                <a:noFill/>
              </a:ln>
              <a:effectLst/>
            </c:spPr>
            <c:extLst>
              <c:ext xmlns:c16="http://schemas.microsoft.com/office/drawing/2014/chart" uri="{C3380CC4-5D6E-409C-BE32-E72D297353CC}">
                <c16:uniqueId val="{0000002B-5154-4593-85A3-A570FB525A4C}"/>
              </c:ext>
            </c:extLst>
          </c:dPt>
          <c:dPt>
            <c:idx val="42"/>
            <c:invertIfNegative val="0"/>
            <c:bubble3D val="0"/>
            <c:spPr>
              <a:solidFill>
                <a:schemeClr val="accent1">
                  <a:lumMod val="70000"/>
                </a:schemeClr>
              </a:solidFill>
              <a:ln>
                <a:noFill/>
              </a:ln>
              <a:effectLst/>
            </c:spPr>
            <c:extLst>
              <c:ext xmlns:c16="http://schemas.microsoft.com/office/drawing/2014/chart" uri="{C3380CC4-5D6E-409C-BE32-E72D297353CC}">
                <c16:uniqueId val="{0000002C-5154-4593-85A3-A570FB525A4C}"/>
              </c:ext>
            </c:extLst>
          </c:dPt>
          <c:dPt>
            <c:idx val="43"/>
            <c:invertIfNegative val="0"/>
            <c:bubble3D val="0"/>
            <c:spPr>
              <a:solidFill>
                <a:schemeClr val="accent2">
                  <a:lumMod val="70000"/>
                </a:schemeClr>
              </a:solidFill>
              <a:ln>
                <a:noFill/>
              </a:ln>
              <a:effectLst/>
            </c:spPr>
            <c:extLst>
              <c:ext xmlns:c16="http://schemas.microsoft.com/office/drawing/2014/chart" uri="{C3380CC4-5D6E-409C-BE32-E72D297353CC}">
                <c16:uniqueId val="{00000057-A628-4C52-819D-44C9C9D3AC55}"/>
              </c:ext>
            </c:extLst>
          </c:dPt>
          <c:dPt>
            <c:idx val="44"/>
            <c:invertIfNegative val="0"/>
            <c:bubble3D val="0"/>
            <c:spPr>
              <a:solidFill>
                <a:schemeClr val="accent3">
                  <a:lumMod val="70000"/>
                </a:schemeClr>
              </a:solidFill>
              <a:ln>
                <a:noFill/>
              </a:ln>
              <a:effectLst/>
            </c:spPr>
            <c:extLst>
              <c:ext xmlns:c16="http://schemas.microsoft.com/office/drawing/2014/chart" uri="{C3380CC4-5D6E-409C-BE32-E72D297353CC}">
                <c16:uniqueId val="{00000059-A628-4C52-819D-44C9C9D3AC55}"/>
              </c:ext>
            </c:extLst>
          </c:dPt>
          <c:dLbls>
            <c:delete val="1"/>
          </c:dLbls>
          <c:xVal>
            <c:numRef>
              <c:f>'TP Stats'!$E$3:$E$47</c:f>
              <c:numCache>
                <c:formatCode>d\-mmm\-yy</c:formatCode>
                <c:ptCount val="45"/>
                <c:pt idx="0">
                  <c:v>44021</c:v>
                </c:pt>
                <c:pt idx="1">
                  <c:v>44351</c:v>
                </c:pt>
                <c:pt idx="2">
                  <c:v>44021</c:v>
                </c:pt>
                <c:pt idx="3">
                  <c:v>44462</c:v>
                </c:pt>
                <c:pt idx="4">
                  <c:v>44021</c:v>
                </c:pt>
                <c:pt idx="5">
                  <c:v>44404</c:v>
                </c:pt>
                <c:pt idx="6">
                  <c:v>44880</c:v>
                </c:pt>
                <c:pt idx="7">
                  <c:v>44376</c:v>
                </c:pt>
                <c:pt idx="8">
                  <c:v>45489</c:v>
                </c:pt>
                <c:pt idx="9">
                  <c:v>44764</c:v>
                </c:pt>
                <c:pt idx="10">
                  <c:v>44315</c:v>
                </c:pt>
                <c:pt idx="11">
                  <c:v>44847</c:v>
                </c:pt>
                <c:pt idx="12">
                  <c:v>45222</c:v>
                </c:pt>
                <c:pt idx="13">
                  <c:v>45114</c:v>
                </c:pt>
                <c:pt idx="14">
                  <c:v>44321</c:v>
                </c:pt>
                <c:pt idx="15">
                  <c:v>45238</c:v>
                </c:pt>
                <c:pt idx="16">
                  <c:v>45139</c:v>
                </c:pt>
                <c:pt idx="17">
                  <c:v>45327</c:v>
                </c:pt>
                <c:pt idx="18">
                  <c:v>45251</c:v>
                </c:pt>
                <c:pt idx="19">
                  <c:v>45371</c:v>
                </c:pt>
                <c:pt idx="20">
                  <c:v>45401</c:v>
                </c:pt>
                <c:pt idx="21">
                  <c:v>45072</c:v>
                </c:pt>
                <c:pt idx="22">
                  <c:v>45131</c:v>
                </c:pt>
                <c:pt idx="23">
                  <c:v>45468</c:v>
                </c:pt>
                <c:pt idx="24">
                  <c:v>45376</c:v>
                </c:pt>
                <c:pt idx="25">
                  <c:v>45168</c:v>
                </c:pt>
                <c:pt idx="26">
                  <c:v>45057</c:v>
                </c:pt>
                <c:pt idx="27">
                  <c:v>44978</c:v>
                </c:pt>
                <c:pt idx="28">
                  <c:v>45197</c:v>
                </c:pt>
                <c:pt idx="29">
                  <c:v>45324</c:v>
                </c:pt>
                <c:pt idx="30">
                  <c:v>45240</c:v>
                </c:pt>
                <c:pt idx="31">
                  <c:v>45177</c:v>
                </c:pt>
                <c:pt idx="32">
                  <c:v>45505</c:v>
                </c:pt>
                <c:pt idx="33">
                  <c:v>44260</c:v>
                </c:pt>
                <c:pt idx="34">
                  <c:v>45432</c:v>
                </c:pt>
                <c:pt idx="35">
                  <c:v>45397</c:v>
                </c:pt>
                <c:pt idx="36">
                  <c:v>45408</c:v>
                </c:pt>
                <c:pt idx="37">
                  <c:v>45523</c:v>
                </c:pt>
                <c:pt idx="38">
                  <c:v>45348</c:v>
                </c:pt>
                <c:pt idx="39">
                  <c:v>45112</c:v>
                </c:pt>
                <c:pt idx="40">
                  <c:v>45427</c:v>
                </c:pt>
                <c:pt idx="41">
                  <c:v>45363</c:v>
                </c:pt>
                <c:pt idx="42">
                  <c:v>45450</c:v>
                </c:pt>
                <c:pt idx="43">
                  <c:v>45546</c:v>
                </c:pt>
                <c:pt idx="44">
                  <c:v>45446</c:v>
                </c:pt>
              </c:numCache>
            </c:numRef>
          </c:xVal>
          <c:yVal>
            <c:numRef>
              <c:f>'TP Stats'!$O$3:$O$47</c:f>
              <c:numCache>
                <c:formatCode>General</c:formatCode>
                <c:ptCount val="45"/>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numCache>
            </c:numRef>
          </c:yVal>
          <c:bubbleSize>
            <c:numRef>
              <c:f>'TP Stats'!$J$3:$J$47</c:f>
              <c:numCache>
                <c:formatCode>#,##0</c:formatCode>
                <c:ptCount val="45"/>
                <c:pt idx="0">
                  <c:v>810038</c:v>
                </c:pt>
                <c:pt idx="1">
                  <c:v>256955.66666666666</c:v>
                </c:pt>
                <c:pt idx="2">
                  <c:v>24191</c:v>
                </c:pt>
                <c:pt idx="3">
                  <c:v>20067</c:v>
                </c:pt>
                <c:pt idx="4">
                  <c:v>29724.666666666668</c:v>
                </c:pt>
                <c:pt idx="5">
                  <c:v>17966.666666666668</c:v>
                </c:pt>
                <c:pt idx="6">
                  <c:v>84036.333333333328</c:v>
                </c:pt>
                <c:pt idx="7">
                  <c:v>11586</c:v>
                </c:pt>
                <c:pt idx="8">
                  <c:v>13982.333333333334</c:v>
                </c:pt>
                <c:pt idx="9">
                  <c:v>27234.666666666668</c:v>
                </c:pt>
                <c:pt idx="10">
                  <c:v>14741</c:v>
                </c:pt>
                <c:pt idx="11">
                  <c:v>50351.666666666664</c:v>
                </c:pt>
                <c:pt idx="12">
                  <c:v>9698</c:v>
                </c:pt>
                <c:pt idx="13">
                  <c:v>11596.666666666666</c:v>
                </c:pt>
                <c:pt idx="14">
                  <c:v>67211.666666666672</c:v>
                </c:pt>
                <c:pt idx="15">
                  <c:v>1292.6666666666667</c:v>
                </c:pt>
                <c:pt idx="16">
                  <c:v>5879</c:v>
                </c:pt>
                <c:pt idx="17">
                  <c:v>25540.666666666668</c:v>
                </c:pt>
                <c:pt idx="18">
                  <c:v>2385.6666666666665</c:v>
                </c:pt>
                <c:pt idx="19">
                  <c:v>838.33333333333337</c:v>
                </c:pt>
                <c:pt idx="20">
                  <c:v>407</c:v>
                </c:pt>
                <c:pt idx="21">
                  <c:v>2092.3333333333335</c:v>
                </c:pt>
                <c:pt idx="22">
                  <c:v>744</c:v>
                </c:pt>
                <c:pt idx="23">
                  <c:v>1163</c:v>
                </c:pt>
                <c:pt idx="24">
                  <c:v>6082</c:v>
                </c:pt>
                <c:pt idx="25">
                  <c:v>5963.333333333333</c:v>
                </c:pt>
                <c:pt idx="26">
                  <c:v>474.33333333333331</c:v>
                </c:pt>
                <c:pt idx="27">
                  <c:v>5321</c:v>
                </c:pt>
                <c:pt idx="28">
                  <c:v>599.33333333333337</c:v>
                </c:pt>
                <c:pt idx="29">
                  <c:v>3438.6666666666665</c:v>
                </c:pt>
                <c:pt idx="30">
                  <c:v>31</c:v>
                </c:pt>
                <c:pt idx="31">
                  <c:v>782</c:v>
                </c:pt>
                <c:pt idx="32">
                  <c:v>774</c:v>
                </c:pt>
                <c:pt idx="33">
                  <c:v>2788</c:v>
                </c:pt>
                <c:pt idx="34">
                  <c:v>716</c:v>
                </c:pt>
                <c:pt idx="35">
                  <c:v>732</c:v>
                </c:pt>
                <c:pt idx="36">
                  <c:v>366</c:v>
                </c:pt>
                <c:pt idx="37">
                  <c:v>1824</c:v>
                </c:pt>
                <c:pt idx="38">
                  <c:v>4252</c:v>
                </c:pt>
                <c:pt idx="39">
                  <c:v>0</c:v>
                </c:pt>
                <c:pt idx="40">
                  <c:v>0</c:v>
                </c:pt>
                <c:pt idx="41">
                  <c:v>0</c:v>
                </c:pt>
                <c:pt idx="42">
                  <c:v>0</c:v>
                </c:pt>
                <c:pt idx="43">
                  <c:v>0</c:v>
                </c:pt>
                <c:pt idx="44">
                  <c:v>0</c:v>
                </c:pt>
              </c:numCache>
            </c:numRef>
          </c:bubbleSize>
          <c:bubble3D val="0"/>
          <c:extLst>
            <c:ext xmlns:c16="http://schemas.microsoft.com/office/drawing/2014/chart" uri="{C3380CC4-5D6E-409C-BE32-E72D297353CC}">
              <c16:uniqueId val="{00000001-5154-4593-85A3-A570FB525A4C}"/>
            </c:ext>
          </c:extLst>
        </c:ser>
        <c:dLbls>
          <c:dLblPos val="ctr"/>
          <c:showLegendKey val="0"/>
          <c:showVal val="1"/>
          <c:showCatName val="0"/>
          <c:showSerName val="0"/>
          <c:showPercent val="0"/>
          <c:showBubbleSize val="0"/>
        </c:dLbls>
        <c:bubbleScale val="300"/>
        <c:showNegBubbles val="0"/>
        <c:axId val="1193996384"/>
        <c:axId val="1193998304"/>
      </c:bubbleChart>
      <c:valAx>
        <c:axId val="1193996384"/>
        <c:scaling>
          <c:orientation val="minMax"/>
          <c:max val="45536"/>
          <c:min val="43831"/>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3998304"/>
        <c:crosses val="autoZero"/>
        <c:crossBetween val="midCat"/>
        <c:majorUnit val="366"/>
      </c:valAx>
      <c:valAx>
        <c:axId val="1193998304"/>
        <c:scaling>
          <c:orientation val="minMax"/>
          <c:max val="10"/>
        </c:scaling>
        <c:delete val="1"/>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1193996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1"/>
        <c:ser>
          <c:idx val="1"/>
          <c:order val="0"/>
          <c:spPr>
            <a:solidFill>
              <a:schemeClr val="bg2"/>
            </a:solidFill>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AAB1-46C1-B224-B974B718C72E}"/>
              </c:ext>
            </c:extLst>
          </c:dPt>
          <c:dPt>
            <c:idx val="1"/>
            <c:invertIfNegative val="0"/>
            <c:bubble3D val="0"/>
            <c:spPr>
              <a:solidFill>
                <a:schemeClr val="bg2"/>
              </a:solidFill>
              <a:ln>
                <a:noFill/>
              </a:ln>
              <a:effectLst/>
            </c:spPr>
            <c:extLst>
              <c:ext xmlns:c16="http://schemas.microsoft.com/office/drawing/2014/chart" uri="{C3380CC4-5D6E-409C-BE32-E72D297353CC}">
                <c16:uniqueId val="{00000003-AAB1-46C1-B224-B974B718C72E}"/>
              </c:ext>
            </c:extLst>
          </c:dPt>
          <c:dPt>
            <c:idx val="2"/>
            <c:invertIfNegative val="0"/>
            <c:bubble3D val="0"/>
            <c:spPr>
              <a:solidFill>
                <a:schemeClr val="bg2"/>
              </a:solidFill>
              <a:ln>
                <a:noFill/>
              </a:ln>
              <a:effectLst/>
            </c:spPr>
            <c:extLst>
              <c:ext xmlns:c16="http://schemas.microsoft.com/office/drawing/2014/chart" uri="{C3380CC4-5D6E-409C-BE32-E72D297353CC}">
                <c16:uniqueId val="{00000005-AAB1-46C1-B224-B974B718C72E}"/>
              </c:ext>
            </c:extLst>
          </c:dPt>
          <c:dPt>
            <c:idx val="3"/>
            <c:invertIfNegative val="0"/>
            <c:bubble3D val="0"/>
            <c:spPr>
              <a:solidFill>
                <a:schemeClr val="bg2"/>
              </a:solidFill>
              <a:ln>
                <a:noFill/>
              </a:ln>
              <a:effectLst/>
            </c:spPr>
            <c:extLst>
              <c:ext xmlns:c16="http://schemas.microsoft.com/office/drawing/2014/chart" uri="{C3380CC4-5D6E-409C-BE32-E72D297353CC}">
                <c16:uniqueId val="{00000007-AAB1-46C1-B224-B974B718C72E}"/>
              </c:ext>
            </c:extLst>
          </c:dPt>
          <c:dPt>
            <c:idx val="4"/>
            <c:invertIfNegative val="0"/>
            <c:bubble3D val="0"/>
            <c:spPr>
              <a:solidFill>
                <a:schemeClr val="bg2"/>
              </a:solidFill>
              <a:ln>
                <a:noFill/>
              </a:ln>
              <a:effectLst/>
            </c:spPr>
            <c:extLst>
              <c:ext xmlns:c16="http://schemas.microsoft.com/office/drawing/2014/chart" uri="{C3380CC4-5D6E-409C-BE32-E72D297353CC}">
                <c16:uniqueId val="{00000009-AAB1-46C1-B224-B974B718C72E}"/>
              </c:ext>
            </c:extLst>
          </c:dPt>
          <c:dPt>
            <c:idx val="5"/>
            <c:invertIfNegative val="0"/>
            <c:bubble3D val="0"/>
            <c:spPr>
              <a:solidFill>
                <a:schemeClr val="tx2"/>
              </a:solidFill>
              <a:ln>
                <a:noFill/>
              </a:ln>
              <a:effectLst/>
            </c:spPr>
            <c:extLst>
              <c:ext xmlns:c16="http://schemas.microsoft.com/office/drawing/2014/chart" uri="{C3380CC4-5D6E-409C-BE32-E72D297353CC}">
                <c16:uniqueId val="{0000000B-AAB1-46C1-B224-B974B718C72E}"/>
              </c:ext>
            </c:extLst>
          </c:dPt>
          <c:dPt>
            <c:idx val="6"/>
            <c:invertIfNegative val="0"/>
            <c:bubble3D val="0"/>
            <c:spPr>
              <a:solidFill>
                <a:schemeClr val="bg2"/>
              </a:solidFill>
              <a:ln>
                <a:noFill/>
              </a:ln>
              <a:effectLst/>
            </c:spPr>
            <c:extLst>
              <c:ext xmlns:c16="http://schemas.microsoft.com/office/drawing/2014/chart" uri="{C3380CC4-5D6E-409C-BE32-E72D297353CC}">
                <c16:uniqueId val="{0000000D-AAB1-46C1-B224-B974B718C72E}"/>
              </c:ext>
            </c:extLst>
          </c:dPt>
          <c:dPt>
            <c:idx val="7"/>
            <c:invertIfNegative val="0"/>
            <c:bubble3D val="0"/>
            <c:spPr>
              <a:solidFill>
                <a:schemeClr val="bg2"/>
              </a:solidFill>
              <a:ln>
                <a:noFill/>
              </a:ln>
              <a:effectLst/>
            </c:spPr>
            <c:extLst>
              <c:ext xmlns:c16="http://schemas.microsoft.com/office/drawing/2014/chart" uri="{C3380CC4-5D6E-409C-BE32-E72D297353CC}">
                <c16:uniqueId val="{0000000F-AAB1-46C1-B224-B974B718C72E}"/>
              </c:ext>
            </c:extLst>
          </c:dPt>
          <c:dPt>
            <c:idx val="8"/>
            <c:invertIfNegative val="0"/>
            <c:bubble3D val="0"/>
            <c:spPr>
              <a:solidFill>
                <a:schemeClr val="tx2"/>
              </a:solidFill>
              <a:ln>
                <a:noFill/>
              </a:ln>
              <a:effectLst/>
            </c:spPr>
            <c:extLst>
              <c:ext xmlns:c16="http://schemas.microsoft.com/office/drawing/2014/chart" uri="{C3380CC4-5D6E-409C-BE32-E72D297353CC}">
                <c16:uniqueId val="{00000011-AAB1-46C1-B224-B974B718C72E}"/>
              </c:ext>
            </c:extLst>
          </c:dPt>
          <c:dPt>
            <c:idx val="9"/>
            <c:invertIfNegative val="0"/>
            <c:bubble3D val="0"/>
            <c:spPr>
              <a:solidFill>
                <a:schemeClr val="bg2"/>
              </a:solidFill>
              <a:ln>
                <a:noFill/>
              </a:ln>
              <a:effectLst/>
            </c:spPr>
            <c:extLst>
              <c:ext xmlns:c16="http://schemas.microsoft.com/office/drawing/2014/chart" uri="{C3380CC4-5D6E-409C-BE32-E72D297353CC}">
                <c16:uniqueId val="{00000013-AAB1-46C1-B224-B974B718C72E}"/>
              </c:ext>
            </c:extLst>
          </c:dPt>
          <c:dPt>
            <c:idx val="10"/>
            <c:invertIfNegative val="0"/>
            <c:bubble3D val="0"/>
            <c:spPr>
              <a:solidFill>
                <a:schemeClr val="bg2"/>
              </a:solidFill>
              <a:ln>
                <a:noFill/>
              </a:ln>
              <a:effectLst/>
            </c:spPr>
            <c:extLst>
              <c:ext xmlns:c16="http://schemas.microsoft.com/office/drawing/2014/chart" uri="{C3380CC4-5D6E-409C-BE32-E72D297353CC}">
                <c16:uniqueId val="{00000015-AAB1-46C1-B224-B974B718C72E}"/>
              </c:ext>
            </c:extLst>
          </c:dPt>
          <c:dPt>
            <c:idx val="11"/>
            <c:invertIfNegative val="0"/>
            <c:bubble3D val="0"/>
            <c:spPr>
              <a:solidFill>
                <a:schemeClr val="bg2"/>
              </a:solidFill>
              <a:ln>
                <a:noFill/>
              </a:ln>
              <a:effectLst/>
            </c:spPr>
            <c:extLst>
              <c:ext xmlns:c16="http://schemas.microsoft.com/office/drawing/2014/chart" uri="{C3380CC4-5D6E-409C-BE32-E72D297353CC}">
                <c16:uniqueId val="{00000017-AAB1-46C1-B224-B974B718C72E}"/>
              </c:ext>
            </c:extLst>
          </c:dPt>
          <c:dPt>
            <c:idx val="12"/>
            <c:invertIfNegative val="0"/>
            <c:bubble3D val="0"/>
            <c:spPr>
              <a:solidFill>
                <a:schemeClr val="bg2"/>
              </a:solidFill>
              <a:ln>
                <a:noFill/>
              </a:ln>
              <a:effectLst/>
            </c:spPr>
            <c:extLst>
              <c:ext xmlns:c16="http://schemas.microsoft.com/office/drawing/2014/chart" uri="{C3380CC4-5D6E-409C-BE32-E72D297353CC}">
                <c16:uniqueId val="{00000019-AAB1-46C1-B224-B974B718C72E}"/>
              </c:ext>
            </c:extLst>
          </c:dPt>
          <c:dPt>
            <c:idx val="13"/>
            <c:invertIfNegative val="0"/>
            <c:bubble3D val="0"/>
            <c:spPr>
              <a:solidFill>
                <a:schemeClr val="bg2"/>
              </a:solidFill>
              <a:ln>
                <a:noFill/>
              </a:ln>
              <a:effectLst/>
            </c:spPr>
            <c:extLst>
              <c:ext xmlns:c16="http://schemas.microsoft.com/office/drawing/2014/chart" uri="{C3380CC4-5D6E-409C-BE32-E72D297353CC}">
                <c16:uniqueId val="{0000001B-AAB1-46C1-B224-B974B718C72E}"/>
              </c:ext>
            </c:extLst>
          </c:dPt>
          <c:dPt>
            <c:idx val="14"/>
            <c:invertIfNegative val="0"/>
            <c:bubble3D val="0"/>
            <c:spPr>
              <a:solidFill>
                <a:schemeClr val="bg2"/>
              </a:solidFill>
              <a:ln>
                <a:noFill/>
              </a:ln>
              <a:effectLst/>
            </c:spPr>
            <c:extLst>
              <c:ext xmlns:c16="http://schemas.microsoft.com/office/drawing/2014/chart" uri="{C3380CC4-5D6E-409C-BE32-E72D297353CC}">
                <c16:uniqueId val="{0000001D-AAB1-46C1-B224-B974B718C72E}"/>
              </c:ext>
            </c:extLst>
          </c:dPt>
          <c:dPt>
            <c:idx val="15"/>
            <c:invertIfNegative val="0"/>
            <c:bubble3D val="0"/>
            <c:spPr>
              <a:solidFill>
                <a:schemeClr val="bg2"/>
              </a:solidFill>
              <a:ln>
                <a:noFill/>
              </a:ln>
              <a:effectLst/>
            </c:spPr>
            <c:extLst>
              <c:ext xmlns:c16="http://schemas.microsoft.com/office/drawing/2014/chart" uri="{C3380CC4-5D6E-409C-BE32-E72D297353CC}">
                <c16:uniqueId val="{0000001F-AAB1-46C1-B224-B974B718C72E}"/>
              </c:ext>
            </c:extLst>
          </c:dPt>
          <c:dPt>
            <c:idx val="16"/>
            <c:invertIfNegative val="0"/>
            <c:bubble3D val="0"/>
            <c:spPr>
              <a:solidFill>
                <a:schemeClr val="bg2"/>
              </a:solidFill>
              <a:ln>
                <a:noFill/>
              </a:ln>
              <a:effectLst/>
            </c:spPr>
            <c:extLst>
              <c:ext xmlns:c16="http://schemas.microsoft.com/office/drawing/2014/chart" uri="{C3380CC4-5D6E-409C-BE32-E72D297353CC}">
                <c16:uniqueId val="{00000021-AAB1-46C1-B224-B974B718C72E}"/>
              </c:ext>
            </c:extLst>
          </c:dPt>
          <c:dPt>
            <c:idx val="17"/>
            <c:invertIfNegative val="0"/>
            <c:bubble3D val="0"/>
            <c:spPr>
              <a:solidFill>
                <a:schemeClr val="bg2"/>
              </a:solidFill>
              <a:ln>
                <a:noFill/>
              </a:ln>
              <a:effectLst/>
            </c:spPr>
            <c:extLst>
              <c:ext xmlns:c16="http://schemas.microsoft.com/office/drawing/2014/chart" uri="{C3380CC4-5D6E-409C-BE32-E72D297353CC}">
                <c16:uniqueId val="{00000023-AAB1-46C1-B224-B974B718C72E}"/>
              </c:ext>
            </c:extLst>
          </c:dPt>
          <c:dPt>
            <c:idx val="18"/>
            <c:invertIfNegative val="0"/>
            <c:bubble3D val="0"/>
            <c:spPr>
              <a:solidFill>
                <a:schemeClr val="bg2"/>
              </a:solidFill>
              <a:ln>
                <a:noFill/>
              </a:ln>
              <a:effectLst/>
            </c:spPr>
            <c:extLst>
              <c:ext xmlns:c16="http://schemas.microsoft.com/office/drawing/2014/chart" uri="{C3380CC4-5D6E-409C-BE32-E72D297353CC}">
                <c16:uniqueId val="{00000025-AAB1-46C1-B224-B974B718C72E}"/>
              </c:ext>
            </c:extLst>
          </c:dPt>
          <c:dPt>
            <c:idx val="19"/>
            <c:invertIfNegative val="0"/>
            <c:bubble3D val="0"/>
            <c:spPr>
              <a:solidFill>
                <a:schemeClr val="bg2"/>
              </a:solidFill>
              <a:ln>
                <a:noFill/>
              </a:ln>
              <a:effectLst/>
            </c:spPr>
            <c:extLst>
              <c:ext xmlns:c16="http://schemas.microsoft.com/office/drawing/2014/chart" uri="{C3380CC4-5D6E-409C-BE32-E72D297353CC}">
                <c16:uniqueId val="{00000027-AAB1-46C1-B224-B974B718C72E}"/>
              </c:ext>
            </c:extLst>
          </c:dPt>
          <c:dPt>
            <c:idx val="20"/>
            <c:invertIfNegative val="0"/>
            <c:bubble3D val="0"/>
            <c:spPr>
              <a:solidFill>
                <a:schemeClr val="bg2"/>
              </a:solidFill>
              <a:ln>
                <a:noFill/>
              </a:ln>
              <a:effectLst/>
            </c:spPr>
            <c:extLst>
              <c:ext xmlns:c16="http://schemas.microsoft.com/office/drawing/2014/chart" uri="{C3380CC4-5D6E-409C-BE32-E72D297353CC}">
                <c16:uniqueId val="{00000029-AAB1-46C1-B224-B974B718C72E}"/>
              </c:ext>
            </c:extLst>
          </c:dPt>
          <c:dPt>
            <c:idx val="21"/>
            <c:invertIfNegative val="0"/>
            <c:bubble3D val="0"/>
            <c:spPr>
              <a:solidFill>
                <a:schemeClr val="bg2"/>
              </a:solidFill>
              <a:ln>
                <a:noFill/>
              </a:ln>
              <a:effectLst/>
            </c:spPr>
            <c:extLst>
              <c:ext xmlns:c16="http://schemas.microsoft.com/office/drawing/2014/chart" uri="{C3380CC4-5D6E-409C-BE32-E72D297353CC}">
                <c16:uniqueId val="{0000002B-AAB1-46C1-B224-B974B718C72E}"/>
              </c:ext>
            </c:extLst>
          </c:dPt>
          <c:dPt>
            <c:idx val="22"/>
            <c:invertIfNegative val="0"/>
            <c:bubble3D val="0"/>
            <c:spPr>
              <a:solidFill>
                <a:schemeClr val="bg2"/>
              </a:solidFill>
              <a:ln>
                <a:noFill/>
              </a:ln>
              <a:effectLst/>
            </c:spPr>
            <c:extLst>
              <c:ext xmlns:c16="http://schemas.microsoft.com/office/drawing/2014/chart" uri="{C3380CC4-5D6E-409C-BE32-E72D297353CC}">
                <c16:uniqueId val="{0000002D-AAB1-46C1-B224-B974B718C72E}"/>
              </c:ext>
            </c:extLst>
          </c:dPt>
          <c:dPt>
            <c:idx val="23"/>
            <c:invertIfNegative val="0"/>
            <c:bubble3D val="0"/>
            <c:spPr>
              <a:solidFill>
                <a:schemeClr val="bg2"/>
              </a:solidFill>
              <a:ln>
                <a:noFill/>
              </a:ln>
              <a:effectLst/>
            </c:spPr>
            <c:extLst>
              <c:ext xmlns:c16="http://schemas.microsoft.com/office/drawing/2014/chart" uri="{C3380CC4-5D6E-409C-BE32-E72D297353CC}">
                <c16:uniqueId val="{0000002F-AAB1-46C1-B224-B974B718C72E}"/>
              </c:ext>
            </c:extLst>
          </c:dPt>
          <c:dPt>
            <c:idx val="24"/>
            <c:invertIfNegative val="0"/>
            <c:bubble3D val="0"/>
            <c:spPr>
              <a:solidFill>
                <a:schemeClr val="bg2"/>
              </a:solidFill>
              <a:ln>
                <a:noFill/>
              </a:ln>
              <a:effectLst/>
            </c:spPr>
            <c:extLst>
              <c:ext xmlns:c16="http://schemas.microsoft.com/office/drawing/2014/chart" uri="{C3380CC4-5D6E-409C-BE32-E72D297353CC}">
                <c16:uniqueId val="{00000031-AAB1-46C1-B224-B974B718C72E}"/>
              </c:ext>
            </c:extLst>
          </c:dPt>
          <c:dPt>
            <c:idx val="25"/>
            <c:invertIfNegative val="0"/>
            <c:bubble3D val="0"/>
            <c:spPr>
              <a:solidFill>
                <a:schemeClr val="bg2"/>
              </a:solidFill>
              <a:ln>
                <a:noFill/>
              </a:ln>
              <a:effectLst/>
            </c:spPr>
            <c:extLst>
              <c:ext xmlns:c16="http://schemas.microsoft.com/office/drawing/2014/chart" uri="{C3380CC4-5D6E-409C-BE32-E72D297353CC}">
                <c16:uniqueId val="{00000033-AAB1-46C1-B224-B974B718C72E}"/>
              </c:ext>
            </c:extLst>
          </c:dPt>
          <c:dPt>
            <c:idx val="26"/>
            <c:invertIfNegative val="0"/>
            <c:bubble3D val="0"/>
            <c:spPr>
              <a:solidFill>
                <a:schemeClr val="bg2"/>
              </a:solidFill>
              <a:ln>
                <a:noFill/>
              </a:ln>
              <a:effectLst/>
            </c:spPr>
            <c:extLst>
              <c:ext xmlns:c16="http://schemas.microsoft.com/office/drawing/2014/chart" uri="{C3380CC4-5D6E-409C-BE32-E72D297353CC}">
                <c16:uniqueId val="{00000035-AAB1-46C1-B224-B974B718C72E}"/>
              </c:ext>
            </c:extLst>
          </c:dPt>
          <c:dPt>
            <c:idx val="27"/>
            <c:invertIfNegative val="0"/>
            <c:bubble3D val="0"/>
            <c:spPr>
              <a:solidFill>
                <a:schemeClr val="bg2"/>
              </a:solidFill>
              <a:ln>
                <a:noFill/>
              </a:ln>
              <a:effectLst/>
            </c:spPr>
            <c:extLst>
              <c:ext xmlns:c16="http://schemas.microsoft.com/office/drawing/2014/chart" uri="{C3380CC4-5D6E-409C-BE32-E72D297353CC}">
                <c16:uniqueId val="{00000037-AAB1-46C1-B224-B974B718C72E}"/>
              </c:ext>
            </c:extLst>
          </c:dPt>
          <c:dPt>
            <c:idx val="28"/>
            <c:invertIfNegative val="0"/>
            <c:bubble3D val="0"/>
            <c:spPr>
              <a:solidFill>
                <a:schemeClr val="bg2"/>
              </a:solidFill>
              <a:ln>
                <a:noFill/>
              </a:ln>
              <a:effectLst/>
            </c:spPr>
            <c:extLst>
              <c:ext xmlns:c16="http://schemas.microsoft.com/office/drawing/2014/chart" uri="{C3380CC4-5D6E-409C-BE32-E72D297353CC}">
                <c16:uniqueId val="{00000039-AAB1-46C1-B224-B974B718C72E}"/>
              </c:ext>
            </c:extLst>
          </c:dPt>
          <c:dPt>
            <c:idx val="29"/>
            <c:invertIfNegative val="0"/>
            <c:bubble3D val="0"/>
            <c:spPr>
              <a:solidFill>
                <a:schemeClr val="bg2"/>
              </a:solidFill>
              <a:ln>
                <a:noFill/>
              </a:ln>
              <a:effectLst/>
            </c:spPr>
            <c:extLst>
              <c:ext xmlns:c16="http://schemas.microsoft.com/office/drawing/2014/chart" uri="{C3380CC4-5D6E-409C-BE32-E72D297353CC}">
                <c16:uniqueId val="{0000003B-AAB1-46C1-B224-B974B718C72E}"/>
              </c:ext>
            </c:extLst>
          </c:dPt>
          <c:dPt>
            <c:idx val="30"/>
            <c:invertIfNegative val="0"/>
            <c:bubble3D val="0"/>
            <c:spPr>
              <a:solidFill>
                <a:schemeClr val="bg2"/>
              </a:solidFill>
              <a:ln>
                <a:noFill/>
              </a:ln>
              <a:effectLst/>
            </c:spPr>
            <c:extLst>
              <c:ext xmlns:c16="http://schemas.microsoft.com/office/drawing/2014/chart" uri="{C3380CC4-5D6E-409C-BE32-E72D297353CC}">
                <c16:uniqueId val="{0000003D-AAB1-46C1-B224-B974B718C72E}"/>
              </c:ext>
            </c:extLst>
          </c:dPt>
          <c:dPt>
            <c:idx val="31"/>
            <c:invertIfNegative val="0"/>
            <c:bubble3D val="0"/>
            <c:spPr>
              <a:solidFill>
                <a:schemeClr val="bg2"/>
              </a:solidFill>
              <a:ln>
                <a:noFill/>
              </a:ln>
              <a:effectLst/>
            </c:spPr>
            <c:extLst>
              <c:ext xmlns:c16="http://schemas.microsoft.com/office/drawing/2014/chart" uri="{C3380CC4-5D6E-409C-BE32-E72D297353CC}">
                <c16:uniqueId val="{0000003F-AAB1-46C1-B224-B974B718C72E}"/>
              </c:ext>
            </c:extLst>
          </c:dPt>
          <c:dPt>
            <c:idx val="32"/>
            <c:invertIfNegative val="0"/>
            <c:bubble3D val="0"/>
            <c:spPr>
              <a:solidFill>
                <a:schemeClr val="bg2"/>
              </a:solidFill>
              <a:ln>
                <a:noFill/>
              </a:ln>
              <a:effectLst/>
            </c:spPr>
            <c:extLst>
              <c:ext xmlns:c16="http://schemas.microsoft.com/office/drawing/2014/chart" uri="{C3380CC4-5D6E-409C-BE32-E72D297353CC}">
                <c16:uniqueId val="{00000041-AAB1-46C1-B224-B974B718C72E}"/>
              </c:ext>
            </c:extLst>
          </c:dPt>
          <c:dPt>
            <c:idx val="33"/>
            <c:invertIfNegative val="0"/>
            <c:bubble3D val="0"/>
            <c:spPr>
              <a:solidFill>
                <a:schemeClr val="bg2"/>
              </a:solidFill>
              <a:ln>
                <a:noFill/>
              </a:ln>
              <a:effectLst/>
            </c:spPr>
            <c:extLst>
              <c:ext xmlns:c16="http://schemas.microsoft.com/office/drawing/2014/chart" uri="{C3380CC4-5D6E-409C-BE32-E72D297353CC}">
                <c16:uniqueId val="{00000043-AAB1-46C1-B224-B974B718C72E}"/>
              </c:ext>
            </c:extLst>
          </c:dPt>
          <c:dPt>
            <c:idx val="34"/>
            <c:invertIfNegative val="0"/>
            <c:bubble3D val="0"/>
            <c:spPr>
              <a:solidFill>
                <a:schemeClr val="bg2"/>
              </a:solidFill>
              <a:ln>
                <a:noFill/>
              </a:ln>
              <a:effectLst/>
            </c:spPr>
            <c:extLst>
              <c:ext xmlns:c16="http://schemas.microsoft.com/office/drawing/2014/chart" uri="{C3380CC4-5D6E-409C-BE32-E72D297353CC}">
                <c16:uniqueId val="{00000045-AAB1-46C1-B224-B974B718C72E}"/>
              </c:ext>
            </c:extLst>
          </c:dPt>
          <c:dPt>
            <c:idx val="35"/>
            <c:invertIfNegative val="0"/>
            <c:bubble3D val="0"/>
            <c:spPr>
              <a:solidFill>
                <a:schemeClr val="bg2"/>
              </a:solidFill>
              <a:ln>
                <a:noFill/>
              </a:ln>
              <a:effectLst/>
            </c:spPr>
            <c:extLst>
              <c:ext xmlns:c16="http://schemas.microsoft.com/office/drawing/2014/chart" uri="{C3380CC4-5D6E-409C-BE32-E72D297353CC}">
                <c16:uniqueId val="{00000047-AAB1-46C1-B224-B974B718C72E}"/>
              </c:ext>
            </c:extLst>
          </c:dPt>
          <c:dPt>
            <c:idx val="36"/>
            <c:invertIfNegative val="0"/>
            <c:bubble3D val="0"/>
            <c:spPr>
              <a:solidFill>
                <a:schemeClr val="bg2"/>
              </a:solidFill>
              <a:ln>
                <a:noFill/>
              </a:ln>
              <a:effectLst/>
            </c:spPr>
            <c:extLst>
              <c:ext xmlns:c16="http://schemas.microsoft.com/office/drawing/2014/chart" uri="{C3380CC4-5D6E-409C-BE32-E72D297353CC}">
                <c16:uniqueId val="{00000049-AAB1-46C1-B224-B974B718C72E}"/>
              </c:ext>
            </c:extLst>
          </c:dPt>
          <c:dPt>
            <c:idx val="37"/>
            <c:invertIfNegative val="0"/>
            <c:bubble3D val="0"/>
            <c:spPr>
              <a:solidFill>
                <a:schemeClr val="bg2"/>
              </a:solidFill>
              <a:ln>
                <a:noFill/>
              </a:ln>
              <a:effectLst/>
            </c:spPr>
            <c:extLst>
              <c:ext xmlns:c16="http://schemas.microsoft.com/office/drawing/2014/chart" uri="{C3380CC4-5D6E-409C-BE32-E72D297353CC}">
                <c16:uniqueId val="{0000004B-AAB1-46C1-B224-B974B718C72E}"/>
              </c:ext>
            </c:extLst>
          </c:dPt>
          <c:dPt>
            <c:idx val="38"/>
            <c:invertIfNegative val="0"/>
            <c:bubble3D val="0"/>
            <c:spPr>
              <a:solidFill>
                <a:schemeClr val="bg2"/>
              </a:solidFill>
              <a:ln>
                <a:noFill/>
              </a:ln>
              <a:effectLst/>
            </c:spPr>
            <c:extLst>
              <c:ext xmlns:c16="http://schemas.microsoft.com/office/drawing/2014/chart" uri="{C3380CC4-5D6E-409C-BE32-E72D297353CC}">
                <c16:uniqueId val="{0000004D-AAB1-46C1-B224-B974B718C72E}"/>
              </c:ext>
            </c:extLst>
          </c:dPt>
          <c:dPt>
            <c:idx val="39"/>
            <c:invertIfNegative val="0"/>
            <c:bubble3D val="0"/>
            <c:spPr>
              <a:solidFill>
                <a:schemeClr val="bg2"/>
              </a:solidFill>
              <a:ln>
                <a:noFill/>
              </a:ln>
              <a:effectLst/>
            </c:spPr>
            <c:extLst>
              <c:ext xmlns:c16="http://schemas.microsoft.com/office/drawing/2014/chart" uri="{C3380CC4-5D6E-409C-BE32-E72D297353CC}">
                <c16:uniqueId val="{0000004F-AAB1-46C1-B224-B974B718C72E}"/>
              </c:ext>
            </c:extLst>
          </c:dPt>
          <c:dPt>
            <c:idx val="40"/>
            <c:invertIfNegative val="0"/>
            <c:bubble3D val="0"/>
            <c:spPr>
              <a:solidFill>
                <a:schemeClr val="bg2"/>
              </a:solidFill>
              <a:ln>
                <a:noFill/>
              </a:ln>
              <a:effectLst/>
            </c:spPr>
            <c:extLst>
              <c:ext xmlns:c16="http://schemas.microsoft.com/office/drawing/2014/chart" uri="{C3380CC4-5D6E-409C-BE32-E72D297353CC}">
                <c16:uniqueId val="{00000051-AAB1-46C1-B224-B974B718C72E}"/>
              </c:ext>
            </c:extLst>
          </c:dPt>
          <c:dPt>
            <c:idx val="41"/>
            <c:invertIfNegative val="0"/>
            <c:bubble3D val="0"/>
            <c:spPr>
              <a:solidFill>
                <a:schemeClr val="bg2"/>
              </a:solidFill>
              <a:ln>
                <a:noFill/>
              </a:ln>
              <a:effectLst/>
            </c:spPr>
            <c:extLst>
              <c:ext xmlns:c16="http://schemas.microsoft.com/office/drawing/2014/chart" uri="{C3380CC4-5D6E-409C-BE32-E72D297353CC}">
                <c16:uniqueId val="{00000053-AAB1-46C1-B224-B974B718C72E}"/>
              </c:ext>
            </c:extLst>
          </c:dPt>
          <c:dPt>
            <c:idx val="42"/>
            <c:invertIfNegative val="0"/>
            <c:bubble3D val="0"/>
            <c:spPr>
              <a:solidFill>
                <a:schemeClr val="bg2"/>
              </a:solidFill>
              <a:ln>
                <a:noFill/>
              </a:ln>
              <a:effectLst/>
            </c:spPr>
            <c:extLst>
              <c:ext xmlns:c16="http://schemas.microsoft.com/office/drawing/2014/chart" uri="{C3380CC4-5D6E-409C-BE32-E72D297353CC}">
                <c16:uniqueId val="{00000055-AAB1-46C1-B224-B974B718C72E}"/>
              </c:ext>
            </c:extLst>
          </c:dPt>
          <c:dPt>
            <c:idx val="43"/>
            <c:invertIfNegative val="0"/>
            <c:bubble3D val="0"/>
            <c:spPr>
              <a:solidFill>
                <a:schemeClr val="bg2"/>
              </a:solidFill>
              <a:ln>
                <a:noFill/>
              </a:ln>
              <a:effectLst/>
            </c:spPr>
            <c:extLst>
              <c:ext xmlns:c16="http://schemas.microsoft.com/office/drawing/2014/chart" uri="{C3380CC4-5D6E-409C-BE32-E72D297353CC}">
                <c16:uniqueId val="{00000057-AAB1-46C1-B224-B974B718C72E}"/>
              </c:ext>
            </c:extLst>
          </c:dPt>
          <c:dPt>
            <c:idx val="44"/>
            <c:invertIfNegative val="0"/>
            <c:bubble3D val="0"/>
            <c:spPr>
              <a:solidFill>
                <a:schemeClr val="bg2"/>
              </a:solidFill>
              <a:ln>
                <a:noFill/>
              </a:ln>
              <a:effectLst/>
            </c:spPr>
            <c:extLst>
              <c:ext xmlns:c16="http://schemas.microsoft.com/office/drawing/2014/chart" uri="{C3380CC4-5D6E-409C-BE32-E72D297353CC}">
                <c16:uniqueId val="{00000059-AAB1-46C1-B224-B974B718C72E}"/>
              </c:ext>
            </c:extLst>
          </c:dPt>
          <c:dLbls>
            <c:delete val="1"/>
          </c:dLbls>
          <c:xVal>
            <c:numRef>
              <c:f>'TP Stats'!$E$3:$E$47</c:f>
              <c:numCache>
                <c:formatCode>d\-mmm\-yy</c:formatCode>
                <c:ptCount val="45"/>
                <c:pt idx="0">
                  <c:v>44021</c:v>
                </c:pt>
                <c:pt idx="1">
                  <c:v>44351</c:v>
                </c:pt>
                <c:pt idx="2">
                  <c:v>44021</c:v>
                </c:pt>
                <c:pt idx="3">
                  <c:v>44462</c:v>
                </c:pt>
                <c:pt idx="4">
                  <c:v>44021</c:v>
                </c:pt>
                <c:pt idx="5">
                  <c:v>44404</c:v>
                </c:pt>
                <c:pt idx="6">
                  <c:v>44880</c:v>
                </c:pt>
                <c:pt idx="7">
                  <c:v>44376</c:v>
                </c:pt>
                <c:pt idx="8">
                  <c:v>45489</c:v>
                </c:pt>
                <c:pt idx="9">
                  <c:v>44764</c:v>
                </c:pt>
                <c:pt idx="10">
                  <c:v>44315</c:v>
                </c:pt>
                <c:pt idx="11">
                  <c:v>44847</c:v>
                </c:pt>
                <c:pt idx="12">
                  <c:v>45222</c:v>
                </c:pt>
                <c:pt idx="13">
                  <c:v>45114</c:v>
                </c:pt>
                <c:pt idx="14">
                  <c:v>44321</c:v>
                </c:pt>
                <c:pt idx="15">
                  <c:v>45238</c:v>
                </c:pt>
                <c:pt idx="16">
                  <c:v>45139</c:v>
                </c:pt>
                <c:pt idx="17">
                  <c:v>45327</c:v>
                </c:pt>
                <c:pt idx="18">
                  <c:v>45251</c:v>
                </c:pt>
                <c:pt idx="19">
                  <c:v>45371</c:v>
                </c:pt>
                <c:pt idx="20">
                  <c:v>45401</c:v>
                </c:pt>
                <c:pt idx="21">
                  <c:v>45072</c:v>
                </c:pt>
                <c:pt idx="22">
                  <c:v>45131</c:v>
                </c:pt>
                <c:pt idx="23">
                  <c:v>45468</c:v>
                </c:pt>
                <c:pt idx="24">
                  <c:v>45376</c:v>
                </c:pt>
                <c:pt idx="25">
                  <c:v>45168</c:v>
                </c:pt>
                <c:pt idx="26">
                  <c:v>45057</c:v>
                </c:pt>
                <c:pt idx="27">
                  <c:v>44978</c:v>
                </c:pt>
                <c:pt idx="28">
                  <c:v>45197</c:v>
                </c:pt>
                <c:pt idx="29">
                  <c:v>45324</c:v>
                </c:pt>
                <c:pt idx="30">
                  <c:v>45240</c:v>
                </c:pt>
                <c:pt idx="31">
                  <c:v>45177</c:v>
                </c:pt>
                <c:pt idx="32">
                  <c:v>45505</c:v>
                </c:pt>
                <c:pt idx="33">
                  <c:v>44260</c:v>
                </c:pt>
                <c:pt idx="34">
                  <c:v>45432</c:v>
                </c:pt>
                <c:pt idx="35">
                  <c:v>45397</c:v>
                </c:pt>
                <c:pt idx="36">
                  <c:v>45408</c:v>
                </c:pt>
                <c:pt idx="37">
                  <c:v>45523</c:v>
                </c:pt>
                <c:pt idx="38">
                  <c:v>45348</c:v>
                </c:pt>
                <c:pt idx="39">
                  <c:v>45112</c:v>
                </c:pt>
                <c:pt idx="40">
                  <c:v>45427</c:v>
                </c:pt>
                <c:pt idx="41">
                  <c:v>45363</c:v>
                </c:pt>
                <c:pt idx="42">
                  <c:v>45450</c:v>
                </c:pt>
                <c:pt idx="43">
                  <c:v>45546</c:v>
                </c:pt>
                <c:pt idx="44">
                  <c:v>45446</c:v>
                </c:pt>
              </c:numCache>
            </c:numRef>
          </c:xVal>
          <c:yVal>
            <c:numRef>
              <c:f>'TP Stats'!$O$3:$O$47</c:f>
              <c:numCache>
                <c:formatCode>General</c:formatCode>
                <c:ptCount val="45"/>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numCache>
            </c:numRef>
          </c:yVal>
          <c:bubbleSize>
            <c:numRef>
              <c:f>'TP Stats'!$J$3:$J$47</c:f>
              <c:numCache>
                <c:formatCode>#,##0</c:formatCode>
                <c:ptCount val="45"/>
                <c:pt idx="0">
                  <c:v>810038</c:v>
                </c:pt>
                <c:pt idx="1">
                  <c:v>256955.66666666666</c:v>
                </c:pt>
                <c:pt idx="2">
                  <c:v>24191</c:v>
                </c:pt>
                <c:pt idx="3">
                  <c:v>20067</c:v>
                </c:pt>
                <c:pt idx="4">
                  <c:v>29724.666666666668</c:v>
                </c:pt>
                <c:pt idx="5">
                  <c:v>17966.666666666668</c:v>
                </c:pt>
                <c:pt idx="6">
                  <c:v>84036.333333333328</c:v>
                </c:pt>
                <c:pt idx="7">
                  <c:v>11586</c:v>
                </c:pt>
                <c:pt idx="8">
                  <c:v>13982.333333333334</c:v>
                </c:pt>
                <c:pt idx="9">
                  <c:v>27234.666666666668</c:v>
                </c:pt>
                <c:pt idx="10">
                  <c:v>14741</c:v>
                </c:pt>
                <c:pt idx="11">
                  <c:v>50351.666666666664</c:v>
                </c:pt>
                <c:pt idx="12">
                  <c:v>9698</c:v>
                </c:pt>
                <c:pt idx="13">
                  <c:v>11596.666666666666</c:v>
                </c:pt>
                <c:pt idx="14">
                  <c:v>67211.666666666672</c:v>
                </c:pt>
                <c:pt idx="15">
                  <c:v>1292.6666666666667</c:v>
                </c:pt>
                <c:pt idx="16">
                  <c:v>5879</c:v>
                </c:pt>
                <c:pt idx="17">
                  <c:v>25540.666666666668</c:v>
                </c:pt>
                <c:pt idx="18">
                  <c:v>2385.6666666666665</c:v>
                </c:pt>
                <c:pt idx="19">
                  <c:v>838.33333333333337</c:v>
                </c:pt>
                <c:pt idx="20">
                  <c:v>407</c:v>
                </c:pt>
                <c:pt idx="21">
                  <c:v>2092.3333333333335</c:v>
                </c:pt>
                <c:pt idx="22">
                  <c:v>744</c:v>
                </c:pt>
                <c:pt idx="23">
                  <c:v>1163</c:v>
                </c:pt>
                <c:pt idx="24">
                  <c:v>6082</c:v>
                </c:pt>
                <c:pt idx="25">
                  <c:v>5963.333333333333</c:v>
                </c:pt>
                <c:pt idx="26">
                  <c:v>474.33333333333331</c:v>
                </c:pt>
                <c:pt idx="27">
                  <c:v>5321</c:v>
                </c:pt>
                <c:pt idx="28">
                  <c:v>599.33333333333337</c:v>
                </c:pt>
                <c:pt idx="29">
                  <c:v>3438.6666666666665</c:v>
                </c:pt>
                <c:pt idx="30">
                  <c:v>31</c:v>
                </c:pt>
                <c:pt idx="31">
                  <c:v>782</c:v>
                </c:pt>
                <c:pt idx="32">
                  <c:v>774</c:v>
                </c:pt>
                <c:pt idx="33">
                  <c:v>2788</c:v>
                </c:pt>
                <c:pt idx="34">
                  <c:v>716</c:v>
                </c:pt>
                <c:pt idx="35">
                  <c:v>732</c:v>
                </c:pt>
                <c:pt idx="36">
                  <c:v>366</c:v>
                </c:pt>
                <c:pt idx="37">
                  <c:v>1824</c:v>
                </c:pt>
                <c:pt idx="38">
                  <c:v>4252</c:v>
                </c:pt>
                <c:pt idx="39">
                  <c:v>0</c:v>
                </c:pt>
                <c:pt idx="40">
                  <c:v>0</c:v>
                </c:pt>
                <c:pt idx="41">
                  <c:v>0</c:v>
                </c:pt>
                <c:pt idx="42">
                  <c:v>0</c:v>
                </c:pt>
                <c:pt idx="43">
                  <c:v>0</c:v>
                </c:pt>
                <c:pt idx="44">
                  <c:v>0</c:v>
                </c:pt>
              </c:numCache>
            </c:numRef>
          </c:bubbleSize>
          <c:bubble3D val="0"/>
          <c:extLst>
            <c:ext xmlns:c16="http://schemas.microsoft.com/office/drawing/2014/chart" uri="{C3380CC4-5D6E-409C-BE32-E72D297353CC}">
              <c16:uniqueId val="{0000005A-AAB1-46C1-B224-B974B718C72E}"/>
            </c:ext>
          </c:extLst>
        </c:ser>
        <c:dLbls>
          <c:dLblPos val="ctr"/>
          <c:showLegendKey val="0"/>
          <c:showVal val="1"/>
          <c:showCatName val="0"/>
          <c:showSerName val="0"/>
          <c:showPercent val="0"/>
          <c:showBubbleSize val="0"/>
        </c:dLbls>
        <c:bubbleScale val="300"/>
        <c:showNegBubbles val="0"/>
        <c:axId val="1193996384"/>
        <c:axId val="1193998304"/>
      </c:bubbleChart>
      <c:valAx>
        <c:axId val="1193996384"/>
        <c:scaling>
          <c:orientation val="minMax"/>
          <c:max val="45536"/>
          <c:min val="43831"/>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3998304"/>
        <c:crosses val="autoZero"/>
        <c:crossBetween val="midCat"/>
        <c:majorUnit val="366"/>
      </c:valAx>
      <c:valAx>
        <c:axId val="1193998304"/>
        <c:scaling>
          <c:orientation val="minMax"/>
          <c:max val="10"/>
        </c:scaling>
        <c:delete val="1"/>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1193996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1"/>
        <c:ser>
          <c:idx val="1"/>
          <c:order val="0"/>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69FA-4F08-A2D7-973DB88B11F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9FA-4F08-A2D7-973DB88B11F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9FA-4F08-A2D7-973DB88B11F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9FA-4F08-A2D7-973DB88B11F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9FA-4F08-A2D7-973DB88B11F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9FA-4F08-A2D7-973DB88B11F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9FA-4F08-A2D7-973DB88B11F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9FA-4F08-A2D7-973DB88B11F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9FA-4F08-A2D7-973DB88B11F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9FA-4F08-A2D7-973DB88B11F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69FA-4F08-A2D7-973DB88B11F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69FA-4F08-A2D7-973DB88B11F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69FA-4F08-A2D7-973DB88B11F1}"/>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69FA-4F08-A2D7-973DB88B11F1}"/>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69FA-4F08-A2D7-973DB88B11F1}"/>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69FA-4F08-A2D7-973DB88B11F1}"/>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69FA-4F08-A2D7-973DB88B11F1}"/>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69FA-4F08-A2D7-973DB88B11F1}"/>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69FA-4F08-A2D7-973DB88B11F1}"/>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69FA-4F08-A2D7-973DB88B11F1}"/>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69FA-4F08-A2D7-973DB88B11F1}"/>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69FA-4F08-A2D7-973DB88B11F1}"/>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2D-69FA-4F08-A2D7-973DB88B11F1}"/>
              </c:ext>
            </c:extLst>
          </c:dPt>
          <c:dPt>
            <c:idx val="23"/>
            <c:invertIfNegative val="0"/>
            <c:bubble3D val="0"/>
            <c:spPr>
              <a:solidFill>
                <a:schemeClr val="accent6">
                  <a:lumMod val="80000"/>
                </a:schemeClr>
              </a:solidFill>
              <a:ln>
                <a:noFill/>
              </a:ln>
              <a:effectLst/>
            </c:spPr>
            <c:extLst>
              <c:ext xmlns:c16="http://schemas.microsoft.com/office/drawing/2014/chart" uri="{C3380CC4-5D6E-409C-BE32-E72D297353CC}">
                <c16:uniqueId val="{0000002F-69FA-4F08-A2D7-973DB88B11F1}"/>
              </c:ext>
            </c:extLst>
          </c:dPt>
          <c:dPt>
            <c:idx val="2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31-69FA-4F08-A2D7-973DB88B11F1}"/>
              </c:ext>
            </c:extLst>
          </c:dPt>
          <c:dPt>
            <c:idx val="2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33-69FA-4F08-A2D7-973DB88B11F1}"/>
              </c:ext>
            </c:extLst>
          </c:dPt>
          <c:dPt>
            <c:idx val="2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35-69FA-4F08-A2D7-973DB88B11F1}"/>
              </c:ext>
            </c:extLst>
          </c:dPt>
          <c:dPt>
            <c:idx val="2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37-69FA-4F08-A2D7-973DB88B11F1}"/>
              </c:ext>
            </c:extLst>
          </c:dPt>
          <c:dPt>
            <c:idx val="28"/>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39-69FA-4F08-A2D7-973DB88B11F1}"/>
              </c:ext>
            </c:extLst>
          </c:dPt>
          <c:dPt>
            <c:idx val="2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3B-69FA-4F08-A2D7-973DB88B11F1}"/>
              </c:ext>
            </c:extLst>
          </c:dPt>
          <c:dPt>
            <c:idx val="30"/>
            <c:invertIfNegative val="0"/>
            <c:bubble3D val="0"/>
            <c:spPr>
              <a:solidFill>
                <a:schemeClr val="accent1">
                  <a:lumMod val="50000"/>
                </a:schemeClr>
              </a:solidFill>
              <a:ln>
                <a:noFill/>
              </a:ln>
              <a:effectLst/>
            </c:spPr>
            <c:extLst>
              <c:ext xmlns:c16="http://schemas.microsoft.com/office/drawing/2014/chart" uri="{C3380CC4-5D6E-409C-BE32-E72D297353CC}">
                <c16:uniqueId val="{0000003D-69FA-4F08-A2D7-973DB88B11F1}"/>
              </c:ext>
            </c:extLst>
          </c:dPt>
          <c:dPt>
            <c:idx val="31"/>
            <c:invertIfNegative val="0"/>
            <c:bubble3D val="0"/>
            <c:spPr>
              <a:solidFill>
                <a:schemeClr val="accent2">
                  <a:lumMod val="50000"/>
                </a:schemeClr>
              </a:solidFill>
              <a:ln>
                <a:noFill/>
              </a:ln>
              <a:effectLst/>
            </c:spPr>
            <c:extLst>
              <c:ext xmlns:c16="http://schemas.microsoft.com/office/drawing/2014/chart" uri="{C3380CC4-5D6E-409C-BE32-E72D297353CC}">
                <c16:uniqueId val="{0000003F-69FA-4F08-A2D7-973DB88B11F1}"/>
              </c:ext>
            </c:extLst>
          </c:dPt>
          <c:dPt>
            <c:idx val="32"/>
            <c:invertIfNegative val="0"/>
            <c:bubble3D val="0"/>
            <c:spPr>
              <a:solidFill>
                <a:schemeClr val="accent3">
                  <a:lumMod val="50000"/>
                </a:schemeClr>
              </a:solidFill>
              <a:ln>
                <a:noFill/>
              </a:ln>
              <a:effectLst/>
            </c:spPr>
            <c:extLst>
              <c:ext xmlns:c16="http://schemas.microsoft.com/office/drawing/2014/chart" uri="{C3380CC4-5D6E-409C-BE32-E72D297353CC}">
                <c16:uniqueId val="{00000041-69FA-4F08-A2D7-973DB88B11F1}"/>
              </c:ext>
            </c:extLst>
          </c:dPt>
          <c:dPt>
            <c:idx val="33"/>
            <c:invertIfNegative val="0"/>
            <c:bubble3D val="0"/>
            <c:spPr>
              <a:solidFill>
                <a:schemeClr val="accent4">
                  <a:lumMod val="50000"/>
                </a:schemeClr>
              </a:solidFill>
              <a:ln>
                <a:noFill/>
              </a:ln>
              <a:effectLst/>
            </c:spPr>
            <c:extLst>
              <c:ext xmlns:c16="http://schemas.microsoft.com/office/drawing/2014/chart" uri="{C3380CC4-5D6E-409C-BE32-E72D297353CC}">
                <c16:uniqueId val="{00000043-69FA-4F08-A2D7-973DB88B11F1}"/>
              </c:ext>
            </c:extLst>
          </c:dPt>
          <c:dPt>
            <c:idx val="34"/>
            <c:invertIfNegative val="0"/>
            <c:bubble3D val="0"/>
            <c:spPr>
              <a:solidFill>
                <a:schemeClr val="accent5">
                  <a:lumMod val="50000"/>
                </a:schemeClr>
              </a:solidFill>
              <a:ln>
                <a:noFill/>
              </a:ln>
              <a:effectLst/>
            </c:spPr>
            <c:extLst>
              <c:ext xmlns:c16="http://schemas.microsoft.com/office/drawing/2014/chart" uri="{C3380CC4-5D6E-409C-BE32-E72D297353CC}">
                <c16:uniqueId val="{00000045-69FA-4F08-A2D7-973DB88B11F1}"/>
              </c:ext>
            </c:extLst>
          </c:dPt>
          <c:dPt>
            <c:idx val="35"/>
            <c:invertIfNegative val="0"/>
            <c:bubble3D val="0"/>
            <c:spPr>
              <a:solidFill>
                <a:schemeClr val="accent6">
                  <a:lumMod val="50000"/>
                </a:schemeClr>
              </a:solidFill>
              <a:ln>
                <a:noFill/>
              </a:ln>
              <a:effectLst/>
            </c:spPr>
            <c:extLst>
              <c:ext xmlns:c16="http://schemas.microsoft.com/office/drawing/2014/chart" uri="{C3380CC4-5D6E-409C-BE32-E72D297353CC}">
                <c16:uniqueId val="{00000047-69FA-4F08-A2D7-973DB88B11F1}"/>
              </c:ext>
            </c:extLst>
          </c:dPt>
          <c:dPt>
            <c:idx val="36"/>
            <c:invertIfNegative val="0"/>
            <c:bubble3D val="0"/>
            <c:spPr>
              <a:solidFill>
                <a:schemeClr val="accent1">
                  <a:lumMod val="70000"/>
                  <a:lumOff val="30000"/>
                </a:schemeClr>
              </a:solidFill>
              <a:ln>
                <a:noFill/>
              </a:ln>
              <a:effectLst/>
            </c:spPr>
            <c:extLst>
              <c:ext xmlns:c16="http://schemas.microsoft.com/office/drawing/2014/chart" uri="{C3380CC4-5D6E-409C-BE32-E72D297353CC}">
                <c16:uniqueId val="{00000049-69FA-4F08-A2D7-973DB88B11F1}"/>
              </c:ext>
            </c:extLst>
          </c:dPt>
          <c:dPt>
            <c:idx val="37"/>
            <c:invertIfNegative val="0"/>
            <c:bubble3D val="0"/>
            <c:spPr>
              <a:solidFill>
                <a:schemeClr val="accent2">
                  <a:lumMod val="70000"/>
                  <a:lumOff val="30000"/>
                </a:schemeClr>
              </a:solidFill>
              <a:ln>
                <a:noFill/>
              </a:ln>
              <a:effectLst/>
            </c:spPr>
            <c:extLst>
              <c:ext xmlns:c16="http://schemas.microsoft.com/office/drawing/2014/chart" uri="{C3380CC4-5D6E-409C-BE32-E72D297353CC}">
                <c16:uniqueId val="{0000004B-69FA-4F08-A2D7-973DB88B11F1}"/>
              </c:ext>
            </c:extLst>
          </c:dPt>
          <c:dPt>
            <c:idx val="38"/>
            <c:invertIfNegative val="0"/>
            <c:bubble3D val="0"/>
            <c:spPr>
              <a:solidFill>
                <a:schemeClr val="accent3">
                  <a:lumMod val="70000"/>
                  <a:lumOff val="30000"/>
                </a:schemeClr>
              </a:solidFill>
              <a:ln>
                <a:noFill/>
              </a:ln>
              <a:effectLst/>
            </c:spPr>
            <c:extLst>
              <c:ext xmlns:c16="http://schemas.microsoft.com/office/drawing/2014/chart" uri="{C3380CC4-5D6E-409C-BE32-E72D297353CC}">
                <c16:uniqueId val="{0000004D-69FA-4F08-A2D7-973DB88B11F1}"/>
              </c:ext>
            </c:extLst>
          </c:dPt>
          <c:dPt>
            <c:idx val="39"/>
            <c:invertIfNegative val="0"/>
            <c:bubble3D val="0"/>
            <c:spPr>
              <a:solidFill>
                <a:schemeClr val="accent4">
                  <a:lumMod val="70000"/>
                  <a:lumOff val="30000"/>
                </a:schemeClr>
              </a:solidFill>
              <a:ln>
                <a:noFill/>
              </a:ln>
              <a:effectLst/>
            </c:spPr>
            <c:extLst>
              <c:ext xmlns:c16="http://schemas.microsoft.com/office/drawing/2014/chart" uri="{C3380CC4-5D6E-409C-BE32-E72D297353CC}">
                <c16:uniqueId val="{0000004F-69FA-4F08-A2D7-973DB88B11F1}"/>
              </c:ext>
            </c:extLst>
          </c:dPt>
          <c:dPt>
            <c:idx val="40"/>
            <c:invertIfNegative val="0"/>
            <c:bubble3D val="0"/>
            <c:spPr>
              <a:solidFill>
                <a:schemeClr val="accent5">
                  <a:lumMod val="70000"/>
                  <a:lumOff val="30000"/>
                </a:schemeClr>
              </a:solidFill>
              <a:ln>
                <a:noFill/>
              </a:ln>
              <a:effectLst/>
            </c:spPr>
            <c:extLst>
              <c:ext xmlns:c16="http://schemas.microsoft.com/office/drawing/2014/chart" uri="{C3380CC4-5D6E-409C-BE32-E72D297353CC}">
                <c16:uniqueId val="{00000051-69FA-4F08-A2D7-973DB88B11F1}"/>
              </c:ext>
            </c:extLst>
          </c:dPt>
          <c:dPt>
            <c:idx val="41"/>
            <c:invertIfNegative val="0"/>
            <c:bubble3D val="0"/>
            <c:spPr>
              <a:solidFill>
                <a:schemeClr val="accent6">
                  <a:lumMod val="70000"/>
                  <a:lumOff val="30000"/>
                </a:schemeClr>
              </a:solidFill>
              <a:ln>
                <a:noFill/>
              </a:ln>
              <a:effectLst/>
            </c:spPr>
            <c:extLst>
              <c:ext xmlns:c16="http://schemas.microsoft.com/office/drawing/2014/chart" uri="{C3380CC4-5D6E-409C-BE32-E72D297353CC}">
                <c16:uniqueId val="{00000053-69FA-4F08-A2D7-973DB88B11F1}"/>
              </c:ext>
            </c:extLst>
          </c:dPt>
          <c:dPt>
            <c:idx val="42"/>
            <c:invertIfNegative val="0"/>
            <c:bubble3D val="0"/>
            <c:spPr>
              <a:solidFill>
                <a:schemeClr val="accent1">
                  <a:lumMod val="70000"/>
                </a:schemeClr>
              </a:solidFill>
              <a:ln>
                <a:noFill/>
              </a:ln>
              <a:effectLst/>
            </c:spPr>
            <c:extLst>
              <c:ext xmlns:c16="http://schemas.microsoft.com/office/drawing/2014/chart" uri="{C3380CC4-5D6E-409C-BE32-E72D297353CC}">
                <c16:uniqueId val="{00000055-69FA-4F08-A2D7-973DB88B11F1}"/>
              </c:ext>
            </c:extLst>
          </c:dPt>
          <c:dPt>
            <c:idx val="43"/>
            <c:invertIfNegative val="0"/>
            <c:bubble3D val="0"/>
            <c:spPr>
              <a:solidFill>
                <a:schemeClr val="accent2">
                  <a:lumMod val="70000"/>
                </a:schemeClr>
              </a:solidFill>
              <a:ln>
                <a:noFill/>
              </a:ln>
              <a:effectLst/>
            </c:spPr>
            <c:extLst>
              <c:ext xmlns:c16="http://schemas.microsoft.com/office/drawing/2014/chart" uri="{C3380CC4-5D6E-409C-BE32-E72D297353CC}">
                <c16:uniqueId val="{00000057-69FA-4F08-A2D7-973DB88B11F1}"/>
              </c:ext>
            </c:extLst>
          </c:dPt>
          <c:dPt>
            <c:idx val="44"/>
            <c:invertIfNegative val="0"/>
            <c:bubble3D val="0"/>
            <c:spPr>
              <a:solidFill>
                <a:schemeClr val="accent3">
                  <a:lumMod val="70000"/>
                </a:schemeClr>
              </a:solidFill>
              <a:ln>
                <a:noFill/>
              </a:ln>
              <a:effectLst/>
            </c:spPr>
            <c:extLst>
              <c:ext xmlns:c16="http://schemas.microsoft.com/office/drawing/2014/chart" uri="{C3380CC4-5D6E-409C-BE32-E72D297353CC}">
                <c16:uniqueId val="{00000059-69FA-4F08-A2D7-973DB88B11F1}"/>
              </c:ext>
            </c:extLst>
          </c:dPt>
          <c:dLbls>
            <c:delete val="1"/>
          </c:dLbls>
          <c:xVal>
            <c:numRef>
              <c:f>'TP Stats'!$E$3:$E$47</c:f>
              <c:numCache>
                <c:formatCode>d\-mmm\-yy</c:formatCode>
                <c:ptCount val="45"/>
                <c:pt idx="0">
                  <c:v>44021</c:v>
                </c:pt>
                <c:pt idx="1">
                  <c:v>44351</c:v>
                </c:pt>
                <c:pt idx="2">
                  <c:v>44021</c:v>
                </c:pt>
                <c:pt idx="3">
                  <c:v>44462</c:v>
                </c:pt>
                <c:pt idx="4">
                  <c:v>44021</c:v>
                </c:pt>
                <c:pt idx="5">
                  <c:v>44404</c:v>
                </c:pt>
                <c:pt idx="6">
                  <c:v>44880</c:v>
                </c:pt>
                <c:pt idx="7">
                  <c:v>44376</c:v>
                </c:pt>
                <c:pt idx="8">
                  <c:v>45489</c:v>
                </c:pt>
                <c:pt idx="9">
                  <c:v>44764</c:v>
                </c:pt>
                <c:pt idx="10">
                  <c:v>44315</c:v>
                </c:pt>
                <c:pt idx="11">
                  <c:v>44847</c:v>
                </c:pt>
                <c:pt idx="12">
                  <c:v>45222</c:v>
                </c:pt>
                <c:pt idx="13">
                  <c:v>45114</c:v>
                </c:pt>
                <c:pt idx="14">
                  <c:v>44321</c:v>
                </c:pt>
                <c:pt idx="15">
                  <c:v>45238</c:v>
                </c:pt>
                <c:pt idx="16">
                  <c:v>45139</c:v>
                </c:pt>
                <c:pt idx="17">
                  <c:v>45327</c:v>
                </c:pt>
                <c:pt idx="18">
                  <c:v>45251</c:v>
                </c:pt>
                <c:pt idx="19">
                  <c:v>45371</c:v>
                </c:pt>
                <c:pt idx="20">
                  <c:v>45401</c:v>
                </c:pt>
                <c:pt idx="21">
                  <c:v>45072</c:v>
                </c:pt>
                <c:pt idx="22">
                  <c:v>45131</c:v>
                </c:pt>
                <c:pt idx="23">
                  <c:v>45468</c:v>
                </c:pt>
                <c:pt idx="24">
                  <c:v>45376</c:v>
                </c:pt>
                <c:pt idx="25">
                  <c:v>45168</c:v>
                </c:pt>
                <c:pt idx="26">
                  <c:v>45057</c:v>
                </c:pt>
                <c:pt idx="27">
                  <c:v>44978</c:v>
                </c:pt>
                <c:pt idx="28">
                  <c:v>45197</c:v>
                </c:pt>
                <c:pt idx="29">
                  <c:v>45324</c:v>
                </c:pt>
                <c:pt idx="30">
                  <c:v>45240</c:v>
                </c:pt>
                <c:pt idx="31">
                  <c:v>45177</c:v>
                </c:pt>
                <c:pt idx="32">
                  <c:v>45505</c:v>
                </c:pt>
                <c:pt idx="33">
                  <c:v>44260</c:v>
                </c:pt>
                <c:pt idx="34">
                  <c:v>45432</c:v>
                </c:pt>
                <c:pt idx="35">
                  <c:v>45397</c:v>
                </c:pt>
                <c:pt idx="36">
                  <c:v>45408</c:v>
                </c:pt>
                <c:pt idx="37">
                  <c:v>45523</c:v>
                </c:pt>
                <c:pt idx="38">
                  <c:v>45348</c:v>
                </c:pt>
                <c:pt idx="39">
                  <c:v>45112</c:v>
                </c:pt>
                <c:pt idx="40">
                  <c:v>45427</c:v>
                </c:pt>
                <c:pt idx="41">
                  <c:v>45363</c:v>
                </c:pt>
                <c:pt idx="42">
                  <c:v>45450</c:v>
                </c:pt>
                <c:pt idx="43">
                  <c:v>45546</c:v>
                </c:pt>
                <c:pt idx="44">
                  <c:v>45446</c:v>
                </c:pt>
              </c:numCache>
            </c:numRef>
          </c:xVal>
          <c:yVal>
            <c:numRef>
              <c:f>'TP Stats'!$O$3:$O$47</c:f>
              <c:numCache>
                <c:formatCode>General</c:formatCode>
                <c:ptCount val="45"/>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numCache>
            </c:numRef>
          </c:yVal>
          <c:bubbleSize>
            <c:numRef>
              <c:f>'TP Stats'!$J$3:$J$47</c:f>
              <c:numCache>
                <c:formatCode>#,##0</c:formatCode>
                <c:ptCount val="45"/>
                <c:pt idx="0">
                  <c:v>810038</c:v>
                </c:pt>
                <c:pt idx="1">
                  <c:v>256955.66666666666</c:v>
                </c:pt>
                <c:pt idx="2">
                  <c:v>24191</c:v>
                </c:pt>
                <c:pt idx="3">
                  <c:v>20067</c:v>
                </c:pt>
                <c:pt idx="4">
                  <c:v>29724.666666666668</c:v>
                </c:pt>
                <c:pt idx="5">
                  <c:v>17966.666666666668</c:v>
                </c:pt>
                <c:pt idx="6">
                  <c:v>84036.333333333328</c:v>
                </c:pt>
                <c:pt idx="7">
                  <c:v>11586</c:v>
                </c:pt>
                <c:pt idx="8">
                  <c:v>13982.333333333334</c:v>
                </c:pt>
                <c:pt idx="9">
                  <c:v>27234.666666666668</c:v>
                </c:pt>
                <c:pt idx="10">
                  <c:v>14741</c:v>
                </c:pt>
                <c:pt idx="11">
                  <c:v>50351.666666666664</c:v>
                </c:pt>
                <c:pt idx="12">
                  <c:v>9698</c:v>
                </c:pt>
                <c:pt idx="13">
                  <c:v>11596.666666666666</c:v>
                </c:pt>
                <c:pt idx="14">
                  <c:v>67211.666666666672</c:v>
                </c:pt>
                <c:pt idx="15">
                  <c:v>1292.6666666666667</c:v>
                </c:pt>
                <c:pt idx="16">
                  <c:v>5879</c:v>
                </c:pt>
                <c:pt idx="17">
                  <c:v>25540.666666666668</c:v>
                </c:pt>
                <c:pt idx="18">
                  <c:v>2385.6666666666665</c:v>
                </c:pt>
                <c:pt idx="19">
                  <c:v>838.33333333333337</c:v>
                </c:pt>
                <c:pt idx="20">
                  <c:v>407</c:v>
                </c:pt>
                <c:pt idx="21">
                  <c:v>2092.3333333333335</c:v>
                </c:pt>
                <c:pt idx="22">
                  <c:v>744</c:v>
                </c:pt>
                <c:pt idx="23">
                  <c:v>1163</c:v>
                </c:pt>
                <c:pt idx="24">
                  <c:v>6082</c:v>
                </c:pt>
                <c:pt idx="25">
                  <c:v>5963.333333333333</c:v>
                </c:pt>
                <c:pt idx="26">
                  <c:v>474.33333333333331</c:v>
                </c:pt>
                <c:pt idx="27">
                  <c:v>5321</c:v>
                </c:pt>
                <c:pt idx="28">
                  <c:v>599.33333333333337</c:v>
                </c:pt>
                <c:pt idx="29">
                  <c:v>3438.6666666666665</c:v>
                </c:pt>
                <c:pt idx="30">
                  <c:v>31</c:v>
                </c:pt>
                <c:pt idx="31">
                  <c:v>782</c:v>
                </c:pt>
                <c:pt idx="32">
                  <c:v>774</c:v>
                </c:pt>
                <c:pt idx="33">
                  <c:v>2788</c:v>
                </c:pt>
                <c:pt idx="34">
                  <c:v>716</c:v>
                </c:pt>
                <c:pt idx="35">
                  <c:v>732</c:v>
                </c:pt>
                <c:pt idx="36">
                  <c:v>366</c:v>
                </c:pt>
                <c:pt idx="37">
                  <c:v>1824</c:v>
                </c:pt>
                <c:pt idx="38">
                  <c:v>4252</c:v>
                </c:pt>
                <c:pt idx="39">
                  <c:v>0</c:v>
                </c:pt>
                <c:pt idx="40">
                  <c:v>0</c:v>
                </c:pt>
                <c:pt idx="41">
                  <c:v>0</c:v>
                </c:pt>
                <c:pt idx="42">
                  <c:v>0</c:v>
                </c:pt>
                <c:pt idx="43">
                  <c:v>0</c:v>
                </c:pt>
                <c:pt idx="44">
                  <c:v>0</c:v>
                </c:pt>
              </c:numCache>
            </c:numRef>
          </c:bubbleSize>
          <c:bubble3D val="0"/>
          <c:extLst>
            <c:ext xmlns:c16="http://schemas.microsoft.com/office/drawing/2014/chart" uri="{C3380CC4-5D6E-409C-BE32-E72D297353CC}">
              <c16:uniqueId val="{0000005A-69FA-4F08-A2D7-973DB88B11F1}"/>
            </c:ext>
          </c:extLst>
        </c:ser>
        <c:dLbls>
          <c:dLblPos val="ctr"/>
          <c:showLegendKey val="0"/>
          <c:showVal val="1"/>
          <c:showCatName val="0"/>
          <c:showSerName val="0"/>
          <c:showPercent val="0"/>
          <c:showBubbleSize val="0"/>
        </c:dLbls>
        <c:bubbleScale val="300"/>
        <c:showNegBubbles val="0"/>
        <c:axId val="1193996384"/>
        <c:axId val="1193998304"/>
      </c:bubbleChart>
      <c:valAx>
        <c:axId val="1193996384"/>
        <c:scaling>
          <c:orientation val="minMax"/>
          <c:max val="45536"/>
          <c:min val="43831"/>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3998304"/>
        <c:crosses val="autoZero"/>
        <c:crossBetween val="midCat"/>
        <c:majorUnit val="366"/>
      </c:valAx>
      <c:valAx>
        <c:axId val="1193998304"/>
        <c:scaling>
          <c:orientation val="minMax"/>
          <c:max val="10"/>
        </c:scaling>
        <c:delete val="1"/>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1193996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'Marketing Channels'!$B$7</c:f>
              <c:strCache>
                <c:ptCount val="1"/>
                <c:pt idx="0">
                  <c:v>Social</c:v>
                </c:pt>
              </c:strCache>
            </c:strRef>
          </c:tx>
          <c:spPr>
            <a:solidFill>
              <a:schemeClr val="tx2"/>
            </a:solidFill>
            <a:ln>
              <a:noFill/>
            </a:ln>
            <a:effectLst/>
          </c:spPr>
          <c:invertIfNegative val="0"/>
          <c:dPt>
            <c:idx val="2"/>
            <c:invertIfNegative val="0"/>
            <c:bubble3D val="0"/>
            <c:spPr>
              <a:solidFill>
                <a:schemeClr val="bg2"/>
              </a:solidFill>
              <a:ln>
                <a:noFill/>
              </a:ln>
              <a:effectLst/>
            </c:spPr>
            <c:extLst>
              <c:ext xmlns:c16="http://schemas.microsoft.com/office/drawing/2014/chart" uri="{C3380CC4-5D6E-409C-BE32-E72D297353CC}">
                <c16:uniqueId val="{00000004-81C0-4021-84FD-B33747DAD449}"/>
              </c:ext>
            </c:extLst>
          </c:dPt>
          <c:dPt>
            <c:idx val="3"/>
            <c:invertIfNegative val="0"/>
            <c:bubble3D val="0"/>
            <c:spPr>
              <a:solidFill>
                <a:schemeClr val="bg2"/>
              </a:solidFill>
              <a:ln>
                <a:noFill/>
              </a:ln>
              <a:effectLst/>
            </c:spPr>
            <c:extLst>
              <c:ext xmlns:c16="http://schemas.microsoft.com/office/drawing/2014/chart" uri="{C3380CC4-5D6E-409C-BE32-E72D297353CC}">
                <c16:uniqueId val="{00000005-81C0-4021-84FD-B33747DAD449}"/>
              </c:ext>
            </c:extLst>
          </c:dPt>
          <c:dPt>
            <c:idx val="4"/>
            <c:invertIfNegative val="0"/>
            <c:bubble3D val="0"/>
            <c:spPr>
              <a:solidFill>
                <a:schemeClr val="bg2"/>
              </a:solidFill>
              <a:ln>
                <a:noFill/>
              </a:ln>
              <a:effectLst/>
            </c:spPr>
            <c:extLst>
              <c:ext xmlns:c16="http://schemas.microsoft.com/office/drawing/2014/chart" uri="{C3380CC4-5D6E-409C-BE32-E72D297353CC}">
                <c16:uniqueId val="{00000006-81C0-4021-84FD-B33747DAD449}"/>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3-81C0-4021-84FD-B33747DAD449}"/>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81C0-4021-84FD-B33747DAD449}"/>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0-81C0-4021-84FD-B33747DAD449}"/>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1-81C0-4021-84FD-B33747DAD449}"/>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2-81C0-4021-84FD-B33747DAD449}"/>
              </c:ext>
            </c:extLst>
          </c:dPt>
          <c:cat>
            <c:multiLvlStrRef>
              <c:f>'Marketing Channels'!$C$4:$L$5</c:f>
              <c:multiLvlStrCache>
                <c:ptCount val="10"/>
                <c:lvl>
                  <c:pt idx="0">
                    <c:v>LMCT+</c:v>
                  </c:pt>
                  <c:pt idx="1">
                    <c:v>Motor Culture</c:v>
                  </c:pt>
                  <c:pt idx="2">
                    <c:v>The Lott</c:v>
                  </c:pt>
                  <c:pt idx="3">
                    <c:v>Jumbo</c:v>
                  </c:pt>
                  <c:pt idx="4">
                    <c:v>LotteryWest</c:v>
                  </c:pt>
                  <c:pt idx="5">
                    <c:v>The Lottery Office</c:v>
                  </c:pt>
                  <c:pt idx="6">
                    <c:v>Keno</c:v>
                  </c:pt>
                  <c:pt idx="7">
                    <c:v>Mater Lotteries</c:v>
                  </c:pt>
                  <c:pt idx="8">
                    <c:v>RSL Art Union</c:v>
                  </c:pt>
                  <c:pt idx="9">
                    <c:v>Your Town</c:v>
                  </c:pt>
                </c:lvl>
                <c:lvl>
                  <c:pt idx="0">
                    <c:v>Rewards Clubs</c:v>
                  </c:pt>
                  <c:pt idx="2">
                    <c:v>Lotteries</c:v>
                  </c:pt>
                  <c:pt idx="5">
                    <c:v>Foreign Matched Lotteries</c:v>
                  </c:pt>
                  <c:pt idx="6">
                    <c:v>Keno</c:v>
                  </c:pt>
                  <c:pt idx="7">
                    <c:v>Charity Lotteries</c:v>
                  </c:pt>
                </c:lvl>
              </c:multiLvlStrCache>
            </c:multiLvlStrRef>
          </c:cat>
          <c:val>
            <c:numRef>
              <c:f>'Marketing Channels'!$C$7:$L$7</c:f>
              <c:numCache>
                <c:formatCode>0.0%</c:formatCode>
                <c:ptCount val="10"/>
                <c:pt idx="0">
                  <c:v>0.2205</c:v>
                </c:pt>
                <c:pt idx="1">
                  <c:v>0.3604</c:v>
                </c:pt>
                <c:pt idx="2">
                  <c:v>1.8E-3</c:v>
                </c:pt>
                <c:pt idx="3">
                  <c:v>5.0000000000000001E-4</c:v>
                </c:pt>
                <c:pt idx="4">
                  <c:v>2.8E-3</c:v>
                </c:pt>
                <c:pt idx="5">
                  <c:v>7.7000000000000002E-3</c:v>
                </c:pt>
                <c:pt idx="6">
                  <c:v>1.1999999999999999E-3</c:v>
                </c:pt>
                <c:pt idx="7">
                  <c:v>8.8400000000000006E-2</c:v>
                </c:pt>
                <c:pt idx="8">
                  <c:v>1.2200000000000001E-2</c:v>
                </c:pt>
                <c:pt idx="9">
                  <c:v>1.0999999999999999E-2</c:v>
                </c:pt>
              </c:numCache>
            </c:numRef>
          </c:val>
          <c:extLst>
            <c:ext xmlns:c16="http://schemas.microsoft.com/office/drawing/2014/chart" uri="{C3380CC4-5D6E-409C-BE32-E72D297353CC}">
              <c16:uniqueId val="{00000000-2179-4C16-A22C-B48D1C2D1980}"/>
            </c:ext>
          </c:extLst>
        </c:ser>
        <c:dLbls>
          <c:showLegendKey val="0"/>
          <c:showVal val="0"/>
          <c:showCatName val="0"/>
          <c:showSerName val="0"/>
          <c:showPercent val="0"/>
          <c:showBubbleSize val="0"/>
        </c:dLbls>
        <c:gapWidth val="50"/>
        <c:axId val="995897471"/>
        <c:axId val="995894111"/>
      </c:barChart>
      <c:catAx>
        <c:axId val="99589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en-US"/>
          </a:p>
        </c:txPr>
        <c:crossAx val="995894111"/>
        <c:crosses val="autoZero"/>
        <c:auto val="1"/>
        <c:lblAlgn val="ctr"/>
        <c:lblOffset val="100"/>
        <c:noMultiLvlLbl val="0"/>
      </c:catAx>
      <c:valAx>
        <c:axId val="995894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9589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3"/>
          <c:order val="0"/>
          <c:tx>
            <c:strRef>
              <c:f>'Marketing Channels'!$B$29</c:f>
              <c:strCache>
                <c:ptCount val="1"/>
                <c:pt idx="0">
                  <c:v>Trade Promos</c:v>
                </c:pt>
              </c:strCache>
            </c:strRef>
          </c:tx>
          <c:spPr>
            <a:solidFill>
              <a:schemeClr val="tx2"/>
            </a:solidFill>
            <a:ln>
              <a:noFill/>
            </a:ln>
            <a:effectLst/>
          </c:spPr>
          <c:invertIfNegative val="0"/>
          <c:cat>
            <c:strRef>
              <c:f>'Marketing Channels'!$C$28:$E$28</c:f>
              <c:strCache>
                <c:ptCount val="3"/>
                <c:pt idx="0">
                  <c:v>Internet</c:v>
                </c:pt>
                <c:pt idx="1">
                  <c:v>Facebook</c:v>
                </c:pt>
                <c:pt idx="2">
                  <c:v>Instagram</c:v>
                </c:pt>
              </c:strCache>
            </c:strRef>
          </c:cat>
          <c:val>
            <c:numRef>
              <c:f>'Marketing Channels'!$C$29:$E$29</c:f>
              <c:numCache>
                <c:formatCode>#,##0</c:formatCode>
                <c:ptCount val="3"/>
                <c:pt idx="0">
                  <c:v>1523867.666666667</c:v>
                </c:pt>
                <c:pt idx="1">
                  <c:v>2443167</c:v>
                </c:pt>
                <c:pt idx="2">
                  <c:v>1664387</c:v>
                </c:pt>
              </c:numCache>
            </c:numRef>
          </c:val>
          <c:extLst>
            <c:ext xmlns:c16="http://schemas.microsoft.com/office/drawing/2014/chart" uri="{C3380CC4-5D6E-409C-BE32-E72D297353CC}">
              <c16:uniqueId val="{00000003-E4AB-4AF0-986A-69C2E6802648}"/>
            </c:ext>
          </c:extLst>
        </c:ser>
        <c:ser>
          <c:idx val="0"/>
          <c:order val="1"/>
          <c:tx>
            <c:strRef>
              <c:f>'Marketing Channels'!$B$30</c:f>
              <c:strCache>
                <c:ptCount val="1"/>
                <c:pt idx="0">
                  <c:v>Lotteries</c:v>
                </c:pt>
              </c:strCache>
            </c:strRef>
          </c:tx>
          <c:spPr>
            <a:solidFill>
              <a:schemeClr val="bg2"/>
            </a:solidFill>
            <a:ln>
              <a:noFill/>
            </a:ln>
            <a:effectLst/>
          </c:spPr>
          <c:invertIfNegative val="0"/>
          <c:cat>
            <c:strRef>
              <c:f>'Marketing Channels'!$C$28:$E$28</c:f>
              <c:strCache>
                <c:ptCount val="3"/>
                <c:pt idx="0">
                  <c:v>Internet</c:v>
                </c:pt>
                <c:pt idx="1">
                  <c:v>Facebook</c:v>
                </c:pt>
                <c:pt idx="2">
                  <c:v>Instagram</c:v>
                </c:pt>
              </c:strCache>
            </c:strRef>
          </c:cat>
          <c:val>
            <c:numRef>
              <c:f>'Marketing Channels'!$C$30:$E$30</c:f>
              <c:numCache>
                <c:formatCode>#,##0</c:formatCode>
                <c:ptCount val="3"/>
                <c:pt idx="0">
                  <c:v>13513034.333333332</c:v>
                </c:pt>
                <c:pt idx="1">
                  <c:v>711000</c:v>
                </c:pt>
                <c:pt idx="2">
                  <c:v>44343</c:v>
                </c:pt>
              </c:numCache>
            </c:numRef>
          </c:val>
          <c:extLst>
            <c:ext xmlns:c16="http://schemas.microsoft.com/office/drawing/2014/chart" uri="{C3380CC4-5D6E-409C-BE32-E72D297353CC}">
              <c16:uniqueId val="{00000000-E4AB-4AF0-986A-69C2E6802648}"/>
            </c:ext>
          </c:extLst>
        </c:ser>
        <c:ser>
          <c:idx val="1"/>
          <c:order val="2"/>
          <c:tx>
            <c:strRef>
              <c:f>'Marketing Channels'!$B$31</c:f>
              <c:strCache>
                <c:ptCount val="1"/>
                <c:pt idx="0">
                  <c:v>Foreign Matched Lotteries</c:v>
                </c:pt>
              </c:strCache>
            </c:strRef>
          </c:tx>
          <c:spPr>
            <a:solidFill>
              <a:schemeClr val="accent2"/>
            </a:solidFill>
            <a:ln>
              <a:noFill/>
            </a:ln>
            <a:effectLst/>
          </c:spPr>
          <c:invertIfNegative val="0"/>
          <c:cat>
            <c:strRef>
              <c:f>'Marketing Channels'!$C$28:$E$28</c:f>
              <c:strCache>
                <c:ptCount val="3"/>
                <c:pt idx="0">
                  <c:v>Internet</c:v>
                </c:pt>
                <c:pt idx="1">
                  <c:v>Facebook</c:v>
                </c:pt>
                <c:pt idx="2">
                  <c:v>Instagram</c:v>
                </c:pt>
              </c:strCache>
            </c:strRef>
          </c:cat>
          <c:val>
            <c:numRef>
              <c:f>'Marketing Channels'!$C$31:$E$31</c:f>
              <c:numCache>
                <c:formatCode>#,##0</c:formatCode>
                <c:ptCount val="3"/>
                <c:pt idx="0">
                  <c:v>692628.33333333326</c:v>
                </c:pt>
                <c:pt idx="1">
                  <c:v>38117</c:v>
                </c:pt>
                <c:pt idx="2">
                  <c:v>4952</c:v>
                </c:pt>
              </c:numCache>
            </c:numRef>
          </c:val>
          <c:extLst>
            <c:ext xmlns:c16="http://schemas.microsoft.com/office/drawing/2014/chart" uri="{C3380CC4-5D6E-409C-BE32-E72D297353CC}">
              <c16:uniqueId val="{00000001-E4AB-4AF0-986A-69C2E6802648}"/>
            </c:ext>
          </c:extLst>
        </c:ser>
        <c:ser>
          <c:idx val="2"/>
          <c:order val="3"/>
          <c:tx>
            <c:strRef>
              <c:f>'Marketing Channels'!$B$32</c:f>
              <c:strCache>
                <c:ptCount val="1"/>
                <c:pt idx="0">
                  <c:v>Keno</c:v>
                </c:pt>
              </c:strCache>
            </c:strRef>
          </c:tx>
          <c:spPr>
            <a:solidFill>
              <a:schemeClr val="accent1"/>
            </a:solidFill>
            <a:ln>
              <a:noFill/>
            </a:ln>
            <a:effectLst/>
          </c:spPr>
          <c:invertIfNegative val="0"/>
          <c:cat>
            <c:strRef>
              <c:f>'Marketing Channels'!$C$28:$E$28</c:f>
              <c:strCache>
                <c:ptCount val="3"/>
                <c:pt idx="0">
                  <c:v>Internet</c:v>
                </c:pt>
                <c:pt idx="1">
                  <c:v>Facebook</c:v>
                </c:pt>
                <c:pt idx="2">
                  <c:v>Instagram</c:v>
                </c:pt>
              </c:strCache>
            </c:strRef>
          </c:cat>
          <c:val>
            <c:numRef>
              <c:f>'Marketing Channels'!$C$32:$E$32</c:f>
              <c:numCache>
                <c:formatCode>#,##0</c:formatCode>
                <c:ptCount val="3"/>
                <c:pt idx="0">
                  <c:v>336829.33333333331</c:v>
                </c:pt>
                <c:pt idx="1">
                  <c:v>46000</c:v>
                </c:pt>
                <c:pt idx="2">
                  <c:v>1317</c:v>
                </c:pt>
              </c:numCache>
            </c:numRef>
          </c:val>
          <c:extLst>
            <c:ext xmlns:c16="http://schemas.microsoft.com/office/drawing/2014/chart" uri="{C3380CC4-5D6E-409C-BE32-E72D297353CC}">
              <c16:uniqueId val="{00000002-E4AB-4AF0-986A-69C2E6802648}"/>
            </c:ext>
          </c:extLst>
        </c:ser>
        <c:ser>
          <c:idx val="4"/>
          <c:order val="4"/>
          <c:tx>
            <c:strRef>
              <c:f>'Marketing Channels'!$B$33</c:f>
              <c:strCache>
                <c:ptCount val="1"/>
                <c:pt idx="0">
                  <c:v>Charity</c:v>
                </c:pt>
              </c:strCache>
            </c:strRef>
          </c:tx>
          <c:spPr>
            <a:solidFill>
              <a:schemeClr val="accent4"/>
            </a:solidFill>
            <a:ln>
              <a:noFill/>
            </a:ln>
            <a:effectLst/>
          </c:spPr>
          <c:invertIfNegative val="0"/>
          <c:cat>
            <c:strRef>
              <c:f>'Marketing Channels'!$C$28:$E$28</c:f>
              <c:strCache>
                <c:ptCount val="3"/>
                <c:pt idx="0">
                  <c:v>Internet</c:v>
                </c:pt>
                <c:pt idx="1">
                  <c:v>Facebook</c:v>
                </c:pt>
                <c:pt idx="2">
                  <c:v>Instagram</c:v>
                </c:pt>
              </c:strCache>
            </c:strRef>
          </c:cat>
          <c:val>
            <c:numRef>
              <c:f>'Marketing Channels'!$C$33:$E$33</c:f>
              <c:numCache>
                <c:formatCode>#,##0</c:formatCode>
                <c:ptCount val="3"/>
                <c:pt idx="0">
                  <c:v>2359803.666666667</c:v>
                </c:pt>
                <c:pt idx="1">
                  <c:v>627036</c:v>
                </c:pt>
                <c:pt idx="2">
                  <c:v>140121</c:v>
                </c:pt>
              </c:numCache>
            </c:numRef>
          </c:val>
          <c:extLst>
            <c:ext xmlns:c16="http://schemas.microsoft.com/office/drawing/2014/chart" uri="{C3380CC4-5D6E-409C-BE32-E72D297353CC}">
              <c16:uniqueId val="{00000004-E4AB-4AF0-986A-69C2E6802648}"/>
            </c:ext>
          </c:extLst>
        </c:ser>
        <c:dLbls>
          <c:showLegendKey val="0"/>
          <c:showVal val="0"/>
          <c:showCatName val="0"/>
          <c:showSerName val="0"/>
          <c:showPercent val="0"/>
          <c:showBubbleSize val="0"/>
        </c:dLbls>
        <c:gapWidth val="150"/>
        <c:overlap val="100"/>
        <c:axId val="995122287"/>
        <c:axId val="995122767"/>
      </c:barChart>
      <c:catAx>
        <c:axId val="99512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95122767"/>
        <c:crosses val="autoZero"/>
        <c:auto val="1"/>
        <c:lblAlgn val="ctr"/>
        <c:lblOffset val="100"/>
        <c:noMultiLvlLbl val="0"/>
      </c:catAx>
      <c:valAx>
        <c:axId val="99512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9512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20000"/>
                  <a:lumOff val="80000"/>
                </a:schemeClr>
              </a:solidFill>
              <a:round/>
            </a:ln>
            <a:effectLst/>
          </c:spPr>
          <c:marker>
            <c:symbol val="diamond"/>
            <c:size val="8"/>
            <c:spPr>
              <a:solidFill>
                <a:schemeClr val="tx2"/>
              </a:solidFill>
              <a:ln w="9525">
                <a:noFill/>
              </a:ln>
              <a:effectLst/>
            </c:spPr>
          </c:marker>
          <c:cat>
            <c:numRef>
              <c:f>Kogan!$T$3:$AN$3</c:f>
              <c:numCache>
                <c:formatCode>mmm\-yy</c:formatCode>
                <c:ptCount val="21"/>
                <c:pt idx="0">
                  <c:v>43646</c:v>
                </c:pt>
                <c:pt idx="1">
                  <c:v>43738</c:v>
                </c:pt>
                <c:pt idx="2">
                  <c:v>43830</c:v>
                </c:pt>
                <c:pt idx="3">
                  <c:v>43921</c:v>
                </c:pt>
                <c:pt idx="4">
                  <c:v>44012</c:v>
                </c:pt>
                <c:pt idx="5">
                  <c:v>44104</c:v>
                </c:pt>
                <c:pt idx="6">
                  <c:v>44196</c:v>
                </c:pt>
                <c:pt idx="7">
                  <c:v>44286</c:v>
                </c:pt>
                <c:pt idx="8">
                  <c:v>44377</c:v>
                </c:pt>
                <c:pt idx="9">
                  <c:v>44469</c:v>
                </c:pt>
                <c:pt idx="10">
                  <c:v>44561</c:v>
                </c:pt>
                <c:pt idx="11">
                  <c:v>44651</c:v>
                </c:pt>
                <c:pt idx="12">
                  <c:v>44742</c:v>
                </c:pt>
                <c:pt idx="13">
                  <c:v>44834</c:v>
                </c:pt>
                <c:pt idx="14">
                  <c:v>44926</c:v>
                </c:pt>
                <c:pt idx="15">
                  <c:v>45016</c:v>
                </c:pt>
                <c:pt idx="16">
                  <c:v>45107</c:v>
                </c:pt>
                <c:pt idx="17">
                  <c:v>45199</c:v>
                </c:pt>
                <c:pt idx="18">
                  <c:v>45291</c:v>
                </c:pt>
                <c:pt idx="19">
                  <c:v>45382</c:v>
                </c:pt>
                <c:pt idx="20">
                  <c:v>45473</c:v>
                </c:pt>
              </c:numCache>
            </c:numRef>
          </c:cat>
          <c:val>
            <c:numRef>
              <c:f>Kogan!$T$51:$AN$51</c:f>
              <c:numCache>
                <c:formatCode>0.0%</c:formatCode>
                <c:ptCount val="21"/>
                <c:pt idx="0">
                  <c:v>#N/A</c:v>
                </c:pt>
                <c:pt idx="1">
                  <c:v>#N/A</c:v>
                </c:pt>
                <c:pt idx="2">
                  <c:v>#N/A</c:v>
                </c:pt>
                <c:pt idx="3">
                  <c:v>#N/A</c:v>
                </c:pt>
                <c:pt idx="4">
                  <c:v>2.7526401833625383E-2</c:v>
                </c:pt>
                <c:pt idx="5">
                  <c:v>2.8352939751420787E-2</c:v>
                </c:pt>
                <c:pt idx="6">
                  <c:v>3.3058728710902631E-2</c:v>
                </c:pt>
                <c:pt idx="7">
                  <c:v>2.8027959598721654E-2</c:v>
                </c:pt>
                <c:pt idx="8">
                  <c:v>3.7418147801683815E-2</c:v>
                </c:pt>
                <c:pt idx="9">
                  <c:v>5.8788421366756195E-2</c:v>
                </c:pt>
                <c:pt idx="10">
                  <c:v>#N/A</c:v>
                </c:pt>
                <c:pt idx="11">
                  <c:v>#N/A</c:v>
                </c:pt>
                <c:pt idx="12">
                  <c:v>0.11665098777046096</c:v>
                </c:pt>
                <c:pt idx="13">
                  <c:v>#N/A</c:v>
                </c:pt>
                <c:pt idx="14">
                  <c:v>0.15843137254901959</c:v>
                </c:pt>
                <c:pt idx="15">
                  <c:v>0.17726480836236932</c:v>
                </c:pt>
                <c:pt idx="16">
                  <c:v>0.18310502283105023</c:v>
                </c:pt>
                <c:pt idx="17">
                  <c:v>0.20813623462630085</c:v>
                </c:pt>
                <c:pt idx="18">
                  <c:v>0.23000987166831194</c:v>
                </c:pt>
                <c:pt idx="19">
                  <c:v>0.24205128205128204</c:v>
                </c:pt>
                <c:pt idx="20">
                  <c:v>0.26296490309062337</c:v>
                </c:pt>
              </c:numCache>
            </c:numRef>
          </c:val>
          <c:smooth val="0"/>
          <c:extLst>
            <c:ext xmlns:c16="http://schemas.microsoft.com/office/drawing/2014/chart" uri="{C3380CC4-5D6E-409C-BE32-E72D297353CC}">
              <c16:uniqueId val="{00000000-B1C3-49EC-84F8-E3298D6665A6}"/>
            </c:ext>
          </c:extLst>
        </c:ser>
        <c:dLbls>
          <c:showLegendKey val="0"/>
          <c:showVal val="0"/>
          <c:showCatName val="0"/>
          <c:showSerName val="0"/>
          <c:showPercent val="0"/>
          <c:showBubbleSize val="0"/>
        </c:dLbls>
        <c:marker val="1"/>
        <c:smooth val="0"/>
        <c:axId val="1335212031"/>
        <c:axId val="1335212511"/>
      </c:lineChart>
      <c:dateAx>
        <c:axId val="133521203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335212511"/>
        <c:crosses val="autoZero"/>
        <c:auto val="1"/>
        <c:lblOffset val="100"/>
        <c:baseTimeUnit val="months"/>
      </c:dateAx>
      <c:valAx>
        <c:axId val="1335212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33521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Kogan!$I$25:$R$25</c:f>
              <c:numCache>
                <c:formatCode>0.0%</c:formatCode>
                <c:ptCount val="10"/>
                <c:pt idx="0">
                  <c:v>3.1890660592255125E-3</c:v>
                </c:pt>
                <c:pt idx="1">
                  <c:v>6.1063218390804601E-3</c:v>
                </c:pt>
                <c:pt idx="2">
                  <c:v>1.0144927536231885E-2</c:v>
                </c:pt>
                <c:pt idx="3">
                  <c:v>1.2817016634851377E-2</c:v>
                </c:pt>
                <c:pt idx="4">
                  <c:v>1.4064362336114423E-2</c:v>
                </c:pt>
                <c:pt idx="5">
                  <c:v>3.2107023411371234E-2</c:v>
                </c:pt>
                <c:pt idx="6">
                  <c:v>3.9187227866473148E-2</c:v>
                </c:pt>
                <c:pt idx="7">
                  <c:v>7.2463768115942032E-2</c:v>
                </c:pt>
                <c:pt idx="8">
                  <c:v>9.1458501208702664E-2</c:v>
                </c:pt>
                <c:pt idx="9">
                  <c:v>9.929078014184399E-2</c:v>
                </c:pt>
              </c:numCache>
            </c:numRef>
          </c:val>
          <c:smooth val="0"/>
          <c:extLst>
            <c:ext xmlns:c16="http://schemas.microsoft.com/office/drawing/2014/chart" uri="{C3380CC4-5D6E-409C-BE32-E72D297353CC}">
              <c16:uniqueId val="{00000000-9F6E-42BA-B081-D28070A8F727}"/>
            </c:ext>
          </c:extLst>
        </c:ser>
        <c:dLbls>
          <c:showLegendKey val="0"/>
          <c:showVal val="0"/>
          <c:showCatName val="0"/>
          <c:showSerName val="0"/>
          <c:showPercent val="0"/>
          <c:showBubbleSize val="0"/>
        </c:dLbls>
        <c:smooth val="0"/>
        <c:axId val="1105499695"/>
        <c:axId val="1105498255"/>
      </c:lineChart>
      <c:catAx>
        <c:axId val="110549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98255"/>
        <c:crosses val="autoZero"/>
        <c:auto val="1"/>
        <c:lblAlgn val="ctr"/>
        <c:lblOffset val="100"/>
        <c:noMultiLvlLbl val="0"/>
      </c:catAx>
      <c:valAx>
        <c:axId val="11054982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9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Sales</c:v>
          </c:tx>
          <c:spPr>
            <a:solidFill>
              <a:schemeClr val="tx2"/>
            </a:solidFill>
            <a:ln>
              <a:noFill/>
            </a:ln>
            <a:effectLst/>
          </c:spPr>
          <c:invertIfNegative val="0"/>
          <c:cat>
            <c:strRef>
              <c:f>Kogan!$C$4:$G$4</c:f>
              <c:strCache>
                <c:ptCount val="5"/>
                <c:pt idx="0">
                  <c:v>FY20</c:v>
                </c:pt>
                <c:pt idx="1">
                  <c:v>FY21</c:v>
                </c:pt>
                <c:pt idx="2">
                  <c:v>FY22</c:v>
                </c:pt>
                <c:pt idx="3">
                  <c:v>FY23</c:v>
                </c:pt>
                <c:pt idx="4">
                  <c:v>FY24</c:v>
                </c:pt>
              </c:strCache>
            </c:strRef>
          </c:cat>
          <c:val>
            <c:numRef>
              <c:f>Kogan!$C$6:$G$6</c:f>
              <c:numCache>
                <c:formatCode>#,##0.0</c:formatCode>
                <c:ptCount val="5"/>
                <c:pt idx="0">
                  <c:v>3.5</c:v>
                </c:pt>
                <c:pt idx="1">
                  <c:v>9.1999999999999993</c:v>
                </c:pt>
                <c:pt idx="2">
                  <c:v>19</c:v>
                </c:pt>
                <c:pt idx="3">
                  <c:v>30.3</c:v>
                </c:pt>
                <c:pt idx="4">
                  <c:v>55.8</c:v>
                </c:pt>
              </c:numCache>
            </c:numRef>
          </c:val>
          <c:extLst>
            <c:ext xmlns:c16="http://schemas.microsoft.com/office/drawing/2014/chart" uri="{C3380CC4-5D6E-409C-BE32-E72D297353CC}">
              <c16:uniqueId val="{00000000-E532-47ED-BB5C-A3E2CACE580A}"/>
            </c:ext>
          </c:extLst>
        </c:ser>
        <c:ser>
          <c:idx val="1"/>
          <c:order val="1"/>
          <c:tx>
            <c:v>Gross Profit</c:v>
          </c:tx>
          <c:spPr>
            <a:solidFill>
              <a:schemeClr val="accent1"/>
            </a:solidFill>
            <a:ln>
              <a:noFill/>
            </a:ln>
            <a:effectLst/>
          </c:spPr>
          <c:invertIfNegative val="0"/>
          <c:cat>
            <c:strRef>
              <c:f>Kogan!$C$4:$G$4</c:f>
              <c:strCache>
                <c:ptCount val="5"/>
                <c:pt idx="0">
                  <c:v>FY20</c:v>
                </c:pt>
                <c:pt idx="1">
                  <c:v>FY21</c:v>
                </c:pt>
                <c:pt idx="2">
                  <c:v>FY22</c:v>
                </c:pt>
                <c:pt idx="3">
                  <c:v>FY23</c:v>
                </c:pt>
                <c:pt idx="4">
                  <c:v>FY24</c:v>
                </c:pt>
              </c:strCache>
            </c:strRef>
          </c:cat>
          <c:val>
            <c:numRef>
              <c:f>Kogan!$C$17:$G$17</c:f>
              <c:numCache>
                <c:formatCode>0.0</c:formatCode>
                <c:ptCount val="5"/>
                <c:pt idx="0">
                  <c:v>2.4</c:v>
                </c:pt>
                <c:pt idx="1">
                  <c:v>8.9</c:v>
                </c:pt>
                <c:pt idx="2">
                  <c:v>15.5</c:v>
                </c:pt>
                <c:pt idx="3">
                  <c:v>26.3</c:v>
                </c:pt>
                <c:pt idx="4">
                  <c:v>43.7</c:v>
                </c:pt>
              </c:numCache>
            </c:numRef>
          </c:val>
          <c:extLst>
            <c:ext xmlns:c16="http://schemas.microsoft.com/office/drawing/2014/chart" uri="{C3380CC4-5D6E-409C-BE32-E72D297353CC}">
              <c16:uniqueId val="{00000001-E532-47ED-BB5C-A3E2CACE580A}"/>
            </c:ext>
          </c:extLst>
        </c:ser>
        <c:dLbls>
          <c:showLegendKey val="0"/>
          <c:showVal val="0"/>
          <c:showCatName val="0"/>
          <c:showSerName val="0"/>
          <c:showPercent val="0"/>
          <c:showBubbleSize val="0"/>
        </c:dLbls>
        <c:gapWidth val="219"/>
        <c:overlap val="-10"/>
        <c:axId val="1419521231"/>
        <c:axId val="1419521711"/>
      </c:barChart>
      <c:lineChart>
        <c:grouping val="standard"/>
        <c:varyColors val="0"/>
        <c:ser>
          <c:idx val="2"/>
          <c:order val="2"/>
          <c:tx>
            <c:v>Margin</c:v>
          </c:tx>
          <c:spPr>
            <a:ln w="19050" cap="rnd">
              <a:solidFill>
                <a:schemeClr val="bg2">
                  <a:lumMod val="40000"/>
                  <a:lumOff val="60000"/>
                </a:schemeClr>
              </a:solidFill>
              <a:round/>
            </a:ln>
            <a:effectLst/>
          </c:spPr>
          <c:marker>
            <c:symbol val="diamond"/>
            <c:size val="8"/>
            <c:spPr>
              <a:solidFill>
                <a:schemeClr val="bg2"/>
              </a:solidFill>
              <a:ln w="9525">
                <a:noFill/>
              </a:ln>
              <a:effectLst/>
            </c:spPr>
          </c:marker>
          <c:cat>
            <c:strRef>
              <c:f>Kogan!$C$4:$G$4</c:f>
              <c:strCache>
                <c:ptCount val="5"/>
                <c:pt idx="0">
                  <c:v>FY20</c:v>
                </c:pt>
                <c:pt idx="1">
                  <c:v>FY21</c:v>
                </c:pt>
                <c:pt idx="2">
                  <c:v>FY22</c:v>
                </c:pt>
                <c:pt idx="3">
                  <c:v>FY23</c:v>
                </c:pt>
                <c:pt idx="4">
                  <c:v>FY24</c:v>
                </c:pt>
              </c:strCache>
            </c:strRef>
          </c:cat>
          <c:val>
            <c:numRef>
              <c:f>Kogan!$C$21:$G$21</c:f>
              <c:numCache>
                <c:formatCode>0.0%</c:formatCode>
                <c:ptCount val="5"/>
                <c:pt idx="0">
                  <c:v>0.68571428571428572</c:v>
                </c:pt>
                <c:pt idx="1">
                  <c:v>0.96739130434782616</c:v>
                </c:pt>
                <c:pt idx="2">
                  <c:v>0.81578947368421051</c:v>
                </c:pt>
                <c:pt idx="3">
                  <c:v>0.86798679867986794</c:v>
                </c:pt>
                <c:pt idx="4">
                  <c:v>0.7831541218637994</c:v>
                </c:pt>
              </c:numCache>
            </c:numRef>
          </c:val>
          <c:smooth val="0"/>
          <c:extLst>
            <c:ext xmlns:c16="http://schemas.microsoft.com/office/drawing/2014/chart" uri="{C3380CC4-5D6E-409C-BE32-E72D297353CC}">
              <c16:uniqueId val="{00000002-E532-47ED-BB5C-A3E2CACE580A}"/>
            </c:ext>
          </c:extLst>
        </c:ser>
        <c:dLbls>
          <c:showLegendKey val="0"/>
          <c:showVal val="0"/>
          <c:showCatName val="0"/>
          <c:showSerName val="0"/>
          <c:showPercent val="0"/>
          <c:showBubbleSize val="0"/>
        </c:dLbls>
        <c:marker val="1"/>
        <c:smooth val="0"/>
        <c:axId val="1419519791"/>
        <c:axId val="1419526991"/>
      </c:lineChart>
      <c:catAx>
        <c:axId val="141952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19521711"/>
        <c:crosses val="autoZero"/>
        <c:auto val="1"/>
        <c:lblAlgn val="ctr"/>
        <c:lblOffset val="100"/>
        <c:noMultiLvlLbl val="0"/>
      </c:catAx>
      <c:valAx>
        <c:axId val="141952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19521231"/>
        <c:crosses val="autoZero"/>
        <c:crossBetween val="between"/>
      </c:valAx>
      <c:valAx>
        <c:axId val="1419526991"/>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19519791"/>
        <c:crosses val="max"/>
        <c:crossBetween val="between"/>
      </c:valAx>
      <c:catAx>
        <c:axId val="1419519791"/>
        <c:scaling>
          <c:orientation val="minMax"/>
        </c:scaling>
        <c:delete val="1"/>
        <c:axPos val="b"/>
        <c:numFmt formatCode="General" sourceLinked="1"/>
        <c:majorTickMark val="out"/>
        <c:minorTickMark val="none"/>
        <c:tickLblPos val="nextTo"/>
        <c:crossAx val="14195269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Kogan!$AD$54:$AK$54</c:f>
              <c:numCache>
                <c:formatCode>General</c:formatCode>
                <c:ptCount val="8"/>
                <c:pt idx="0">
                  <c:v>70.802919708029194</c:v>
                </c:pt>
                <c:pt idx="1">
                  <c:v>69.817073170731717</c:v>
                </c:pt>
                <c:pt idx="2">
                  <c:v>70.967741935483872</c:v>
                </c:pt>
                <c:pt idx="3">
                  <c:v>78.701298701298697</c:v>
                </c:pt>
                <c:pt idx="4">
                  <c:v>102.72277227722772</c:v>
                </c:pt>
                <c:pt idx="5">
                  <c:v>122.11302211302211</c:v>
                </c:pt>
                <c:pt idx="6">
                  <c:v>128.92768079800501</c:v>
                </c:pt>
                <c:pt idx="7">
                  <c:v>126.8181818181818</c:v>
                </c:pt>
              </c:numCache>
            </c:numRef>
          </c:val>
          <c:smooth val="0"/>
          <c:extLst>
            <c:ext xmlns:c16="http://schemas.microsoft.com/office/drawing/2014/chart" uri="{C3380CC4-5D6E-409C-BE32-E72D297353CC}">
              <c16:uniqueId val="{00000000-6B75-43C0-9A1F-033897D4B040}"/>
            </c:ext>
          </c:extLst>
        </c:ser>
        <c:ser>
          <c:idx val="1"/>
          <c:order val="1"/>
          <c:spPr>
            <a:ln w="28575" cap="rnd">
              <a:solidFill>
                <a:schemeClr val="accent2"/>
              </a:solidFill>
              <a:round/>
            </a:ln>
            <a:effectLst/>
          </c:spPr>
          <c:marker>
            <c:symbol val="none"/>
          </c:marker>
          <c:val>
            <c:numRef>
              <c:f>Kogan!$AD$57:$AK$57</c:f>
              <c:numCache>
                <c:formatCode>"$"#,##0.0;[Red]\-"$"#,##0.0</c:formatCode>
                <c:ptCount val="8"/>
                <c:pt idx="0">
                  <c:v>59</c:v>
                </c:pt>
                <c:pt idx="1">
                  <c:v>59</c:v>
                </c:pt>
                <c:pt idx="2">
                  <c:v>59</c:v>
                </c:pt>
                <c:pt idx="3">
                  <c:v>59</c:v>
                </c:pt>
                <c:pt idx="4">
                  <c:v>79</c:v>
                </c:pt>
                <c:pt idx="5">
                  <c:v>79</c:v>
                </c:pt>
                <c:pt idx="6">
                  <c:v>99</c:v>
                </c:pt>
                <c:pt idx="7">
                  <c:v>99</c:v>
                </c:pt>
              </c:numCache>
            </c:numRef>
          </c:val>
          <c:smooth val="0"/>
          <c:extLst>
            <c:ext xmlns:c16="http://schemas.microsoft.com/office/drawing/2014/chart" uri="{C3380CC4-5D6E-409C-BE32-E72D297353CC}">
              <c16:uniqueId val="{00000001-6B75-43C0-9A1F-033897D4B040}"/>
            </c:ext>
          </c:extLst>
        </c:ser>
        <c:dLbls>
          <c:showLegendKey val="0"/>
          <c:showVal val="0"/>
          <c:showCatName val="0"/>
          <c:showSerName val="0"/>
          <c:showPercent val="0"/>
          <c:showBubbleSize val="0"/>
        </c:dLbls>
        <c:smooth val="0"/>
        <c:axId val="1419509711"/>
        <c:axId val="1419512111"/>
      </c:lineChart>
      <c:catAx>
        <c:axId val="14195097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12111"/>
        <c:crosses val="autoZero"/>
        <c:auto val="1"/>
        <c:lblAlgn val="ctr"/>
        <c:lblOffset val="100"/>
        <c:noMultiLvlLbl val="0"/>
      </c:catAx>
      <c:valAx>
        <c:axId val="141951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0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29</xdr:col>
      <xdr:colOff>360589</xdr:colOff>
      <xdr:row>35</xdr:row>
      <xdr:rowOff>97971</xdr:rowOff>
    </xdr:from>
    <xdr:to>
      <xdr:col>35</xdr:col>
      <xdr:colOff>605517</xdr:colOff>
      <xdr:row>48</xdr:row>
      <xdr:rowOff>174171</xdr:rowOff>
    </xdr:to>
    <xdr:graphicFrame macro="">
      <xdr:nvGraphicFramePr>
        <xdr:cNvPr id="2" name="Chart 1">
          <a:extLst>
            <a:ext uri="{FF2B5EF4-FFF2-40B4-BE49-F238E27FC236}">
              <a16:creationId xmlns:a16="http://schemas.microsoft.com/office/drawing/2014/main" id="{7009F853-E33F-07BA-225B-6CB3AE7AB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564696</xdr:colOff>
      <xdr:row>6</xdr:row>
      <xdr:rowOff>166008</xdr:rowOff>
    </xdr:from>
    <xdr:to>
      <xdr:col>41</xdr:col>
      <xdr:colOff>0</xdr:colOff>
      <xdr:row>25</xdr:row>
      <xdr:rowOff>51708</xdr:rowOff>
    </xdr:to>
    <xdr:graphicFrame macro="">
      <xdr:nvGraphicFramePr>
        <xdr:cNvPr id="3" name="Chart 2">
          <a:extLst>
            <a:ext uri="{FF2B5EF4-FFF2-40B4-BE49-F238E27FC236}">
              <a16:creationId xmlns:a16="http://schemas.microsoft.com/office/drawing/2014/main" id="{D158C7B4-3802-EE67-0996-1584678B6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449035</xdr:colOff>
      <xdr:row>225</xdr:row>
      <xdr:rowOff>0</xdr:rowOff>
    </xdr:from>
    <xdr:to>
      <xdr:col>22</xdr:col>
      <xdr:colOff>122465</xdr:colOff>
      <xdr:row>246</xdr:row>
      <xdr:rowOff>180452</xdr:rowOff>
    </xdr:to>
    <xdr:pic>
      <xdr:nvPicPr>
        <xdr:cNvPr id="4" name="Picture 3">
          <a:extLst>
            <a:ext uri="{FF2B5EF4-FFF2-40B4-BE49-F238E27FC236}">
              <a16:creationId xmlns:a16="http://schemas.microsoft.com/office/drawing/2014/main" id="{35AE0849-6407-ABC7-E9D6-E38D34ECA887}"/>
            </a:ext>
          </a:extLst>
        </xdr:cNvPr>
        <xdr:cNvPicPr>
          <a:picLocks noChangeAspect="1"/>
        </xdr:cNvPicPr>
      </xdr:nvPicPr>
      <xdr:blipFill rotWithShape="1">
        <a:blip xmlns:r="http://schemas.openxmlformats.org/officeDocument/2006/relationships" r:embed="rId3"/>
        <a:srcRect l="12859" r="14037"/>
        <a:stretch/>
      </xdr:blipFill>
      <xdr:spPr>
        <a:xfrm>
          <a:off x="11103428" y="36875357"/>
          <a:ext cx="4177394" cy="4180952"/>
        </a:xfrm>
        <a:prstGeom prst="rect">
          <a:avLst/>
        </a:prstGeom>
      </xdr:spPr>
    </xdr:pic>
    <xdr:clientData/>
  </xdr:twoCellAnchor>
  <xdr:twoCellAnchor editAs="oneCell">
    <xdr:from>
      <xdr:col>25</xdr:col>
      <xdr:colOff>707571</xdr:colOff>
      <xdr:row>225</xdr:row>
      <xdr:rowOff>0</xdr:rowOff>
    </xdr:from>
    <xdr:to>
      <xdr:col>35</xdr:col>
      <xdr:colOff>120321</xdr:colOff>
      <xdr:row>239</xdr:row>
      <xdr:rowOff>142524</xdr:rowOff>
    </xdr:to>
    <xdr:pic>
      <xdr:nvPicPr>
        <xdr:cNvPr id="5" name="Picture 4">
          <a:extLst>
            <a:ext uri="{FF2B5EF4-FFF2-40B4-BE49-F238E27FC236}">
              <a16:creationId xmlns:a16="http://schemas.microsoft.com/office/drawing/2014/main" id="{04FD19BA-7B5A-4402-1015-D37FCF45F73C}"/>
            </a:ext>
          </a:extLst>
        </xdr:cNvPr>
        <xdr:cNvPicPr>
          <a:picLocks noChangeAspect="1"/>
        </xdr:cNvPicPr>
      </xdr:nvPicPr>
      <xdr:blipFill>
        <a:blip xmlns:r="http://schemas.openxmlformats.org/officeDocument/2006/relationships" r:embed="rId4"/>
        <a:stretch>
          <a:fillRect/>
        </a:stretch>
      </xdr:blipFill>
      <xdr:spPr>
        <a:xfrm>
          <a:off x="18029464" y="37569321"/>
          <a:ext cx="6257143" cy="28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200025</xdr:colOff>
      <xdr:row>4</xdr:row>
      <xdr:rowOff>114300</xdr:rowOff>
    </xdr:from>
    <xdr:to>
      <xdr:col>25</xdr:col>
      <xdr:colOff>305665</xdr:colOff>
      <xdr:row>21</xdr:row>
      <xdr:rowOff>19489</xdr:rowOff>
    </xdr:to>
    <xdr:pic>
      <xdr:nvPicPr>
        <xdr:cNvPr id="2" name="Picture 1">
          <a:extLst>
            <a:ext uri="{FF2B5EF4-FFF2-40B4-BE49-F238E27FC236}">
              <a16:creationId xmlns:a16="http://schemas.microsoft.com/office/drawing/2014/main" id="{209D8631-53C5-0D80-2102-ECA3A0AD5ED8}"/>
            </a:ext>
          </a:extLst>
        </xdr:cNvPr>
        <xdr:cNvPicPr>
          <a:picLocks noChangeAspect="1"/>
        </xdr:cNvPicPr>
      </xdr:nvPicPr>
      <xdr:blipFill>
        <a:blip xmlns:r="http://schemas.openxmlformats.org/officeDocument/2006/relationships" r:embed="rId1"/>
        <a:stretch>
          <a:fillRect/>
        </a:stretch>
      </xdr:blipFill>
      <xdr:spPr>
        <a:xfrm>
          <a:off x="200025" y="876300"/>
          <a:ext cx="6201640" cy="31436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21</xdr:col>
      <xdr:colOff>314566</xdr:colOff>
      <xdr:row>6</xdr:row>
      <xdr:rowOff>21609</xdr:rowOff>
    </xdr:from>
    <xdr:to>
      <xdr:col>29</xdr:col>
      <xdr:colOff>14247</xdr:colOff>
      <xdr:row>20</xdr:row>
      <xdr:rowOff>97809</xdr:rowOff>
    </xdr:to>
    <xdr:graphicFrame macro="">
      <xdr:nvGraphicFramePr>
        <xdr:cNvPr id="3" name="Chart 2">
          <a:extLst>
            <a:ext uri="{FF2B5EF4-FFF2-40B4-BE49-F238E27FC236}">
              <a16:creationId xmlns:a16="http://schemas.microsoft.com/office/drawing/2014/main" id="{FDD5E47C-7639-44E5-BF1B-CC064FF8D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367393</xdr:colOff>
      <xdr:row>21</xdr:row>
      <xdr:rowOff>108857</xdr:rowOff>
    </xdr:from>
    <xdr:to>
      <xdr:col>29</xdr:col>
      <xdr:colOff>148822</xdr:colOff>
      <xdr:row>36</xdr:row>
      <xdr:rowOff>131357</xdr:rowOff>
    </xdr:to>
    <xdr:graphicFrame macro="">
      <xdr:nvGraphicFramePr>
        <xdr:cNvPr id="5" name="Chart 4">
          <a:extLst>
            <a:ext uri="{FF2B5EF4-FFF2-40B4-BE49-F238E27FC236}">
              <a16:creationId xmlns:a16="http://schemas.microsoft.com/office/drawing/2014/main" id="{6E2997E9-2AD8-4626-B1AC-FE64F082A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557895</xdr:colOff>
      <xdr:row>38</xdr:row>
      <xdr:rowOff>27215</xdr:rowOff>
    </xdr:from>
    <xdr:to>
      <xdr:col>29</xdr:col>
      <xdr:colOff>339324</xdr:colOff>
      <xdr:row>53</xdr:row>
      <xdr:rowOff>49715</xdr:rowOff>
    </xdr:to>
    <xdr:graphicFrame macro="">
      <xdr:nvGraphicFramePr>
        <xdr:cNvPr id="7" name="Chart 6">
          <a:extLst>
            <a:ext uri="{FF2B5EF4-FFF2-40B4-BE49-F238E27FC236}">
              <a16:creationId xmlns:a16="http://schemas.microsoft.com/office/drawing/2014/main" id="{F4A69386-BC19-4FD6-9298-3C7ECDB99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394607</xdr:colOff>
      <xdr:row>70</xdr:row>
      <xdr:rowOff>40821</xdr:rowOff>
    </xdr:from>
    <xdr:to>
      <xdr:col>29</xdr:col>
      <xdr:colOff>176036</xdr:colOff>
      <xdr:row>85</xdr:row>
      <xdr:rowOff>63321</xdr:rowOff>
    </xdr:to>
    <xdr:graphicFrame macro="">
      <xdr:nvGraphicFramePr>
        <xdr:cNvPr id="2" name="Chart 1">
          <a:extLst>
            <a:ext uri="{FF2B5EF4-FFF2-40B4-BE49-F238E27FC236}">
              <a16:creationId xmlns:a16="http://schemas.microsoft.com/office/drawing/2014/main" id="{FEB7F5C8-7C0E-45BA-A570-EE0D91AC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435429</xdr:colOff>
      <xdr:row>53</xdr:row>
      <xdr:rowOff>176893</xdr:rowOff>
    </xdr:from>
    <xdr:to>
      <xdr:col>29</xdr:col>
      <xdr:colOff>216858</xdr:colOff>
      <xdr:row>69</xdr:row>
      <xdr:rowOff>8893</xdr:rowOff>
    </xdr:to>
    <xdr:graphicFrame macro="">
      <xdr:nvGraphicFramePr>
        <xdr:cNvPr id="4" name="Chart 3">
          <a:extLst>
            <a:ext uri="{FF2B5EF4-FFF2-40B4-BE49-F238E27FC236}">
              <a16:creationId xmlns:a16="http://schemas.microsoft.com/office/drawing/2014/main" id="{840972A5-B43D-4A23-90AB-7918517F0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544023</xdr:colOff>
      <xdr:row>23</xdr:row>
      <xdr:rowOff>9892</xdr:rowOff>
    </xdr:from>
    <xdr:to>
      <xdr:col>23</xdr:col>
      <xdr:colOff>28773</xdr:colOff>
      <xdr:row>38</xdr:row>
      <xdr:rowOff>32392</xdr:rowOff>
    </xdr:to>
    <xdr:graphicFrame macro="">
      <xdr:nvGraphicFramePr>
        <xdr:cNvPr id="2" name="Chart 1">
          <a:extLst>
            <a:ext uri="{FF2B5EF4-FFF2-40B4-BE49-F238E27FC236}">
              <a16:creationId xmlns:a16="http://schemas.microsoft.com/office/drawing/2014/main" id="{2DA31351-5DD7-33E0-9BD8-3ED604F62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2931</xdr:colOff>
      <xdr:row>22</xdr:row>
      <xdr:rowOff>171816</xdr:rowOff>
    </xdr:from>
    <xdr:to>
      <xdr:col>11</xdr:col>
      <xdr:colOff>467008</xdr:colOff>
      <xdr:row>38</xdr:row>
      <xdr:rowOff>3816</xdr:rowOff>
    </xdr:to>
    <xdr:graphicFrame macro="">
      <xdr:nvGraphicFramePr>
        <xdr:cNvPr id="3" name="Chart 2">
          <a:extLst>
            <a:ext uri="{FF2B5EF4-FFF2-40B4-BE49-F238E27FC236}">
              <a16:creationId xmlns:a16="http://schemas.microsoft.com/office/drawing/2014/main" id="{CA0867A7-BA1A-4021-83EC-AD9A8E665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19</xdr:col>
      <xdr:colOff>109537</xdr:colOff>
      <xdr:row>31</xdr:row>
      <xdr:rowOff>57156</xdr:rowOff>
    </xdr:from>
    <xdr:to>
      <xdr:col>26</xdr:col>
      <xdr:colOff>414337</xdr:colOff>
      <xdr:row>45</xdr:row>
      <xdr:rowOff>133356</xdr:rowOff>
    </xdr:to>
    <xdr:graphicFrame macro="">
      <xdr:nvGraphicFramePr>
        <xdr:cNvPr id="2" name="Chart 1">
          <a:extLst>
            <a:ext uri="{FF2B5EF4-FFF2-40B4-BE49-F238E27FC236}">
              <a16:creationId xmlns:a16="http://schemas.microsoft.com/office/drawing/2014/main" id="{11D4EE69-A56C-3F35-3E23-81FB6121E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66675</xdr:colOff>
      <xdr:row>16</xdr:row>
      <xdr:rowOff>119062</xdr:rowOff>
    </xdr:from>
    <xdr:to>
      <xdr:col>26</xdr:col>
      <xdr:colOff>371475</xdr:colOff>
      <xdr:row>31</xdr:row>
      <xdr:rowOff>4762</xdr:rowOff>
    </xdr:to>
    <xdr:graphicFrame macro="">
      <xdr:nvGraphicFramePr>
        <xdr:cNvPr id="4" name="Chart 3">
          <a:extLst>
            <a:ext uri="{FF2B5EF4-FFF2-40B4-BE49-F238E27FC236}">
              <a16:creationId xmlns:a16="http://schemas.microsoft.com/office/drawing/2014/main" id="{D76FE005-DCC4-27B7-7C24-5BA2E7F5E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466725</xdr:colOff>
      <xdr:row>25</xdr:row>
      <xdr:rowOff>33337</xdr:rowOff>
    </xdr:from>
    <xdr:to>
      <xdr:col>17</xdr:col>
      <xdr:colOff>161925</xdr:colOff>
      <xdr:row>39</xdr:row>
      <xdr:rowOff>109537</xdr:rowOff>
    </xdr:to>
    <xdr:graphicFrame macro="">
      <xdr:nvGraphicFramePr>
        <xdr:cNvPr id="7" name="Chart 6">
          <a:extLst>
            <a:ext uri="{FF2B5EF4-FFF2-40B4-BE49-F238E27FC236}">
              <a16:creationId xmlns:a16="http://schemas.microsoft.com/office/drawing/2014/main" id="{86893203-239C-602E-1C9C-C2FD023AA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538162</xdr:colOff>
      <xdr:row>31</xdr:row>
      <xdr:rowOff>166687</xdr:rowOff>
    </xdr:from>
    <xdr:to>
      <xdr:col>33</xdr:col>
      <xdr:colOff>233362</xdr:colOff>
      <xdr:row>46</xdr:row>
      <xdr:rowOff>52387</xdr:rowOff>
    </xdr:to>
    <xdr:graphicFrame macro="">
      <xdr:nvGraphicFramePr>
        <xdr:cNvPr id="10" name="Chart 9">
          <a:extLst>
            <a:ext uri="{FF2B5EF4-FFF2-40B4-BE49-F238E27FC236}">
              <a16:creationId xmlns:a16="http://schemas.microsoft.com/office/drawing/2014/main" id="{C32DB452-822D-3DA0-287F-14A69AE4B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142875</xdr:colOff>
      <xdr:row>19</xdr:row>
      <xdr:rowOff>76200</xdr:rowOff>
    </xdr:from>
    <xdr:to>
      <xdr:col>10</xdr:col>
      <xdr:colOff>476250</xdr:colOff>
      <xdr:row>35</xdr:row>
      <xdr:rowOff>171450</xdr:rowOff>
    </xdr:to>
    <xdr:pic>
      <xdr:nvPicPr>
        <xdr:cNvPr id="2" name="bm-id-d379d3f4-59b3-407d-8a8d-8c93c13748a5">
          <a:extLst>
            <a:ext uri="{FF2B5EF4-FFF2-40B4-BE49-F238E27FC236}">
              <a16:creationId xmlns:a16="http://schemas.microsoft.com/office/drawing/2014/main" id="{E2083763-41AC-D4FA-52CA-633E18D46A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4838700"/>
          <a:ext cx="6791325"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Default - Old">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keepitreet.com/" TargetMode="External"/><Relationship Id="rId18" Type="http://schemas.openxmlformats.org/officeDocument/2006/relationships/hyperlink" Target="https://tuffstreeters.com.au/" TargetMode="External"/><Relationship Id="rId26" Type="http://schemas.openxmlformats.org/officeDocument/2006/relationships/hyperlink" Target="https://www.australianrewardsclub.com.au/" TargetMode="External"/><Relationship Id="rId39" Type="http://schemas.openxmlformats.org/officeDocument/2006/relationships/hyperlink" Target="https://www.utopiagiveaway.com/" TargetMode="External"/><Relationship Id="rId21" Type="http://schemas.openxmlformats.org/officeDocument/2006/relationships/hyperlink" Target="https://lacedupgiveaways.com.au/" TargetMode="External"/><Relationship Id="rId34" Type="http://schemas.openxmlformats.org/officeDocument/2006/relationships/hyperlink" Target="https://platinumclass.com.au/" TargetMode="External"/><Relationship Id="rId42" Type="http://schemas.openxmlformats.org/officeDocument/2006/relationships/hyperlink" Target="https://ausclub.com.au/" TargetMode="External"/><Relationship Id="rId47" Type="http://schemas.openxmlformats.org/officeDocument/2006/relationships/hyperlink" Target="https://hega.au/giveaways/" TargetMode="External"/><Relationship Id="rId50" Type="http://schemas.openxmlformats.org/officeDocument/2006/relationships/hyperlink" Target="https://highroller.com.au/coming-soon/" TargetMode="External"/><Relationship Id="rId55" Type="http://schemas.openxmlformats.org/officeDocument/2006/relationships/vmlDrawing" Target="../drawings/vmlDrawing1.vml"/><Relationship Id="rId7" Type="http://schemas.openxmlformats.org/officeDocument/2006/relationships/hyperlink" Target="https://www.lotterywest.wa.gov.au/" TargetMode="External"/><Relationship Id="rId2" Type="http://schemas.openxmlformats.org/officeDocument/2006/relationships/hyperlink" Target="https://www.omaze.com/" TargetMode="External"/><Relationship Id="rId16" Type="http://schemas.openxmlformats.org/officeDocument/2006/relationships/hyperlink" Target="https://vincere.com.au/" TargetMode="External"/><Relationship Id="rId29" Type="http://schemas.openxmlformats.org/officeDocument/2006/relationships/hyperlink" Target="https://www.materlotteries.com.au/" TargetMode="External"/><Relationship Id="rId11" Type="http://schemas.openxmlformats.org/officeDocument/2006/relationships/hyperlink" Target="https://www.motorcultureaustralia.com/" TargetMode="External"/><Relationship Id="rId24" Type="http://schemas.openxmlformats.org/officeDocument/2006/relationships/hyperlink" Target="https://carhubaustralia.com.au/" TargetMode="External"/><Relationship Id="rId32" Type="http://schemas.openxmlformats.org/officeDocument/2006/relationships/hyperlink" Target="https://www.lottogo.com/en" TargetMode="External"/><Relationship Id="rId37" Type="http://schemas.openxmlformats.org/officeDocument/2006/relationships/hyperlink" Target="https://purejdm.com/" TargetMode="External"/><Relationship Id="rId40" Type="http://schemas.openxmlformats.org/officeDocument/2006/relationships/hyperlink" Target="https://www.rewardszn.com/" TargetMode="External"/><Relationship Id="rId45" Type="http://schemas.openxmlformats.org/officeDocument/2006/relationships/hyperlink" Target="https://www.luxegiveaway.net.au/" TargetMode="External"/><Relationship Id="rId53" Type="http://schemas.openxmlformats.org/officeDocument/2006/relationships/printerSettings" Target="../printerSettings/printerSettings1.bin"/><Relationship Id="rId5" Type="http://schemas.openxmlformats.org/officeDocument/2006/relationships/hyperlink" Target="https://www.ozlotteries.com/" TargetMode="External"/><Relationship Id="rId10" Type="http://schemas.openxmlformats.org/officeDocument/2006/relationships/hyperlink" Target="https://rsrewards.com.au/" TargetMode="External"/><Relationship Id="rId19" Type="http://schemas.openxmlformats.org/officeDocument/2006/relationships/hyperlink" Target="https://www.alluxe.com.au/" TargetMode="External"/><Relationship Id="rId31" Type="http://schemas.openxmlformats.org/officeDocument/2006/relationships/hyperlink" Target="https://www.luckypuppylottery.org.au/" TargetMode="External"/><Relationship Id="rId44" Type="http://schemas.openxmlformats.org/officeDocument/2006/relationships/hyperlink" Target="https://publishednotices.asic.gov.au/browsesearch-notices/notice-details/DCA-REWARDS-CLUB-PTY-LTD-652215140/1c0ae5a5-821e-4cf2-83ce-462aed43e478" TargetMode="External"/><Relationship Id="rId52" Type="http://schemas.openxmlformats.org/officeDocument/2006/relationships/hyperlink" Target="https://www.acnc.gov.au/charity/charities/96418be4-38af-e811-a95e-000d3ad24c60/documents/" TargetMode="External"/><Relationship Id="rId4" Type="http://schemas.openxmlformats.org/officeDocument/2006/relationships/hyperlink" Target="https://www.thelott.com/" TargetMode="External"/><Relationship Id="rId9" Type="http://schemas.openxmlformats.org/officeDocument/2006/relationships/hyperlink" Target="https://lmctplus.com/" TargetMode="External"/><Relationship Id="rId14" Type="http://schemas.openxmlformats.org/officeDocument/2006/relationships/hyperlink" Target="https://luxeplus.com.au/" TargetMode="External"/><Relationship Id="rId22" Type="http://schemas.openxmlformats.org/officeDocument/2006/relationships/hyperlink" Target="https://giveaways.com.au/" TargetMode="External"/><Relationship Id="rId27" Type="http://schemas.openxmlformats.org/officeDocument/2006/relationships/hyperlink" Target="https://www.endeavourlotteries.com.au/" TargetMode="External"/><Relationship Id="rId30" Type="http://schemas.openxmlformats.org/officeDocument/2006/relationships/hyperlink" Target="https://stjohnlottery.com.au/" TargetMode="External"/><Relationship Id="rId35" Type="http://schemas.openxmlformats.org/officeDocument/2006/relationships/hyperlink" Target="https://unlckd.com/" TargetMode="External"/><Relationship Id="rId43" Type="http://schemas.openxmlformats.org/officeDocument/2006/relationships/hyperlink" Target="https://bitslab.com.au/" TargetMode="External"/><Relationship Id="rId48" Type="http://schemas.openxmlformats.org/officeDocument/2006/relationships/hyperlink" Target="https://portal.revmoto.com.au/" TargetMode="External"/><Relationship Id="rId56" Type="http://schemas.openxmlformats.org/officeDocument/2006/relationships/comments" Target="../comments1.xml"/><Relationship Id="rId8" Type="http://schemas.openxmlformats.org/officeDocument/2006/relationships/hyperlink" Target="https://www.lotteryoffice.com.au/" TargetMode="External"/><Relationship Id="rId51" Type="http://schemas.openxmlformats.org/officeDocument/2006/relationships/hyperlink" Target="https://www.rslartunion.com.au/" TargetMode="External"/><Relationship Id="rId3" Type="http://schemas.openxmlformats.org/officeDocument/2006/relationships/hyperlink" Target="https://epilepsyfoundation.org.au/you-can-help/fundraise/playforpurpose/" TargetMode="External"/><Relationship Id="rId12" Type="http://schemas.openxmlformats.org/officeDocument/2006/relationships/hyperlink" Target="https://ignitehq.com.au/" TargetMode="External"/><Relationship Id="rId17" Type="http://schemas.openxmlformats.org/officeDocument/2006/relationships/hyperlink" Target="https://dct.club/pages/about" TargetMode="External"/><Relationship Id="rId25" Type="http://schemas.openxmlformats.org/officeDocument/2006/relationships/hyperlink" Target="https://www.luxegiveaway.net.au/" TargetMode="External"/><Relationship Id="rId33" Type="http://schemas.openxmlformats.org/officeDocument/2006/relationships/hyperlink" Target="https://ausso.com/" TargetMode="External"/><Relationship Id="rId38" Type="http://schemas.openxmlformats.org/officeDocument/2006/relationships/hyperlink" Target="https://carmarewards.club/" TargetMode="External"/><Relationship Id="rId46" Type="http://schemas.openxmlformats.org/officeDocument/2006/relationships/hyperlink" Target="https://luxurywatchsupply.com/" TargetMode="External"/><Relationship Id="rId20" Type="http://schemas.openxmlformats.org/officeDocument/2006/relationships/hyperlink" Target="https://goatclub.com.au/" TargetMode="External"/><Relationship Id="rId41" Type="http://schemas.openxmlformats.org/officeDocument/2006/relationships/hyperlink" Target="https://mwmx.com.au/" TargetMode="External"/><Relationship Id="rId54" Type="http://schemas.openxmlformats.org/officeDocument/2006/relationships/drawing" Target="../drawings/drawing1.xml"/><Relationship Id="rId1" Type="http://schemas.openxmlformats.org/officeDocument/2006/relationships/hyperlink" Target="https://rafflehouse.com/" TargetMode="External"/><Relationship Id="rId6" Type="http://schemas.openxmlformats.org/officeDocument/2006/relationships/hyperlink" Target="https://www.oz.lotterywest.com/" TargetMode="External"/><Relationship Id="rId15" Type="http://schemas.openxmlformats.org/officeDocument/2006/relationships/hyperlink" Target="https://classicsforacause.com.au/" TargetMode="External"/><Relationship Id="rId23" Type="http://schemas.openxmlformats.org/officeDocument/2006/relationships/hyperlink" Target="https://tunedgiveaways.com/" TargetMode="External"/><Relationship Id="rId28" Type="http://schemas.openxmlformats.org/officeDocument/2006/relationships/hyperlink" Target="https://www.deaflottery.com.au/" TargetMode="External"/><Relationship Id="rId36" Type="http://schemas.openxmlformats.org/officeDocument/2006/relationships/hyperlink" Target="https://www.lux4u.com.au/" TargetMode="External"/><Relationship Id="rId49" Type="http://schemas.openxmlformats.org/officeDocument/2006/relationships/hyperlink" Target="https://luredinnfishing.co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0D3B-88E2-45DF-B726-412DC2EF5210}">
  <sheetPr codeName="Sheet2">
    <tabColor theme="3"/>
  </sheetPr>
  <dimension ref="A1"/>
  <sheetViews>
    <sheetView workbookViewId="0">
      <selection activeCell="B2" sqref="B2"/>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ECE78-DA3E-476A-B422-2A00AB5BCF15}">
  <sheetPr codeName="Sheet1">
    <tabColor theme="3" tint="0.79998168889431442"/>
  </sheetPr>
  <dimension ref="B1:AS225"/>
  <sheetViews>
    <sheetView zoomScale="70" zoomScaleNormal="70" workbookViewId="0">
      <pane xSplit="3" ySplit="4" topLeftCell="D83" activePane="bottomRight" state="frozen"/>
      <selection activeCell="L99" sqref="L99"/>
      <selection pane="topRight" activeCell="L99" sqref="L99"/>
      <selection pane="bottomLeft" activeCell="L99" sqref="L99"/>
      <selection pane="bottomRight" activeCell="C127" sqref="C127"/>
    </sheetView>
  </sheetViews>
  <sheetFormatPr defaultRowHeight="15" outlineLevelCol="1" x14ac:dyDescent="0.25"/>
  <cols>
    <col min="1" max="2" width="2.7109375" customWidth="1"/>
    <col min="3" max="3" width="17" bestFit="1" customWidth="1"/>
    <col min="4" max="4" width="6.28515625" customWidth="1"/>
    <col min="5" max="5" width="16" bestFit="1" customWidth="1"/>
    <col min="6" max="7" width="17.42578125" bestFit="1" customWidth="1"/>
    <col min="9" max="9" width="11.85546875" bestFit="1" customWidth="1"/>
    <col min="11" max="11" width="22.85546875" customWidth="1"/>
    <col min="12" max="12" width="12.7109375" bestFit="1" customWidth="1"/>
    <col min="14" max="14" width="3.140625" bestFit="1" customWidth="1"/>
    <col min="15" max="15" width="2.7109375" customWidth="1"/>
    <col min="16" max="20" width="10.7109375" style="1" customWidth="1"/>
    <col min="21" max="21" width="2.7109375" style="1" customWidth="1"/>
    <col min="22" max="23" width="10.7109375" style="1" customWidth="1"/>
    <col min="24" max="24" width="10.7109375" style="1" customWidth="1" outlineLevel="1"/>
    <col min="25" max="26" width="10.7109375" style="1" customWidth="1"/>
    <col min="27" max="27" width="13.42578125" style="1" bestFit="1" customWidth="1"/>
    <col min="28" max="28" width="2.7109375" customWidth="1"/>
    <col min="29" max="37" width="10.7109375" customWidth="1"/>
    <col min="38" max="42" width="2.7109375" customWidth="1"/>
    <col min="43" max="43" width="10.7109375" customWidth="1"/>
    <col min="44" max="44" width="2.7109375" customWidth="1"/>
    <col min="45" max="45" width="12.7109375" bestFit="1" customWidth="1"/>
    <col min="46" max="46" width="2.7109375" customWidth="1"/>
  </cols>
  <sheetData>
    <row r="1" spans="2:45" x14ac:dyDescent="0.25">
      <c r="E1" s="2"/>
    </row>
    <row r="2" spans="2:45" x14ac:dyDescent="0.25">
      <c r="H2" t="s">
        <v>300</v>
      </c>
      <c r="V2" s="1" t="s">
        <v>174</v>
      </c>
      <c r="W2" s="1" t="s">
        <v>174</v>
      </c>
      <c r="Y2" s="1" t="s">
        <v>173</v>
      </c>
      <c r="Z2" s="1" t="s">
        <v>174</v>
      </c>
    </row>
    <row r="3" spans="2:45" x14ac:dyDescent="0.25">
      <c r="AG3" t="s">
        <v>209</v>
      </c>
    </row>
    <row r="4" spans="2:45" x14ac:dyDescent="0.25">
      <c r="E4" t="s">
        <v>16</v>
      </c>
      <c r="F4" t="s">
        <v>15</v>
      </c>
      <c r="G4" t="s">
        <v>33</v>
      </c>
      <c r="H4" t="s">
        <v>3</v>
      </c>
      <c r="J4" t="s">
        <v>5</v>
      </c>
      <c r="K4" t="s">
        <v>4</v>
      </c>
      <c r="L4" t="s">
        <v>336</v>
      </c>
      <c r="M4" t="s">
        <v>65</v>
      </c>
      <c r="P4" t="s">
        <v>115</v>
      </c>
      <c r="Q4" t="s">
        <v>116</v>
      </c>
      <c r="R4" t="s">
        <v>117</v>
      </c>
      <c r="S4" t="s">
        <v>395</v>
      </c>
      <c r="T4"/>
      <c r="U4"/>
      <c r="V4" t="s">
        <v>99</v>
      </c>
      <c r="W4" t="s">
        <v>100</v>
      </c>
      <c r="X4" t="s">
        <v>102</v>
      </c>
      <c r="Y4" t="s">
        <v>101</v>
      </c>
      <c r="Z4" t="s">
        <v>172</v>
      </c>
      <c r="AA4"/>
      <c r="AG4">
        <v>2019</v>
      </c>
      <c r="AH4">
        <v>2020</v>
      </c>
      <c r="AI4">
        <v>2021</v>
      </c>
      <c r="AJ4">
        <v>2022</v>
      </c>
      <c r="AK4">
        <v>2023</v>
      </c>
      <c r="AS4" t="s">
        <v>23</v>
      </c>
    </row>
    <row r="6" spans="2:45" x14ac:dyDescent="0.25">
      <c r="C6" s="10" t="s">
        <v>396</v>
      </c>
    </row>
    <row r="7" spans="2:45" x14ac:dyDescent="0.25">
      <c r="C7" s="11" t="s">
        <v>345</v>
      </c>
      <c r="L7" s="1">
        <f>AVERAGE(P7:R7)</f>
        <v>13450083.333333334</v>
      </c>
      <c r="P7" s="1">
        <f>P19</f>
        <v>17240540</v>
      </c>
      <c r="Q7" s="1">
        <f t="shared" ref="Q7:R7" si="0">Q19</f>
        <v>11071004</v>
      </c>
      <c r="R7" s="1">
        <f t="shared" si="0"/>
        <v>12038706</v>
      </c>
      <c r="T7" s="1">
        <f t="shared" ref="T7" si="1">T19</f>
        <v>13513034.333333332</v>
      </c>
      <c r="V7" s="1">
        <f t="shared" ref="V7:Z7" si="2">V19</f>
        <v>711000</v>
      </c>
      <c r="W7" s="1">
        <f t="shared" si="2"/>
        <v>44394</v>
      </c>
      <c r="X7" s="1">
        <f t="shared" si="2"/>
        <v>0</v>
      </c>
      <c r="Y7" s="1">
        <f t="shared" si="2"/>
        <v>39530</v>
      </c>
      <c r="Z7" s="1">
        <f t="shared" si="2"/>
        <v>11435</v>
      </c>
    </row>
    <row r="8" spans="2:45" x14ac:dyDescent="0.25">
      <c r="C8" s="11" t="s">
        <v>344</v>
      </c>
      <c r="L8" s="1">
        <f t="shared" ref="L8:L11" si="3">AVERAGE(P8:R8)</f>
        <v>692628.33333333337</v>
      </c>
      <c r="P8" s="1">
        <f>P29</f>
        <v>694217</v>
      </c>
      <c r="Q8" s="1">
        <f t="shared" ref="Q8:R8" si="4">Q29</f>
        <v>770143</v>
      </c>
      <c r="R8" s="1">
        <f t="shared" si="4"/>
        <v>613525</v>
      </c>
      <c r="T8" s="1">
        <f t="shared" ref="T8" si="5">T29</f>
        <v>692628.33333333326</v>
      </c>
      <c r="V8" s="1">
        <f t="shared" ref="V8:Z8" si="6">V29</f>
        <v>38117</v>
      </c>
      <c r="W8" s="1">
        <f t="shared" si="6"/>
        <v>4952</v>
      </c>
      <c r="X8" s="1">
        <f t="shared" si="6"/>
        <v>0</v>
      </c>
      <c r="Y8" s="1">
        <f t="shared" si="6"/>
        <v>1124</v>
      </c>
      <c r="Z8" s="1">
        <f t="shared" si="6"/>
        <v>367</v>
      </c>
    </row>
    <row r="9" spans="2:45" x14ac:dyDescent="0.25">
      <c r="C9" s="11" t="s">
        <v>211</v>
      </c>
      <c r="L9" s="1">
        <f t="shared" si="3"/>
        <v>336829.33333333331</v>
      </c>
      <c r="P9" s="1">
        <f>P34</f>
        <v>332439</v>
      </c>
      <c r="Q9" s="1">
        <f t="shared" ref="Q9:R9" si="7">Q34</f>
        <v>324497</v>
      </c>
      <c r="R9" s="1">
        <f t="shared" si="7"/>
        <v>353552</v>
      </c>
      <c r="T9" s="1">
        <f t="shared" ref="T9" si="8">T34</f>
        <v>336829.33333333331</v>
      </c>
      <c r="V9" s="1">
        <f t="shared" ref="V9:Z9" si="9">V34</f>
        <v>46000</v>
      </c>
      <c r="W9" s="1">
        <f t="shared" si="9"/>
        <v>1317</v>
      </c>
      <c r="X9" s="1">
        <f t="shared" si="9"/>
        <v>0</v>
      </c>
      <c r="Y9" s="1">
        <f t="shared" si="9"/>
        <v>44</v>
      </c>
      <c r="Z9" s="1">
        <f t="shared" si="9"/>
        <v>158</v>
      </c>
    </row>
    <row r="10" spans="2:45" x14ac:dyDescent="0.25">
      <c r="C10" s="11" t="s">
        <v>343</v>
      </c>
      <c r="L10" s="1">
        <f t="shared" si="3"/>
        <v>1511633.6666666667</v>
      </c>
      <c r="P10" s="1">
        <f>P86</f>
        <v>1525131</v>
      </c>
      <c r="Q10" s="1">
        <f t="shared" ref="Q10:R10" si="10">Q86</f>
        <v>1393747</v>
      </c>
      <c r="R10" s="1">
        <f t="shared" si="10"/>
        <v>1616023</v>
      </c>
      <c r="T10" s="1">
        <f t="shared" ref="T10" si="11">T86</f>
        <v>1523867.666666667</v>
      </c>
      <c r="V10" s="1">
        <f t="shared" ref="V10:Z10" si="12">V86</f>
        <v>2443167</v>
      </c>
      <c r="W10" s="1">
        <f t="shared" si="12"/>
        <v>1664387</v>
      </c>
      <c r="X10" s="1">
        <f t="shared" si="12"/>
        <v>551921</v>
      </c>
      <c r="Y10" s="1">
        <f t="shared" si="12"/>
        <v>55523</v>
      </c>
      <c r="Z10" s="1">
        <f t="shared" si="12"/>
        <v>1607</v>
      </c>
    </row>
    <row r="11" spans="2:45" x14ac:dyDescent="0.25">
      <c r="C11" s="11" t="s">
        <v>31</v>
      </c>
      <c r="L11" s="1">
        <f t="shared" si="3"/>
        <v>2368124.3333333335</v>
      </c>
      <c r="P11" s="1">
        <f>P205</f>
        <v>1928266</v>
      </c>
      <c r="Q11" s="1">
        <f t="shared" ref="Q11:R11" si="13">Q205</f>
        <v>2317245</v>
      </c>
      <c r="R11" s="1">
        <f t="shared" si="13"/>
        <v>2858862</v>
      </c>
      <c r="T11" s="1">
        <f t="shared" ref="T11" si="14">T205</f>
        <v>2359803.666666667</v>
      </c>
      <c r="V11" s="1">
        <f t="shared" ref="V11:Z11" si="15">V205</f>
        <v>627036</v>
      </c>
      <c r="W11" s="1">
        <f t="shared" si="15"/>
        <v>140121</v>
      </c>
      <c r="X11" s="1">
        <f t="shared" si="15"/>
        <v>0</v>
      </c>
      <c r="Y11" s="1">
        <f t="shared" si="15"/>
        <v>35002</v>
      </c>
      <c r="Z11" s="1">
        <f t="shared" si="15"/>
        <v>0</v>
      </c>
    </row>
    <row r="13" spans="2:45" x14ac:dyDescent="0.25">
      <c r="C13" s="10" t="s">
        <v>345</v>
      </c>
    </row>
    <row r="14" spans="2:45" x14ac:dyDescent="0.25">
      <c r="B14" s="2" t="s">
        <v>128</v>
      </c>
      <c r="C14" s="11" t="s">
        <v>122</v>
      </c>
      <c r="P14" s="1">
        <v>12840000</v>
      </c>
      <c r="Q14" s="1">
        <v>8348000</v>
      </c>
      <c r="R14" s="1">
        <v>9170000</v>
      </c>
      <c r="T14" s="1">
        <f t="shared" ref="T14:T18" si="16">AVERAGE(P14:S14)</f>
        <v>10119333.333333334</v>
      </c>
      <c r="V14" s="1">
        <v>422000</v>
      </c>
      <c r="W14" s="1">
        <v>27400</v>
      </c>
      <c r="Y14" s="1">
        <v>34700</v>
      </c>
      <c r="Z14" s="1">
        <v>5452</v>
      </c>
    </row>
    <row r="15" spans="2:45" x14ac:dyDescent="0.25">
      <c r="B15" s="2" t="s">
        <v>129</v>
      </c>
      <c r="C15" s="11" t="s">
        <v>123</v>
      </c>
      <c r="P15" s="1">
        <v>2428000</v>
      </c>
      <c r="Q15" s="1">
        <v>1396000</v>
      </c>
      <c r="R15" s="1">
        <v>1554000</v>
      </c>
      <c r="T15" s="1">
        <f t="shared" si="16"/>
        <v>1792666.6666666667</v>
      </c>
      <c r="V15" s="1">
        <v>220000</v>
      </c>
      <c r="W15" s="1">
        <v>11000</v>
      </c>
      <c r="Y15" s="1">
        <v>1470</v>
      </c>
      <c r="Z15" s="1">
        <v>1853</v>
      </c>
    </row>
    <row r="16" spans="2:45" x14ac:dyDescent="0.25">
      <c r="B16" s="2" t="s">
        <v>170</v>
      </c>
      <c r="C16" s="11" t="s">
        <v>171</v>
      </c>
      <c r="S16" s="1">
        <v>62951</v>
      </c>
      <c r="T16" s="1">
        <f t="shared" si="16"/>
        <v>62951</v>
      </c>
      <c r="AA16" s="1" t="s">
        <v>175</v>
      </c>
    </row>
    <row r="17" spans="2:27" x14ac:dyDescent="0.25">
      <c r="B17" s="2" t="s">
        <v>130</v>
      </c>
      <c r="C17" s="11" t="s">
        <v>124</v>
      </c>
      <c r="P17" s="1">
        <v>1850000</v>
      </c>
      <c r="Q17" s="1">
        <v>1245000</v>
      </c>
      <c r="R17" s="1">
        <v>1224000</v>
      </c>
      <c r="T17" s="1">
        <f t="shared" si="16"/>
        <v>1439666.6666666667</v>
      </c>
      <c r="V17" s="1">
        <v>69000</v>
      </c>
      <c r="W17" s="1">
        <v>5943</v>
      </c>
      <c r="Y17" s="1">
        <v>3360</v>
      </c>
      <c r="Z17" s="1">
        <v>4130</v>
      </c>
    </row>
    <row r="18" spans="2:27" x14ac:dyDescent="0.25">
      <c r="B18" s="2" t="s">
        <v>214</v>
      </c>
      <c r="C18" s="11" t="s">
        <v>331</v>
      </c>
      <c r="P18" s="1">
        <v>122540</v>
      </c>
      <c r="Q18" s="1">
        <v>82004</v>
      </c>
      <c r="R18" s="1">
        <v>90706</v>
      </c>
      <c r="T18" s="1">
        <f t="shared" si="16"/>
        <v>98416.666666666672</v>
      </c>
      <c r="W18" s="1">
        <v>51</v>
      </c>
    </row>
    <row r="19" spans="2:27" x14ac:dyDescent="0.25">
      <c r="B19" s="12"/>
      <c r="C19" s="13"/>
      <c r="D19" s="14"/>
      <c r="E19" s="14"/>
      <c r="F19" s="14"/>
      <c r="G19" s="14"/>
      <c r="H19" s="14"/>
      <c r="I19" s="14"/>
      <c r="J19" s="14"/>
      <c r="K19" s="14"/>
      <c r="L19" s="14"/>
      <c r="M19" s="14"/>
      <c r="N19" s="14"/>
      <c r="O19" s="14"/>
      <c r="P19" s="15">
        <f>SUM(P14:P18)</f>
        <v>17240540</v>
      </c>
      <c r="Q19" s="15">
        <f t="shared" ref="Q19:Z19" si="17">SUM(Q14:Q18)</f>
        <v>11071004</v>
      </c>
      <c r="R19" s="15">
        <f t="shared" si="17"/>
        <v>12038706</v>
      </c>
      <c r="S19" s="15"/>
      <c r="T19" s="15">
        <f t="shared" si="17"/>
        <v>13513034.333333332</v>
      </c>
      <c r="U19" s="15"/>
      <c r="V19" s="15">
        <f t="shared" si="17"/>
        <v>711000</v>
      </c>
      <c r="W19" s="15">
        <f t="shared" si="17"/>
        <v>44394</v>
      </c>
      <c r="X19" s="15">
        <f t="shared" si="17"/>
        <v>0</v>
      </c>
      <c r="Y19" s="15">
        <f t="shared" si="17"/>
        <v>39530</v>
      </c>
      <c r="Z19" s="15">
        <f t="shared" si="17"/>
        <v>11435</v>
      </c>
      <c r="AA19" s="15"/>
    </row>
    <row r="21" spans="2:27" x14ac:dyDescent="0.25">
      <c r="C21" s="11" t="s">
        <v>568</v>
      </c>
    </row>
    <row r="25" spans="2:27" x14ac:dyDescent="0.25">
      <c r="C25" s="10" t="s">
        <v>344</v>
      </c>
    </row>
    <row r="26" spans="2:27" x14ac:dyDescent="0.25">
      <c r="B26" s="2" t="s">
        <v>131</v>
      </c>
      <c r="C26" s="11" t="s">
        <v>125</v>
      </c>
      <c r="P26" s="1">
        <v>667582</v>
      </c>
      <c r="Q26" s="1">
        <v>730204</v>
      </c>
      <c r="R26" s="1">
        <v>578556</v>
      </c>
      <c r="T26" s="1">
        <f t="shared" ref="T26:T28" si="18">AVERAGE(P26:S26)</f>
        <v>658780.66666666663</v>
      </c>
      <c r="V26" s="1">
        <v>28000</v>
      </c>
      <c r="W26" s="1">
        <v>3190</v>
      </c>
      <c r="Y26" s="1">
        <v>1000</v>
      </c>
      <c r="Z26" s="1">
        <v>46</v>
      </c>
    </row>
    <row r="27" spans="2:27" x14ac:dyDescent="0.25">
      <c r="B27" s="2" t="s">
        <v>133</v>
      </c>
      <c r="C27" s="11" t="s">
        <v>126</v>
      </c>
      <c r="P27" s="1">
        <v>14323</v>
      </c>
      <c r="Q27" s="1">
        <v>31192</v>
      </c>
      <c r="R27" s="1">
        <v>28951</v>
      </c>
      <c r="T27" s="1">
        <f t="shared" si="18"/>
        <v>24822</v>
      </c>
      <c r="V27" s="1">
        <v>9400</v>
      </c>
      <c r="W27" s="1">
        <v>1592</v>
      </c>
      <c r="Y27" s="1">
        <v>81</v>
      </c>
      <c r="Z27" s="1">
        <v>273</v>
      </c>
    </row>
    <row r="28" spans="2:27" x14ac:dyDescent="0.25">
      <c r="B28" t="s">
        <v>132</v>
      </c>
      <c r="C28" s="11" t="s">
        <v>127</v>
      </c>
      <c r="P28" s="1">
        <v>12312</v>
      </c>
      <c r="Q28" s="1">
        <v>8747</v>
      </c>
      <c r="R28" s="1">
        <v>6018</v>
      </c>
      <c r="T28" s="1">
        <f t="shared" si="18"/>
        <v>9025.6666666666661</v>
      </c>
      <c r="V28" s="1">
        <v>717</v>
      </c>
      <c r="W28" s="1">
        <v>170</v>
      </c>
      <c r="Y28" s="1">
        <v>43</v>
      </c>
      <c r="Z28" s="1">
        <v>48</v>
      </c>
    </row>
    <row r="29" spans="2:27" x14ac:dyDescent="0.25">
      <c r="B29" s="12"/>
      <c r="C29" s="13"/>
      <c r="D29" s="14"/>
      <c r="E29" s="14"/>
      <c r="F29" s="14"/>
      <c r="G29" s="14"/>
      <c r="H29" s="14"/>
      <c r="I29" s="14"/>
      <c r="J29" s="14"/>
      <c r="K29" s="14"/>
      <c r="L29" s="14"/>
      <c r="M29" s="14"/>
      <c r="N29" s="14"/>
      <c r="O29" s="14"/>
      <c r="P29" s="15">
        <f>SUM(P26:P28)</f>
        <v>694217</v>
      </c>
      <c r="Q29" s="15">
        <f>SUM(Q26:Q28)</f>
        <v>770143</v>
      </c>
      <c r="R29" s="15">
        <f>SUM(R26:R28)</f>
        <v>613525</v>
      </c>
      <c r="S29" s="15"/>
      <c r="T29" s="15">
        <f>SUM(T26:T28)</f>
        <v>692628.33333333326</v>
      </c>
      <c r="U29" s="15"/>
      <c r="V29" s="15">
        <f>SUM(V26:V28)</f>
        <v>38117</v>
      </c>
      <c r="W29" s="15">
        <f>SUM(W26:W28)</f>
        <v>4952</v>
      </c>
      <c r="X29" s="15">
        <f>SUM(X26:X28)</f>
        <v>0</v>
      </c>
      <c r="Y29" s="15">
        <f>SUM(Y26:Y28)</f>
        <v>1124</v>
      </c>
      <c r="Z29" s="15">
        <f>SUM(Z26:Z28)</f>
        <v>367</v>
      </c>
      <c r="AA29" s="15"/>
    </row>
    <row r="31" spans="2:27" x14ac:dyDescent="0.25">
      <c r="C31" s="10" t="s">
        <v>211</v>
      </c>
    </row>
    <row r="32" spans="2:27" x14ac:dyDescent="0.25">
      <c r="B32" t="s">
        <v>494</v>
      </c>
      <c r="C32" s="11" t="s">
        <v>211</v>
      </c>
      <c r="P32" s="1">
        <v>255050</v>
      </c>
      <c r="Q32" s="1">
        <v>230206</v>
      </c>
      <c r="R32" s="1">
        <v>269940</v>
      </c>
      <c r="T32" s="1">
        <f t="shared" ref="T32:T33" si="19">AVERAGE(P32:S32)</f>
        <v>251732</v>
      </c>
    </row>
    <row r="33" spans="2:45" x14ac:dyDescent="0.25">
      <c r="B33" t="s">
        <v>176</v>
      </c>
      <c r="C33" s="11" t="s">
        <v>177</v>
      </c>
      <c r="P33" s="1">
        <v>77389</v>
      </c>
      <c r="Q33" s="1">
        <v>94291</v>
      </c>
      <c r="R33" s="1">
        <v>83612</v>
      </c>
      <c r="T33" s="1">
        <f t="shared" si="19"/>
        <v>85097.333333333328</v>
      </c>
      <c r="V33" s="1">
        <v>46000</v>
      </c>
      <c r="W33" s="1">
        <v>1317</v>
      </c>
      <c r="Y33" s="1">
        <v>44</v>
      </c>
      <c r="Z33" s="1">
        <v>158</v>
      </c>
    </row>
    <row r="34" spans="2:45" x14ac:dyDescent="0.25">
      <c r="B34" s="12"/>
      <c r="C34" s="13"/>
      <c r="D34" s="14"/>
      <c r="E34" s="14"/>
      <c r="F34" s="14"/>
      <c r="G34" s="14"/>
      <c r="H34" s="14"/>
      <c r="I34" s="14"/>
      <c r="J34" s="14"/>
      <c r="K34" s="14"/>
      <c r="L34" s="14"/>
      <c r="M34" s="14"/>
      <c r="N34" s="14"/>
      <c r="O34" s="14"/>
      <c r="P34" s="15">
        <f>SUM(P32:P33)</f>
        <v>332439</v>
      </c>
      <c r="Q34" s="15">
        <f t="shared" ref="Q34:T34" si="20">SUM(Q32:Q33)</f>
        <v>324497</v>
      </c>
      <c r="R34" s="15">
        <f t="shared" si="20"/>
        <v>353552</v>
      </c>
      <c r="S34" s="15"/>
      <c r="T34" s="15">
        <f t="shared" si="20"/>
        <v>336829.33333333331</v>
      </c>
      <c r="U34" s="15"/>
      <c r="V34" s="15">
        <f t="shared" ref="V34:Z34" si="21">SUM(V32:V33)</f>
        <v>46000</v>
      </c>
      <c r="W34" s="15">
        <f t="shared" si="21"/>
        <v>1317</v>
      </c>
      <c r="X34" s="15">
        <f t="shared" si="21"/>
        <v>0</v>
      </c>
      <c r="Y34" s="15">
        <f t="shared" si="21"/>
        <v>44</v>
      </c>
      <c r="Z34" s="15">
        <f t="shared" si="21"/>
        <v>158</v>
      </c>
      <c r="AA34" s="15"/>
    </row>
    <row r="35" spans="2:45" x14ac:dyDescent="0.25">
      <c r="C35" s="11"/>
    </row>
    <row r="37" spans="2:45" x14ac:dyDescent="0.25">
      <c r="C37" s="10" t="s">
        <v>343</v>
      </c>
    </row>
    <row r="38" spans="2:45" x14ac:dyDescent="0.25">
      <c r="B38" s="2" t="s">
        <v>634</v>
      </c>
      <c r="C38" s="11" t="s">
        <v>11</v>
      </c>
      <c r="D38" t="s">
        <v>0</v>
      </c>
      <c r="E38" t="s">
        <v>46</v>
      </c>
      <c r="F38" t="s">
        <v>121</v>
      </c>
      <c r="G38" t="s">
        <v>20</v>
      </c>
      <c r="H38" t="s">
        <v>1</v>
      </c>
      <c r="J38" t="s">
        <v>330</v>
      </c>
      <c r="K38" t="s">
        <v>30</v>
      </c>
      <c r="L38" s="8">
        <v>44021</v>
      </c>
      <c r="P38" s="1">
        <v>896294</v>
      </c>
      <c r="Q38" s="1">
        <v>755018</v>
      </c>
      <c r="R38" s="1">
        <v>778802</v>
      </c>
      <c r="T38" s="1">
        <f>AVERAGE(P38:S38)</f>
        <v>810038</v>
      </c>
      <c r="V38" s="1">
        <v>541000</v>
      </c>
      <c r="W38" s="1">
        <v>388000</v>
      </c>
      <c r="X38" s="1">
        <v>35600</v>
      </c>
      <c r="Y38" s="1">
        <v>20100</v>
      </c>
      <c r="Z38" s="1">
        <v>137</v>
      </c>
      <c r="AA38" s="1">
        <f>V38+W38</f>
        <v>929000</v>
      </c>
      <c r="AS38" s="4">
        <v>30000000</v>
      </c>
    </row>
    <row r="39" spans="2:45" x14ac:dyDescent="0.25">
      <c r="B39" s="2" t="s">
        <v>135</v>
      </c>
      <c r="C39" s="11" t="s">
        <v>41</v>
      </c>
      <c r="D39" t="s">
        <v>50</v>
      </c>
      <c r="E39" t="s">
        <v>48</v>
      </c>
      <c r="F39" t="s">
        <v>42</v>
      </c>
      <c r="G39" t="s">
        <v>20</v>
      </c>
      <c r="H39" t="s">
        <v>43</v>
      </c>
      <c r="J39" t="s">
        <v>45</v>
      </c>
      <c r="K39" t="s">
        <v>20</v>
      </c>
      <c r="L39" s="8">
        <v>44351</v>
      </c>
      <c r="P39" s="1">
        <v>220653</v>
      </c>
      <c r="Q39" s="1">
        <v>211040</v>
      </c>
      <c r="R39" s="1">
        <v>339174</v>
      </c>
      <c r="T39" s="1">
        <f t="shared" ref="T39:T66" si="22">AVERAGE(P39:S39)</f>
        <v>256955.66666666666</v>
      </c>
      <c r="V39" s="1">
        <v>179000</v>
      </c>
      <c r="W39" s="1">
        <v>90100</v>
      </c>
      <c r="X39" s="1">
        <v>210800</v>
      </c>
      <c r="Y39" s="1">
        <v>17400</v>
      </c>
      <c r="AA39" s="1">
        <f t="shared" ref="AA39:AA66" si="23">V39+W39</f>
        <v>269100</v>
      </c>
      <c r="AQ39" t="s">
        <v>49</v>
      </c>
      <c r="AS39" s="4">
        <v>22000000</v>
      </c>
    </row>
    <row r="40" spans="2:45" x14ac:dyDescent="0.25">
      <c r="B40" s="2" t="s">
        <v>138</v>
      </c>
      <c r="C40" s="11" t="s">
        <v>35</v>
      </c>
      <c r="D40" t="s">
        <v>36</v>
      </c>
      <c r="E40" t="s">
        <v>47</v>
      </c>
      <c r="F40" t="s">
        <v>40</v>
      </c>
      <c r="G40" t="s">
        <v>34</v>
      </c>
      <c r="H40" t="s">
        <v>57</v>
      </c>
      <c r="J40" t="s">
        <v>56</v>
      </c>
      <c r="K40" t="s">
        <v>30</v>
      </c>
      <c r="L40" s="8">
        <v>44021</v>
      </c>
      <c r="P40" s="1">
        <v>12427</v>
      </c>
      <c r="Q40" s="1">
        <v>17353</v>
      </c>
      <c r="R40" s="1">
        <v>42793</v>
      </c>
      <c r="T40" s="1">
        <f t="shared" si="22"/>
        <v>24191</v>
      </c>
      <c r="V40" s="1">
        <v>104000</v>
      </c>
      <c r="W40" s="1">
        <v>119000</v>
      </c>
      <c r="X40" s="1">
        <v>90000</v>
      </c>
      <c r="AA40" s="1">
        <f t="shared" si="23"/>
        <v>223000</v>
      </c>
    </row>
    <row r="41" spans="2:45" x14ac:dyDescent="0.25">
      <c r="B41" s="2" t="s">
        <v>134</v>
      </c>
      <c r="C41" s="11" t="s">
        <v>2</v>
      </c>
      <c r="D41" t="s">
        <v>119</v>
      </c>
      <c r="E41" t="s">
        <v>48</v>
      </c>
      <c r="F41" t="s">
        <v>120</v>
      </c>
      <c r="H41" t="s">
        <v>118</v>
      </c>
      <c r="K41" t="s">
        <v>20</v>
      </c>
      <c r="L41" s="8">
        <v>44462</v>
      </c>
      <c r="P41" s="1">
        <v>25664</v>
      </c>
      <c r="Q41" s="1">
        <v>20267</v>
      </c>
      <c r="R41" s="1">
        <v>14270</v>
      </c>
      <c r="T41" s="1">
        <f t="shared" si="22"/>
        <v>20067</v>
      </c>
      <c r="V41" s="1">
        <v>10000</v>
      </c>
      <c r="W41" s="1">
        <v>20500</v>
      </c>
      <c r="X41" s="1">
        <v>559</v>
      </c>
      <c r="Y41" s="1">
        <v>60</v>
      </c>
      <c r="AA41" s="1">
        <f t="shared" si="23"/>
        <v>30500</v>
      </c>
    </row>
    <row r="42" spans="2:45" x14ac:dyDescent="0.25">
      <c r="B42" s="2" t="s">
        <v>136</v>
      </c>
      <c r="C42" s="11" t="s">
        <v>12</v>
      </c>
      <c r="D42" t="s">
        <v>0</v>
      </c>
      <c r="E42" t="s">
        <v>46</v>
      </c>
      <c r="F42" t="s">
        <v>62</v>
      </c>
      <c r="G42" t="s">
        <v>20</v>
      </c>
      <c r="H42" t="s">
        <v>1</v>
      </c>
      <c r="K42" t="s">
        <v>30</v>
      </c>
      <c r="L42" s="8">
        <v>44021</v>
      </c>
      <c r="P42" s="1">
        <v>40648</v>
      </c>
      <c r="Q42" s="1">
        <v>26359</v>
      </c>
      <c r="R42" s="1">
        <v>22167</v>
      </c>
      <c r="T42" s="1">
        <f t="shared" si="22"/>
        <v>29724.666666666668</v>
      </c>
      <c r="V42" s="1">
        <v>1000</v>
      </c>
      <c r="W42" s="1">
        <v>26200</v>
      </c>
      <c r="X42" s="1">
        <v>874</v>
      </c>
      <c r="AA42" s="1">
        <f t="shared" si="23"/>
        <v>27200</v>
      </c>
      <c r="AS42" s="4">
        <v>15000000</v>
      </c>
    </row>
    <row r="43" spans="2:45" x14ac:dyDescent="0.25">
      <c r="B43" s="2" t="s">
        <v>137</v>
      </c>
      <c r="C43" s="11" t="s">
        <v>54</v>
      </c>
      <c r="D43" t="s">
        <v>53</v>
      </c>
      <c r="E43" t="s">
        <v>46</v>
      </c>
      <c r="F43" t="s">
        <v>40</v>
      </c>
      <c r="G43" t="s">
        <v>20</v>
      </c>
      <c r="H43" t="s">
        <v>51</v>
      </c>
      <c r="I43" t="s">
        <v>52</v>
      </c>
      <c r="J43" t="s">
        <v>55</v>
      </c>
      <c r="K43" t="s">
        <v>20</v>
      </c>
      <c r="L43" s="8">
        <v>44404</v>
      </c>
      <c r="P43" s="1">
        <v>17306</v>
      </c>
      <c r="Q43" s="1">
        <v>19199</v>
      </c>
      <c r="R43" s="1">
        <v>17395</v>
      </c>
      <c r="T43" s="1">
        <f t="shared" si="22"/>
        <v>17966.666666666668</v>
      </c>
      <c r="V43" s="1">
        <v>14000</v>
      </c>
      <c r="W43" s="1">
        <v>7565</v>
      </c>
      <c r="X43" s="1">
        <v>751</v>
      </c>
      <c r="Y43" s="1">
        <v>136</v>
      </c>
      <c r="AA43" s="1">
        <f t="shared" si="23"/>
        <v>21565</v>
      </c>
      <c r="AS43" s="4"/>
    </row>
    <row r="44" spans="2:45" x14ac:dyDescent="0.25">
      <c r="B44" s="2" t="s">
        <v>139</v>
      </c>
      <c r="C44" s="11" t="s">
        <v>82</v>
      </c>
      <c r="D44" t="s">
        <v>84</v>
      </c>
      <c r="E44" t="s">
        <v>46</v>
      </c>
      <c r="F44" t="s">
        <v>40</v>
      </c>
      <c r="G44" t="s">
        <v>20</v>
      </c>
      <c r="H44" t="s">
        <v>83</v>
      </c>
      <c r="K44" t="s">
        <v>30</v>
      </c>
      <c r="L44" s="8">
        <v>44880</v>
      </c>
      <c r="P44" s="1">
        <v>94575</v>
      </c>
      <c r="Q44" s="1">
        <v>70760</v>
      </c>
      <c r="R44" s="1">
        <v>86774</v>
      </c>
      <c r="T44" s="1">
        <f t="shared" si="22"/>
        <v>84036.333333333328</v>
      </c>
      <c r="V44" s="1">
        <v>63000</v>
      </c>
      <c r="W44" s="1">
        <v>58500</v>
      </c>
      <c r="Y44" s="1">
        <v>7150</v>
      </c>
      <c r="AA44" s="1">
        <f t="shared" si="23"/>
        <v>121500</v>
      </c>
      <c r="AS44" s="4">
        <v>6500000</v>
      </c>
    </row>
    <row r="45" spans="2:45" x14ac:dyDescent="0.25">
      <c r="B45" s="2" t="s">
        <v>140</v>
      </c>
      <c r="C45" s="11" t="s">
        <v>70</v>
      </c>
      <c r="D45" t="s">
        <v>72</v>
      </c>
      <c r="E45" t="s">
        <v>73</v>
      </c>
      <c r="F45" t="s">
        <v>40</v>
      </c>
      <c r="H45" t="s">
        <v>337</v>
      </c>
      <c r="J45" t="s">
        <v>71</v>
      </c>
      <c r="K45" t="s">
        <v>30</v>
      </c>
      <c r="L45" s="8">
        <v>44376</v>
      </c>
      <c r="P45" s="1">
        <v>2777</v>
      </c>
      <c r="Q45" s="1">
        <v>9681</v>
      </c>
      <c r="R45" s="1">
        <v>22300</v>
      </c>
      <c r="T45" s="1">
        <f t="shared" si="22"/>
        <v>11586</v>
      </c>
      <c r="V45" s="1">
        <v>19000</v>
      </c>
      <c r="W45" s="1">
        <v>20000</v>
      </c>
      <c r="X45" s="1">
        <v>1758</v>
      </c>
      <c r="Y45" s="1">
        <v>523</v>
      </c>
      <c r="AA45" s="1">
        <f t="shared" si="23"/>
        <v>39000</v>
      </c>
      <c r="AS45" s="4">
        <v>4000000</v>
      </c>
    </row>
    <row r="46" spans="2:45" x14ac:dyDescent="0.25">
      <c r="B46" s="2" t="s">
        <v>141</v>
      </c>
      <c r="C46" s="11" t="s">
        <v>66</v>
      </c>
      <c r="D46" t="s">
        <v>67</v>
      </c>
      <c r="E46" t="s">
        <v>46</v>
      </c>
      <c r="F46" t="s">
        <v>40</v>
      </c>
      <c r="G46" t="s">
        <v>20</v>
      </c>
      <c r="H46" t="s">
        <v>74</v>
      </c>
      <c r="K46" t="s">
        <v>68</v>
      </c>
      <c r="L46" s="8">
        <v>45489</v>
      </c>
      <c r="P46" s="1">
        <v>9130</v>
      </c>
      <c r="Q46" s="1">
        <v>11251</v>
      </c>
      <c r="R46" s="1">
        <v>21566</v>
      </c>
      <c r="T46" s="1">
        <f t="shared" si="22"/>
        <v>13982.333333333334</v>
      </c>
      <c r="V46" s="1">
        <v>7600</v>
      </c>
      <c r="W46" s="1">
        <v>21100</v>
      </c>
      <c r="Y46" s="1">
        <v>131</v>
      </c>
      <c r="AA46" s="1">
        <f t="shared" si="23"/>
        <v>28700</v>
      </c>
    </row>
    <row r="47" spans="2:45" x14ac:dyDescent="0.25">
      <c r="B47" s="2" t="s">
        <v>142</v>
      </c>
      <c r="C47" s="11" t="s">
        <v>37</v>
      </c>
      <c r="D47" t="s">
        <v>39</v>
      </c>
      <c r="E47" t="s">
        <v>46</v>
      </c>
      <c r="F47" t="s">
        <v>40</v>
      </c>
      <c r="G47" t="s">
        <v>20</v>
      </c>
      <c r="H47" t="s">
        <v>38</v>
      </c>
      <c r="J47" t="s">
        <v>44</v>
      </c>
      <c r="K47" t="s">
        <v>69</v>
      </c>
      <c r="L47" s="8">
        <v>44764</v>
      </c>
      <c r="P47" s="1">
        <v>340</v>
      </c>
      <c r="Q47" s="1">
        <v>12204</v>
      </c>
      <c r="R47" s="1">
        <v>69160</v>
      </c>
      <c r="T47" s="1">
        <f t="shared" si="22"/>
        <v>27234.666666666668</v>
      </c>
      <c r="V47" s="1">
        <v>82000</v>
      </c>
      <c r="W47" s="1">
        <v>81300</v>
      </c>
      <c r="X47" s="1">
        <v>18200</v>
      </c>
      <c r="Y47" s="1">
        <v>1960</v>
      </c>
      <c r="AA47" s="1">
        <f t="shared" si="23"/>
        <v>163300</v>
      </c>
      <c r="AS47" s="4">
        <v>3000000</v>
      </c>
    </row>
    <row r="48" spans="2:45" x14ac:dyDescent="0.25">
      <c r="B48" s="2" t="s">
        <v>22</v>
      </c>
      <c r="C48" s="11" t="s">
        <v>17</v>
      </c>
      <c r="D48" t="s">
        <v>21</v>
      </c>
      <c r="E48" t="s">
        <v>46</v>
      </c>
      <c r="F48" t="s">
        <v>18</v>
      </c>
      <c r="G48" t="s">
        <v>20</v>
      </c>
      <c r="H48" t="s">
        <v>19</v>
      </c>
      <c r="I48" t="s">
        <v>29</v>
      </c>
      <c r="J48" t="s">
        <v>27</v>
      </c>
      <c r="K48" t="s">
        <v>20</v>
      </c>
      <c r="L48" s="8">
        <v>44315</v>
      </c>
      <c r="P48" s="1">
        <v>13829</v>
      </c>
      <c r="Q48" s="1">
        <v>18672</v>
      </c>
      <c r="R48" s="1">
        <v>11722</v>
      </c>
      <c r="T48" s="1">
        <f t="shared" si="22"/>
        <v>14741</v>
      </c>
      <c r="V48" s="1">
        <v>11000</v>
      </c>
      <c r="W48" s="1">
        <v>8154</v>
      </c>
      <c r="X48" s="1">
        <v>3235</v>
      </c>
      <c r="Y48" s="1">
        <v>242</v>
      </c>
      <c r="AA48" s="1">
        <f t="shared" si="23"/>
        <v>19154</v>
      </c>
      <c r="AS48" s="4">
        <v>1500000</v>
      </c>
    </row>
    <row r="49" spans="2:45" x14ac:dyDescent="0.25">
      <c r="B49" s="2" t="s">
        <v>143</v>
      </c>
      <c r="C49" s="11" t="s">
        <v>13</v>
      </c>
      <c r="D49" t="s">
        <v>24</v>
      </c>
      <c r="E49" t="s">
        <v>46</v>
      </c>
      <c r="F49" t="s">
        <v>14</v>
      </c>
      <c r="G49" t="s">
        <v>20</v>
      </c>
      <c r="H49" t="s">
        <v>25</v>
      </c>
      <c r="I49" t="s">
        <v>28</v>
      </c>
      <c r="J49" t="s">
        <v>26</v>
      </c>
      <c r="K49" t="s">
        <v>30</v>
      </c>
      <c r="L49" s="8">
        <v>44847</v>
      </c>
      <c r="P49" s="1">
        <v>39037</v>
      </c>
      <c r="Q49" s="1">
        <v>46663</v>
      </c>
      <c r="R49" s="1">
        <v>65355</v>
      </c>
      <c r="T49" s="1">
        <f t="shared" si="22"/>
        <v>50351.666666666664</v>
      </c>
      <c r="V49" s="1">
        <v>12000</v>
      </c>
      <c r="W49" s="1">
        <v>22600</v>
      </c>
      <c r="X49" s="1">
        <v>3666</v>
      </c>
      <c r="Y49" s="1">
        <v>4100</v>
      </c>
      <c r="Z49" s="1">
        <v>1419</v>
      </c>
      <c r="AA49" s="1">
        <f t="shared" si="23"/>
        <v>34600</v>
      </c>
    </row>
    <row r="50" spans="2:45" x14ac:dyDescent="0.25">
      <c r="B50" s="2" t="s">
        <v>145</v>
      </c>
      <c r="C50" s="11" t="s">
        <v>76</v>
      </c>
      <c r="D50" t="s">
        <v>77</v>
      </c>
      <c r="E50" t="s">
        <v>46</v>
      </c>
      <c r="F50" t="s">
        <v>79</v>
      </c>
      <c r="G50" t="s">
        <v>20</v>
      </c>
      <c r="H50" t="s">
        <v>78</v>
      </c>
      <c r="I50" t="s">
        <v>80</v>
      </c>
      <c r="K50" t="s">
        <v>20</v>
      </c>
      <c r="L50" s="8">
        <v>45222</v>
      </c>
      <c r="P50" s="1">
        <v>10552</v>
      </c>
      <c r="Q50" s="1">
        <v>8979</v>
      </c>
      <c r="R50" s="1">
        <v>9563</v>
      </c>
      <c r="T50" s="1">
        <f t="shared" si="22"/>
        <v>9698</v>
      </c>
      <c r="V50" s="1">
        <v>19000</v>
      </c>
      <c r="W50" s="1">
        <v>10800</v>
      </c>
      <c r="X50" s="1">
        <v>27400</v>
      </c>
      <c r="Z50" s="1">
        <v>39</v>
      </c>
      <c r="AA50" s="1">
        <f t="shared" si="23"/>
        <v>29800</v>
      </c>
      <c r="AS50" s="4"/>
    </row>
    <row r="51" spans="2:45" x14ac:dyDescent="0.25">
      <c r="B51" s="2" t="s">
        <v>87</v>
      </c>
      <c r="C51" s="11" t="s">
        <v>104</v>
      </c>
      <c r="D51" t="s">
        <v>103</v>
      </c>
      <c r="E51" t="s">
        <v>46</v>
      </c>
      <c r="F51" t="s">
        <v>40</v>
      </c>
      <c r="G51" t="s">
        <v>20</v>
      </c>
      <c r="H51" t="s">
        <v>207</v>
      </c>
      <c r="J51" t="s">
        <v>105</v>
      </c>
      <c r="K51" t="s">
        <v>20</v>
      </c>
      <c r="L51" s="8">
        <v>45114</v>
      </c>
      <c r="P51" s="1">
        <v>18616</v>
      </c>
      <c r="Q51" s="1">
        <v>14325</v>
      </c>
      <c r="R51" s="1">
        <v>1849</v>
      </c>
      <c r="T51" s="1">
        <f t="shared" si="22"/>
        <v>11596.666666666666</v>
      </c>
      <c r="V51" s="1">
        <v>1200000</v>
      </c>
      <c r="W51" s="1">
        <v>21000</v>
      </c>
      <c r="AA51" s="1">
        <f t="shared" si="23"/>
        <v>1221000</v>
      </c>
      <c r="AS51" s="4">
        <v>1000000</v>
      </c>
    </row>
    <row r="52" spans="2:45" x14ac:dyDescent="0.25">
      <c r="B52" s="2" t="s">
        <v>86</v>
      </c>
      <c r="C52" s="11" t="s">
        <v>85</v>
      </c>
      <c r="D52" t="s">
        <v>96</v>
      </c>
      <c r="E52" t="s">
        <v>46</v>
      </c>
      <c r="F52" t="s">
        <v>97</v>
      </c>
      <c r="G52" t="s">
        <v>20</v>
      </c>
      <c r="H52" t="s">
        <v>98</v>
      </c>
      <c r="I52" t="s">
        <v>95</v>
      </c>
      <c r="K52" t="s">
        <v>20</v>
      </c>
      <c r="L52" s="8">
        <v>44321</v>
      </c>
      <c r="P52" s="1">
        <v>77239</v>
      </c>
      <c r="Q52" s="1">
        <v>72642</v>
      </c>
      <c r="R52" s="1">
        <v>51754</v>
      </c>
      <c r="T52" s="1">
        <f t="shared" si="22"/>
        <v>67211.666666666672</v>
      </c>
      <c r="V52" s="1">
        <v>82000</v>
      </c>
      <c r="W52" s="1">
        <v>32900</v>
      </c>
      <c r="X52" s="1">
        <v>12500</v>
      </c>
      <c r="AA52" s="1">
        <f t="shared" si="23"/>
        <v>114900</v>
      </c>
      <c r="AS52" s="4"/>
    </row>
    <row r="53" spans="2:45" x14ac:dyDescent="0.25">
      <c r="B53" t="s">
        <v>181</v>
      </c>
      <c r="C53" s="11" t="s">
        <v>180</v>
      </c>
      <c r="D53" t="s">
        <v>201</v>
      </c>
      <c r="E53" t="s">
        <v>46</v>
      </c>
      <c r="F53" t="s">
        <v>202</v>
      </c>
      <c r="H53" t="s">
        <v>199</v>
      </c>
      <c r="J53" t="s">
        <v>200</v>
      </c>
      <c r="K53" t="s">
        <v>20</v>
      </c>
      <c r="L53" s="8">
        <v>45238</v>
      </c>
      <c r="P53" s="1">
        <v>0</v>
      </c>
      <c r="Q53" s="1">
        <v>0</v>
      </c>
      <c r="R53" s="1">
        <v>3878</v>
      </c>
      <c r="T53" s="1">
        <f t="shared" si="22"/>
        <v>1292.6666666666667</v>
      </c>
      <c r="V53" s="1">
        <v>2000</v>
      </c>
      <c r="W53" s="1">
        <v>1935</v>
      </c>
      <c r="X53" s="1">
        <v>24</v>
      </c>
      <c r="Y53" s="1">
        <v>14</v>
      </c>
      <c r="AA53" s="1">
        <f t="shared" si="23"/>
        <v>3935</v>
      </c>
      <c r="AS53" s="4"/>
    </row>
    <row r="54" spans="2:45" x14ac:dyDescent="0.25">
      <c r="B54" t="s">
        <v>182</v>
      </c>
      <c r="C54" s="11" t="s">
        <v>183</v>
      </c>
      <c r="D54" t="s">
        <v>188</v>
      </c>
      <c r="E54" t="s">
        <v>46</v>
      </c>
      <c r="F54" t="s">
        <v>187</v>
      </c>
      <c r="G54" t="s">
        <v>20</v>
      </c>
      <c r="H54" t="s">
        <v>206</v>
      </c>
      <c r="K54" t="s">
        <v>69</v>
      </c>
      <c r="L54" s="8">
        <v>45139</v>
      </c>
      <c r="P54" s="1">
        <v>8142</v>
      </c>
      <c r="Q54" s="1">
        <v>5111</v>
      </c>
      <c r="R54" s="1">
        <v>4384</v>
      </c>
      <c r="T54" s="1">
        <f t="shared" si="22"/>
        <v>5879</v>
      </c>
      <c r="V54" s="1">
        <v>17000</v>
      </c>
      <c r="W54" s="1">
        <v>13400</v>
      </c>
      <c r="X54" s="1">
        <v>2504</v>
      </c>
      <c r="Y54" s="1">
        <v>44</v>
      </c>
      <c r="AA54" s="1">
        <f t="shared" si="23"/>
        <v>30400</v>
      </c>
      <c r="AS54" s="4"/>
    </row>
    <row r="55" spans="2:45" x14ac:dyDescent="0.25">
      <c r="B55" s="2" t="s">
        <v>184</v>
      </c>
      <c r="C55" s="11" t="s">
        <v>185</v>
      </c>
      <c r="D55" t="s">
        <v>190</v>
      </c>
      <c r="E55" t="s">
        <v>189</v>
      </c>
      <c r="F55" t="s">
        <v>120</v>
      </c>
      <c r="H55" t="s">
        <v>194</v>
      </c>
      <c r="L55" s="8">
        <v>45327</v>
      </c>
      <c r="P55" s="1">
        <v>13663</v>
      </c>
      <c r="Q55" s="1">
        <v>46368</v>
      </c>
      <c r="R55" s="1">
        <v>16591</v>
      </c>
      <c r="T55" s="1">
        <f t="shared" si="22"/>
        <v>25540.666666666668</v>
      </c>
      <c r="V55" s="1">
        <v>7600</v>
      </c>
      <c r="W55" s="1">
        <v>15600</v>
      </c>
      <c r="X55" s="1">
        <v>133</v>
      </c>
      <c r="Y55" s="1">
        <v>453</v>
      </c>
      <c r="Z55" s="1">
        <v>5</v>
      </c>
      <c r="AA55" s="1">
        <f t="shared" si="23"/>
        <v>23200</v>
      </c>
      <c r="AS55" s="4"/>
    </row>
    <row r="56" spans="2:45" x14ac:dyDescent="0.25">
      <c r="B56" t="s">
        <v>191</v>
      </c>
      <c r="C56" s="11" t="s">
        <v>192</v>
      </c>
      <c r="D56" t="s">
        <v>193</v>
      </c>
      <c r="E56" t="s">
        <v>46</v>
      </c>
      <c r="F56" t="s">
        <v>196</v>
      </c>
      <c r="G56" t="s">
        <v>30</v>
      </c>
      <c r="H56" t="s">
        <v>195</v>
      </c>
      <c r="K56" t="s">
        <v>20</v>
      </c>
      <c r="L56" s="8">
        <v>45251</v>
      </c>
      <c r="P56" s="1">
        <v>1559</v>
      </c>
      <c r="Q56" s="1">
        <v>1268</v>
      </c>
      <c r="R56" s="1">
        <v>4330</v>
      </c>
      <c r="T56" s="1">
        <f t="shared" si="22"/>
        <v>2385.6666666666665</v>
      </c>
      <c r="V56" s="1">
        <v>1100</v>
      </c>
      <c r="W56" s="1">
        <v>7438</v>
      </c>
      <c r="X56" s="1">
        <v>8</v>
      </c>
      <c r="AA56" s="1">
        <f t="shared" si="23"/>
        <v>8538</v>
      </c>
      <c r="AS56" s="4"/>
    </row>
    <row r="57" spans="2:45" x14ac:dyDescent="0.25">
      <c r="B57" t="s">
        <v>222</v>
      </c>
      <c r="C57" s="11" t="s">
        <v>221</v>
      </c>
      <c r="D57" t="s">
        <v>227</v>
      </c>
      <c r="E57" t="s">
        <v>46</v>
      </c>
      <c r="F57" t="s">
        <v>40</v>
      </c>
      <c r="G57" t="s">
        <v>20</v>
      </c>
      <c r="H57" t="s">
        <v>223</v>
      </c>
      <c r="J57" t="s">
        <v>224</v>
      </c>
      <c r="K57" t="s">
        <v>225</v>
      </c>
      <c r="L57" s="8">
        <v>45371</v>
      </c>
      <c r="P57" s="1">
        <v>0</v>
      </c>
      <c r="Q57" s="1">
        <v>1657</v>
      </c>
      <c r="R57" s="1">
        <v>858</v>
      </c>
      <c r="T57" s="1">
        <f t="shared" si="22"/>
        <v>838.33333333333337</v>
      </c>
      <c r="V57" s="1">
        <v>4900</v>
      </c>
      <c r="W57" s="1">
        <v>3663</v>
      </c>
      <c r="AA57" s="1">
        <f t="shared" si="23"/>
        <v>8563</v>
      </c>
      <c r="AS57" s="4"/>
    </row>
    <row r="58" spans="2:45" x14ac:dyDescent="0.25">
      <c r="B58" t="s">
        <v>222</v>
      </c>
      <c r="C58" s="11" t="s">
        <v>226</v>
      </c>
      <c r="D58" t="s">
        <v>228</v>
      </c>
      <c r="E58" t="s">
        <v>46</v>
      </c>
      <c r="F58" t="s">
        <v>40</v>
      </c>
      <c r="G58" t="s">
        <v>20</v>
      </c>
      <c r="H58" t="s">
        <v>229</v>
      </c>
      <c r="K58" t="s">
        <v>20</v>
      </c>
      <c r="L58" s="8">
        <v>45401</v>
      </c>
      <c r="P58" s="1">
        <v>0</v>
      </c>
      <c r="Q58" s="1">
        <v>911</v>
      </c>
      <c r="R58" s="1">
        <v>310</v>
      </c>
      <c r="T58" s="1">
        <f t="shared" si="22"/>
        <v>407</v>
      </c>
      <c r="V58" s="1">
        <v>2900</v>
      </c>
      <c r="W58" s="1">
        <v>2896</v>
      </c>
      <c r="X58" s="1">
        <v>146</v>
      </c>
      <c r="Y58" s="1">
        <v>15</v>
      </c>
      <c r="Z58" s="1">
        <v>7</v>
      </c>
      <c r="AA58" s="1">
        <f t="shared" si="23"/>
        <v>5796</v>
      </c>
      <c r="AS58" s="4"/>
    </row>
    <row r="59" spans="2:45" x14ac:dyDescent="0.25">
      <c r="B59" s="2" t="s">
        <v>240</v>
      </c>
      <c r="C59" s="11" t="s">
        <v>231</v>
      </c>
      <c r="D59" t="s">
        <v>238</v>
      </c>
      <c r="E59" t="s">
        <v>46</v>
      </c>
      <c r="F59" t="s">
        <v>230</v>
      </c>
      <c r="G59" t="s">
        <v>20</v>
      </c>
      <c r="H59" t="s">
        <v>232</v>
      </c>
      <c r="K59" t="s">
        <v>20</v>
      </c>
      <c r="L59" s="8">
        <v>45072</v>
      </c>
      <c r="P59" s="1">
        <v>2265</v>
      </c>
      <c r="Q59" s="1">
        <v>1916</v>
      </c>
      <c r="R59" s="1">
        <v>2096</v>
      </c>
      <c r="T59" s="1">
        <f t="shared" si="22"/>
        <v>2092.3333333333335</v>
      </c>
      <c r="V59" s="1">
        <v>13000</v>
      </c>
      <c r="W59" s="1">
        <v>8514</v>
      </c>
      <c r="X59" s="1">
        <v>5549</v>
      </c>
      <c r="Y59" s="1">
        <v>19</v>
      </c>
      <c r="AA59" s="1">
        <f t="shared" si="23"/>
        <v>21514</v>
      </c>
      <c r="AS59" s="4"/>
    </row>
    <row r="60" spans="2:45" x14ac:dyDescent="0.25">
      <c r="B60" t="s">
        <v>243</v>
      </c>
      <c r="C60" s="11" t="s">
        <v>244</v>
      </c>
      <c r="D60" t="s">
        <v>245</v>
      </c>
      <c r="E60" t="s">
        <v>46</v>
      </c>
      <c r="F60" t="s">
        <v>40</v>
      </c>
      <c r="G60" t="s">
        <v>20</v>
      </c>
      <c r="H60" t="s">
        <v>242</v>
      </c>
      <c r="K60" t="s">
        <v>20</v>
      </c>
      <c r="L60" s="8">
        <v>45131</v>
      </c>
      <c r="P60" s="1">
        <v>1310</v>
      </c>
      <c r="Q60" s="1">
        <v>902</v>
      </c>
      <c r="R60" s="1">
        <v>20</v>
      </c>
      <c r="T60" s="1">
        <f t="shared" si="22"/>
        <v>744</v>
      </c>
      <c r="V60" s="1">
        <v>5300</v>
      </c>
      <c r="W60" s="1">
        <v>5109</v>
      </c>
      <c r="AA60" s="1">
        <f t="shared" si="23"/>
        <v>10409</v>
      </c>
      <c r="AS60" s="4"/>
    </row>
    <row r="61" spans="2:45" x14ac:dyDescent="0.25">
      <c r="B61" t="s">
        <v>253</v>
      </c>
      <c r="C61" s="11" t="s">
        <v>252</v>
      </c>
      <c r="D61" t="s">
        <v>254</v>
      </c>
      <c r="E61" t="s">
        <v>46</v>
      </c>
      <c r="F61" t="s">
        <v>14</v>
      </c>
      <c r="G61" t="s">
        <v>20</v>
      </c>
      <c r="H61" t="s">
        <v>255</v>
      </c>
      <c r="K61" t="s">
        <v>69</v>
      </c>
      <c r="L61" s="8">
        <v>45468</v>
      </c>
      <c r="P61" s="1">
        <v>150</v>
      </c>
      <c r="Q61" s="1">
        <v>176</v>
      </c>
      <c r="R61" s="1">
        <v>3163</v>
      </c>
      <c r="T61" s="1">
        <f t="shared" si="22"/>
        <v>1163</v>
      </c>
      <c r="V61" s="1">
        <v>487</v>
      </c>
      <c r="W61" s="1">
        <v>1981</v>
      </c>
      <c r="X61" s="1">
        <v>54</v>
      </c>
      <c r="AA61" s="1">
        <f t="shared" si="23"/>
        <v>2468</v>
      </c>
      <c r="AS61" s="4"/>
    </row>
    <row r="62" spans="2:45" x14ac:dyDescent="0.25">
      <c r="B62" t="s">
        <v>256</v>
      </c>
      <c r="C62" s="11" t="s">
        <v>257</v>
      </c>
      <c r="D62" t="s">
        <v>259</v>
      </c>
      <c r="E62" t="s">
        <v>46</v>
      </c>
      <c r="F62" t="s">
        <v>258</v>
      </c>
      <c r="G62" t="s">
        <v>20</v>
      </c>
      <c r="H62" t="s">
        <v>260</v>
      </c>
      <c r="K62" t="s">
        <v>20</v>
      </c>
      <c r="L62" s="8">
        <v>45376</v>
      </c>
      <c r="P62" s="1">
        <v>6081</v>
      </c>
      <c r="Q62" s="1">
        <v>8898</v>
      </c>
      <c r="R62" s="1">
        <v>3267</v>
      </c>
      <c r="T62" s="1">
        <f t="shared" si="22"/>
        <v>6082</v>
      </c>
      <c r="V62" s="1">
        <v>1100</v>
      </c>
      <c r="W62" s="1">
        <v>13600</v>
      </c>
      <c r="X62" s="1">
        <v>29</v>
      </c>
      <c r="AA62" s="1">
        <f t="shared" si="23"/>
        <v>14700</v>
      </c>
      <c r="AS62" s="4"/>
    </row>
    <row r="63" spans="2:45" x14ac:dyDescent="0.25">
      <c r="B63" t="s">
        <v>264</v>
      </c>
      <c r="C63" s="11" t="s">
        <v>263</v>
      </c>
      <c r="D63" t="s">
        <v>262</v>
      </c>
      <c r="E63" t="s">
        <v>46</v>
      </c>
      <c r="F63" t="s">
        <v>196</v>
      </c>
      <c r="G63" t="s">
        <v>20</v>
      </c>
      <c r="H63" t="s">
        <v>261</v>
      </c>
      <c r="K63" t="s">
        <v>20</v>
      </c>
      <c r="L63" s="8">
        <v>45168</v>
      </c>
      <c r="P63" s="1">
        <v>7297</v>
      </c>
      <c r="Q63" s="1">
        <v>2053</v>
      </c>
      <c r="R63" s="1">
        <v>8540</v>
      </c>
      <c r="T63" s="1">
        <f t="shared" si="22"/>
        <v>5963.333333333333</v>
      </c>
      <c r="V63" s="1">
        <v>511</v>
      </c>
      <c r="W63" s="1">
        <v>9086</v>
      </c>
      <c r="X63" s="1">
        <v>10</v>
      </c>
      <c r="Y63" s="1">
        <v>11</v>
      </c>
      <c r="AA63" s="1">
        <f t="shared" si="23"/>
        <v>9597</v>
      </c>
      <c r="AS63" s="4"/>
    </row>
    <row r="64" spans="2:45" x14ac:dyDescent="0.25">
      <c r="B64" t="s">
        <v>265</v>
      </c>
      <c r="C64" s="11" t="s">
        <v>266</v>
      </c>
      <c r="D64" t="s">
        <v>269</v>
      </c>
      <c r="E64" t="s">
        <v>46</v>
      </c>
      <c r="F64" t="s">
        <v>40</v>
      </c>
      <c r="G64" t="s">
        <v>20</v>
      </c>
      <c r="H64" t="s">
        <v>267</v>
      </c>
      <c r="I64" t="s">
        <v>268</v>
      </c>
      <c r="K64" t="s">
        <v>20</v>
      </c>
      <c r="L64" s="8">
        <v>45057</v>
      </c>
      <c r="P64" s="1">
        <v>294</v>
      </c>
      <c r="Q64" s="1">
        <v>835</v>
      </c>
      <c r="R64" s="1">
        <v>294</v>
      </c>
      <c r="T64" s="1">
        <f t="shared" si="22"/>
        <v>474.33333333333331</v>
      </c>
      <c r="V64" s="1">
        <v>7800</v>
      </c>
      <c r="W64" s="1">
        <v>11300</v>
      </c>
      <c r="X64" s="1">
        <v>789</v>
      </c>
      <c r="Y64" s="1">
        <v>0</v>
      </c>
      <c r="AA64" s="1">
        <f t="shared" si="23"/>
        <v>19100</v>
      </c>
      <c r="AS64" s="4">
        <v>400000</v>
      </c>
    </row>
    <row r="65" spans="2:45" x14ac:dyDescent="0.25">
      <c r="B65" t="s">
        <v>281</v>
      </c>
      <c r="C65" s="11" t="s">
        <v>282</v>
      </c>
      <c r="D65" t="s">
        <v>286</v>
      </c>
      <c r="E65" t="s">
        <v>46</v>
      </c>
      <c r="F65" t="s">
        <v>283</v>
      </c>
      <c r="G65" t="s">
        <v>20</v>
      </c>
      <c r="H65" t="s">
        <v>284</v>
      </c>
      <c r="J65" t="s">
        <v>285</v>
      </c>
      <c r="K65" t="s">
        <v>30</v>
      </c>
      <c r="L65" s="8">
        <v>44978</v>
      </c>
      <c r="P65" s="1">
        <v>1042</v>
      </c>
      <c r="Q65" s="1">
        <v>7566</v>
      </c>
      <c r="R65" s="1">
        <v>7355</v>
      </c>
      <c r="T65" s="1">
        <f t="shared" si="22"/>
        <v>5321</v>
      </c>
      <c r="V65" s="1">
        <v>6600</v>
      </c>
      <c r="W65" s="1">
        <v>7186</v>
      </c>
      <c r="X65" s="1">
        <v>5160</v>
      </c>
      <c r="Y65" s="1">
        <v>8</v>
      </c>
      <c r="AA65" s="1">
        <f t="shared" si="23"/>
        <v>13786</v>
      </c>
      <c r="AS65" s="4">
        <v>650000</v>
      </c>
    </row>
    <row r="66" spans="2:45" x14ac:dyDescent="0.25">
      <c r="B66" t="s">
        <v>287</v>
      </c>
      <c r="C66" s="11" t="s">
        <v>288</v>
      </c>
      <c r="D66" t="s">
        <v>299</v>
      </c>
      <c r="E66" t="s">
        <v>46</v>
      </c>
      <c r="F66" t="s">
        <v>230</v>
      </c>
      <c r="G66" t="s">
        <v>20</v>
      </c>
      <c r="H66" t="s">
        <v>301</v>
      </c>
      <c r="K66" t="s">
        <v>20</v>
      </c>
      <c r="L66" s="8">
        <v>45197</v>
      </c>
      <c r="P66" s="1">
        <v>612</v>
      </c>
      <c r="Q66" s="1">
        <v>680</v>
      </c>
      <c r="R66" s="1">
        <v>506</v>
      </c>
      <c r="T66" s="1">
        <f t="shared" si="22"/>
        <v>599.33333333333337</v>
      </c>
      <c r="V66" s="1">
        <v>392</v>
      </c>
      <c r="W66" s="1">
        <v>9105</v>
      </c>
      <c r="X66" s="1">
        <v>345</v>
      </c>
      <c r="AA66" s="1">
        <f t="shared" si="23"/>
        <v>9497</v>
      </c>
      <c r="AS66" s="4"/>
    </row>
    <row r="67" spans="2:45" x14ac:dyDescent="0.25">
      <c r="B67" s="2" t="s">
        <v>316</v>
      </c>
      <c r="C67" s="11" t="s">
        <v>333</v>
      </c>
      <c r="D67" t="s">
        <v>329</v>
      </c>
      <c r="E67" t="s">
        <v>46</v>
      </c>
      <c r="F67" t="s">
        <v>40</v>
      </c>
      <c r="G67" t="s">
        <v>20</v>
      </c>
      <c r="H67" t="s">
        <v>327</v>
      </c>
      <c r="I67" t="s">
        <v>328</v>
      </c>
      <c r="K67" t="s">
        <v>20</v>
      </c>
      <c r="L67" s="8">
        <v>45324</v>
      </c>
      <c r="P67" s="1">
        <v>3536</v>
      </c>
      <c r="Q67" s="1">
        <v>993</v>
      </c>
      <c r="R67" s="1">
        <v>5787</v>
      </c>
      <c r="T67" s="1">
        <f t="shared" ref="T67:T73" si="24">AVERAGE(P67:S67)</f>
        <v>3438.6666666666665</v>
      </c>
      <c r="V67" s="1">
        <v>3600</v>
      </c>
      <c r="W67" s="1">
        <v>10400</v>
      </c>
      <c r="X67" s="1">
        <v>54</v>
      </c>
      <c r="AA67" s="1">
        <f t="shared" ref="AA67:AA73" si="25">V67+W67</f>
        <v>14000</v>
      </c>
      <c r="AS67" s="4"/>
    </row>
    <row r="68" spans="2:45" x14ac:dyDescent="0.25">
      <c r="B68" s="2" t="s">
        <v>178</v>
      </c>
      <c r="C68" s="11" t="s">
        <v>179</v>
      </c>
      <c r="D68" t="s">
        <v>204</v>
      </c>
      <c r="E68" t="s">
        <v>46</v>
      </c>
      <c r="F68" t="s">
        <v>18</v>
      </c>
      <c r="G68" t="s">
        <v>20</v>
      </c>
      <c r="H68" t="s">
        <v>203</v>
      </c>
      <c r="K68" t="s">
        <v>30</v>
      </c>
      <c r="L68" s="8">
        <v>45240</v>
      </c>
      <c r="P68" s="1">
        <v>93</v>
      </c>
      <c r="Q68" s="1">
        <v>0</v>
      </c>
      <c r="R68" s="1">
        <v>0</v>
      </c>
      <c r="T68" s="1">
        <f t="shared" si="24"/>
        <v>31</v>
      </c>
      <c r="V68" s="1">
        <v>961</v>
      </c>
      <c r="W68" s="1">
        <v>672</v>
      </c>
      <c r="X68" s="1">
        <v>1813</v>
      </c>
      <c r="AA68" s="1">
        <f t="shared" si="25"/>
        <v>1633</v>
      </c>
      <c r="AS68" s="4"/>
    </row>
    <row r="69" spans="2:45" x14ac:dyDescent="0.25">
      <c r="B69" s="2" t="s">
        <v>246</v>
      </c>
      <c r="C69" s="11" t="s">
        <v>247</v>
      </c>
      <c r="D69" t="s">
        <v>251</v>
      </c>
      <c r="E69" t="s">
        <v>250</v>
      </c>
      <c r="F69" t="s">
        <v>202</v>
      </c>
      <c r="G69" t="s">
        <v>20</v>
      </c>
      <c r="H69" t="s">
        <v>249</v>
      </c>
      <c r="J69" t="s">
        <v>248</v>
      </c>
      <c r="K69" t="s">
        <v>20</v>
      </c>
      <c r="L69" s="8">
        <v>45177</v>
      </c>
      <c r="P69" s="16"/>
      <c r="Q69" s="16"/>
      <c r="R69" s="16"/>
      <c r="S69" s="1">
        <v>782</v>
      </c>
      <c r="T69" s="1">
        <f t="shared" si="24"/>
        <v>782</v>
      </c>
      <c r="V69" s="1">
        <v>7200</v>
      </c>
      <c r="W69" s="1">
        <v>12000</v>
      </c>
      <c r="AA69" s="1">
        <f t="shared" si="25"/>
        <v>19200</v>
      </c>
      <c r="AS69" s="4">
        <v>400000</v>
      </c>
    </row>
    <row r="70" spans="2:45" x14ac:dyDescent="0.25">
      <c r="B70" s="2" t="s">
        <v>315</v>
      </c>
      <c r="C70" s="11" t="s">
        <v>332</v>
      </c>
      <c r="D70" t="s">
        <v>317</v>
      </c>
      <c r="E70" t="s">
        <v>46</v>
      </c>
      <c r="F70" t="s">
        <v>319</v>
      </c>
      <c r="G70" t="s">
        <v>20</v>
      </c>
      <c r="H70" t="s">
        <v>320</v>
      </c>
      <c r="K70" t="s">
        <v>318</v>
      </c>
      <c r="L70" s="8">
        <v>45505</v>
      </c>
      <c r="P70" s="16"/>
      <c r="Q70" s="16"/>
      <c r="R70" s="16"/>
      <c r="S70" s="1">
        <v>774</v>
      </c>
      <c r="T70" s="1">
        <f t="shared" si="24"/>
        <v>774</v>
      </c>
      <c r="V70" s="1">
        <v>2100</v>
      </c>
      <c r="W70" s="1">
        <v>13300</v>
      </c>
      <c r="X70" s="1">
        <v>81</v>
      </c>
      <c r="AA70" s="1">
        <f t="shared" si="25"/>
        <v>15400</v>
      </c>
      <c r="AS70" s="4"/>
    </row>
    <row r="71" spans="2:45" x14ac:dyDescent="0.25">
      <c r="B71" t="s">
        <v>321</v>
      </c>
      <c r="C71" s="11" t="s">
        <v>326</v>
      </c>
      <c r="D71" t="s">
        <v>325</v>
      </c>
      <c r="E71" t="s">
        <v>314</v>
      </c>
      <c r="F71" t="s">
        <v>18</v>
      </c>
      <c r="G71" t="s">
        <v>20</v>
      </c>
      <c r="H71" t="s">
        <v>322</v>
      </c>
      <c r="I71" t="s">
        <v>323</v>
      </c>
      <c r="J71" t="s">
        <v>324</v>
      </c>
      <c r="K71" t="s">
        <v>20</v>
      </c>
      <c r="L71" s="8">
        <v>44260</v>
      </c>
      <c r="P71" s="16"/>
      <c r="Q71" s="16"/>
      <c r="R71" s="16"/>
      <c r="S71" s="1">
        <v>2788</v>
      </c>
      <c r="T71" s="1">
        <f t="shared" si="24"/>
        <v>2788</v>
      </c>
      <c r="V71" s="1">
        <v>4800</v>
      </c>
      <c r="W71" s="1">
        <v>8388</v>
      </c>
      <c r="X71" s="1">
        <v>38</v>
      </c>
      <c r="Y71" s="1">
        <v>413</v>
      </c>
      <c r="AA71" s="1">
        <f t="shared" si="25"/>
        <v>13188</v>
      </c>
      <c r="AS71" s="4"/>
    </row>
    <row r="72" spans="2:45" x14ac:dyDescent="0.25">
      <c r="B72" t="s">
        <v>376</v>
      </c>
      <c r="C72" s="11" t="s">
        <v>378</v>
      </c>
      <c r="D72" t="s">
        <v>377</v>
      </c>
      <c r="E72" t="s">
        <v>46</v>
      </c>
      <c r="F72" t="s">
        <v>379</v>
      </c>
      <c r="G72" t="s">
        <v>20</v>
      </c>
      <c r="H72" t="s">
        <v>375</v>
      </c>
      <c r="K72" t="s">
        <v>318</v>
      </c>
      <c r="L72" s="8">
        <v>45432</v>
      </c>
      <c r="P72" s="16"/>
      <c r="Q72" s="16"/>
      <c r="R72" s="16"/>
      <c r="S72" s="1">
        <v>716</v>
      </c>
      <c r="T72" s="1">
        <f t="shared" si="24"/>
        <v>716</v>
      </c>
      <c r="W72" s="1">
        <v>3652</v>
      </c>
      <c r="Y72" s="1">
        <v>8</v>
      </c>
      <c r="AA72" s="1">
        <f t="shared" si="25"/>
        <v>3652</v>
      </c>
      <c r="AS72" s="4"/>
    </row>
    <row r="73" spans="2:45" x14ac:dyDescent="0.25">
      <c r="B73" t="s">
        <v>382</v>
      </c>
      <c r="C73" s="11" t="s">
        <v>381</v>
      </c>
      <c r="D73" t="s">
        <v>380</v>
      </c>
      <c r="E73" t="s">
        <v>46</v>
      </c>
      <c r="F73" t="s">
        <v>383</v>
      </c>
      <c r="G73" t="s">
        <v>20</v>
      </c>
      <c r="H73" t="s">
        <v>384</v>
      </c>
      <c r="K73" t="s">
        <v>20</v>
      </c>
      <c r="L73" s="8">
        <v>45397</v>
      </c>
      <c r="P73" s="16"/>
      <c r="Q73" s="16"/>
      <c r="R73" s="16"/>
      <c r="S73" s="1">
        <v>732</v>
      </c>
      <c r="T73" s="1">
        <f t="shared" si="24"/>
        <v>732</v>
      </c>
      <c r="V73" s="1">
        <v>1700</v>
      </c>
      <c r="W73" s="1">
        <v>3950</v>
      </c>
      <c r="X73" s="1">
        <v>84</v>
      </c>
      <c r="AA73" s="1">
        <f t="shared" si="25"/>
        <v>5650</v>
      </c>
      <c r="AS73" s="4"/>
    </row>
    <row r="74" spans="2:45" x14ac:dyDescent="0.25">
      <c r="B74" s="2" t="s">
        <v>144</v>
      </c>
      <c r="C74" s="11" t="s">
        <v>60</v>
      </c>
      <c r="D74" t="s">
        <v>61</v>
      </c>
      <c r="E74" t="s">
        <v>46</v>
      </c>
      <c r="F74" t="s">
        <v>18</v>
      </c>
      <c r="G74" t="s">
        <v>20</v>
      </c>
      <c r="H74" t="s">
        <v>59</v>
      </c>
      <c r="K74" t="s">
        <v>20</v>
      </c>
      <c r="L74" s="8">
        <v>45408</v>
      </c>
      <c r="S74" s="1">
        <v>366</v>
      </c>
      <c r="T74" s="1">
        <f>AVERAGE(P74:S74)</f>
        <v>366</v>
      </c>
      <c r="V74" s="1">
        <v>785</v>
      </c>
      <c r="W74" s="1">
        <v>528</v>
      </c>
      <c r="AA74" s="1">
        <f>V74+W74</f>
        <v>1313</v>
      </c>
      <c r="AS74" s="4"/>
    </row>
    <row r="75" spans="2:45" x14ac:dyDescent="0.25">
      <c r="B75" t="s">
        <v>400</v>
      </c>
      <c r="C75" s="11" t="s">
        <v>405</v>
      </c>
      <c r="D75" t="s">
        <v>404</v>
      </c>
      <c r="E75" t="s">
        <v>46</v>
      </c>
      <c r="F75" t="s">
        <v>401</v>
      </c>
      <c r="G75" t="s">
        <v>20</v>
      </c>
      <c r="H75" t="s">
        <v>402</v>
      </c>
      <c r="I75" t="s">
        <v>403</v>
      </c>
      <c r="K75" t="s">
        <v>69</v>
      </c>
      <c r="L75" s="8">
        <v>45523</v>
      </c>
      <c r="P75" s="16"/>
      <c r="Q75" s="16"/>
      <c r="R75" s="16"/>
      <c r="S75" s="1">
        <v>1824</v>
      </c>
      <c r="T75" s="1">
        <f t="shared" ref="T75:T76" si="26">AVERAGE(P75:S75)</f>
        <v>1824</v>
      </c>
      <c r="W75" s="1">
        <v>557000</v>
      </c>
      <c r="X75" s="1">
        <v>129400</v>
      </c>
      <c r="Y75" s="1">
        <v>2720</v>
      </c>
      <c r="AA75" s="1">
        <f t="shared" ref="AA75:AA76" si="27">V75+W75</f>
        <v>557000</v>
      </c>
      <c r="AS75" s="4"/>
    </row>
    <row r="76" spans="2:45" x14ac:dyDescent="0.25">
      <c r="B76" t="s">
        <v>408</v>
      </c>
      <c r="C76" s="11" t="s">
        <v>409</v>
      </c>
      <c r="D76" t="s">
        <v>410</v>
      </c>
      <c r="E76" t="s">
        <v>412</v>
      </c>
      <c r="F76" t="s">
        <v>413</v>
      </c>
      <c r="G76" t="s">
        <v>20</v>
      </c>
      <c r="H76" t="s">
        <v>407</v>
      </c>
      <c r="J76" t="s">
        <v>411</v>
      </c>
      <c r="K76" t="s">
        <v>20</v>
      </c>
      <c r="L76" s="8">
        <v>45348</v>
      </c>
      <c r="P76" s="16"/>
      <c r="Q76" s="16"/>
      <c r="R76" s="16"/>
      <c r="S76" s="1">
        <v>4252</v>
      </c>
      <c r="T76" s="1">
        <f t="shared" si="26"/>
        <v>4252</v>
      </c>
      <c r="V76" s="1">
        <v>2400</v>
      </c>
      <c r="W76" s="1">
        <v>2652</v>
      </c>
      <c r="X76" s="1">
        <v>23</v>
      </c>
      <c r="Y76" s="1">
        <v>16</v>
      </c>
      <c r="AA76" s="1">
        <f t="shared" si="27"/>
        <v>5052</v>
      </c>
      <c r="AS76" s="4"/>
    </row>
    <row r="77" spans="2:45" x14ac:dyDescent="0.25">
      <c r="B77" t="s">
        <v>294</v>
      </c>
      <c r="C77" s="11" t="s">
        <v>293</v>
      </c>
      <c r="D77" t="s">
        <v>309</v>
      </c>
      <c r="E77" t="s">
        <v>46</v>
      </c>
      <c r="F77" t="s">
        <v>310</v>
      </c>
      <c r="G77" t="s">
        <v>20</v>
      </c>
      <c r="H77" t="s">
        <v>311</v>
      </c>
      <c r="K77" t="s">
        <v>69</v>
      </c>
      <c r="L77" s="8">
        <v>45112</v>
      </c>
      <c r="S77" s="16"/>
      <c r="V77" s="1">
        <v>2800</v>
      </c>
      <c r="W77" s="1">
        <v>5693</v>
      </c>
      <c r="AA77" s="1">
        <f t="shared" ref="AA77:AA82" si="28">V77+W77</f>
        <v>8493</v>
      </c>
      <c r="AS77" s="4"/>
    </row>
    <row r="78" spans="2:45" x14ac:dyDescent="0.25">
      <c r="B78" t="s">
        <v>357</v>
      </c>
      <c r="C78" s="11" t="s">
        <v>341</v>
      </c>
      <c r="D78" t="s">
        <v>356</v>
      </c>
      <c r="E78" t="s">
        <v>46</v>
      </c>
      <c r="F78" t="s">
        <v>18</v>
      </c>
      <c r="G78" t="s">
        <v>20</v>
      </c>
      <c r="H78" t="s">
        <v>358</v>
      </c>
      <c r="J78" t="s">
        <v>359</v>
      </c>
      <c r="K78" t="s">
        <v>20</v>
      </c>
      <c r="L78" s="8">
        <v>45427</v>
      </c>
      <c r="S78" s="16"/>
      <c r="V78" s="1">
        <v>1100</v>
      </c>
      <c r="W78" s="1">
        <v>4278</v>
      </c>
      <c r="X78" s="1">
        <v>205</v>
      </c>
      <c r="AA78" s="1">
        <f t="shared" si="28"/>
        <v>5378</v>
      </c>
      <c r="AS78" s="4"/>
    </row>
    <row r="79" spans="2:45" x14ac:dyDescent="0.25">
      <c r="B79" t="s">
        <v>297</v>
      </c>
      <c r="C79" s="11" t="s">
        <v>298</v>
      </c>
      <c r="D79" t="s">
        <v>313</v>
      </c>
      <c r="E79" t="s">
        <v>314</v>
      </c>
      <c r="F79" t="s">
        <v>230</v>
      </c>
      <c r="G79" t="s">
        <v>20</v>
      </c>
      <c r="H79" t="s">
        <v>312</v>
      </c>
      <c r="J79" t="s">
        <v>474</v>
      </c>
      <c r="K79" t="s">
        <v>20</v>
      </c>
      <c r="L79" s="8">
        <v>45363</v>
      </c>
      <c r="S79" s="16"/>
      <c r="V79" s="1">
        <v>35</v>
      </c>
      <c r="W79" s="1">
        <v>2498</v>
      </c>
      <c r="AA79" s="1">
        <f t="shared" si="28"/>
        <v>2533</v>
      </c>
      <c r="AS79" s="4"/>
    </row>
    <row r="80" spans="2:45" x14ac:dyDescent="0.25">
      <c r="B80" t="s">
        <v>241</v>
      </c>
      <c r="C80" s="11" t="s">
        <v>236</v>
      </c>
      <c r="D80" t="s">
        <v>237</v>
      </c>
      <c r="E80" t="s">
        <v>46</v>
      </c>
      <c r="F80" t="s">
        <v>121</v>
      </c>
      <c r="G80" t="s">
        <v>20</v>
      </c>
      <c r="H80" t="s">
        <v>239</v>
      </c>
      <c r="K80" t="s">
        <v>69</v>
      </c>
      <c r="L80" s="8">
        <v>45450</v>
      </c>
      <c r="S80" s="16"/>
      <c r="V80" s="1">
        <v>323</v>
      </c>
      <c r="W80" s="1">
        <v>623</v>
      </c>
      <c r="X80" s="1">
        <v>129</v>
      </c>
      <c r="AA80" s="1">
        <f t="shared" si="28"/>
        <v>946</v>
      </c>
      <c r="AS80" s="4"/>
    </row>
    <row r="81" spans="2:45" x14ac:dyDescent="0.25">
      <c r="B81" t="s">
        <v>363</v>
      </c>
      <c r="C81" s="11" t="s">
        <v>367</v>
      </c>
      <c r="D81" t="s">
        <v>366</v>
      </c>
      <c r="E81" t="s">
        <v>46</v>
      </c>
      <c r="F81" t="s">
        <v>364</v>
      </c>
      <c r="H81" t="s">
        <v>365</v>
      </c>
      <c r="L81" s="8">
        <v>45546</v>
      </c>
      <c r="S81" s="16"/>
      <c r="W81" s="1">
        <v>176</v>
      </c>
      <c r="AA81" s="1">
        <f t="shared" si="28"/>
        <v>176</v>
      </c>
      <c r="AS81" s="4"/>
    </row>
    <row r="82" spans="2:45" x14ac:dyDescent="0.25">
      <c r="B82" t="s">
        <v>374</v>
      </c>
      <c r="C82" s="11" t="s">
        <v>373</v>
      </c>
      <c r="D82" t="s">
        <v>372</v>
      </c>
      <c r="E82" t="s">
        <v>368</v>
      </c>
      <c r="F82" t="s">
        <v>371</v>
      </c>
      <c r="G82" t="s">
        <v>20</v>
      </c>
      <c r="H82" t="s">
        <v>370</v>
      </c>
      <c r="K82" t="s">
        <v>369</v>
      </c>
      <c r="L82" s="8">
        <v>45446</v>
      </c>
      <c r="S82" s="16"/>
      <c r="V82" s="1">
        <v>73</v>
      </c>
      <c r="W82" s="1">
        <v>45</v>
      </c>
      <c r="AA82" s="1">
        <f t="shared" si="28"/>
        <v>118</v>
      </c>
      <c r="AS82" s="4"/>
    </row>
    <row r="83" spans="2:45" x14ac:dyDescent="0.25">
      <c r="C83" s="11"/>
      <c r="L83" s="8"/>
      <c r="AS83" s="4"/>
    </row>
    <row r="84" spans="2:45" x14ac:dyDescent="0.25">
      <c r="C84" s="11"/>
      <c r="AS84" s="4"/>
    </row>
    <row r="85" spans="2:45" x14ac:dyDescent="0.25">
      <c r="C85" s="11"/>
      <c r="AS85" s="4"/>
    </row>
    <row r="86" spans="2:45" x14ac:dyDescent="0.25">
      <c r="B86" s="12"/>
      <c r="C86" s="13"/>
      <c r="D86" s="14"/>
      <c r="E86" s="14"/>
      <c r="F86" s="14"/>
      <c r="G86" s="14"/>
      <c r="H86" s="14"/>
      <c r="I86" s="14"/>
      <c r="J86" s="14"/>
      <c r="K86" s="14"/>
      <c r="L86" s="14"/>
      <c r="M86" s="14"/>
      <c r="N86" s="14"/>
      <c r="O86" s="14"/>
      <c r="P86" s="15">
        <f>SUM(P38:P85)</f>
        <v>1525131</v>
      </c>
      <c r="Q86" s="15">
        <f>SUM(Q38:Q85)</f>
        <v>1393747</v>
      </c>
      <c r="R86" s="15">
        <f>SUM(R38:R85)</f>
        <v>1616023</v>
      </c>
      <c r="S86" s="15"/>
      <c r="T86" s="15">
        <f>SUM(T38:T85)</f>
        <v>1523867.666666667</v>
      </c>
      <c r="U86" s="15"/>
      <c r="V86" s="15">
        <f>SUM(V38:V85)</f>
        <v>2443167</v>
      </c>
      <c r="W86" s="15">
        <f>SUM(W38:W85)</f>
        <v>1664387</v>
      </c>
      <c r="X86" s="15">
        <f>SUM(X38:X85)</f>
        <v>551921</v>
      </c>
      <c r="Y86" s="15">
        <f>SUM(Y38:Y85)</f>
        <v>55523</v>
      </c>
      <c r="Z86" s="15">
        <f>SUM(Z38:Z85)</f>
        <v>1607</v>
      </c>
      <c r="AA86" s="15"/>
    </row>
    <row r="87" spans="2:45" x14ac:dyDescent="0.25">
      <c r="AS87" s="4"/>
    </row>
    <row r="88" spans="2:45" x14ac:dyDescent="0.25">
      <c r="C88" s="10" t="s">
        <v>511</v>
      </c>
      <c r="AS88" s="4"/>
    </row>
    <row r="89" spans="2:45" x14ac:dyDescent="0.25">
      <c r="C89" s="2" t="s">
        <v>510</v>
      </c>
      <c r="H89" t="s">
        <v>543</v>
      </c>
      <c r="AS89" s="4"/>
    </row>
    <row r="90" spans="2:45" x14ac:dyDescent="0.25">
      <c r="C90" s="2" t="s">
        <v>513</v>
      </c>
      <c r="AS90" s="4"/>
    </row>
    <row r="91" spans="2:45" x14ac:dyDescent="0.25">
      <c r="C91" s="2" t="s">
        <v>539</v>
      </c>
      <c r="AS91" s="4"/>
    </row>
    <row r="92" spans="2:45" x14ac:dyDescent="0.25">
      <c r="C92" t="s">
        <v>562</v>
      </c>
      <c r="AS92" s="4"/>
    </row>
    <row r="93" spans="2:45" x14ac:dyDescent="0.25">
      <c r="C93" s="2" t="s">
        <v>563</v>
      </c>
      <c r="AS93" s="4"/>
    </row>
    <row r="94" spans="2:45" x14ac:dyDescent="0.25">
      <c r="C94" t="s">
        <v>570</v>
      </c>
      <c r="AS94" s="4"/>
    </row>
    <row r="95" spans="2:45" x14ac:dyDescent="0.25">
      <c r="C95" t="s">
        <v>571</v>
      </c>
      <c r="AS95" s="4"/>
    </row>
    <row r="96" spans="2:45" x14ac:dyDescent="0.25">
      <c r="C96" t="s">
        <v>340</v>
      </c>
      <c r="AS96" s="4"/>
    </row>
    <row r="97" spans="3:45" x14ac:dyDescent="0.25">
      <c r="C97" t="s">
        <v>573</v>
      </c>
      <c r="AS97" s="4"/>
    </row>
    <row r="98" spans="3:45" x14ac:dyDescent="0.25">
      <c r="C98" t="s">
        <v>574</v>
      </c>
      <c r="AS98" s="4"/>
    </row>
    <row r="99" spans="3:45" x14ac:dyDescent="0.25">
      <c r="C99" t="s">
        <v>589</v>
      </c>
      <c r="AS99" s="4"/>
    </row>
    <row r="100" spans="3:45" x14ac:dyDescent="0.25">
      <c r="C100" t="s">
        <v>590</v>
      </c>
      <c r="AS100" s="4"/>
    </row>
    <row r="101" spans="3:45" x14ac:dyDescent="0.25">
      <c r="C101" t="s">
        <v>381</v>
      </c>
      <c r="AS101" s="4"/>
    </row>
    <row r="102" spans="3:45" x14ac:dyDescent="0.25">
      <c r="C102" t="s">
        <v>591</v>
      </c>
      <c r="AS102" s="4"/>
    </row>
    <row r="103" spans="3:45" x14ac:dyDescent="0.25">
      <c r="C103" t="s">
        <v>85</v>
      </c>
      <c r="AS103" s="4"/>
    </row>
    <row r="104" spans="3:45" x14ac:dyDescent="0.25">
      <c r="C104" t="s">
        <v>596</v>
      </c>
      <c r="AS104" s="4"/>
    </row>
    <row r="105" spans="3:45" x14ac:dyDescent="0.25">
      <c r="C105" t="s">
        <v>597</v>
      </c>
      <c r="AS105" s="4"/>
    </row>
    <row r="106" spans="3:45" x14ac:dyDescent="0.25">
      <c r="C106" t="s">
        <v>598</v>
      </c>
      <c r="AS106" s="4"/>
    </row>
    <row r="107" spans="3:45" x14ac:dyDescent="0.25">
      <c r="C107" t="s">
        <v>599</v>
      </c>
      <c r="AS107" s="4"/>
    </row>
    <row r="108" spans="3:45" x14ac:dyDescent="0.25">
      <c r="C108" t="s">
        <v>600</v>
      </c>
      <c r="AS108" s="4"/>
    </row>
    <row r="109" spans="3:45" x14ac:dyDescent="0.25">
      <c r="C109" t="s">
        <v>601</v>
      </c>
      <c r="AS109" s="4"/>
    </row>
    <row r="110" spans="3:45" x14ac:dyDescent="0.25">
      <c r="C110" t="s">
        <v>602</v>
      </c>
      <c r="AS110" s="4"/>
    </row>
    <row r="111" spans="3:45" x14ac:dyDescent="0.25">
      <c r="C111" t="s">
        <v>603</v>
      </c>
      <c r="AS111" s="4"/>
    </row>
    <row r="112" spans="3:45" x14ac:dyDescent="0.25">
      <c r="C112" t="s">
        <v>604</v>
      </c>
      <c r="AS112" s="4"/>
    </row>
    <row r="113" spans="3:45" x14ac:dyDescent="0.25">
      <c r="C113" t="s">
        <v>605</v>
      </c>
      <c r="AS113" s="4"/>
    </row>
    <row r="114" spans="3:45" x14ac:dyDescent="0.25">
      <c r="C114" t="s">
        <v>606</v>
      </c>
      <c r="AS114" s="4"/>
    </row>
    <row r="115" spans="3:45" x14ac:dyDescent="0.25">
      <c r="C115" t="s">
        <v>607</v>
      </c>
      <c r="AS115" s="4"/>
    </row>
    <row r="116" spans="3:45" x14ac:dyDescent="0.25">
      <c r="C116" t="s">
        <v>608</v>
      </c>
      <c r="AS116" s="4"/>
    </row>
    <row r="117" spans="3:45" x14ac:dyDescent="0.25">
      <c r="C117" t="s">
        <v>609</v>
      </c>
      <c r="AS117" s="4"/>
    </row>
    <row r="118" spans="3:45" x14ac:dyDescent="0.25">
      <c r="C118" t="s">
        <v>610</v>
      </c>
      <c r="AS118" s="4"/>
    </row>
    <row r="119" spans="3:45" x14ac:dyDescent="0.25">
      <c r="C119" t="s">
        <v>611</v>
      </c>
      <c r="AS119" s="4"/>
    </row>
    <row r="120" spans="3:45" x14ac:dyDescent="0.25">
      <c r="C120" t="s">
        <v>612</v>
      </c>
      <c r="AS120" s="4"/>
    </row>
    <row r="121" spans="3:45" x14ac:dyDescent="0.25">
      <c r="C121" t="s">
        <v>613</v>
      </c>
      <c r="AS121" s="4"/>
    </row>
    <row r="122" spans="3:45" x14ac:dyDescent="0.25">
      <c r="C122" t="s">
        <v>614</v>
      </c>
      <c r="AS122" s="4"/>
    </row>
    <row r="123" spans="3:45" x14ac:dyDescent="0.25">
      <c r="C123" t="s">
        <v>341</v>
      </c>
      <c r="AS123" s="4"/>
    </row>
    <row r="124" spans="3:45" x14ac:dyDescent="0.25">
      <c r="C124" t="s">
        <v>631</v>
      </c>
      <c r="AS124" s="4"/>
    </row>
    <row r="125" spans="3:45" x14ac:dyDescent="0.25">
      <c r="C125" t="s">
        <v>632</v>
      </c>
      <c r="AS125" s="4"/>
    </row>
    <row r="126" spans="3:45" x14ac:dyDescent="0.25">
      <c r="C126" t="s">
        <v>633</v>
      </c>
      <c r="AS126" s="4"/>
    </row>
    <row r="127" spans="3:45" x14ac:dyDescent="0.25">
      <c r="C127" t="s">
        <v>635</v>
      </c>
      <c r="AS127" s="4"/>
    </row>
    <row r="128" spans="3:45" x14ac:dyDescent="0.25">
      <c r="AS128" s="4"/>
    </row>
    <row r="129" spans="2:45" x14ac:dyDescent="0.25">
      <c r="C129" s="2"/>
      <c r="AS129" s="4"/>
    </row>
    <row r="130" spans="2:45" x14ac:dyDescent="0.25">
      <c r="C130" s="2"/>
      <c r="AS130" s="4"/>
    </row>
    <row r="131" spans="2:45" x14ac:dyDescent="0.25">
      <c r="C131" t="s">
        <v>94</v>
      </c>
      <c r="AS131" s="4"/>
    </row>
    <row r="132" spans="2:45" x14ac:dyDescent="0.25">
      <c r="C132" t="s">
        <v>63</v>
      </c>
      <c r="AS132" s="4"/>
    </row>
    <row r="133" spans="2:45" x14ac:dyDescent="0.25">
      <c r="C133" t="s">
        <v>81</v>
      </c>
      <c r="AS133" s="4"/>
    </row>
    <row r="134" spans="2:45" x14ac:dyDescent="0.25">
      <c r="C134" t="s">
        <v>114</v>
      </c>
      <c r="AS134" s="4"/>
    </row>
    <row r="135" spans="2:45" x14ac:dyDescent="0.25">
      <c r="C135" t="s">
        <v>112</v>
      </c>
      <c r="AS135" s="4"/>
    </row>
    <row r="136" spans="2:45" x14ac:dyDescent="0.25">
      <c r="C136" s="2" t="s">
        <v>75</v>
      </c>
      <c r="AS136" s="4"/>
    </row>
    <row r="137" spans="2:45" x14ac:dyDescent="0.25">
      <c r="C137" t="s">
        <v>113</v>
      </c>
      <c r="AS137" s="4"/>
    </row>
    <row r="138" spans="2:45" x14ac:dyDescent="0.25">
      <c r="AS138" s="4"/>
    </row>
    <row r="139" spans="2:45" x14ac:dyDescent="0.25">
      <c r="AS139" s="4"/>
    </row>
    <row r="140" spans="2:45" x14ac:dyDescent="0.25">
      <c r="C140" s="10" t="s">
        <v>362</v>
      </c>
      <c r="AS140" s="4"/>
    </row>
    <row r="141" spans="2:45" x14ac:dyDescent="0.25">
      <c r="B141" s="2" t="s">
        <v>205</v>
      </c>
      <c r="C141" s="11" t="s">
        <v>271</v>
      </c>
      <c r="D141" t="s">
        <v>270</v>
      </c>
      <c r="E141" t="s">
        <v>46</v>
      </c>
      <c r="F141" t="s">
        <v>230</v>
      </c>
      <c r="H141" t="s">
        <v>305</v>
      </c>
      <c r="P141" s="1">
        <v>1235</v>
      </c>
      <c r="Q141" s="1">
        <v>1248</v>
      </c>
      <c r="R141" s="1">
        <v>4733</v>
      </c>
      <c r="V141" s="1">
        <v>119</v>
      </c>
      <c r="W141" s="1">
        <v>7154</v>
      </c>
      <c r="Y141" s="1">
        <v>11</v>
      </c>
      <c r="Z141" s="1">
        <v>6</v>
      </c>
      <c r="AS141" s="4"/>
    </row>
    <row r="142" spans="2:45" x14ac:dyDescent="0.25">
      <c r="B142" s="2" t="s">
        <v>272</v>
      </c>
      <c r="C142" s="11" t="s">
        <v>275</v>
      </c>
      <c r="D142" t="s">
        <v>273</v>
      </c>
      <c r="E142" t="s">
        <v>46</v>
      </c>
      <c r="F142" t="s">
        <v>14</v>
      </c>
      <c r="G142" t="s">
        <v>20</v>
      </c>
      <c r="H142" t="s">
        <v>305</v>
      </c>
      <c r="K142" t="s">
        <v>274</v>
      </c>
      <c r="P142" s="1">
        <v>0</v>
      </c>
      <c r="Q142" s="1">
        <v>727</v>
      </c>
      <c r="R142" s="1">
        <v>0</v>
      </c>
      <c r="V142" s="1">
        <v>662</v>
      </c>
      <c r="W142" s="1">
        <v>946</v>
      </c>
      <c r="X142" s="1">
        <v>13000</v>
      </c>
      <c r="AS142" s="4"/>
    </row>
    <row r="143" spans="2:45" x14ac:dyDescent="0.25">
      <c r="B143" t="s">
        <v>348</v>
      </c>
      <c r="C143" s="11" t="s">
        <v>338</v>
      </c>
      <c r="D143" t="s">
        <v>347</v>
      </c>
      <c r="E143" t="s">
        <v>46</v>
      </c>
      <c r="F143" t="s">
        <v>346</v>
      </c>
      <c r="G143" t="s">
        <v>20</v>
      </c>
      <c r="H143" t="s">
        <v>305</v>
      </c>
      <c r="P143" s="16"/>
      <c r="Q143" s="16"/>
      <c r="R143" s="16"/>
      <c r="S143" s="16"/>
      <c r="T143" s="16"/>
      <c r="V143" s="1">
        <v>206</v>
      </c>
      <c r="W143" s="1">
        <v>1608</v>
      </c>
      <c r="AS143" s="4"/>
    </row>
    <row r="144" spans="2:45" x14ac:dyDescent="0.25">
      <c r="B144" t="s">
        <v>352</v>
      </c>
      <c r="C144" s="11" t="s">
        <v>339</v>
      </c>
      <c r="D144" t="s">
        <v>351</v>
      </c>
      <c r="E144" t="s">
        <v>46</v>
      </c>
      <c r="F144" t="s">
        <v>349</v>
      </c>
      <c r="G144" t="s">
        <v>20</v>
      </c>
      <c r="H144" t="s">
        <v>305</v>
      </c>
      <c r="K144" t="s">
        <v>20</v>
      </c>
      <c r="P144" s="16"/>
      <c r="Q144" s="16"/>
      <c r="R144" s="16"/>
      <c r="S144" s="16"/>
      <c r="T144" s="16"/>
      <c r="V144" s="1">
        <v>1300</v>
      </c>
      <c r="W144" s="1">
        <v>18700</v>
      </c>
      <c r="X144" s="1">
        <v>12000</v>
      </c>
      <c r="AS144" s="4"/>
    </row>
    <row r="145" spans="2:45" x14ac:dyDescent="0.25">
      <c r="B145" t="s">
        <v>353</v>
      </c>
      <c r="C145" s="11" t="s">
        <v>340</v>
      </c>
      <c r="D145" t="s">
        <v>354</v>
      </c>
      <c r="E145" t="s">
        <v>46</v>
      </c>
      <c r="F145" t="s">
        <v>310</v>
      </c>
      <c r="G145" t="s">
        <v>20</v>
      </c>
      <c r="H145" t="s">
        <v>355</v>
      </c>
      <c r="K145" t="s">
        <v>318</v>
      </c>
      <c r="P145" s="16"/>
      <c r="Q145" s="16"/>
      <c r="R145" s="16"/>
      <c r="S145" s="16"/>
      <c r="T145" s="16"/>
      <c r="V145" s="1">
        <v>4100</v>
      </c>
      <c r="W145" s="1">
        <v>7537</v>
      </c>
      <c r="X145" s="1">
        <v>1641</v>
      </c>
      <c r="Y145" s="1">
        <v>6</v>
      </c>
      <c r="AS145" s="4"/>
    </row>
    <row r="146" spans="2:45" x14ac:dyDescent="0.25">
      <c r="B146" t="s">
        <v>414</v>
      </c>
      <c r="C146" s="11" t="s">
        <v>415</v>
      </c>
      <c r="E146" t="s">
        <v>46</v>
      </c>
      <c r="F146" t="s">
        <v>416</v>
      </c>
      <c r="G146" t="s">
        <v>20</v>
      </c>
      <c r="H146" t="s">
        <v>305</v>
      </c>
      <c r="L146" s="8"/>
      <c r="P146" s="16"/>
      <c r="Q146" s="16"/>
      <c r="R146" s="16"/>
      <c r="AS146" s="4"/>
    </row>
    <row r="147" spans="2:45" x14ac:dyDescent="0.25">
      <c r="B147" t="s">
        <v>418</v>
      </c>
      <c r="C147" s="11" t="s">
        <v>419</v>
      </c>
      <c r="P147" s="16"/>
      <c r="Q147" s="16"/>
      <c r="R147" s="16"/>
      <c r="S147" s="16"/>
      <c r="T147" s="16"/>
      <c r="AS147" s="4"/>
    </row>
    <row r="148" spans="2:45" x14ac:dyDescent="0.25">
      <c r="C148" s="11"/>
      <c r="P148" s="16"/>
      <c r="Q148" s="16"/>
      <c r="R148" s="16"/>
      <c r="S148" s="16"/>
      <c r="T148" s="16"/>
      <c r="AS148" s="4"/>
    </row>
    <row r="149" spans="2:45" x14ac:dyDescent="0.25">
      <c r="C149" s="11"/>
      <c r="P149" s="16"/>
      <c r="Q149" s="16"/>
      <c r="R149" s="16"/>
      <c r="S149" s="16"/>
      <c r="T149" s="16"/>
      <c r="AS149" s="4"/>
    </row>
    <row r="150" spans="2:45" x14ac:dyDescent="0.25">
      <c r="C150" s="10" t="s">
        <v>360</v>
      </c>
      <c r="AS150" s="4"/>
    </row>
    <row r="151" spans="2:45" x14ac:dyDescent="0.25">
      <c r="B151" s="2" t="s">
        <v>292</v>
      </c>
      <c r="C151" s="11" t="s">
        <v>289</v>
      </c>
      <c r="D151" t="s">
        <v>302</v>
      </c>
      <c r="E151" t="s">
        <v>46</v>
      </c>
      <c r="K151" t="s">
        <v>30</v>
      </c>
      <c r="P151" s="1">
        <v>569</v>
      </c>
      <c r="Q151" s="1">
        <v>0</v>
      </c>
      <c r="R151" s="1">
        <v>0</v>
      </c>
      <c r="V151" s="1">
        <v>1100</v>
      </c>
      <c r="W151" s="1" t="s">
        <v>350</v>
      </c>
      <c r="X151" s="1">
        <v>27</v>
      </c>
      <c r="Z151" s="1">
        <v>3</v>
      </c>
      <c r="AS151" s="4"/>
    </row>
    <row r="152" spans="2:45" x14ac:dyDescent="0.25">
      <c r="B152" s="2" t="s">
        <v>277</v>
      </c>
      <c r="C152" s="11" t="s">
        <v>276</v>
      </c>
      <c r="D152" t="s">
        <v>279</v>
      </c>
      <c r="E152" t="s">
        <v>280</v>
      </c>
      <c r="F152" t="s">
        <v>278</v>
      </c>
      <c r="G152" t="s">
        <v>20</v>
      </c>
      <c r="H152" t="s">
        <v>305</v>
      </c>
      <c r="V152" s="1">
        <v>384</v>
      </c>
      <c r="W152" s="1">
        <v>114</v>
      </c>
      <c r="X152" s="1">
        <v>145</v>
      </c>
      <c r="AS152" s="4"/>
    </row>
    <row r="153" spans="2:45" x14ac:dyDescent="0.25">
      <c r="B153" t="s">
        <v>291</v>
      </c>
      <c r="C153" s="11" t="s">
        <v>290</v>
      </c>
      <c r="D153" t="s">
        <v>303</v>
      </c>
      <c r="E153" t="s">
        <v>73</v>
      </c>
      <c r="F153" t="s">
        <v>304</v>
      </c>
      <c r="G153" t="s">
        <v>20</v>
      </c>
      <c r="H153" t="s">
        <v>305</v>
      </c>
      <c r="P153" s="1">
        <v>42</v>
      </c>
      <c r="Q153" s="1">
        <v>472</v>
      </c>
      <c r="R153" s="1">
        <v>88</v>
      </c>
      <c r="V153" s="1">
        <v>645</v>
      </c>
      <c r="AS153" s="4"/>
    </row>
    <row r="154" spans="2:45" x14ac:dyDescent="0.25">
      <c r="B154" s="2" t="s">
        <v>88</v>
      </c>
      <c r="C154" s="11" t="s">
        <v>106</v>
      </c>
      <c r="D154" t="s">
        <v>108</v>
      </c>
      <c r="E154" t="s">
        <v>46</v>
      </c>
      <c r="F154" t="s">
        <v>40</v>
      </c>
      <c r="G154" t="s">
        <v>20</v>
      </c>
      <c r="H154" t="s">
        <v>107</v>
      </c>
      <c r="K154" t="s">
        <v>30</v>
      </c>
      <c r="AS154" s="4"/>
    </row>
    <row r="155" spans="2:45" x14ac:dyDescent="0.25">
      <c r="B155" s="2" t="s">
        <v>81</v>
      </c>
      <c r="C155" s="11" t="s">
        <v>398</v>
      </c>
      <c r="D155" t="s">
        <v>399</v>
      </c>
      <c r="AS155" s="4"/>
    </row>
    <row r="156" spans="2:45" x14ac:dyDescent="0.25">
      <c r="B156" s="2"/>
      <c r="C156" s="11"/>
      <c r="AS156" s="4"/>
    </row>
    <row r="157" spans="2:45" x14ac:dyDescent="0.25">
      <c r="B157" s="2"/>
      <c r="C157" s="11"/>
      <c r="AS157" s="4"/>
    </row>
    <row r="158" spans="2:45" x14ac:dyDescent="0.25">
      <c r="B158" s="2"/>
      <c r="C158" s="10" t="s">
        <v>361</v>
      </c>
      <c r="AS158" s="4"/>
    </row>
    <row r="159" spans="2:45" x14ac:dyDescent="0.25">
      <c r="B159" s="2" t="s">
        <v>296</v>
      </c>
      <c r="C159" s="11" t="s">
        <v>295</v>
      </c>
      <c r="D159" t="s">
        <v>308</v>
      </c>
      <c r="E159" t="s">
        <v>314</v>
      </c>
      <c r="F159" t="s">
        <v>307</v>
      </c>
      <c r="G159" t="s">
        <v>20</v>
      </c>
      <c r="H159" t="s">
        <v>306</v>
      </c>
      <c r="K159" t="s">
        <v>69</v>
      </c>
      <c r="L159" s="8">
        <v>45268</v>
      </c>
      <c r="P159" s="1">
        <v>241</v>
      </c>
      <c r="Q159" s="1">
        <v>1027</v>
      </c>
      <c r="R159" s="1">
        <v>497</v>
      </c>
      <c r="AS159" s="4"/>
    </row>
    <row r="160" spans="2:45" x14ac:dyDescent="0.25">
      <c r="AS160" s="4"/>
    </row>
    <row r="161" spans="2:45" x14ac:dyDescent="0.25">
      <c r="C161" s="10" t="s">
        <v>186</v>
      </c>
      <c r="AS161" s="4"/>
    </row>
    <row r="162" spans="2:45" x14ac:dyDescent="0.25">
      <c r="B162" s="2" t="s">
        <v>88</v>
      </c>
      <c r="C162" s="11" t="s">
        <v>106</v>
      </c>
      <c r="D162" t="s">
        <v>108</v>
      </c>
      <c r="E162" t="s">
        <v>46</v>
      </c>
      <c r="F162" t="s">
        <v>40</v>
      </c>
      <c r="G162" t="s">
        <v>20</v>
      </c>
      <c r="H162" t="s">
        <v>107</v>
      </c>
      <c r="K162" t="s">
        <v>30</v>
      </c>
      <c r="AS162" s="4"/>
    </row>
    <row r="163" spans="2:45" x14ac:dyDescent="0.25">
      <c r="I163" s="2"/>
      <c r="AS163" s="4"/>
    </row>
    <row r="164" spans="2:45" x14ac:dyDescent="0.25">
      <c r="C164" s="10" t="s">
        <v>234</v>
      </c>
      <c r="AS164" s="4"/>
    </row>
    <row r="165" spans="2:45" x14ac:dyDescent="0.25">
      <c r="B165" s="2" t="s">
        <v>233</v>
      </c>
      <c r="C165" s="11" t="s">
        <v>397</v>
      </c>
      <c r="AS165" s="4"/>
    </row>
    <row r="166" spans="2:45" x14ac:dyDescent="0.25">
      <c r="C166" s="11" t="s">
        <v>235</v>
      </c>
      <c r="AS166" s="4"/>
    </row>
    <row r="167" spans="2:45" x14ac:dyDescent="0.25">
      <c r="C167" s="11" t="s">
        <v>417</v>
      </c>
      <c r="AS167" s="4"/>
    </row>
    <row r="168" spans="2:45" x14ac:dyDescent="0.25">
      <c r="C168" s="11" t="s">
        <v>512</v>
      </c>
      <c r="AS168" s="4"/>
    </row>
    <row r="169" spans="2:45" x14ac:dyDescent="0.25">
      <c r="B169" t="s">
        <v>514</v>
      </c>
      <c r="C169" s="11" t="s">
        <v>515</v>
      </c>
      <c r="AS169" s="4"/>
    </row>
    <row r="170" spans="2:45" x14ac:dyDescent="0.25">
      <c r="C170" s="11" t="s">
        <v>64</v>
      </c>
      <c r="AS170" s="4"/>
    </row>
    <row r="171" spans="2:45" x14ac:dyDescent="0.25">
      <c r="AS171" s="4"/>
    </row>
    <row r="172" spans="2:45" x14ac:dyDescent="0.25">
      <c r="C172" s="91" t="s">
        <v>58</v>
      </c>
      <c r="AS172" s="4"/>
    </row>
    <row r="173" spans="2:45" x14ac:dyDescent="0.25">
      <c r="C173" s="96" t="s">
        <v>92</v>
      </c>
      <c r="F173" t="s">
        <v>560</v>
      </c>
      <c r="G173" t="s">
        <v>559</v>
      </c>
      <c r="AS173" s="4"/>
    </row>
    <row r="174" spans="2:45" x14ac:dyDescent="0.25">
      <c r="C174" s="96" t="s">
        <v>93</v>
      </c>
      <c r="F174" t="s">
        <v>561</v>
      </c>
      <c r="G174" t="s">
        <v>557</v>
      </c>
      <c r="AS174" s="4"/>
    </row>
    <row r="175" spans="2:45" x14ac:dyDescent="0.25">
      <c r="C175" s="2" t="s">
        <v>212</v>
      </c>
      <c r="F175" t="s">
        <v>558</v>
      </c>
      <c r="G175" t="s">
        <v>557</v>
      </c>
      <c r="AS175" s="4"/>
    </row>
    <row r="176" spans="2:45" x14ac:dyDescent="0.25">
      <c r="C176" t="s">
        <v>540</v>
      </c>
      <c r="F176" t="s">
        <v>554</v>
      </c>
      <c r="G176" t="s">
        <v>30</v>
      </c>
      <c r="AS176" s="4"/>
    </row>
    <row r="177" spans="3:45" x14ac:dyDescent="0.25">
      <c r="C177" t="s">
        <v>552</v>
      </c>
      <c r="F177" t="s">
        <v>556</v>
      </c>
      <c r="G177" t="s">
        <v>557</v>
      </c>
      <c r="AS177" s="4"/>
    </row>
    <row r="178" spans="3:45" x14ac:dyDescent="0.25">
      <c r="C178" t="s">
        <v>555</v>
      </c>
      <c r="F178" t="s">
        <v>553</v>
      </c>
      <c r="G178" t="s">
        <v>557</v>
      </c>
      <c r="AS178" s="4"/>
    </row>
    <row r="179" spans="3:45" x14ac:dyDescent="0.25">
      <c r="I179" s="2"/>
      <c r="AS179" s="4"/>
    </row>
    <row r="180" spans="3:45" x14ac:dyDescent="0.25">
      <c r="C180" s="10" t="s">
        <v>198</v>
      </c>
      <c r="D180" s="2"/>
      <c r="AS180" s="4"/>
    </row>
    <row r="181" spans="3:45" x14ac:dyDescent="0.25">
      <c r="C181" t="s">
        <v>197</v>
      </c>
      <c r="D181" s="2"/>
      <c r="AS181" s="4"/>
    </row>
    <row r="182" spans="3:45" x14ac:dyDescent="0.25">
      <c r="D182" s="2"/>
      <c r="AS182" s="4"/>
    </row>
    <row r="183" spans="3:45" x14ac:dyDescent="0.25">
      <c r="C183" s="10" t="s">
        <v>542</v>
      </c>
      <c r="D183" s="2"/>
      <c r="AS183" s="4"/>
    </row>
    <row r="184" spans="3:45" x14ac:dyDescent="0.25">
      <c r="C184" t="s">
        <v>541</v>
      </c>
      <c r="D184" s="2"/>
      <c r="AS184" s="4"/>
    </row>
    <row r="185" spans="3:45" x14ac:dyDescent="0.25">
      <c r="AS185" s="4"/>
    </row>
    <row r="186" spans="3:45" x14ac:dyDescent="0.25">
      <c r="AS186" s="4"/>
    </row>
    <row r="187" spans="3:45" x14ac:dyDescent="0.25">
      <c r="AS187" s="4"/>
    </row>
    <row r="188" spans="3:45" x14ac:dyDescent="0.25">
      <c r="AS188" s="4"/>
    </row>
    <row r="189" spans="3:45" x14ac:dyDescent="0.25">
      <c r="AS189" s="4"/>
    </row>
    <row r="190" spans="3:45" x14ac:dyDescent="0.25">
      <c r="AS190" s="4"/>
    </row>
    <row r="191" spans="3:45" x14ac:dyDescent="0.25">
      <c r="AS191" s="4"/>
    </row>
    <row r="192" spans="3:45" x14ac:dyDescent="0.25">
      <c r="C192" s="10" t="s">
        <v>31</v>
      </c>
      <c r="AS192" s="4"/>
    </row>
    <row r="193" spans="2:45" x14ac:dyDescent="0.25">
      <c r="B193" s="2" t="s">
        <v>148</v>
      </c>
      <c r="C193" s="11" t="s">
        <v>6</v>
      </c>
      <c r="D193" t="s">
        <v>162</v>
      </c>
      <c r="E193" t="s">
        <v>219</v>
      </c>
      <c r="F193" s="7" t="s">
        <v>335</v>
      </c>
      <c r="P193" s="1">
        <v>586193</v>
      </c>
      <c r="Q193" s="1">
        <v>949513</v>
      </c>
      <c r="R193" s="1">
        <v>1036000</v>
      </c>
      <c r="T193" s="1">
        <f>AVERAGE(P193:S193)</f>
        <v>857235.33333333337</v>
      </c>
      <c r="V193" s="1">
        <v>133000</v>
      </c>
      <c r="W193" s="1">
        <v>26000</v>
      </c>
      <c r="Y193" s="1">
        <v>4800</v>
      </c>
      <c r="AG193" s="1">
        <v>53968.872000000003</v>
      </c>
      <c r="AH193" s="1">
        <v>50594.667999999998</v>
      </c>
      <c r="AI193" s="1">
        <v>52833.688999999998</v>
      </c>
      <c r="AJ193" s="1">
        <v>68666.562999999995</v>
      </c>
      <c r="AK193" s="1">
        <v>89776.782999999996</v>
      </c>
      <c r="AS193" s="4"/>
    </row>
    <row r="194" spans="2:45" x14ac:dyDescent="0.25">
      <c r="B194" s="2" t="s">
        <v>146</v>
      </c>
      <c r="C194" s="11" t="s">
        <v>9</v>
      </c>
      <c r="D194" t="s">
        <v>162</v>
      </c>
      <c r="E194" t="s">
        <v>219</v>
      </c>
      <c r="H194" t="s">
        <v>208</v>
      </c>
      <c r="P194" s="1">
        <v>171776</v>
      </c>
      <c r="Q194" s="1">
        <v>297845</v>
      </c>
      <c r="R194" s="1">
        <v>342772</v>
      </c>
      <c r="T194" s="1">
        <f>AVERAGE(P194:S194)</f>
        <v>270797.66666666669</v>
      </c>
      <c r="V194" s="1">
        <v>98000</v>
      </c>
      <c r="W194" s="1">
        <v>16200</v>
      </c>
      <c r="Y194" s="1">
        <v>4490</v>
      </c>
      <c r="AI194" t="s">
        <v>210</v>
      </c>
      <c r="AJ194" s="1">
        <v>38960</v>
      </c>
      <c r="AK194" s="1">
        <v>39106</v>
      </c>
      <c r="AS194" s="4"/>
    </row>
    <row r="195" spans="2:45" x14ac:dyDescent="0.25">
      <c r="B195" s="2" t="s">
        <v>147</v>
      </c>
      <c r="C195" s="11" t="s">
        <v>10</v>
      </c>
      <c r="D195" t="s">
        <v>162</v>
      </c>
      <c r="E195" t="s">
        <v>219</v>
      </c>
      <c r="F195" s="7" t="s">
        <v>334</v>
      </c>
      <c r="P195" s="1">
        <v>80111</v>
      </c>
      <c r="Q195" s="1">
        <v>103448</v>
      </c>
      <c r="R195" s="1">
        <v>117419</v>
      </c>
      <c r="T195" s="1">
        <f>AVERAGE(P195:S195)</f>
        <v>100326</v>
      </c>
      <c r="V195" s="1">
        <v>35000</v>
      </c>
      <c r="W195" s="1">
        <v>5075</v>
      </c>
      <c r="Y195" s="1">
        <v>912</v>
      </c>
      <c r="AG195" s="1">
        <v>19194.772000000001</v>
      </c>
      <c r="AH195" s="1">
        <v>20474.096000000001</v>
      </c>
      <c r="AI195" s="1">
        <v>21667.058000000001</v>
      </c>
      <c r="AJ195" s="1">
        <v>21183.776000000002</v>
      </c>
      <c r="AK195" s="1">
        <v>21517.436000000002</v>
      </c>
      <c r="AS195" s="4"/>
    </row>
    <row r="196" spans="2:45" x14ac:dyDescent="0.25">
      <c r="B196" t="s">
        <v>216</v>
      </c>
      <c r="C196" s="11" t="s">
        <v>490</v>
      </c>
      <c r="E196" t="s">
        <v>219</v>
      </c>
      <c r="P196" s="1">
        <v>9396</v>
      </c>
      <c r="Q196" s="1">
        <v>11365</v>
      </c>
      <c r="R196" s="1">
        <v>8832</v>
      </c>
      <c r="V196" s="1">
        <v>4400</v>
      </c>
      <c r="W196" s="1">
        <v>248</v>
      </c>
      <c r="AS196" s="4"/>
    </row>
    <row r="197" spans="2:45" x14ac:dyDescent="0.25">
      <c r="B197" t="s">
        <v>491</v>
      </c>
      <c r="C197" s="11" t="s">
        <v>217</v>
      </c>
      <c r="E197" t="s">
        <v>219</v>
      </c>
      <c r="P197" s="18"/>
      <c r="Q197" s="18"/>
      <c r="R197" s="18"/>
      <c r="S197" s="18"/>
      <c r="T197" s="18"/>
      <c r="U197" s="18"/>
      <c r="V197" s="1">
        <v>330</v>
      </c>
      <c r="W197" s="1">
        <v>126</v>
      </c>
      <c r="AS197" s="4"/>
    </row>
    <row r="198" spans="2:45" x14ac:dyDescent="0.25">
      <c r="B198" t="s">
        <v>492</v>
      </c>
      <c r="C198" s="11" t="s">
        <v>489</v>
      </c>
      <c r="E198" t="s">
        <v>219</v>
      </c>
      <c r="P198" s="18"/>
      <c r="Q198" s="18"/>
      <c r="R198" s="18"/>
      <c r="S198" s="18"/>
      <c r="T198" s="18"/>
      <c r="U198" s="18"/>
      <c r="V198" s="1">
        <v>8900</v>
      </c>
      <c r="W198" s="1">
        <v>389</v>
      </c>
      <c r="AS198" s="4"/>
    </row>
    <row r="199" spans="2:45" x14ac:dyDescent="0.25">
      <c r="B199" s="2" t="s">
        <v>486</v>
      </c>
      <c r="C199" s="11" t="s">
        <v>7</v>
      </c>
      <c r="J199" t="s">
        <v>508</v>
      </c>
      <c r="P199" s="1">
        <v>662983</v>
      </c>
      <c r="Q199" s="1">
        <v>529448</v>
      </c>
      <c r="R199" s="1">
        <v>786040</v>
      </c>
      <c r="T199" s="1">
        <f t="shared" ref="T199:T204" si="29">AVERAGE(P199:S199)</f>
        <v>659490.33333333337</v>
      </c>
      <c r="V199" s="1">
        <v>132000</v>
      </c>
      <c r="W199" s="1">
        <v>32600</v>
      </c>
      <c r="Y199" s="1">
        <v>7050</v>
      </c>
      <c r="AS199" s="4"/>
    </row>
    <row r="200" spans="2:45" x14ac:dyDescent="0.25">
      <c r="B200" t="s">
        <v>487</v>
      </c>
      <c r="C200" s="11" t="s">
        <v>215</v>
      </c>
      <c r="D200" s="2"/>
      <c r="J200" s="2" t="s">
        <v>509</v>
      </c>
      <c r="P200" s="1">
        <v>298645</v>
      </c>
      <c r="Q200" s="1">
        <v>274081</v>
      </c>
      <c r="R200" s="1">
        <v>477376</v>
      </c>
      <c r="T200" s="1">
        <f t="shared" si="29"/>
        <v>350034</v>
      </c>
      <c r="V200" s="1">
        <v>156000</v>
      </c>
      <c r="W200" s="1">
        <v>35900</v>
      </c>
      <c r="Y200" s="1">
        <v>16500</v>
      </c>
      <c r="AS200" s="4"/>
    </row>
    <row r="201" spans="2:45" x14ac:dyDescent="0.25">
      <c r="B201" t="s">
        <v>149</v>
      </c>
      <c r="C201" s="11" t="s">
        <v>150</v>
      </c>
      <c r="D201" t="s">
        <v>162</v>
      </c>
      <c r="P201" s="1">
        <v>81260</v>
      </c>
      <c r="Q201" s="1">
        <v>134212</v>
      </c>
      <c r="R201" s="1">
        <v>65889</v>
      </c>
      <c r="T201" s="1">
        <f t="shared" si="29"/>
        <v>93787</v>
      </c>
      <c r="V201" s="1">
        <v>39000</v>
      </c>
      <c r="W201" s="1">
        <v>8300</v>
      </c>
      <c r="Y201" s="1">
        <v>1250</v>
      </c>
      <c r="AI201" s="1">
        <v>23993.486000000001</v>
      </c>
      <c r="AJ201" s="4">
        <v>31362.89</v>
      </c>
      <c r="AK201" s="1">
        <v>38522.864000000001</v>
      </c>
      <c r="AS201" s="4"/>
    </row>
    <row r="202" spans="2:45" x14ac:dyDescent="0.25">
      <c r="B202" s="2" t="s">
        <v>91</v>
      </c>
      <c r="C202" s="11" t="s">
        <v>151</v>
      </c>
      <c r="D202" t="s">
        <v>162</v>
      </c>
      <c r="P202" s="1">
        <v>5770</v>
      </c>
      <c r="Q202" s="1">
        <v>2950</v>
      </c>
      <c r="R202" s="1">
        <v>5893</v>
      </c>
      <c r="T202" s="1">
        <f t="shared" si="29"/>
        <v>4871</v>
      </c>
      <c r="V202" s="1">
        <v>7200</v>
      </c>
      <c r="W202" s="1">
        <v>2405</v>
      </c>
      <c r="AS202" s="4"/>
    </row>
    <row r="203" spans="2:45" x14ac:dyDescent="0.25">
      <c r="B203" s="2" t="s">
        <v>152</v>
      </c>
      <c r="C203" s="11" t="s">
        <v>109</v>
      </c>
      <c r="D203" t="s">
        <v>162</v>
      </c>
      <c r="P203" s="1">
        <v>5208</v>
      </c>
      <c r="Q203" s="1">
        <v>4054</v>
      </c>
      <c r="T203" s="1">
        <f t="shared" si="29"/>
        <v>4631</v>
      </c>
      <c r="V203" s="1">
        <v>206</v>
      </c>
      <c r="W203" s="1">
        <v>78</v>
      </c>
      <c r="AS203" s="4"/>
    </row>
    <row r="204" spans="2:45" x14ac:dyDescent="0.25">
      <c r="B204" t="s">
        <v>213</v>
      </c>
      <c r="C204" s="11" t="s">
        <v>169</v>
      </c>
      <c r="P204" s="1">
        <v>26924</v>
      </c>
      <c r="Q204" s="1">
        <v>10329</v>
      </c>
      <c r="R204" s="1">
        <v>18641</v>
      </c>
      <c r="T204" s="1">
        <f t="shared" si="29"/>
        <v>18631.333333333332</v>
      </c>
      <c r="V204" s="1">
        <v>13000</v>
      </c>
      <c r="W204" s="1">
        <v>12800</v>
      </c>
      <c r="AS204" s="4"/>
    </row>
    <row r="205" spans="2:45" x14ac:dyDescent="0.25">
      <c r="B205" s="12"/>
      <c r="C205" s="13"/>
      <c r="D205" s="14"/>
      <c r="E205" s="14"/>
      <c r="F205" s="14"/>
      <c r="G205" s="14"/>
      <c r="H205" s="14"/>
      <c r="I205" s="14"/>
      <c r="J205" s="14"/>
      <c r="K205" s="14"/>
      <c r="L205" s="14"/>
      <c r="M205" s="14"/>
      <c r="N205" s="14"/>
      <c r="O205" s="14"/>
      <c r="P205" s="15">
        <f>SUM(P193:P204)</f>
        <v>1928266</v>
      </c>
      <c r="Q205" s="15">
        <f>SUM(Q193:Q204)</f>
        <v>2317245</v>
      </c>
      <c r="R205" s="15">
        <f>SUM(R193:R204)</f>
        <v>2858862</v>
      </c>
      <c r="S205" s="15"/>
      <c r="T205" s="15">
        <f>SUM(T193:T204)</f>
        <v>2359803.666666667</v>
      </c>
      <c r="U205" s="15"/>
      <c r="V205" s="15">
        <f t="shared" ref="V205:AA205" si="30">SUM(V193:V204)</f>
        <v>627036</v>
      </c>
      <c r="W205" s="15">
        <f t="shared" si="30"/>
        <v>140121</v>
      </c>
      <c r="X205" s="15">
        <f t="shared" si="30"/>
        <v>0</v>
      </c>
      <c r="Y205" s="15">
        <f t="shared" si="30"/>
        <v>35002</v>
      </c>
      <c r="Z205" s="15">
        <f t="shared" si="30"/>
        <v>0</v>
      </c>
      <c r="AA205" s="15">
        <f t="shared" si="30"/>
        <v>0</v>
      </c>
    </row>
    <row r="207" spans="2:45" x14ac:dyDescent="0.25">
      <c r="B207" s="2"/>
      <c r="C207" s="10" t="s">
        <v>342</v>
      </c>
      <c r="AS207" s="4"/>
    </row>
    <row r="208" spans="2:45" x14ac:dyDescent="0.25">
      <c r="B208" t="s">
        <v>155</v>
      </c>
      <c r="C208" s="11" t="s">
        <v>156</v>
      </c>
      <c r="D208" t="s">
        <v>162</v>
      </c>
      <c r="AS208" s="4"/>
    </row>
    <row r="209" spans="2:45" x14ac:dyDescent="0.25">
      <c r="B209" t="s">
        <v>153</v>
      </c>
      <c r="C209" s="11" t="s">
        <v>154</v>
      </c>
      <c r="D209" t="s">
        <v>163</v>
      </c>
      <c r="AS209" s="4"/>
    </row>
    <row r="210" spans="2:45" x14ac:dyDescent="0.25">
      <c r="B210" t="s">
        <v>157</v>
      </c>
      <c r="C210" s="11" t="s">
        <v>110</v>
      </c>
      <c r="D210" t="s">
        <v>163</v>
      </c>
      <c r="AS210" s="4"/>
    </row>
    <row r="211" spans="2:45" x14ac:dyDescent="0.25">
      <c r="B211" s="2" t="s">
        <v>158</v>
      </c>
      <c r="C211" s="11" t="s">
        <v>159</v>
      </c>
      <c r="AS211" s="4"/>
    </row>
    <row r="212" spans="2:45" x14ac:dyDescent="0.25">
      <c r="B212" t="s">
        <v>89</v>
      </c>
      <c r="C212" s="11" t="s">
        <v>160</v>
      </c>
      <c r="AS212" s="4"/>
    </row>
    <row r="213" spans="2:45" x14ac:dyDescent="0.25">
      <c r="B213" t="s">
        <v>161</v>
      </c>
      <c r="C213" s="11" t="s">
        <v>164</v>
      </c>
      <c r="AS213" s="4"/>
    </row>
    <row r="214" spans="2:45" x14ac:dyDescent="0.25">
      <c r="B214" t="s">
        <v>165</v>
      </c>
      <c r="C214" s="11" t="s">
        <v>166</v>
      </c>
      <c r="AS214" s="4"/>
    </row>
    <row r="215" spans="2:45" x14ac:dyDescent="0.25">
      <c r="B215" s="2" t="s">
        <v>167</v>
      </c>
      <c r="C215" s="11" t="s">
        <v>111</v>
      </c>
      <c r="AS215" s="4"/>
    </row>
    <row r="216" spans="2:45" x14ac:dyDescent="0.25">
      <c r="B216" t="s">
        <v>90</v>
      </c>
      <c r="C216" s="11" t="s">
        <v>168</v>
      </c>
      <c r="AS216" s="4"/>
    </row>
    <row r="217" spans="2:45" x14ac:dyDescent="0.25">
      <c r="C217" t="s">
        <v>218</v>
      </c>
      <c r="AS217" s="4"/>
    </row>
    <row r="218" spans="2:45" x14ac:dyDescent="0.25">
      <c r="C218" t="s">
        <v>220</v>
      </c>
      <c r="AS218" s="4"/>
    </row>
    <row r="219" spans="2:45" x14ac:dyDescent="0.25">
      <c r="B219" t="s">
        <v>503</v>
      </c>
      <c r="C219" s="11" t="s">
        <v>502</v>
      </c>
      <c r="AS219" s="4"/>
    </row>
    <row r="220" spans="2:45" x14ac:dyDescent="0.25">
      <c r="D220" s="2"/>
      <c r="AS220" s="4"/>
    </row>
    <row r="221" spans="2:45" x14ac:dyDescent="0.25">
      <c r="C221" t="s">
        <v>566</v>
      </c>
      <c r="I221" s="5"/>
      <c r="J221" s="5"/>
    </row>
    <row r="222" spans="2:45" x14ac:dyDescent="0.25">
      <c r="C222" t="s">
        <v>567</v>
      </c>
      <c r="J222" s="5"/>
      <c r="AS222" s="4"/>
    </row>
    <row r="223" spans="2:45" x14ac:dyDescent="0.25">
      <c r="C223" t="s">
        <v>569</v>
      </c>
      <c r="J223" s="5"/>
    </row>
    <row r="224" spans="2:45" x14ac:dyDescent="0.25">
      <c r="C224" t="s">
        <v>572</v>
      </c>
      <c r="I224" s="5"/>
      <c r="J224" s="5"/>
    </row>
    <row r="225" spans="3:3" x14ac:dyDescent="0.25">
      <c r="C225" t="s">
        <v>588</v>
      </c>
    </row>
  </sheetData>
  <hyperlinks>
    <hyperlink ref="C173" r:id="rId1" xr:uid="{627AD401-8879-46AF-826B-951E076858CE}"/>
    <hyperlink ref="C174" r:id="rId2" xr:uid="{CE7AB5D5-DBED-4997-969C-D06F2150A062}"/>
    <hyperlink ref="B211" r:id="rId3" xr:uid="{8FCD03A6-470F-41DA-A0B9-61FA2450B362}"/>
    <hyperlink ref="B14" r:id="rId4" xr:uid="{3A799A49-A164-47EA-B7DB-8FAC4DF1DB4C}"/>
    <hyperlink ref="B15" r:id="rId5" xr:uid="{C03B790E-73D6-49CA-82F9-AEC095F2A3FA}"/>
    <hyperlink ref="B16" r:id="rId6" xr:uid="{6D21F92E-904C-40B3-BD6F-3CECF09FA859}"/>
    <hyperlink ref="B17" r:id="rId7" xr:uid="{02BA57C1-B927-4CE9-99E6-6279D07D9141}"/>
    <hyperlink ref="B26" r:id="rId8" xr:uid="{91A6D58B-9BBA-4FAA-B208-451374D9042A}"/>
    <hyperlink ref="B38" r:id="rId9" display="https://lmctplus.com/" xr:uid="{73DBA16C-35AA-432B-A90D-126F1C7413F4}"/>
    <hyperlink ref="B41" r:id="rId10" xr:uid="{55F3B8D0-E72B-4202-95EB-B50C0D48312C}"/>
    <hyperlink ref="B39" r:id="rId11" xr:uid="{A91426FE-5F64-4B1A-A64C-D7BFEC909863}"/>
    <hyperlink ref="B43" r:id="rId12" xr:uid="{0F4523C2-E6E4-47C7-8A6F-904FF0E9DE20}"/>
    <hyperlink ref="B40" r:id="rId13" xr:uid="{1C3C8C33-D632-4216-912B-7E94780B270A}"/>
    <hyperlink ref="B42" r:id="rId14" xr:uid="{04969BDF-D047-44BE-ACB8-639EC3ACFDBA}"/>
    <hyperlink ref="B44" r:id="rId15" xr:uid="{66516753-041C-4700-BC45-F8F47C021CCC}"/>
    <hyperlink ref="B45" r:id="rId16" xr:uid="{5CD0664F-9348-430B-849F-EB5A1230F9C2}"/>
    <hyperlink ref="B46" r:id="rId17" xr:uid="{F0FF2A62-0786-4832-BA36-D4C0F453669F}"/>
    <hyperlink ref="B47" r:id="rId18" xr:uid="{7D1CD09D-AA4A-4E34-9376-99250A31213C}"/>
    <hyperlink ref="B48" r:id="rId19" xr:uid="{38134DBA-0821-4A43-953C-AD035EEBEC8E}"/>
    <hyperlink ref="B49" r:id="rId20" xr:uid="{937F823F-F7A4-4507-B241-0D8EDF38FFC2}"/>
    <hyperlink ref="B74" r:id="rId21" xr:uid="{9AFEE2B8-0CDE-463D-9407-319862E4AF78}"/>
    <hyperlink ref="B50" r:id="rId22" xr:uid="{83A10954-0508-457B-A475-C21EB8993DEC}"/>
    <hyperlink ref="B51" r:id="rId23" xr:uid="{CC37A468-931A-40FE-8B79-9674E0FAAB09}"/>
    <hyperlink ref="B52" r:id="rId24" xr:uid="{32F0B200-77DD-42E4-9389-7FAD65344A2B}"/>
    <hyperlink ref="B162" r:id="rId25" xr:uid="{59EC1CF8-27DA-45EA-B3E2-025BE4188D6F}"/>
    <hyperlink ref="B68" r:id="rId26" xr:uid="{482D33A3-A426-4878-8D76-B174A4E80519}"/>
    <hyperlink ref="B194" r:id="rId27" xr:uid="{C33BC2ED-834C-401A-A459-E402487277DE}"/>
    <hyperlink ref="B195" r:id="rId28" xr:uid="{3706ADEC-97FD-4ACA-8120-72A27CEF440E}"/>
    <hyperlink ref="B193" r:id="rId29" xr:uid="{0C15656A-320A-4DF5-9E61-2E9CB5C396CB}"/>
    <hyperlink ref="B202" r:id="rId30" xr:uid="{A9779684-FE71-49C0-A4B9-E837C7CE471C}"/>
    <hyperlink ref="B203" r:id="rId31" xr:uid="{690587F7-A453-45F4-8863-D20CCBA17634}"/>
    <hyperlink ref="B27" r:id="rId32" xr:uid="{175D57F6-919F-417D-AB62-710B83526698}"/>
    <hyperlink ref="B55" r:id="rId33" xr:uid="{0C63C691-F82D-413B-A526-95263D970CC9}"/>
    <hyperlink ref="B215" r:id="rId34" xr:uid="{47854D2B-7B25-468F-B751-E80D5E732D8B}"/>
    <hyperlink ref="B59" r:id="rId35" xr:uid="{A0C3DB44-1233-4B7D-B07D-FD6FD367F589}"/>
    <hyperlink ref="B70" r:id="rId36" xr:uid="{0A46EA3E-792D-4874-8468-8932E3377441}"/>
    <hyperlink ref="B67" r:id="rId37" xr:uid="{6FAB594C-1A90-4278-ACCE-76853B5FF7D2}"/>
    <hyperlink ref="B141" r:id="rId38" xr:uid="{793B69DD-E9E2-44F7-B150-4452B869C69E}"/>
    <hyperlink ref="B151" r:id="rId39" xr:uid="{4B24FB47-35A9-4FF8-86A0-8639E4D750AD}"/>
    <hyperlink ref="B152" r:id="rId40" xr:uid="{6FCBF1B9-EDA1-4956-99F9-0074144A0D7D}"/>
    <hyperlink ref="B69" r:id="rId41" xr:uid="{653CC0E0-09C6-4003-B8C3-842C20F7F6B8}"/>
    <hyperlink ref="B159" r:id="rId42" xr:uid="{358A04C4-6E0D-47BC-AF2A-9F0B41512CE8}"/>
    <hyperlink ref="B142" r:id="rId43" xr:uid="{E2986966-8A86-4248-8B58-2B028440EDAB}"/>
    <hyperlink ref="B165" r:id="rId44" xr:uid="{629B8EFC-513B-4F54-B189-960150E8400B}"/>
    <hyperlink ref="B154" r:id="rId45" xr:uid="{44B8B105-1A36-4064-A4E6-BD6BF9B6766B}"/>
    <hyperlink ref="C175" r:id="rId46" xr:uid="{C14A3570-D115-44D0-9590-D98C215383C3}"/>
    <hyperlink ref="C89" r:id="rId47" xr:uid="{7D68A036-A395-437F-B45C-675E23F3942B}"/>
    <hyperlink ref="C90" r:id="rId48" xr:uid="{7987B0A9-A4C0-4255-9F42-C5D65D956BA2}"/>
    <hyperlink ref="C91" r:id="rId49" xr:uid="{BDF2E40F-14CE-4785-80E5-B4989421B0A2}"/>
    <hyperlink ref="C136" r:id="rId50" xr:uid="{B0AA2F0D-EE41-4899-97BE-E16674C74452}"/>
    <hyperlink ref="B199" r:id="rId51" xr:uid="{1A1CC589-369D-47BA-8202-59EE7C967110}"/>
    <hyperlink ref="J200" r:id="rId52" xr:uid="{F380CE58-DE41-495F-B7B3-A0D7BCD75693}"/>
  </hyperlinks>
  <pageMargins left="0.7" right="0.7" top="0.75" bottom="0.75" header="0.3" footer="0.3"/>
  <pageSetup paperSize="9" scale="96" orientation="portrait" r:id="rId53"/>
  <drawing r:id="rId54"/>
  <legacyDrawing r:id="rId5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20B8-79E3-495E-908D-8D572FE54C71}">
  <sheetPr>
    <tabColor theme="3" tint="0.79998168889431442"/>
  </sheetPr>
  <dimension ref="B2:Q56"/>
  <sheetViews>
    <sheetView workbookViewId="0">
      <selection activeCell="J28" sqref="J28"/>
    </sheetView>
  </sheetViews>
  <sheetFormatPr defaultRowHeight="15" x14ac:dyDescent="0.25"/>
  <cols>
    <col min="2" max="2" width="9.140625" style="20"/>
    <col min="3" max="3" width="9.85546875" bestFit="1" customWidth="1"/>
    <col min="5" max="5" width="12.7109375" customWidth="1"/>
    <col min="7" max="7" width="9.140625" style="20"/>
    <col min="8" max="9" width="10.7109375" customWidth="1"/>
    <col min="10" max="10" width="9.140625" style="20"/>
    <col min="11" max="14" width="12.7109375" customWidth="1"/>
    <col min="15" max="15" width="11.140625" bestFit="1" customWidth="1"/>
  </cols>
  <sheetData>
    <row r="2" spans="2:17" x14ac:dyDescent="0.25">
      <c r="B2" s="120"/>
      <c r="C2" s="120"/>
      <c r="D2" s="120"/>
      <c r="E2" s="120"/>
      <c r="F2" s="120"/>
      <c r="G2" s="120"/>
      <c r="H2" s="120"/>
      <c r="I2" s="120"/>
      <c r="J2" s="120"/>
      <c r="K2" s="120"/>
      <c r="L2" s="120"/>
      <c r="M2" s="120"/>
      <c r="N2" s="120"/>
      <c r="O2" s="120"/>
      <c r="Q2" t="s">
        <v>595</v>
      </c>
    </row>
    <row r="3" spans="2:17" ht="30" x14ac:dyDescent="0.25">
      <c r="B3" s="119"/>
      <c r="C3" s="119" t="s">
        <v>388</v>
      </c>
      <c r="D3" s="119" t="s">
        <v>630</v>
      </c>
      <c r="E3" s="119" t="s">
        <v>629</v>
      </c>
      <c r="F3" s="119"/>
      <c r="G3" s="119" t="s">
        <v>628</v>
      </c>
      <c r="H3" s="119" t="s">
        <v>627</v>
      </c>
      <c r="I3" s="119" t="s">
        <v>626</v>
      </c>
      <c r="J3" s="119" t="s">
        <v>625</v>
      </c>
      <c r="K3" s="119" t="s">
        <v>624</v>
      </c>
      <c r="L3" s="119" t="s">
        <v>23</v>
      </c>
      <c r="M3" s="119" t="s">
        <v>623</v>
      </c>
      <c r="N3" s="119" t="s">
        <v>622</v>
      </c>
      <c r="O3" s="119" t="s">
        <v>621</v>
      </c>
    </row>
    <row r="4" spans="2:17" x14ac:dyDescent="0.25">
      <c r="B4" s="113"/>
      <c r="C4" s="112">
        <v>45111</v>
      </c>
      <c r="D4" s="20"/>
      <c r="E4" s="111">
        <v>100000</v>
      </c>
      <c r="G4" s="20" t="s">
        <v>620</v>
      </c>
      <c r="H4" s="112">
        <v>41091</v>
      </c>
      <c r="I4" s="117">
        <f t="shared" ref="I4:I17" si="0">EOMONTH(H4,11)</f>
        <v>41455</v>
      </c>
      <c r="N4" s="111"/>
      <c r="O4" s="109"/>
    </row>
    <row r="5" spans="2:17" x14ac:dyDescent="0.25">
      <c r="B5" s="113"/>
      <c r="C5" s="112">
        <v>45114</v>
      </c>
      <c r="D5" s="20">
        <f t="shared" ref="D5:D52" si="1">C5-C4</f>
        <v>3</v>
      </c>
      <c r="E5" s="111"/>
      <c r="G5" s="20" t="s">
        <v>619</v>
      </c>
      <c r="H5" s="117">
        <f t="shared" ref="H5:H17" si="2">I4+1</f>
        <v>41456</v>
      </c>
      <c r="I5" s="117">
        <f t="shared" si="0"/>
        <v>41820</v>
      </c>
      <c r="N5" s="111"/>
      <c r="O5" s="109"/>
    </row>
    <row r="6" spans="2:17" x14ac:dyDescent="0.25">
      <c r="B6" s="113"/>
      <c r="C6" s="112">
        <v>45121</v>
      </c>
      <c r="D6" s="20">
        <f t="shared" si="1"/>
        <v>7</v>
      </c>
      <c r="E6" s="111"/>
      <c r="G6" s="20" t="s">
        <v>618</v>
      </c>
      <c r="H6" s="117">
        <f t="shared" si="2"/>
        <v>41821</v>
      </c>
      <c r="I6" s="117">
        <f t="shared" si="0"/>
        <v>42185</v>
      </c>
      <c r="N6" s="111"/>
      <c r="O6" s="109"/>
    </row>
    <row r="7" spans="2:17" x14ac:dyDescent="0.25">
      <c r="B7" s="113"/>
      <c r="C7" s="112">
        <v>45126</v>
      </c>
      <c r="D7" s="20">
        <f t="shared" si="1"/>
        <v>5</v>
      </c>
      <c r="E7" s="111"/>
      <c r="G7" s="20" t="s">
        <v>617</v>
      </c>
      <c r="H7" s="117">
        <f t="shared" si="2"/>
        <v>42186</v>
      </c>
      <c r="I7" s="117">
        <f t="shared" si="0"/>
        <v>42551</v>
      </c>
      <c r="N7" s="111"/>
      <c r="O7" s="109"/>
    </row>
    <row r="8" spans="2:17" x14ac:dyDescent="0.25">
      <c r="B8" s="113"/>
      <c r="C8" s="112">
        <v>45127</v>
      </c>
      <c r="D8" s="20">
        <f t="shared" si="1"/>
        <v>1</v>
      </c>
      <c r="E8" s="111"/>
      <c r="G8" s="20" t="s">
        <v>616</v>
      </c>
      <c r="H8" s="117">
        <f t="shared" si="2"/>
        <v>42552</v>
      </c>
      <c r="I8" s="117">
        <f t="shared" si="0"/>
        <v>42916</v>
      </c>
      <c r="K8" s="115"/>
      <c r="L8" s="115"/>
      <c r="M8" s="115"/>
      <c r="N8" s="111"/>
      <c r="O8" s="109"/>
    </row>
    <row r="9" spans="2:17" x14ac:dyDescent="0.25">
      <c r="B9" s="113"/>
      <c r="C9" s="112">
        <v>45128</v>
      </c>
      <c r="D9" s="20">
        <f t="shared" si="1"/>
        <v>1</v>
      </c>
      <c r="E9" s="111"/>
      <c r="G9" s="20" t="s">
        <v>578</v>
      </c>
      <c r="H9" s="117">
        <f t="shared" si="2"/>
        <v>42917</v>
      </c>
      <c r="I9" s="117">
        <f t="shared" si="0"/>
        <v>43281</v>
      </c>
      <c r="J9" s="116">
        <f t="shared" ref="J9:J17" si="3">COUNTIFS($C:$C,"&gt;="&amp;H9,$C:$C,"&lt;="&amp;I9)</f>
        <v>0</v>
      </c>
      <c r="K9" s="115" t="e">
        <f t="shared" ref="K9:K17" si="4">AVERAGEIFS($E:$E,$C:$C,"&gt;="&amp;H9,$C:$C,"&lt;="&amp;I9)</f>
        <v>#DIV/0!</v>
      </c>
      <c r="L9" s="115">
        <f t="shared" ref="L9:L17" si="5">SUMIFS($E:$E,$C:$C,"&gt;="&amp;H9,$C:$C,"&lt;="&amp;I9)</f>
        <v>0</v>
      </c>
      <c r="M9" s="115"/>
      <c r="N9" s="111"/>
      <c r="O9" s="6" t="e">
        <f t="shared" ref="O9:O17" si="6">L9/N9</f>
        <v>#DIV/0!</v>
      </c>
    </row>
    <row r="10" spans="2:17" x14ac:dyDescent="0.25">
      <c r="B10" s="113"/>
      <c r="C10" s="112">
        <v>45135</v>
      </c>
      <c r="D10" s="20">
        <f t="shared" si="1"/>
        <v>7</v>
      </c>
      <c r="E10" s="111"/>
      <c r="G10" s="20" t="s">
        <v>577</v>
      </c>
      <c r="H10" s="117">
        <f t="shared" si="2"/>
        <v>43282</v>
      </c>
      <c r="I10" s="117">
        <f t="shared" si="0"/>
        <v>43646</v>
      </c>
      <c r="J10" s="116">
        <f t="shared" si="3"/>
        <v>0</v>
      </c>
      <c r="K10" s="115" t="e">
        <f t="shared" si="4"/>
        <v>#DIV/0!</v>
      </c>
      <c r="L10" s="115">
        <f t="shared" si="5"/>
        <v>0</v>
      </c>
      <c r="M10" s="118" t="e">
        <f t="shared" ref="M10:M16" si="7">L10/L9-1</f>
        <v>#DIV/0!</v>
      </c>
      <c r="N10" s="111"/>
      <c r="O10" s="6" t="e">
        <f t="shared" si="6"/>
        <v>#DIV/0!</v>
      </c>
    </row>
    <row r="11" spans="2:17" x14ac:dyDescent="0.25">
      <c r="B11" s="113"/>
      <c r="C11" s="112">
        <v>45140</v>
      </c>
      <c r="D11" s="20">
        <f t="shared" si="1"/>
        <v>5</v>
      </c>
      <c r="E11" s="111"/>
      <c r="G11" s="20" t="s">
        <v>434</v>
      </c>
      <c r="H11" s="117">
        <f t="shared" si="2"/>
        <v>43647</v>
      </c>
      <c r="I11" s="117">
        <f t="shared" si="0"/>
        <v>44012</v>
      </c>
      <c r="J11" s="116">
        <f t="shared" si="3"/>
        <v>0</v>
      </c>
      <c r="K11" s="115" t="e">
        <f t="shared" si="4"/>
        <v>#DIV/0!</v>
      </c>
      <c r="L11" s="115">
        <f t="shared" si="5"/>
        <v>0</v>
      </c>
      <c r="M11" s="118" t="e">
        <f t="shared" si="7"/>
        <v>#DIV/0!</v>
      </c>
      <c r="N11" s="111"/>
      <c r="O11" s="6" t="e">
        <f t="shared" si="6"/>
        <v>#DIV/0!</v>
      </c>
    </row>
    <row r="12" spans="2:17" x14ac:dyDescent="0.25">
      <c r="B12" s="113"/>
      <c r="C12" s="112">
        <v>45148</v>
      </c>
      <c r="D12" s="20">
        <f t="shared" si="1"/>
        <v>8</v>
      </c>
      <c r="E12" s="111">
        <v>100000</v>
      </c>
      <c r="G12" s="20" t="s">
        <v>435</v>
      </c>
      <c r="H12" s="117">
        <f t="shared" si="2"/>
        <v>44013</v>
      </c>
      <c r="I12" s="117">
        <f t="shared" si="0"/>
        <v>44377</v>
      </c>
      <c r="J12" s="116">
        <f t="shared" si="3"/>
        <v>0</v>
      </c>
      <c r="K12" s="115" t="e">
        <f t="shared" si="4"/>
        <v>#DIV/0!</v>
      </c>
      <c r="L12" s="115">
        <f t="shared" si="5"/>
        <v>0</v>
      </c>
      <c r="M12" s="118" t="e">
        <f t="shared" si="7"/>
        <v>#DIV/0!</v>
      </c>
      <c r="N12" s="111"/>
      <c r="O12" s="6" t="e">
        <f t="shared" si="6"/>
        <v>#DIV/0!</v>
      </c>
    </row>
    <row r="13" spans="2:17" x14ac:dyDescent="0.25">
      <c r="B13" s="113"/>
      <c r="C13" s="112">
        <v>45156</v>
      </c>
      <c r="D13" s="20">
        <f t="shared" si="1"/>
        <v>8</v>
      </c>
      <c r="E13" s="111"/>
      <c r="G13" s="20" t="s">
        <v>436</v>
      </c>
      <c r="H13" s="117">
        <f t="shared" si="2"/>
        <v>44378</v>
      </c>
      <c r="I13" s="117">
        <f t="shared" si="0"/>
        <v>44742</v>
      </c>
      <c r="J13" s="116">
        <f t="shared" si="3"/>
        <v>0</v>
      </c>
      <c r="K13" s="115" t="e">
        <f t="shared" si="4"/>
        <v>#DIV/0!</v>
      </c>
      <c r="L13" s="115">
        <f t="shared" si="5"/>
        <v>0</v>
      </c>
      <c r="M13" s="118" t="e">
        <f t="shared" si="7"/>
        <v>#DIV/0!</v>
      </c>
      <c r="N13" s="111"/>
      <c r="O13" s="6" t="e">
        <f t="shared" si="6"/>
        <v>#DIV/0!</v>
      </c>
    </row>
    <row r="14" spans="2:17" x14ac:dyDescent="0.25">
      <c r="B14" s="113"/>
      <c r="C14" s="112">
        <v>45158</v>
      </c>
      <c r="D14" s="20">
        <f t="shared" si="1"/>
        <v>2</v>
      </c>
      <c r="E14" s="111">
        <v>100000</v>
      </c>
      <c r="G14" s="20" t="s">
        <v>437</v>
      </c>
      <c r="H14" s="117">
        <f t="shared" si="2"/>
        <v>44743</v>
      </c>
      <c r="I14" s="117">
        <f t="shared" si="0"/>
        <v>45107</v>
      </c>
      <c r="J14" s="116">
        <f t="shared" si="3"/>
        <v>0</v>
      </c>
      <c r="K14" s="115" t="e">
        <f t="shared" si="4"/>
        <v>#DIV/0!</v>
      </c>
      <c r="L14" s="115">
        <f t="shared" si="5"/>
        <v>0</v>
      </c>
      <c r="M14" s="118" t="e">
        <f t="shared" si="7"/>
        <v>#DIV/0!</v>
      </c>
      <c r="N14" s="111"/>
      <c r="O14" s="6" t="e">
        <f t="shared" si="6"/>
        <v>#DIV/0!</v>
      </c>
    </row>
    <row r="15" spans="2:17" x14ac:dyDescent="0.25">
      <c r="B15" s="113"/>
      <c r="C15" s="112">
        <v>45165</v>
      </c>
      <c r="D15" s="20">
        <f t="shared" si="1"/>
        <v>7</v>
      </c>
      <c r="E15" s="111">
        <v>2000000</v>
      </c>
      <c r="G15" s="20" t="s">
        <v>438</v>
      </c>
      <c r="H15" s="117">
        <f t="shared" si="2"/>
        <v>45108</v>
      </c>
      <c r="I15" s="117">
        <f t="shared" si="0"/>
        <v>45473</v>
      </c>
      <c r="J15" s="116">
        <f t="shared" si="3"/>
        <v>27</v>
      </c>
      <c r="K15" s="115">
        <f t="shared" si="4"/>
        <v>406250</v>
      </c>
      <c r="L15" s="115">
        <f t="shared" si="5"/>
        <v>3250000</v>
      </c>
      <c r="M15" s="118" t="e">
        <f t="shared" si="7"/>
        <v>#DIV/0!</v>
      </c>
      <c r="N15" s="111"/>
      <c r="O15" s="6" t="e">
        <f t="shared" si="6"/>
        <v>#DIV/0!</v>
      </c>
    </row>
    <row r="16" spans="2:17" x14ac:dyDescent="0.25">
      <c r="B16" s="113"/>
      <c r="C16" s="112">
        <v>45170</v>
      </c>
      <c r="D16" s="20">
        <f t="shared" si="1"/>
        <v>5</v>
      </c>
      <c r="E16" s="111"/>
      <c r="G16" s="20" t="s">
        <v>582</v>
      </c>
      <c r="H16" s="117">
        <f t="shared" si="2"/>
        <v>45474</v>
      </c>
      <c r="I16" s="117">
        <f t="shared" si="0"/>
        <v>45838</v>
      </c>
      <c r="J16" s="116">
        <f t="shared" si="3"/>
        <v>0</v>
      </c>
      <c r="K16" s="115" t="e">
        <f t="shared" si="4"/>
        <v>#DIV/0!</v>
      </c>
      <c r="L16" s="115">
        <f t="shared" si="5"/>
        <v>0</v>
      </c>
      <c r="M16" s="118">
        <f t="shared" si="7"/>
        <v>-1</v>
      </c>
      <c r="N16" s="115"/>
      <c r="O16" s="6" t="e">
        <f t="shared" si="6"/>
        <v>#DIV/0!</v>
      </c>
    </row>
    <row r="17" spans="2:15" x14ac:dyDescent="0.25">
      <c r="B17" s="113"/>
      <c r="C17" s="112">
        <v>45176</v>
      </c>
      <c r="D17" s="20">
        <f t="shared" si="1"/>
        <v>6</v>
      </c>
      <c r="E17" s="111"/>
      <c r="G17" s="20" t="s">
        <v>583</v>
      </c>
      <c r="H17" s="117">
        <f t="shared" si="2"/>
        <v>45839</v>
      </c>
      <c r="I17" s="117">
        <f t="shared" si="0"/>
        <v>46203</v>
      </c>
      <c r="J17" s="116">
        <f t="shared" si="3"/>
        <v>0</v>
      </c>
      <c r="K17" s="115" t="e">
        <f t="shared" si="4"/>
        <v>#DIV/0!</v>
      </c>
      <c r="L17" s="115">
        <f t="shared" si="5"/>
        <v>0</v>
      </c>
      <c r="M17" s="114"/>
      <c r="N17" s="111"/>
      <c r="O17" s="6" t="e">
        <f t="shared" si="6"/>
        <v>#DIV/0!</v>
      </c>
    </row>
    <row r="18" spans="2:15" x14ac:dyDescent="0.25">
      <c r="B18" s="113"/>
      <c r="C18" s="112">
        <v>45183</v>
      </c>
      <c r="D18" s="20">
        <f t="shared" si="1"/>
        <v>7</v>
      </c>
      <c r="E18" s="111">
        <v>150000</v>
      </c>
    </row>
    <row r="19" spans="2:15" x14ac:dyDescent="0.25">
      <c r="B19" s="113"/>
      <c r="C19" s="112">
        <v>45190</v>
      </c>
      <c r="D19" s="20">
        <f t="shared" si="1"/>
        <v>7</v>
      </c>
      <c r="E19" s="111"/>
    </row>
    <row r="20" spans="2:15" x14ac:dyDescent="0.25">
      <c r="B20" s="113"/>
      <c r="C20" s="112">
        <v>45197</v>
      </c>
      <c r="D20" s="20">
        <f t="shared" si="1"/>
        <v>7</v>
      </c>
      <c r="E20" s="111"/>
    </row>
    <row r="21" spans="2:15" x14ac:dyDescent="0.25">
      <c r="B21" s="113"/>
      <c r="C21" s="112">
        <v>45204</v>
      </c>
      <c r="D21" s="20">
        <f t="shared" si="1"/>
        <v>7</v>
      </c>
      <c r="E21" s="111">
        <v>250000</v>
      </c>
    </row>
    <row r="22" spans="2:15" x14ac:dyDescent="0.25">
      <c r="B22" s="113"/>
      <c r="C22" s="112">
        <v>45211</v>
      </c>
      <c r="D22" s="20">
        <f t="shared" si="1"/>
        <v>7</v>
      </c>
      <c r="E22" s="111"/>
    </row>
    <row r="23" spans="2:15" x14ac:dyDescent="0.25">
      <c r="B23" s="113"/>
      <c r="C23" s="112">
        <v>45214</v>
      </c>
      <c r="D23" s="20">
        <f t="shared" si="1"/>
        <v>3</v>
      </c>
      <c r="E23" s="111">
        <v>350000</v>
      </c>
    </row>
    <row r="24" spans="2:15" x14ac:dyDescent="0.25">
      <c r="B24" s="113"/>
      <c r="C24" s="112">
        <v>45216</v>
      </c>
      <c r="D24" s="20">
        <f t="shared" si="1"/>
        <v>2</v>
      </c>
      <c r="E24" s="111"/>
    </row>
    <row r="25" spans="2:15" x14ac:dyDescent="0.25">
      <c r="B25" s="113"/>
      <c r="C25" s="112">
        <v>45218</v>
      </c>
      <c r="D25" s="20">
        <f t="shared" si="1"/>
        <v>2</v>
      </c>
      <c r="E25" s="111"/>
    </row>
    <row r="26" spans="2:15" x14ac:dyDescent="0.25">
      <c r="B26" s="113"/>
      <c r="C26" s="112">
        <v>45219</v>
      </c>
      <c r="D26" s="20">
        <f t="shared" si="1"/>
        <v>1</v>
      </c>
      <c r="E26" s="111"/>
    </row>
    <row r="27" spans="2:15" x14ac:dyDescent="0.25">
      <c r="B27" s="113"/>
      <c r="C27" s="112">
        <v>45224</v>
      </c>
      <c r="D27" s="20">
        <f t="shared" si="1"/>
        <v>5</v>
      </c>
      <c r="E27" s="111"/>
    </row>
    <row r="28" spans="2:15" x14ac:dyDescent="0.25">
      <c r="B28" s="113"/>
      <c r="C28" s="112">
        <v>45226</v>
      </c>
      <c r="D28" s="20">
        <f t="shared" si="1"/>
        <v>2</v>
      </c>
      <c r="E28" s="111"/>
    </row>
    <row r="29" spans="2:15" x14ac:dyDescent="0.25">
      <c r="B29" s="113"/>
      <c r="C29" s="112">
        <v>45227</v>
      </c>
      <c r="D29" s="20">
        <f t="shared" si="1"/>
        <v>1</v>
      </c>
      <c r="E29" s="111"/>
    </row>
    <row r="30" spans="2:15" x14ac:dyDescent="0.25">
      <c r="B30" s="113"/>
      <c r="C30" s="112">
        <v>45231</v>
      </c>
      <c r="D30" s="20">
        <f t="shared" si="1"/>
        <v>4</v>
      </c>
      <c r="E30" s="111">
        <v>200000</v>
      </c>
    </row>
    <row r="31" spans="2:15" x14ac:dyDescent="0.25">
      <c r="B31" s="113"/>
      <c r="C31" s="112"/>
      <c r="D31" s="20">
        <f t="shared" si="1"/>
        <v>-45231</v>
      </c>
      <c r="E31" s="111"/>
    </row>
    <row r="32" spans="2:15" x14ac:dyDescent="0.25">
      <c r="B32" s="113"/>
      <c r="C32" s="112"/>
      <c r="D32" s="20">
        <f t="shared" si="1"/>
        <v>0</v>
      </c>
      <c r="E32" s="111"/>
    </row>
    <row r="33" spans="2:5" x14ac:dyDescent="0.25">
      <c r="B33" s="113"/>
      <c r="C33" s="112"/>
      <c r="D33" s="20">
        <f t="shared" si="1"/>
        <v>0</v>
      </c>
      <c r="E33" s="111"/>
    </row>
    <row r="34" spans="2:5" x14ac:dyDescent="0.25">
      <c r="B34" s="113"/>
      <c r="C34" s="112"/>
      <c r="D34" s="20">
        <f t="shared" si="1"/>
        <v>0</v>
      </c>
      <c r="E34" s="111"/>
    </row>
    <row r="35" spans="2:5" x14ac:dyDescent="0.25">
      <c r="B35" s="113"/>
      <c r="C35" s="112"/>
      <c r="D35" s="20">
        <f t="shared" si="1"/>
        <v>0</v>
      </c>
      <c r="E35" s="111"/>
    </row>
    <row r="36" spans="2:5" x14ac:dyDescent="0.25">
      <c r="B36" s="113"/>
      <c r="C36" s="112"/>
      <c r="D36" s="20">
        <f t="shared" si="1"/>
        <v>0</v>
      </c>
      <c r="E36" s="111"/>
    </row>
    <row r="37" spans="2:5" x14ac:dyDescent="0.25">
      <c r="B37" s="113"/>
      <c r="C37" s="112"/>
      <c r="D37" s="20">
        <f t="shared" si="1"/>
        <v>0</v>
      </c>
      <c r="E37" s="111"/>
    </row>
    <row r="38" spans="2:5" x14ac:dyDescent="0.25">
      <c r="B38" s="113"/>
      <c r="C38" s="112"/>
      <c r="D38" s="20">
        <f t="shared" si="1"/>
        <v>0</v>
      </c>
      <c r="E38" s="111"/>
    </row>
    <row r="39" spans="2:5" x14ac:dyDescent="0.25">
      <c r="B39" s="113"/>
      <c r="C39" s="112"/>
      <c r="D39" s="20">
        <f t="shared" si="1"/>
        <v>0</v>
      </c>
      <c r="E39" s="111"/>
    </row>
    <row r="40" spans="2:5" x14ac:dyDescent="0.25">
      <c r="B40" s="113"/>
      <c r="C40" s="112"/>
      <c r="D40" s="20">
        <f t="shared" si="1"/>
        <v>0</v>
      </c>
      <c r="E40" s="111"/>
    </row>
    <row r="41" spans="2:5" x14ac:dyDescent="0.25">
      <c r="B41" s="113"/>
      <c r="C41" s="112"/>
      <c r="D41" s="20">
        <f t="shared" si="1"/>
        <v>0</v>
      </c>
      <c r="E41" s="111"/>
    </row>
    <row r="42" spans="2:5" x14ac:dyDescent="0.25">
      <c r="B42" s="113"/>
      <c r="C42" s="112"/>
      <c r="D42" s="20">
        <f t="shared" si="1"/>
        <v>0</v>
      </c>
      <c r="E42" s="111"/>
    </row>
    <row r="43" spans="2:5" x14ac:dyDescent="0.25">
      <c r="B43" s="113"/>
      <c r="C43" s="112"/>
      <c r="D43" s="20">
        <f t="shared" si="1"/>
        <v>0</v>
      </c>
      <c r="E43" s="111"/>
    </row>
    <row r="44" spans="2:5" x14ac:dyDescent="0.25">
      <c r="B44" s="113"/>
      <c r="C44" s="112"/>
      <c r="D44" s="20">
        <f t="shared" si="1"/>
        <v>0</v>
      </c>
      <c r="E44" s="111"/>
    </row>
    <row r="45" spans="2:5" x14ac:dyDescent="0.25">
      <c r="B45" s="113"/>
      <c r="C45" s="112"/>
      <c r="D45" s="20">
        <f t="shared" si="1"/>
        <v>0</v>
      </c>
      <c r="E45" s="111"/>
    </row>
    <row r="46" spans="2:5" x14ac:dyDescent="0.25">
      <c r="B46" s="113"/>
      <c r="C46" s="112"/>
      <c r="D46" s="20">
        <f t="shared" si="1"/>
        <v>0</v>
      </c>
      <c r="E46" s="111"/>
    </row>
    <row r="47" spans="2:5" x14ac:dyDescent="0.25">
      <c r="B47" s="113"/>
      <c r="C47" s="112"/>
      <c r="D47" s="20">
        <f t="shared" si="1"/>
        <v>0</v>
      </c>
      <c r="E47" s="111"/>
    </row>
    <row r="48" spans="2:5" x14ac:dyDescent="0.25">
      <c r="B48" s="113"/>
      <c r="C48" s="112"/>
      <c r="D48" s="20">
        <f t="shared" si="1"/>
        <v>0</v>
      </c>
      <c r="E48" s="111"/>
    </row>
    <row r="49" spans="2:5" x14ac:dyDescent="0.25">
      <c r="B49" s="113"/>
      <c r="C49" s="112"/>
      <c r="D49" s="20">
        <f t="shared" si="1"/>
        <v>0</v>
      </c>
      <c r="E49" s="111"/>
    </row>
    <row r="50" spans="2:5" x14ac:dyDescent="0.25">
      <c r="B50" s="113"/>
      <c r="C50" s="112"/>
      <c r="D50" s="20">
        <f t="shared" si="1"/>
        <v>0</v>
      </c>
      <c r="E50" s="111"/>
    </row>
    <row r="51" spans="2:5" x14ac:dyDescent="0.25">
      <c r="B51" s="113"/>
      <c r="C51" s="112"/>
      <c r="D51" s="20">
        <f t="shared" si="1"/>
        <v>0</v>
      </c>
      <c r="E51" s="111"/>
    </row>
    <row r="52" spans="2:5" x14ac:dyDescent="0.25">
      <c r="B52" s="113"/>
      <c r="C52" s="112"/>
      <c r="D52" s="20">
        <f t="shared" si="1"/>
        <v>0</v>
      </c>
      <c r="E52" s="111"/>
    </row>
    <row r="53" spans="2:5" x14ac:dyDescent="0.25">
      <c r="B53" s="113"/>
      <c r="C53" s="112"/>
      <c r="D53" s="20"/>
      <c r="E53" s="111"/>
    </row>
    <row r="54" spans="2:5" x14ac:dyDescent="0.25">
      <c r="C54" s="110"/>
      <c r="D54" s="20"/>
      <c r="E54" s="109"/>
    </row>
    <row r="56" spans="2:5" x14ac:dyDescent="0.25">
      <c r="C56" t="s">
        <v>615</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5783-AC01-4C7D-9E2F-5CC15111E07A}">
  <sheetPr codeName="Sheet9">
    <tabColor theme="3" tint="0.79998168889431442"/>
  </sheetPr>
  <dimension ref="A2:T58"/>
  <sheetViews>
    <sheetView zoomScale="70" zoomScaleNormal="70" workbookViewId="0">
      <selection activeCell="G51" sqref="G51"/>
    </sheetView>
  </sheetViews>
  <sheetFormatPr defaultRowHeight="15" x14ac:dyDescent="0.25"/>
  <cols>
    <col min="5" max="5" width="11.5703125" style="8" bestFit="1" customWidth="1"/>
    <col min="6" max="10" width="10.140625" style="8" customWidth="1"/>
    <col min="11" max="11" width="2.7109375" customWidth="1"/>
    <col min="18" max="18" width="11.5703125" bestFit="1" customWidth="1"/>
  </cols>
  <sheetData>
    <row r="2" spans="1:20" x14ac:dyDescent="0.25">
      <c r="C2" s="10" t="s">
        <v>385</v>
      </c>
      <c r="D2" s="10" t="s">
        <v>386</v>
      </c>
      <c r="E2" s="10" t="s">
        <v>388</v>
      </c>
      <c r="F2" s="10" t="s">
        <v>389</v>
      </c>
      <c r="G2" s="10" t="s">
        <v>391</v>
      </c>
      <c r="H2" s="10" t="s">
        <v>392</v>
      </c>
      <c r="I2" s="10" t="s">
        <v>393</v>
      </c>
      <c r="J2" s="10"/>
      <c r="K2" s="10"/>
      <c r="L2" s="10" t="s">
        <v>387</v>
      </c>
      <c r="M2" s="10" t="s">
        <v>387</v>
      </c>
      <c r="N2" s="10" t="s">
        <v>390</v>
      </c>
      <c r="O2" s="10"/>
      <c r="P2" s="10"/>
      <c r="R2" s="10" t="s">
        <v>388</v>
      </c>
      <c r="S2" s="10" t="s">
        <v>390</v>
      </c>
      <c r="T2" s="10" t="s">
        <v>394</v>
      </c>
    </row>
    <row r="3" spans="1:20" x14ac:dyDescent="0.25">
      <c r="C3" t="s">
        <v>11</v>
      </c>
      <c r="D3" t="s">
        <v>1</v>
      </c>
      <c r="E3" s="8">
        <v>44021</v>
      </c>
      <c r="F3" s="1">
        <v>929000</v>
      </c>
      <c r="G3" s="1">
        <v>929000</v>
      </c>
      <c r="H3" s="1">
        <f>SQRT(F3)</f>
        <v>963.84646080171922</v>
      </c>
      <c r="I3" s="1">
        <f>SQRT(G3)</f>
        <v>963.84646080171922</v>
      </c>
      <c r="J3" s="1">
        <v>810038</v>
      </c>
      <c r="L3" s="9" t="str">
        <f>RIGHT(D3,4)</f>
        <v>0040</v>
      </c>
      <c r="M3">
        <f>_xlfn.NUMBERVALUE(L3)</f>
        <v>40</v>
      </c>
      <c r="N3">
        <f>RANK($M3,$M$3:$M$47,1)</f>
        <v>2</v>
      </c>
      <c r="O3">
        <v>5</v>
      </c>
      <c r="R3" s="8">
        <v>44021</v>
      </c>
      <c r="T3">
        <v>1</v>
      </c>
    </row>
    <row r="4" spans="1:20" x14ac:dyDescent="0.25">
      <c r="C4" t="s">
        <v>41</v>
      </c>
      <c r="D4" t="s">
        <v>43</v>
      </c>
      <c r="E4" s="8">
        <v>44351</v>
      </c>
      <c r="F4" s="1">
        <v>269100</v>
      </c>
      <c r="G4" s="1">
        <v>269100</v>
      </c>
      <c r="H4" s="1">
        <f t="shared" ref="H4:I45" si="0">SQRT(F4)</f>
        <v>518.74849397371747</v>
      </c>
      <c r="I4" s="1">
        <f t="shared" si="0"/>
        <v>518.74849397371747</v>
      </c>
      <c r="J4" s="1">
        <v>256955.66666666666</v>
      </c>
      <c r="L4" s="9" t="str">
        <f t="shared" ref="L4:L45" si="1">RIGHT(D4,4)</f>
        <v>1099</v>
      </c>
      <c r="M4">
        <f t="shared" ref="M4:M45" si="2">_xlfn.NUMBERVALUE(L4)</f>
        <v>1099</v>
      </c>
      <c r="N4">
        <f t="shared" ref="N4:N47" si="3">RANK($M4,$M$3:$M$47,1)</f>
        <v>7</v>
      </c>
      <c r="O4">
        <v>5</v>
      </c>
      <c r="R4" s="8">
        <v>44021</v>
      </c>
      <c r="T4">
        <f>T3+1</f>
        <v>2</v>
      </c>
    </row>
    <row r="5" spans="1:20" x14ac:dyDescent="0.25">
      <c r="C5" t="s">
        <v>35</v>
      </c>
      <c r="D5" t="s">
        <v>57</v>
      </c>
      <c r="E5" s="8">
        <v>44021</v>
      </c>
      <c r="F5" s="1">
        <v>223000</v>
      </c>
      <c r="G5" s="1">
        <v>223000</v>
      </c>
      <c r="H5" s="1">
        <f t="shared" si="0"/>
        <v>472.2287581247038</v>
      </c>
      <c r="I5" s="1">
        <f t="shared" si="0"/>
        <v>472.2287581247038</v>
      </c>
      <c r="J5" s="1">
        <v>24191</v>
      </c>
      <c r="L5" s="9" t="str">
        <f t="shared" si="1"/>
        <v>0038</v>
      </c>
      <c r="M5">
        <f t="shared" si="2"/>
        <v>38</v>
      </c>
      <c r="N5">
        <f t="shared" si="3"/>
        <v>1</v>
      </c>
      <c r="O5">
        <v>5</v>
      </c>
      <c r="R5" s="8">
        <v>44021</v>
      </c>
      <c r="T5">
        <f t="shared" ref="T5:T47" si="4">T4+1</f>
        <v>3</v>
      </c>
    </row>
    <row r="6" spans="1:20" x14ac:dyDescent="0.25">
      <c r="C6" t="s">
        <v>2</v>
      </c>
      <c r="D6" t="s">
        <v>118</v>
      </c>
      <c r="E6" s="8">
        <v>44462</v>
      </c>
      <c r="F6" s="1">
        <v>30500</v>
      </c>
      <c r="G6" s="1">
        <v>30500</v>
      </c>
      <c r="H6" s="1">
        <f t="shared" si="0"/>
        <v>174.64249196572982</v>
      </c>
      <c r="I6" s="1">
        <f t="shared" si="0"/>
        <v>174.64249196572982</v>
      </c>
      <c r="J6" s="1">
        <v>20067</v>
      </c>
      <c r="L6" s="9" t="str">
        <f t="shared" si="1"/>
        <v>1336</v>
      </c>
      <c r="M6">
        <f t="shared" si="2"/>
        <v>1336</v>
      </c>
      <c r="N6">
        <f t="shared" si="3"/>
        <v>10</v>
      </c>
      <c r="O6">
        <v>5</v>
      </c>
      <c r="R6" s="8">
        <v>44260</v>
      </c>
      <c r="T6">
        <f t="shared" si="4"/>
        <v>4</v>
      </c>
    </row>
    <row r="7" spans="1:20" x14ac:dyDescent="0.25">
      <c r="C7" t="s">
        <v>12</v>
      </c>
      <c r="D7" t="s">
        <v>1</v>
      </c>
      <c r="E7" s="8">
        <v>44021</v>
      </c>
      <c r="F7" s="1">
        <v>27200</v>
      </c>
      <c r="G7" s="1">
        <v>27200</v>
      </c>
      <c r="H7" s="1">
        <f t="shared" si="0"/>
        <v>164.92422502470643</v>
      </c>
      <c r="I7" s="1">
        <f t="shared" si="0"/>
        <v>164.92422502470643</v>
      </c>
      <c r="J7" s="1">
        <v>29724.666666666668</v>
      </c>
      <c r="L7" s="9" t="str">
        <f t="shared" si="1"/>
        <v>0040</v>
      </c>
      <c r="M7">
        <f t="shared" si="2"/>
        <v>40</v>
      </c>
      <c r="N7">
        <f t="shared" si="3"/>
        <v>2</v>
      </c>
      <c r="O7">
        <v>5</v>
      </c>
      <c r="R7" s="8">
        <v>44315</v>
      </c>
      <c r="T7">
        <f t="shared" si="4"/>
        <v>5</v>
      </c>
    </row>
    <row r="8" spans="1:20" x14ac:dyDescent="0.25">
      <c r="A8" t="s">
        <v>547</v>
      </c>
      <c r="C8" t="s">
        <v>54</v>
      </c>
      <c r="D8" t="s">
        <v>51</v>
      </c>
      <c r="E8" s="8">
        <v>44404</v>
      </c>
      <c r="F8" s="1">
        <v>21565</v>
      </c>
      <c r="G8" s="1">
        <v>21565</v>
      </c>
      <c r="H8" s="1">
        <f t="shared" si="0"/>
        <v>146.85026387446499</v>
      </c>
      <c r="I8" s="1">
        <f t="shared" si="0"/>
        <v>146.85026387446499</v>
      </c>
      <c r="J8" s="1">
        <v>17966.666666666668</v>
      </c>
      <c r="L8" s="9" t="str">
        <f t="shared" si="1"/>
        <v>1227</v>
      </c>
      <c r="M8">
        <f t="shared" si="2"/>
        <v>1227</v>
      </c>
      <c r="N8">
        <f t="shared" si="3"/>
        <v>9</v>
      </c>
      <c r="O8">
        <v>5</v>
      </c>
      <c r="P8">
        <v>5</v>
      </c>
      <c r="R8" s="8">
        <v>44321</v>
      </c>
      <c r="T8">
        <f t="shared" si="4"/>
        <v>6</v>
      </c>
    </row>
    <row r="9" spans="1:20" x14ac:dyDescent="0.25">
      <c r="C9" t="s">
        <v>82</v>
      </c>
      <c r="D9" t="s">
        <v>83</v>
      </c>
      <c r="E9" s="8">
        <v>44880</v>
      </c>
      <c r="F9" s="1">
        <v>121500</v>
      </c>
      <c r="G9" s="1">
        <v>121500</v>
      </c>
      <c r="H9" s="1">
        <f t="shared" si="0"/>
        <v>348.56850115866752</v>
      </c>
      <c r="I9" s="1">
        <f t="shared" si="0"/>
        <v>348.56850115866752</v>
      </c>
      <c r="J9" s="1">
        <v>84036.333333333328</v>
      </c>
      <c r="L9" s="9" t="str">
        <f t="shared" si="1"/>
        <v>2303</v>
      </c>
      <c r="M9">
        <f t="shared" si="2"/>
        <v>2303</v>
      </c>
      <c r="N9">
        <f t="shared" si="3"/>
        <v>13</v>
      </c>
      <c r="O9">
        <v>5</v>
      </c>
      <c r="R9" s="8">
        <v>44351</v>
      </c>
      <c r="T9">
        <f t="shared" si="4"/>
        <v>7</v>
      </c>
    </row>
    <row r="10" spans="1:20" x14ac:dyDescent="0.25">
      <c r="C10" t="s">
        <v>70</v>
      </c>
      <c r="D10" t="s">
        <v>337</v>
      </c>
      <c r="E10" s="8">
        <v>44376</v>
      </c>
      <c r="F10" s="1">
        <v>39000</v>
      </c>
      <c r="G10" s="1">
        <v>39000</v>
      </c>
      <c r="H10" s="1">
        <f t="shared" si="0"/>
        <v>197.48417658131498</v>
      </c>
      <c r="I10" s="1">
        <f t="shared" si="0"/>
        <v>197.48417658131498</v>
      </c>
      <c r="J10" s="1">
        <v>11586</v>
      </c>
      <c r="L10" s="9" t="str">
        <f t="shared" si="1"/>
        <v>1160</v>
      </c>
      <c r="M10">
        <f t="shared" si="2"/>
        <v>1160</v>
      </c>
      <c r="N10">
        <f t="shared" si="3"/>
        <v>8</v>
      </c>
      <c r="O10">
        <v>5</v>
      </c>
      <c r="R10" s="8">
        <v>44376</v>
      </c>
      <c r="T10">
        <f t="shared" si="4"/>
        <v>8</v>
      </c>
    </row>
    <row r="11" spans="1:20" x14ac:dyDescent="0.25">
      <c r="A11" t="s">
        <v>546</v>
      </c>
      <c r="C11" t="s">
        <v>66</v>
      </c>
      <c r="D11" t="s">
        <v>74</v>
      </c>
      <c r="E11" s="8">
        <v>45489</v>
      </c>
      <c r="F11" s="1">
        <v>28700</v>
      </c>
      <c r="G11" s="1">
        <v>28700</v>
      </c>
      <c r="H11" s="1">
        <f t="shared" si="0"/>
        <v>169.41074346097417</v>
      </c>
      <c r="I11" s="1">
        <f t="shared" si="0"/>
        <v>169.41074346097417</v>
      </c>
      <c r="J11" s="1">
        <v>13982.333333333334</v>
      </c>
      <c r="L11" s="9" t="str">
        <f t="shared" si="1"/>
        <v>3687</v>
      </c>
      <c r="M11">
        <f t="shared" si="2"/>
        <v>3687</v>
      </c>
      <c r="N11">
        <f t="shared" si="3"/>
        <v>42</v>
      </c>
      <c r="O11">
        <v>5</v>
      </c>
      <c r="P11">
        <v>5</v>
      </c>
      <c r="R11" s="8">
        <v>44404</v>
      </c>
      <c r="T11">
        <f t="shared" si="4"/>
        <v>9</v>
      </c>
    </row>
    <row r="12" spans="1:20" x14ac:dyDescent="0.25">
      <c r="C12" t="s">
        <v>37</v>
      </c>
      <c r="D12" t="s">
        <v>38</v>
      </c>
      <c r="E12" s="8">
        <v>44764</v>
      </c>
      <c r="F12" s="1">
        <v>163300</v>
      </c>
      <c r="G12" s="1">
        <v>163300</v>
      </c>
      <c r="H12" s="1">
        <f t="shared" si="0"/>
        <v>404.103947023535</v>
      </c>
      <c r="I12" s="1">
        <f t="shared" si="0"/>
        <v>404.103947023535</v>
      </c>
      <c r="J12" s="1">
        <v>27234.666666666668</v>
      </c>
      <c r="L12" s="9" t="str">
        <f t="shared" si="1"/>
        <v>2041</v>
      </c>
      <c r="M12">
        <f t="shared" si="2"/>
        <v>2041</v>
      </c>
      <c r="N12">
        <f t="shared" si="3"/>
        <v>11</v>
      </c>
      <c r="O12">
        <v>5</v>
      </c>
      <c r="R12" s="8">
        <v>44462</v>
      </c>
      <c r="T12">
        <f t="shared" si="4"/>
        <v>10</v>
      </c>
    </row>
    <row r="13" spans="1:20" x14ac:dyDescent="0.25">
      <c r="A13" t="s">
        <v>544</v>
      </c>
      <c r="C13" t="s">
        <v>17</v>
      </c>
      <c r="D13" t="s">
        <v>19</v>
      </c>
      <c r="E13" s="8">
        <v>44315</v>
      </c>
      <c r="F13" s="1">
        <v>19154</v>
      </c>
      <c r="G13" s="1">
        <v>19154</v>
      </c>
      <c r="H13" s="1">
        <f t="shared" si="0"/>
        <v>138.39797686382559</v>
      </c>
      <c r="I13" s="1">
        <f t="shared" si="0"/>
        <v>138.39797686382559</v>
      </c>
      <c r="J13" s="1">
        <v>14741</v>
      </c>
      <c r="L13" s="9" t="str">
        <f t="shared" si="1"/>
        <v>1006</v>
      </c>
      <c r="M13">
        <f t="shared" si="2"/>
        <v>1006</v>
      </c>
      <c r="N13">
        <f t="shared" si="3"/>
        <v>5</v>
      </c>
      <c r="O13">
        <v>5</v>
      </c>
      <c r="P13">
        <v>5</v>
      </c>
      <c r="R13" s="8">
        <v>44764</v>
      </c>
      <c r="T13">
        <f t="shared" si="4"/>
        <v>11</v>
      </c>
    </row>
    <row r="14" spans="1:20" x14ac:dyDescent="0.25">
      <c r="C14" t="s">
        <v>13</v>
      </c>
      <c r="D14" t="s">
        <v>25</v>
      </c>
      <c r="E14" s="8">
        <v>44847</v>
      </c>
      <c r="F14" s="1">
        <v>34600</v>
      </c>
      <c r="G14" s="1">
        <v>34600</v>
      </c>
      <c r="H14" s="1">
        <f t="shared" si="0"/>
        <v>186.01075237738274</v>
      </c>
      <c r="I14" s="1">
        <f t="shared" si="0"/>
        <v>186.01075237738274</v>
      </c>
      <c r="J14" s="1">
        <v>50351.666666666664</v>
      </c>
      <c r="L14" s="9" t="str">
        <f t="shared" si="1"/>
        <v>2233</v>
      </c>
      <c r="M14">
        <f t="shared" si="2"/>
        <v>2233</v>
      </c>
      <c r="N14">
        <f t="shared" si="3"/>
        <v>12</v>
      </c>
      <c r="O14">
        <v>5</v>
      </c>
      <c r="R14" s="8">
        <v>44847</v>
      </c>
      <c r="T14">
        <f t="shared" si="4"/>
        <v>12</v>
      </c>
    </row>
    <row r="15" spans="1:20" x14ac:dyDescent="0.25">
      <c r="C15" t="s">
        <v>76</v>
      </c>
      <c r="D15" t="s">
        <v>78</v>
      </c>
      <c r="E15" s="8">
        <v>45222</v>
      </c>
      <c r="F15" s="1">
        <v>29800</v>
      </c>
      <c r="G15" s="1">
        <v>29800</v>
      </c>
      <c r="H15" s="1">
        <f t="shared" si="0"/>
        <v>172.62676501632069</v>
      </c>
      <c r="I15" s="1">
        <f t="shared" si="0"/>
        <v>172.62676501632069</v>
      </c>
      <c r="J15" s="1">
        <v>9698</v>
      </c>
      <c r="L15" s="9" t="str">
        <f t="shared" si="1"/>
        <v>3063</v>
      </c>
      <c r="M15">
        <f t="shared" si="2"/>
        <v>3063</v>
      </c>
      <c r="N15">
        <f t="shared" si="3"/>
        <v>24</v>
      </c>
      <c r="O15">
        <v>5</v>
      </c>
      <c r="R15" s="8">
        <v>44880</v>
      </c>
      <c r="T15">
        <f t="shared" si="4"/>
        <v>13</v>
      </c>
    </row>
    <row r="16" spans="1:20" x14ac:dyDescent="0.25">
      <c r="C16" t="s">
        <v>104</v>
      </c>
      <c r="D16" t="s">
        <v>207</v>
      </c>
      <c r="E16" s="8">
        <v>45114</v>
      </c>
      <c r="F16" s="1">
        <v>1221000</v>
      </c>
      <c r="G16" s="1">
        <v>1221000</v>
      </c>
      <c r="H16" s="1">
        <f t="shared" si="0"/>
        <v>1104.9886877249016</v>
      </c>
      <c r="I16" s="1">
        <f t="shared" si="0"/>
        <v>1104.9886877249016</v>
      </c>
      <c r="J16" s="1">
        <v>11596.666666666666</v>
      </c>
      <c r="L16" s="9" t="str">
        <f t="shared" si="1"/>
        <v>2792</v>
      </c>
      <c r="M16">
        <f t="shared" si="2"/>
        <v>2792</v>
      </c>
      <c r="N16">
        <f t="shared" si="3"/>
        <v>18</v>
      </c>
      <c r="O16">
        <v>5</v>
      </c>
      <c r="R16" s="8">
        <v>44978</v>
      </c>
      <c r="T16">
        <f t="shared" si="4"/>
        <v>14</v>
      </c>
    </row>
    <row r="17" spans="1:20" x14ac:dyDescent="0.25">
      <c r="C17" t="s">
        <v>85</v>
      </c>
      <c r="D17" t="s">
        <v>98</v>
      </c>
      <c r="E17" s="8">
        <v>44321</v>
      </c>
      <c r="F17" s="1">
        <v>114900</v>
      </c>
      <c r="G17" s="17">
        <v>115000</v>
      </c>
      <c r="H17" s="1">
        <f t="shared" si="0"/>
        <v>338.96902513356588</v>
      </c>
      <c r="I17" s="1">
        <f t="shared" si="0"/>
        <v>339.11649915626339</v>
      </c>
      <c r="J17" s="1">
        <v>67211.666666666672</v>
      </c>
      <c r="L17" s="9" t="str">
        <f t="shared" si="1"/>
        <v>1021</v>
      </c>
      <c r="M17">
        <f t="shared" si="2"/>
        <v>1021</v>
      </c>
      <c r="N17">
        <f t="shared" si="3"/>
        <v>6</v>
      </c>
      <c r="O17">
        <v>5</v>
      </c>
      <c r="R17" s="8">
        <v>45057</v>
      </c>
      <c r="T17">
        <f t="shared" si="4"/>
        <v>15</v>
      </c>
    </row>
    <row r="18" spans="1:20" x14ac:dyDescent="0.25">
      <c r="C18" t="s">
        <v>180</v>
      </c>
      <c r="D18" t="s">
        <v>199</v>
      </c>
      <c r="E18" s="8">
        <v>45238</v>
      </c>
      <c r="F18" s="1">
        <v>3935</v>
      </c>
      <c r="G18" s="1">
        <v>3935</v>
      </c>
      <c r="H18" s="1">
        <f t="shared" si="0"/>
        <v>62.729578350248779</v>
      </c>
      <c r="I18" s="1">
        <f t="shared" si="0"/>
        <v>62.729578350248779</v>
      </c>
      <c r="J18" s="1">
        <v>1292.6666666666667</v>
      </c>
      <c r="L18" s="9" t="str">
        <f t="shared" si="1"/>
        <v>3097</v>
      </c>
      <c r="M18">
        <f t="shared" si="2"/>
        <v>3097</v>
      </c>
      <c r="N18">
        <f t="shared" si="3"/>
        <v>25</v>
      </c>
      <c r="O18">
        <v>5</v>
      </c>
      <c r="R18" s="8">
        <v>45072</v>
      </c>
      <c r="T18">
        <f t="shared" si="4"/>
        <v>16</v>
      </c>
    </row>
    <row r="19" spans="1:20" x14ac:dyDescent="0.25">
      <c r="C19" t="s">
        <v>183</v>
      </c>
      <c r="D19" t="s">
        <v>206</v>
      </c>
      <c r="E19" s="8">
        <v>45139</v>
      </c>
      <c r="F19" s="1">
        <v>30400</v>
      </c>
      <c r="G19" s="1">
        <v>30400</v>
      </c>
      <c r="H19" s="1">
        <f t="shared" si="0"/>
        <v>174.35595774162695</v>
      </c>
      <c r="I19" s="1">
        <f t="shared" si="0"/>
        <v>174.35595774162695</v>
      </c>
      <c r="J19" s="1">
        <v>5879</v>
      </c>
      <c r="L19" s="9" t="str">
        <f t="shared" si="1"/>
        <v>2838</v>
      </c>
      <c r="M19">
        <f t="shared" si="2"/>
        <v>2838</v>
      </c>
      <c r="N19">
        <f t="shared" si="3"/>
        <v>20</v>
      </c>
      <c r="O19">
        <v>5</v>
      </c>
      <c r="R19" s="8">
        <v>45112</v>
      </c>
      <c r="T19">
        <f t="shared" si="4"/>
        <v>17</v>
      </c>
    </row>
    <row r="20" spans="1:20" x14ac:dyDescent="0.25">
      <c r="C20" t="s">
        <v>185</v>
      </c>
      <c r="D20" t="s">
        <v>194</v>
      </c>
      <c r="E20" s="8">
        <v>45327</v>
      </c>
      <c r="F20" s="1">
        <v>23200</v>
      </c>
      <c r="G20" s="1">
        <v>23200</v>
      </c>
      <c r="H20" s="1">
        <f t="shared" si="0"/>
        <v>152.31546211727817</v>
      </c>
      <c r="I20" s="1">
        <f t="shared" si="0"/>
        <v>152.31546211727817</v>
      </c>
      <c r="J20" s="1">
        <v>25540.666666666668</v>
      </c>
      <c r="L20" s="9" t="str">
        <f t="shared" si="1"/>
        <v>3268</v>
      </c>
      <c r="M20">
        <f t="shared" si="2"/>
        <v>3268</v>
      </c>
      <c r="N20">
        <f t="shared" si="3"/>
        <v>29</v>
      </c>
      <c r="O20">
        <v>5</v>
      </c>
      <c r="R20" s="8">
        <v>45114</v>
      </c>
      <c r="T20">
        <f t="shared" si="4"/>
        <v>18</v>
      </c>
    </row>
    <row r="21" spans="1:20" x14ac:dyDescent="0.25">
      <c r="C21" t="s">
        <v>192</v>
      </c>
      <c r="D21" t="s">
        <v>195</v>
      </c>
      <c r="E21" s="8">
        <v>45251</v>
      </c>
      <c r="F21" s="1">
        <v>8538</v>
      </c>
      <c r="G21" s="1">
        <v>8538</v>
      </c>
      <c r="H21" s="1">
        <f t="shared" si="0"/>
        <v>92.401298692172077</v>
      </c>
      <c r="I21" s="1">
        <f t="shared" si="0"/>
        <v>92.401298692172077</v>
      </c>
      <c r="J21" s="1">
        <v>2385.6666666666665</v>
      </c>
      <c r="L21" s="9" t="str">
        <f t="shared" si="1"/>
        <v>3141</v>
      </c>
      <c r="M21">
        <f t="shared" si="2"/>
        <v>3141</v>
      </c>
      <c r="N21">
        <f t="shared" si="3"/>
        <v>27</v>
      </c>
      <c r="O21">
        <v>5</v>
      </c>
      <c r="R21" s="8">
        <v>45131</v>
      </c>
      <c r="T21">
        <f t="shared" si="4"/>
        <v>19</v>
      </c>
    </row>
    <row r="22" spans="1:20" x14ac:dyDescent="0.25">
      <c r="C22" t="s">
        <v>221</v>
      </c>
      <c r="D22" t="s">
        <v>223</v>
      </c>
      <c r="E22" s="8">
        <v>45371</v>
      </c>
      <c r="F22" s="1">
        <v>8563</v>
      </c>
      <c r="G22" s="1">
        <v>8563</v>
      </c>
      <c r="H22" s="1">
        <f t="shared" si="0"/>
        <v>92.536479293303572</v>
      </c>
      <c r="I22" s="1">
        <f t="shared" si="0"/>
        <v>92.536479293303572</v>
      </c>
      <c r="J22" s="1">
        <v>838.33333333333337</v>
      </c>
      <c r="L22" s="9" t="str">
        <f t="shared" si="1"/>
        <v>3395</v>
      </c>
      <c r="M22">
        <f t="shared" si="2"/>
        <v>3395</v>
      </c>
      <c r="N22">
        <f t="shared" si="3"/>
        <v>32</v>
      </c>
      <c r="O22">
        <v>5</v>
      </c>
      <c r="R22" s="8">
        <v>45139</v>
      </c>
      <c r="T22">
        <f t="shared" si="4"/>
        <v>20</v>
      </c>
    </row>
    <row r="23" spans="1:20" x14ac:dyDescent="0.25">
      <c r="C23" t="s">
        <v>226</v>
      </c>
      <c r="D23" t="s">
        <v>229</v>
      </c>
      <c r="E23" s="8">
        <v>45401</v>
      </c>
      <c r="F23" s="1">
        <v>5796</v>
      </c>
      <c r="G23" s="1">
        <v>5796</v>
      </c>
      <c r="H23" s="1">
        <f t="shared" si="0"/>
        <v>76.131465242697118</v>
      </c>
      <c r="I23" s="1">
        <f t="shared" si="0"/>
        <v>76.131465242697118</v>
      </c>
      <c r="J23" s="1">
        <v>407</v>
      </c>
      <c r="L23" s="9" t="str">
        <f t="shared" si="1"/>
        <v>3460</v>
      </c>
      <c r="M23">
        <f t="shared" si="2"/>
        <v>3460</v>
      </c>
      <c r="N23">
        <f t="shared" si="3"/>
        <v>35</v>
      </c>
      <c r="O23">
        <v>5</v>
      </c>
      <c r="R23" s="8">
        <v>45168</v>
      </c>
      <c r="T23">
        <f t="shared" si="4"/>
        <v>21</v>
      </c>
    </row>
    <row r="24" spans="1:20" x14ac:dyDescent="0.25">
      <c r="A24" t="s">
        <v>545</v>
      </c>
      <c r="C24" t="s">
        <v>231</v>
      </c>
      <c r="D24" t="s">
        <v>232</v>
      </c>
      <c r="E24" s="8">
        <v>45072</v>
      </c>
      <c r="F24" s="1">
        <v>21514</v>
      </c>
      <c r="G24" s="1">
        <v>21514</v>
      </c>
      <c r="H24" s="1">
        <f t="shared" si="0"/>
        <v>146.67651482088058</v>
      </c>
      <c r="I24" s="1">
        <f t="shared" si="0"/>
        <v>146.67651482088058</v>
      </c>
      <c r="J24" s="1">
        <v>2092.3333333333335</v>
      </c>
      <c r="L24" s="9" t="str">
        <f t="shared" si="1"/>
        <v>2695</v>
      </c>
      <c r="M24">
        <f t="shared" si="2"/>
        <v>2695</v>
      </c>
      <c r="N24">
        <f t="shared" si="3"/>
        <v>16</v>
      </c>
      <c r="O24">
        <v>5</v>
      </c>
      <c r="P24">
        <v>5</v>
      </c>
      <c r="R24" s="8">
        <v>45177</v>
      </c>
      <c r="T24">
        <f t="shared" si="4"/>
        <v>22</v>
      </c>
    </row>
    <row r="25" spans="1:20" x14ac:dyDescent="0.25">
      <c r="C25" t="s">
        <v>244</v>
      </c>
      <c r="D25" t="s">
        <v>242</v>
      </c>
      <c r="E25" s="8">
        <v>45131</v>
      </c>
      <c r="F25" s="1">
        <v>10409</v>
      </c>
      <c r="G25" s="1">
        <v>10409</v>
      </c>
      <c r="H25" s="1">
        <f t="shared" si="0"/>
        <v>102.02450685987166</v>
      </c>
      <c r="I25" s="1">
        <f t="shared" si="0"/>
        <v>102.02450685987166</v>
      </c>
      <c r="J25" s="1">
        <v>744</v>
      </c>
      <c r="L25" s="9" t="str">
        <f t="shared" si="1"/>
        <v>2822</v>
      </c>
      <c r="M25">
        <f t="shared" si="2"/>
        <v>2822</v>
      </c>
      <c r="N25">
        <f t="shared" si="3"/>
        <v>19</v>
      </c>
      <c r="O25">
        <v>5</v>
      </c>
      <c r="R25" s="8">
        <v>45197</v>
      </c>
      <c r="T25">
        <f t="shared" si="4"/>
        <v>23</v>
      </c>
    </row>
    <row r="26" spans="1:20" x14ac:dyDescent="0.25">
      <c r="C26" t="s">
        <v>252</v>
      </c>
      <c r="D26" t="s">
        <v>255</v>
      </c>
      <c r="E26" s="8">
        <v>45468</v>
      </c>
      <c r="F26" s="1">
        <v>2468</v>
      </c>
      <c r="G26" s="1">
        <v>2468</v>
      </c>
      <c r="H26" s="1">
        <f t="shared" si="0"/>
        <v>49.678969393496885</v>
      </c>
      <c r="I26" s="1">
        <f t="shared" si="0"/>
        <v>49.678969393496885</v>
      </c>
      <c r="J26" s="1">
        <v>1163</v>
      </c>
      <c r="L26" s="9" t="str">
        <f t="shared" si="1"/>
        <v>3625</v>
      </c>
      <c r="M26">
        <f t="shared" si="2"/>
        <v>3625</v>
      </c>
      <c r="N26">
        <f t="shared" si="3"/>
        <v>41</v>
      </c>
      <c r="O26">
        <v>5</v>
      </c>
      <c r="R26" s="8">
        <v>45222</v>
      </c>
      <c r="T26">
        <f t="shared" si="4"/>
        <v>24</v>
      </c>
    </row>
    <row r="27" spans="1:20" x14ac:dyDescent="0.25">
      <c r="C27" t="s">
        <v>257</v>
      </c>
      <c r="D27" t="s">
        <v>260</v>
      </c>
      <c r="E27" s="8">
        <v>45376</v>
      </c>
      <c r="F27" s="1">
        <v>14700</v>
      </c>
      <c r="G27" s="1">
        <v>14700</v>
      </c>
      <c r="H27" s="1">
        <f t="shared" si="0"/>
        <v>121.2435565298214</v>
      </c>
      <c r="I27" s="1">
        <f t="shared" si="0"/>
        <v>121.2435565298214</v>
      </c>
      <c r="J27" s="1">
        <v>6082</v>
      </c>
      <c r="L27" s="9" t="str">
        <f t="shared" si="1"/>
        <v>3406</v>
      </c>
      <c r="M27">
        <f t="shared" si="2"/>
        <v>3406</v>
      </c>
      <c r="N27">
        <f t="shared" si="3"/>
        <v>33</v>
      </c>
      <c r="O27">
        <v>5</v>
      </c>
      <c r="R27" s="8">
        <v>45238</v>
      </c>
      <c r="T27">
        <f t="shared" si="4"/>
        <v>25</v>
      </c>
    </row>
    <row r="28" spans="1:20" x14ac:dyDescent="0.25">
      <c r="C28" t="s">
        <v>263</v>
      </c>
      <c r="D28" t="s">
        <v>261</v>
      </c>
      <c r="E28" s="8">
        <v>45168</v>
      </c>
      <c r="F28" s="1">
        <v>9597</v>
      </c>
      <c r="G28" s="1">
        <v>9597</v>
      </c>
      <c r="H28" s="1">
        <f t="shared" si="0"/>
        <v>97.964279204207898</v>
      </c>
      <c r="I28" s="1">
        <f t="shared" si="0"/>
        <v>97.964279204207898</v>
      </c>
      <c r="J28" s="1">
        <v>5963.333333333333</v>
      </c>
      <c r="L28" s="9" t="str">
        <f t="shared" si="1"/>
        <v>2928</v>
      </c>
      <c r="M28">
        <f t="shared" si="2"/>
        <v>2928</v>
      </c>
      <c r="N28">
        <f t="shared" si="3"/>
        <v>21</v>
      </c>
      <c r="O28">
        <v>5</v>
      </c>
      <c r="R28" s="8">
        <v>45240</v>
      </c>
      <c r="T28">
        <f t="shared" si="4"/>
        <v>26</v>
      </c>
    </row>
    <row r="29" spans="1:20" x14ac:dyDescent="0.25">
      <c r="C29" t="s">
        <v>266</v>
      </c>
      <c r="D29" t="s">
        <v>267</v>
      </c>
      <c r="E29" s="8">
        <v>45057</v>
      </c>
      <c r="F29" s="1">
        <v>19100</v>
      </c>
      <c r="G29" s="1">
        <v>19100</v>
      </c>
      <c r="H29" s="1">
        <f t="shared" si="0"/>
        <v>138.20274961085252</v>
      </c>
      <c r="I29" s="1">
        <f t="shared" si="0"/>
        <v>138.20274961085252</v>
      </c>
      <c r="J29" s="1">
        <v>474.33333333333331</v>
      </c>
      <c r="L29" s="9" t="str">
        <f t="shared" si="1"/>
        <v>2653</v>
      </c>
      <c r="M29">
        <f t="shared" si="2"/>
        <v>2653</v>
      </c>
      <c r="N29">
        <f t="shared" si="3"/>
        <v>15</v>
      </c>
      <c r="O29">
        <v>5</v>
      </c>
      <c r="R29" s="8">
        <v>45251</v>
      </c>
      <c r="T29">
        <f t="shared" si="4"/>
        <v>27</v>
      </c>
    </row>
    <row r="30" spans="1:20" x14ac:dyDescent="0.25">
      <c r="C30" t="s">
        <v>282</v>
      </c>
      <c r="D30" t="s">
        <v>284</v>
      </c>
      <c r="E30" s="8">
        <v>44978</v>
      </c>
      <c r="F30" s="1">
        <v>13786</v>
      </c>
      <c r="G30" s="1">
        <v>13786</v>
      </c>
      <c r="H30" s="1">
        <f t="shared" si="0"/>
        <v>117.41379816699569</v>
      </c>
      <c r="I30" s="1">
        <f t="shared" si="0"/>
        <v>117.41379816699569</v>
      </c>
      <c r="J30" s="1">
        <v>5321</v>
      </c>
      <c r="L30" s="9" t="str">
        <f t="shared" si="1"/>
        <v>2492</v>
      </c>
      <c r="M30">
        <f t="shared" si="2"/>
        <v>2492</v>
      </c>
      <c r="N30">
        <f t="shared" si="3"/>
        <v>14</v>
      </c>
      <c r="O30">
        <v>5</v>
      </c>
      <c r="R30" s="8">
        <v>45324</v>
      </c>
      <c r="T30">
        <f t="shared" si="4"/>
        <v>28</v>
      </c>
    </row>
    <row r="31" spans="1:20" x14ac:dyDescent="0.25">
      <c r="C31" t="s">
        <v>288</v>
      </c>
      <c r="D31" t="s">
        <v>301</v>
      </c>
      <c r="E31" s="8">
        <v>45197</v>
      </c>
      <c r="F31" s="1">
        <v>9497</v>
      </c>
      <c r="G31" s="1">
        <v>9497</v>
      </c>
      <c r="H31" s="1">
        <f t="shared" si="0"/>
        <v>97.452552557642122</v>
      </c>
      <c r="I31" s="1">
        <f t="shared" si="0"/>
        <v>97.452552557642122</v>
      </c>
      <c r="J31" s="1">
        <v>599.33333333333337</v>
      </c>
      <c r="L31" s="9" t="str">
        <f t="shared" si="1"/>
        <v>3016</v>
      </c>
      <c r="M31">
        <f t="shared" si="2"/>
        <v>3016</v>
      </c>
      <c r="N31">
        <f t="shared" si="3"/>
        <v>23</v>
      </c>
      <c r="O31">
        <v>5</v>
      </c>
      <c r="R31" s="8">
        <v>45327</v>
      </c>
      <c r="T31">
        <f t="shared" si="4"/>
        <v>29</v>
      </c>
    </row>
    <row r="32" spans="1:20" x14ac:dyDescent="0.25">
      <c r="C32" t="s">
        <v>333</v>
      </c>
      <c r="D32" t="s">
        <v>327</v>
      </c>
      <c r="E32" s="8">
        <v>45324</v>
      </c>
      <c r="F32" s="1">
        <v>14000</v>
      </c>
      <c r="G32" s="1">
        <v>14000</v>
      </c>
      <c r="H32" s="1">
        <f t="shared" si="0"/>
        <v>118.32159566199232</v>
      </c>
      <c r="I32" s="1">
        <f t="shared" si="0"/>
        <v>118.32159566199232</v>
      </c>
      <c r="J32" s="1">
        <v>3438.6666666666665</v>
      </c>
      <c r="L32" s="9" t="str">
        <f t="shared" si="1"/>
        <v>3266</v>
      </c>
      <c r="M32">
        <f t="shared" si="2"/>
        <v>3266</v>
      </c>
      <c r="N32">
        <f t="shared" si="3"/>
        <v>28</v>
      </c>
      <c r="O32">
        <v>5</v>
      </c>
      <c r="R32" s="8">
        <v>45348</v>
      </c>
      <c r="T32">
        <f t="shared" si="4"/>
        <v>30</v>
      </c>
    </row>
    <row r="33" spans="1:20" x14ac:dyDescent="0.25">
      <c r="C33" t="s">
        <v>179</v>
      </c>
      <c r="D33" t="s">
        <v>203</v>
      </c>
      <c r="E33" s="8">
        <v>45240</v>
      </c>
      <c r="F33" s="1">
        <v>1633</v>
      </c>
      <c r="G33" s="1">
        <v>1633</v>
      </c>
      <c r="H33" s="1">
        <f t="shared" si="0"/>
        <v>40.4103947023535</v>
      </c>
      <c r="I33" s="1">
        <f t="shared" si="0"/>
        <v>40.4103947023535</v>
      </c>
      <c r="J33" s="1">
        <v>31</v>
      </c>
      <c r="L33" s="9" t="str">
        <f t="shared" si="1"/>
        <v>3117</v>
      </c>
      <c r="M33">
        <f t="shared" si="2"/>
        <v>3117</v>
      </c>
      <c r="N33">
        <f t="shared" si="3"/>
        <v>26</v>
      </c>
      <c r="O33">
        <v>5</v>
      </c>
      <c r="R33" s="8">
        <v>45363</v>
      </c>
      <c r="T33">
        <f t="shared" si="4"/>
        <v>31</v>
      </c>
    </row>
    <row r="34" spans="1:20" x14ac:dyDescent="0.25">
      <c r="C34" t="s">
        <v>247</v>
      </c>
      <c r="D34" t="s">
        <v>249</v>
      </c>
      <c r="E34" s="8">
        <v>45177</v>
      </c>
      <c r="F34" s="1">
        <v>19200</v>
      </c>
      <c r="G34" s="1">
        <v>19200</v>
      </c>
      <c r="H34" s="1">
        <f t="shared" si="0"/>
        <v>138.5640646055102</v>
      </c>
      <c r="I34" s="1">
        <f t="shared" si="0"/>
        <v>138.5640646055102</v>
      </c>
      <c r="J34" s="1">
        <v>782</v>
      </c>
      <c r="L34" s="9" t="str">
        <f t="shared" si="1"/>
        <v>2960</v>
      </c>
      <c r="M34">
        <f t="shared" si="2"/>
        <v>2960</v>
      </c>
      <c r="N34">
        <f t="shared" si="3"/>
        <v>22</v>
      </c>
      <c r="O34">
        <v>5</v>
      </c>
      <c r="R34" s="8">
        <v>45371</v>
      </c>
      <c r="T34">
        <f t="shared" si="4"/>
        <v>32</v>
      </c>
    </row>
    <row r="35" spans="1:20" x14ac:dyDescent="0.25">
      <c r="C35" t="s">
        <v>332</v>
      </c>
      <c r="D35" t="s">
        <v>320</v>
      </c>
      <c r="E35" s="8">
        <v>45505</v>
      </c>
      <c r="F35" s="1">
        <v>15400</v>
      </c>
      <c r="G35" s="1">
        <v>15400</v>
      </c>
      <c r="H35" s="1">
        <f t="shared" si="0"/>
        <v>124.09673645990857</v>
      </c>
      <c r="I35" s="1">
        <f t="shared" si="0"/>
        <v>124.09673645990857</v>
      </c>
      <c r="J35" s="1">
        <v>774</v>
      </c>
      <c r="L35" s="9" t="str">
        <f t="shared" si="1"/>
        <v>3720</v>
      </c>
      <c r="M35">
        <f t="shared" si="2"/>
        <v>3720</v>
      </c>
      <c r="N35">
        <f t="shared" si="3"/>
        <v>43</v>
      </c>
      <c r="O35">
        <v>5</v>
      </c>
      <c r="R35" s="8">
        <v>45376</v>
      </c>
      <c r="T35">
        <f t="shared" si="4"/>
        <v>33</v>
      </c>
    </row>
    <row r="36" spans="1:20" x14ac:dyDescent="0.25">
      <c r="C36" t="s">
        <v>326</v>
      </c>
      <c r="D36" t="s">
        <v>322</v>
      </c>
      <c r="E36" s="8">
        <v>44260</v>
      </c>
      <c r="F36" s="1">
        <v>13188</v>
      </c>
      <c r="G36" s="1">
        <v>13188</v>
      </c>
      <c r="H36" s="1">
        <f t="shared" si="0"/>
        <v>114.83901775964473</v>
      </c>
      <c r="I36" s="1">
        <f t="shared" si="0"/>
        <v>114.83901775964473</v>
      </c>
      <c r="J36" s="1">
        <v>2788</v>
      </c>
      <c r="L36" s="9" t="str">
        <f t="shared" si="1"/>
        <v>0848</v>
      </c>
      <c r="M36">
        <f t="shared" si="2"/>
        <v>848</v>
      </c>
      <c r="N36">
        <f t="shared" si="3"/>
        <v>4</v>
      </c>
      <c r="O36">
        <v>5</v>
      </c>
      <c r="R36" s="8">
        <v>45397</v>
      </c>
      <c r="T36">
        <f t="shared" si="4"/>
        <v>34</v>
      </c>
    </row>
    <row r="37" spans="1:20" x14ac:dyDescent="0.25">
      <c r="C37" t="s">
        <v>378</v>
      </c>
      <c r="D37" t="s">
        <v>375</v>
      </c>
      <c r="E37" s="8">
        <v>45432</v>
      </c>
      <c r="F37" s="1">
        <v>3652</v>
      </c>
      <c r="G37" s="1">
        <v>3652</v>
      </c>
      <c r="H37" s="1">
        <f t="shared" si="0"/>
        <v>60.431779718952512</v>
      </c>
      <c r="I37" s="1">
        <f t="shared" si="0"/>
        <v>60.431779718952512</v>
      </c>
      <c r="J37" s="1">
        <v>716</v>
      </c>
      <c r="L37" s="9" t="str">
        <f t="shared" si="1"/>
        <v>3530</v>
      </c>
      <c r="M37">
        <f t="shared" si="2"/>
        <v>3530</v>
      </c>
      <c r="N37">
        <f t="shared" si="3"/>
        <v>38</v>
      </c>
      <c r="O37">
        <v>5</v>
      </c>
      <c r="R37" s="8">
        <v>45401</v>
      </c>
      <c r="T37">
        <f t="shared" si="4"/>
        <v>35</v>
      </c>
    </row>
    <row r="38" spans="1:20" x14ac:dyDescent="0.25">
      <c r="C38" t="s">
        <v>381</v>
      </c>
      <c r="D38" t="s">
        <v>384</v>
      </c>
      <c r="E38" s="8">
        <v>45397</v>
      </c>
      <c r="F38" s="1">
        <v>5650</v>
      </c>
      <c r="G38" s="1">
        <v>5650</v>
      </c>
      <c r="H38" s="1">
        <f t="shared" si="0"/>
        <v>75.166481891864535</v>
      </c>
      <c r="I38" s="1">
        <f t="shared" si="0"/>
        <v>75.166481891864535</v>
      </c>
      <c r="J38" s="1">
        <v>732</v>
      </c>
      <c r="L38" s="9" t="str">
        <f t="shared" si="1"/>
        <v>3450</v>
      </c>
      <c r="M38">
        <f t="shared" si="2"/>
        <v>3450</v>
      </c>
      <c r="N38">
        <f t="shared" si="3"/>
        <v>34</v>
      </c>
      <c r="O38">
        <v>5</v>
      </c>
      <c r="R38" s="8">
        <v>45408</v>
      </c>
      <c r="T38">
        <f t="shared" si="4"/>
        <v>36</v>
      </c>
    </row>
    <row r="39" spans="1:20" x14ac:dyDescent="0.25">
      <c r="C39" t="s">
        <v>60</v>
      </c>
      <c r="D39" t="s">
        <v>59</v>
      </c>
      <c r="E39" s="8">
        <v>45408</v>
      </c>
      <c r="F39" s="1">
        <v>1313</v>
      </c>
      <c r="G39" s="1">
        <v>1313</v>
      </c>
      <c r="H39" s="1">
        <f t="shared" si="0"/>
        <v>36.235341863986875</v>
      </c>
      <c r="I39" s="1">
        <f t="shared" si="0"/>
        <v>36.235341863986875</v>
      </c>
      <c r="J39" s="1">
        <v>366</v>
      </c>
      <c r="L39" s="9" t="str">
        <f t="shared" si="1"/>
        <v>3475</v>
      </c>
      <c r="M39">
        <f t="shared" si="2"/>
        <v>3475</v>
      </c>
      <c r="N39">
        <f t="shared" si="3"/>
        <v>36</v>
      </c>
      <c r="O39">
        <v>5</v>
      </c>
      <c r="R39" s="8">
        <v>45427</v>
      </c>
      <c r="T39">
        <f t="shared" si="4"/>
        <v>37</v>
      </c>
    </row>
    <row r="40" spans="1:20" x14ac:dyDescent="0.25">
      <c r="A40" t="s">
        <v>406</v>
      </c>
      <c r="C40" t="s">
        <v>405</v>
      </c>
      <c r="D40" t="s">
        <v>402</v>
      </c>
      <c r="E40" s="8">
        <v>45523</v>
      </c>
      <c r="F40" s="1">
        <v>557000</v>
      </c>
      <c r="G40" s="17">
        <v>20000</v>
      </c>
      <c r="H40" s="1">
        <f t="shared" si="0"/>
        <v>746.32432628181164</v>
      </c>
      <c r="I40" s="1">
        <f t="shared" si="0"/>
        <v>141.42135623730951</v>
      </c>
      <c r="J40" s="1">
        <v>1824</v>
      </c>
      <c r="L40" s="9" t="str">
        <f t="shared" si="1"/>
        <v>3760</v>
      </c>
      <c r="M40">
        <f t="shared" si="2"/>
        <v>3760</v>
      </c>
      <c r="N40">
        <f t="shared" si="3"/>
        <v>44</v>
      </c>
      <c r="O40">
        <v>5</v>
      </c>
      <c r="P40">
        <v>5</v>
      </c>
      <c r="R40" s="8">
        <v>45432</v>
      </c>
      <c r="T40">
        <f t="shared" si="4"/>
        <v>38</v>
      </c>
    </row>
    <row r="41" spans="1:20" x14ac:dyDescent="0.25">
      <c r="C41" t="s">
        <v>409</v>
      </c>
      <c r="D41" t="s">
        <v>407</v>
      </c>
      <c r="E41" s="8">
        <v>45348</v>
      </c>
      <c r="F41" s="1">
        <v>5052</v>
      </c>
      <c r="G41" s="1">
        <v>5052</v>
      </c>
      <c r="H41" s="1">
        <f t="shared" si="0"/>
        <v>71.077422575667441</v>
      </c>
      <c r="I41" s="1">
        <f t="shared" si="0"/>
        <v>71.077422575667441</v>
      </c>
      <c r="J41" s="1">
        <v>4252</v>
      </c>
      <c r="L41" s="9" t="str">
        <f t="shared" si="1"/>
        <v>3332</v>
      </c>
      <c r="M41">
        <f t="shared" si="2"/>
        <v>3332</v>
      </c>
      <c r="N41">
        <f t="shared" si="3"/>
        <v>30</v>
      </c>
      <c r="O41">
        <v>5</v>
      </c>
      <c r="R41" s="8">
        <v>45446</v>
      </c>
      <c r="T41">
        <f t="shared" si="4"/>
        <v>39</v>
      </c>
    </row>
    <row r="42" spans="1:20" x14ac:dyDescent="0.25">
      <c r="C42" t="s">
        <v>293</v>
      </c>
      <c r="D42" t="s">
        <v>311</v>
      </c>
      <c r="E42" s="8">
        <v>45112</v>
      </c>
      <c r="F42" s="1">
        <v>8493</v>
      </c>
      <c r="G42" s="1">
        <v>8493</v>
      </c>
      <c r="H42" s="1">
        <f t="shared" si="0"/>
        <v>92.157473923713866</v>
      </c>
      <c r="I42" s="1">
        <f t="shared" si="0"/>
        <v>92.157473923713866</v>
      </c>
      <c r="J42" s="1" t="e">
        <v>#DIV/0!</v>
      </c>
      <c r="L42" s="9" t="str">
        <f t="shared" si="1"/>
        <v>2785</v>
      </c>
      <c r="M42">
        <f t="shared" si="2"/>
        <v>2785</v>
      </c>
      <c r="N42">
        <f t="shared" si="3"/>
        <v>17</v>
      </c>
      <c r="O42">
        <v>5</v>
      </c>
      <c r="R42" s="8">
        <v>45450</v>
      </c>
      <c r="T42">
        <f t="shared" si="4"/>
        <v>40</v>
      </c>
    </row>
    <row r="43" spans="1:20" x14ac:dyDescent="0.25">
      <c r="C43" t="s">
        <v>341</v>
      </c>
      <c r="D43" t="s">
        <v>358</v>
      </c>
      <c r="E43" s="8">
        <v>45427</v>
      </c>
      <c r="F43" s="1">
        <v>5378</v>
      </c>
      <c r="G43" s="1">
        <v>5378</v>
      </c>
      <c r="H43" s="1">
        <f t="shared" si="0"/>
        <v>73.334848469196416</v>
      </c>
      <c r="I43" s="1">
        <f t="shared" si="0"/>
        <v>73.334848469196416</v>
      </c>
      <c r="J43" s="1" t="e">
        <v>#DIV/0!</v>
      </c>
      <c r="L43" s="9" t="str">
        <f t="shared" si="1"/>
        <v>3523</v>
      </c>
      <c r="M43">
        <f t="shared" si="2"/>
        <v>3523</v>
      </c>
      <c r="N43">
        <f t="shared" si="3"/>
        <v>37</v>
      </c>
      <c r="O43">
        <v>5</v>
      </c>
      <c r="R43" s="8">
        <v>45468</v>
      </c>
      <c r="T43">
        <f t="shared" si="4"/>
        <v>41</v>
      </c>
    </row>
    <row r="44" spans="1:20" x14ac:dyDescent="0.25">
      <c r="C44" t="s">
        <v>298</v>
      </c>
      <c r="D44" t="s">
        <v>312</v>
      </c>
      <c r="E44" s="8">
        <v>45363</v>
      </c>
      <c r="F44" s="1">
        <v>2533</v>
      </c>
      <c r="G44" s="1">
        <v>2533</v>
      </c>
      <c r="H44" s="1">
        <f t="shared" si="0"/>
        <v>50.328918128646478</v>
      </c>
      <c r="I44" s="1">
        <f t="shared" si="0"/>
        <v>50.328918128646478</v>
      </c>
      <c r="J44" s="1" t="e">
        <v>#DIV/0!</v>
      </c>
      <c r="L44" s="9" t="str">
        <f t="shared" si="1"/>
        <v>3372</v>
      </c>
      <c r="M44">
        <f t="shared" si="2"/>
        <v>3372</v>
      </c>
      <c r="N44">
        <f t="shared" si="3"/>
        <v>31</v>
      </c>
      <c r="O44">
        <v>5</v>
      </c>
      <c r="R44" s="8">
        <v>45489</v>
      </c>
      <c r="T44">
        <f t="shared" si="4"/>
        <v>42</v>
      </c>
    </row>
    <row r="45" spans="1:20" x14ac:dyDescent="0.25">
      <c r="C45" t="s">
        <v>236</v>
      </c>
      <c r="D45" t="s">
        <v>239</v>
      </c>
      <c r="E45" s="8">
        <v>45450</v>
      </c>
      <c r="F45" s="1">
        <v>946</v>
      </c>
      <c r="G45" s="1">
        <v>946</v>
      </c>
      <c r="H45" s="1">
        <f t="shared" si="0"/>
        <v>30.757112998459398</v>
      </c>
      <c r="I45" s="1">
        <f t="shared" si="0"/>
        <v>30.757112998459398</v>
      </c>
      <c r="J45" s="1" t="e">
        <v>#DIV/0!</v>
      </c>
      <c r="L45" s="9" t="str">
        <f t="shared" si="1"/>
        <v>3583</v>
      </c>
      <c r="M45">
        <f t="shared" si="2"/>
        <v>3583</v>
      </c>
      <c r="N45">
        <f t="shared" si="3"/>
        <v>40</v>
      </c>
      <c r="O45">
        <v>5</v>
      </c>
      <c r="R45" s="8">
        <v>45505</v>
      </c>
      <c r="T45">
        <f t="shared" si="4"/>
        <v>43</v>
      </c>
    </row>
    <row r="46" spans="1:20" x14ac:dyDescent="0.25">
      <c r="C46" t="s">
        <v>367</v>
      </c>
      <c r="D46" t="s">
        <v>365</v>
      </c>
      <c r="E46" s="8">
        <v>45546</v>
      </c>
      <c r="F46" s="1">
        <v>176</v>
      </c>
      <c r="G46" s="1">
        <v>176</v>
      </c>
      <c r="H46" s="1">
        <f t="shared" ref="H46:H47" si="5">SQRT(F46)</f>
        <v>13.266499161421599</v>
      </c>
      <c r="I46" s="1">
        <f t="shared" ref="I46:I47" si="6">SQRT(G46)</f>
        <v>13.266499161421599</v>
      </c>
      <c r="J46" s="1" t="e">
        <v>#DIV/0!</v>
      </c>
      <c r="L46" s="9" t="str">
        <f t="shared" ref="L46:L47" si="7">RIGHT(D46,4)</f>
        <v>3821</v>
      </c>
      <c r="M46">
        <f t="shared" ref="M46:M47" si="8">_xlfn.NUMBERVALUE(L46)</f>
        <v>3821</v>
      </c>
      <c r="N46">
        <f t="shared" si="3"/>
        <v>45</v>
      </c>
      <c r="O46">
        <v>5</v>
      </c>
      <c r="R46" s="8">
        <v>45523</v>
      </c>
      <c r="T46">
        <f t="shared" si="4"/>
        <v>44</v>
      </c>
    </row>
    <row r="47" spans="1:20" x14ac:dyDescent="0.25">
      <c r="C47" t="s">
        <v>373</v>
      </c>
      <c r="D47" t="s">
        <v>370</v>
      </c>
      <c r="E47" s="8">
        <v>45446</v>
      </c>
      <c r="F47" s="1">
        <v>118</v>
      </c>
      <c r="G47" s="1">
        <v>118</v>
      </c>
      <c r="H47" s="1">
        <f t="shared" si="5"/>
        <v>10.862780491200215</v>
      </c>
      <c r="I47" s="1">
        <f t="shared" si="6"/>
        <v>10.862780491200215</v>
      </c>
      <c r="J47" s="1" t="e">
        <v>#DIV/0!</v>
      </c>
      <c r="L47" s="9" t="str">
        <f t="shared" si="7"/>
        <v>3571</v>
      </c>
      <c r="M47">
        <f t="shared" si="8"/>
        <v>3571</v>
      </c>
      <c r="N47">
        <f t="shared" si="3"/>
        <v>39</v>
      </c>
      <c r="O47">
        <v>5</v>
      </c>
      <c r="R47" s="8">
        <v>45546</v>
      </c>
      <c r="T47">
        <f t="shared" si="4"/>
        <v>45</v>
      </c>
    </row>
    <row r="57" spans="5:6" x14ac:dyDescent="0.25">
      <c r="E57" s="8">
        <v>43831</v>
      </c>
      <c r="F57">
        <v>43831</v>
      </c>
    </row>
    <row r="58" spans="5:6" x14ac:dyDescent="0.25">
      <c r="E58" s="8">
        <v>45536</v>
      </c>
      <c r="F58">
        <v>45536</v>
      </c>
    </row>
  </sheetData>
  <sortState xmlns:xlrd2="http://schemas.microsoft.com/office/spreadsheetml/2017/richdata2" ref="R3:R47">
    <sortCondition ref="R3:R47"/>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5CDB3-AACB-49DB-BB1C-DA2A61E48228}">
  <sheetPr codeName="Sheet5">
    <tabColor theme="3" tint="0.79998168889431442"/>
  </sheetPr>
  <dimension ref="B2:M53"/>
  <sheetViews>
    <sheetView showGridLines="0" zoomScale="85" zoomScaleNormal="85" workbookViewId="0">
      <selection activeCell="E9" sqref="E9"/>
    </sheetView>
  </sheetViews>
  <sheetFormatPr defaultRowHeight="15" outlineLevelRow="1" x14ac:dyDescent="0.25"/>
  <cols>
    <col min="2" max="2" width="19.5703125" bestFit="1" customWidth="1"/>
    <col min="3" max="12" width="11.7109375" style="20" customWidth="1"/>
    <col min="13" max="13" width="12.7109375" style="20" customWidth="1"/>
  </cols>
  <sheetData>
    <row r="2" spans="2:13" x14ac:dyDescent="0.25">
      <c r="C2" s="69">
        <v>0.2205</v>
      </c>
      <c r="D2" s="71">
        <v>0.3604</v>
      </c>
      <c r="E2" s="69">
        <v>1.8E-3</v>
      </c>
      <c r="F2" s="70">
        <v>5.0000000000000001E-4</v>
      </c>
      <c r="G2" s="71">
        <v>2.8E-3</v>
      </c>
      <c r="H2" s="85">
        <v>7.7000000000000002E-3</v>
      </c>
      <c r="I2" s="85">
        <v>1.1999999999999999E-3</v>
      </c>
      <c r="J2" s="69">
        <v>8.8400000000000006E-2</v>
      </c>
      <c r="K2" s="70">
        <v>1.2200000000000001E-2</v>
      </c>
      <c r="L2" s="71">
        <v>1.0999999999999999E-2</v>
      </c>
    </row>
    <row r="4" spans="2:13" s="79" customFormat="1" ht="45" x14ac:dyDescent="0.25">
      <c r="B4" s="78"/>
      <c r="C4" s="80" t="s">
        <v>495</v>
      </c>
      <c r="D4" s="81"/>
      <c r="E4" s="80" t="s">
        <v>345</v>
      </c>
      <c r="F4" s="82"/>
      <c r="G4" s="81"/>
      <c r="H4" s="83" t="s">
        <v>344</v>
      </c>
      <c r="I4" s="83" t="s">
        <v>211</v>
      </c>
      <c r="J4" s="80" t="s">
        <v>496</v>
      </c>
      <c r="K4" s="82"/>
      <c r="L4" s="81"/>
    </row>
    <row r="5" spans="2:13" s="62" customFormat="1" ht="30" x14ac:dyDescent="0.25">
      <c r="B5" s="65"/>
      <c r="C5" s="66" t="s">
        <v>11</v>
      </c>
      <c r="D5" s="68" t="s">
        <v>41</v>
      </c>
      <c r="E5" s="66" t="s">
        <v>122</v>
      </c>
      <c r="F5" s="67" t="s">
        <v>482</v>
      </c>
      <c r="G5" s="68" t="s">
        <v>124</v>
      </c>
      <c r="H5" s="84" t="s">
        <v>125</v>
      </c>
      <c r="I5" s="84" t="s">
        <v>211</v>
      </c>
      <c r="J5" s="66" t="s">
        <v>6</v>
      </c>
      <c r="K5" s="88" t="s">
        <v>7</v>
      </c>
      <c r="L5" s="68" t="s">
        <v>8</v>
      </c>
    </row>
    <row r="6" spans="2:13" x14ac:dyDescent="0.25">
      <c r="B6" t="s">
        <v>475</v>
      </c>
      <c r="C6" s="69">
        <v>0.48799999999999999</v>
      </c>
      <c r="D6" s="71">
        <v>0.3861</v>
      </c>
      <c r="E6" s="69">
        <v>0.58799999999999997</v>
      </c>
      <c r="F6" s="70">
        <v>0.61839999999999995</v>
      </c>
      <c r="G6" s="71">
        <v>0.60709999999999997</v>
      </c>
      <c r="H6" s="85">
        <v>0.67849999999999999</v>
      </c>
      <c r="I6" s="85">
        <v>0.4486</v>
      </c>
      <c r="J6" s="69">
        <v>0.55700000000000005</v>
      </c>
      <c r="K6" s="70">
        <v>0.67290000000000005</v>
      </c>
      <c r="L6" s="71">
        <v>0.52149999999999996</v>
      </c>
      <c r="M6" s="63"/>
    </row>
    <row r="7" spans="2:13" x14ac:dyDescent="0.25">
      <c r="B7" t="s">
        <v>478</v>
      </c>
      <c r="C7" s="69">
        <v>0.2205</v>
      </c>
      <c r="D7" s="71">
        <v>0.3604</v>
      </c>
      <c r="E7" s="69">
        <v>1.8E-3</v>
      </c>
      <c r="F7" s="70">
        <v>5.0000000000000001E-4</v>
      </c>
      <c r="G7" s="71">
        <v>2.8E-3</v>
      </c>
      <c r="H7" s="85">
        <v>7.7000000000000002E-3</v>
      </c>
      <c r="I7" s="85">
        <v>1.1999999999999999E-3</v>
      </c>
      <c r="J7" s="69">
        <v>8.8400000000000006E-2</v>
      </c>
      <c r="K7" s="70">
        <v>1.2200000000000001E-2</v>
      </c>
      <c r="L7" s="71">
        <v>1.0999999999999999E-2</v>
      </c>
      <c r="M7" s="63"/>
    </row>
    <row r="8" spans="2:13" x14ac:dyDescent="0.25">
      <c r="B8" t="s">
        <v>479</v>
      </c>
      <c r="C8" s="69">
        <v>2.18E-2</v>
      </c>
      <c r="D8" s="71">
        <v>0.17469999999999999</v>
      </c>
      <c r="E8" s="69">
        <v>0.37030000000000002</v>
      </c>
      <c r="F8" s="70">
        <v>0.30299999999999999</v>
      </c>
      <c r="G8" s="71">
        <v>0.34749999999999998</v>
      </c>
      <c r="H8" s="85">
        <v>0.18429999999999999</v>
      </c>
      <c r="I8" s="85">
        <v>0.50700000000000001</v>
      </c>
      <c r="J8" s="69">
        <v>0.21249999999999999</v>
      </c>
      <c r="K8" s="70">
        <v>0.1764</v>
      </c>
      <c r="L8" s="71">
        <v>0.38750000000000001</v>
      </c>
      <c r="M8" s="63"/>
    </row>
    <row r="9" spans="2:13" x14ac:dyDescent="0.25">
      <c r="B9" t="s">
        <v>480</v>
      </c>
      <c r="C9" s="69">
        <v>0.19940000000000002</v>
      </c>
      <c r="D9" s="71">
        <v>3.9E-2</v>
      </c>
      <c r="E9" s="69">
        <v>1.7899999999999999E-2</v>
      </c>
      <c r="F9" s="70">
        <v>5.4399999999999997E-2</v>
      </c>
      <c r="G9" s="71">
        <v>1.9699999999999999E-2</v>
      </c>
      <c r="H9" s="85">
        <v>8.5800000000000001E-2</v>
      </c>
      <c r="I9" s="85">
        <v>1.7899999999999999E-2</v>
      </c>
      <c r="J9" s="69">
        <v>9.0499999999999997E-2</v>
      </c>
      <c r="K9" s="70">
        <v>9.1200000000000003E-2</v>
      </c>
      <c r="L9" s="71">
        <v>2.4799999999999999E-2</v>
      </c>
      <c r="M9" s="63"/>
    </row>
    <row r="10" spans="2:13" x14ac:dyDescent="0.25">
      <c r="B10" t="s">
        <v>477</v>
      </c>
      <c r="C10" s="69">
        <v>6.5199999999999994E-2</v>
      </c>
      <c r="D10" s="71">
        <v>2.1100000000000001E-2</v>
      </c>
      <c r="E10" s="69">
        <v>2.0199999999999999E-2</v>
      </c>
      <c r="F10" s="70">
        <v>2.3E-2</v>
      </c>
      <c r="G10" s="71">
        <v>2.1399999999999999E-2</v>
      </c>
      <c r="H10" s="85">
        <v>3.39E-2</v>
      </c>
      <c r="I10" s="85">
        <v>2.2700000000000001E-2</v>
      </c>
      <c r="J10" s="69">
        <v>3.2399999999999998E-2</v>
      </c>
      <c r="K10" s="70">
        <v>3.2300000000000002E-2</v>
      </c>
      <c r="L10" s="71">
        <v>5.4199999999999998E-2</v>
      </c>
      <c r="M10" s="63"/>
    </row>
    <row r="11" spans="2:13" x14ac:dyDescent="0.25">
      <c r="B11" t="s">
        <v>481</v>
      </c>
      <c r="C11" s="69">
        <v>4.6999999999999993E-3</v>
      </c>
      <c r="D11" s="71">
        <v>1.8499999999999999E-2</v>
      </c>
      <c r="E11" s="69">
        <v>1.2999999999999999E-3</v>
      </c>
      <c r="F11" s="70">
        <v>5.9999999999999995E-4</v>
      </c>
      <c r="G11" s="71">
        <v>1.1999999999999999E-3</v>
      </c>
      <c r="H11" s="85">
        <v>9.5999999999999992E-3</v>
      </c>
      <c r="I11" s="85">
        <v>2.5000000000000001E-3</v>
      </c>
      <c r="J11" s="69">
        <v>1.8499999999999999E-2</v>
      </c>
      <c r="K11" s="70">
        <v>1.4E-2</v>
      </c>
      <c r="L11" s="71">
        <v>2.9999999999999997E-4</v>
      </c>
      <c r="M11" s="63"/>
    </row>
    <row r="12" spans="2:13" x14ac:dyDescent="0.25">
      <c r="B12" t="s">
        <v>476</v>
      </c>
      <c r="C12" s="69">
        <v>2.9999999999999997E-4</v>
      </c>
      <c r="D12" s="71">
        <v>2.0000000000000001E-4</v>
      </c>
      <c r="E12" s="69">
        <v>5.0000000000000001E-4</v>
      </c>
      <c r="F12" s="70">
        <v>2.0000000000000001E-4</v>
      </c>
      <c r="G12" s="71">
        <v>2.9999999999999997E-4</v>
      </c>
      <c r="H12" s="85">
        <v>2.9999999999999997E-4</v>
      </c>
      <c r="I12" s="85">
        <v>1E-4</v>
      </c>
      <c r="J12" s="69">
        <v>8.0000000000000004E-4</v>
      </c>
      <c r="K12" s="70">
        <v>1E-3</v>
      </c>
      <c r="L12" s="71">
        <v>5.9999999999999995E-4</v>
      </c>
      <c r="M12" s="63"/>
    </row>
    <row r="13" spans="2:13" hidden="1" outlineLevel="1" x14ac:dyDescent="0.25">
      <c r="C13" s="69">
        <f t="shared" ref="C13:L13" si="0">SUM(C6:C12)</f>
        <v>0.99990000000000012</v>
      </c>
      <c r="D13" s="71">
        <f t="shared" si="0"/>
        <v>0.99999999999999989</v>
      </c>
      <c r="E13" s="69">
        <f t="shared" si="0"/>
        <v>0.99999999999999989</v>
      </c>
      <c r="F13" s="70">
        <f t="shared" si="0"/>
        <v>1.0001</v>
      </c>
      <c r="G13" s="71">
        <f t="shared" si="0"/>
        <v>1</v>
      </c>
      <c r="H13" s="85">
        <f t="shared" si="0"/>
        <v>1.0001000000000002</v>
      </c>
      <c r="I13" s="85">
        <f t="shared" si="0"/>
        <v>1</v>
      </c>
      <c r="J13" s="69">
        <f t="shared" si="0"/>
        <v>1.0001</v>
      </c>
      <c r="K13" s="70">
        <f t="shared" si="0"/>
        <v>1</v>
      </c>
      <c r="L13" s="71">
        <f t="shared" si="0"/>
        <v>0.99990000000000001</v>
      </c>
      <c r="M13" s="63"/>
    </row>
    <row r="14" spans="2:13" collapsed="1" x14ac:dyDescent="0.25">
      <c r="C14" s="72"/>
      <c r="D14" s="74"/>
      <c r="E14" s="72"/>
      <c r="F14" s="73"/>
      <c r="G14" s="74"/>
      <c r="H14" s="86"/>
      <c r="I14" s="86"/>
      <c r="J14" s="72"/>
      <c r="K14" s="73"/>
      <c r="L14" s="74"/>
    </row>
    <row r="15" spans="2:13" x14ac:dyDescent="0.25">
      <c r="B15" t="s">
        <v>483</v>
      </c>
      <c r="C15" s="75">
        <v>2.02</v>
      </c>
      <c r="D15" s="77">
        <v>2.31</v>
      </c>
      <c r="E15" s="75">
        <v>3.33</v>
      </c>
      <c r="F15" s="76">
        <v>3.38</v>
      </c>
      <c r="G15" s="77">
        <v>4.05</v>
      </c>
      <c r="H15" s="87">
        <v>3.07</v>
      </c>
      <c r="I15" s="87">
        <v>4.2</v>
      </c>
      <c r="J15" s="75">
        <v>2.44</v>
      </c>
      <c r="K15" s="76">
        <v>3.46</v>
      </c>
      <c r="L15" s="77">
        <v>3.01</v>
      </c>
      <c r="M15" s="35"/>
    </row>
    <row r="16" spans="2:13" x14ac:dyDescent="0.25">
      <c r="B16" t="s">
        <v>493</v>
      </c>
      <c r="C16" s="75">
        <v>1.1399999999999999</v>
      </c>
      <c r="D16" s="77">
        <v>2.2200000000000002</v>
      </c>
      <c r="E16" s="75">
        <v>3.06</v>
      </c>
      <c r="F16" s="76">
        <v>2.57</v>
      </c>
      <c r="G16" s="77">
        <v>2.4</v>
      </c>
      <c r="H16" s="87">
        <v>1.25</v>
      </c>
      <c r="I16" s="87">
        <v>2.68</v>
      </c>
      <c r="J16" s="75">
        <v>2.02</v>
      </c>
      <c r="K16" s="76">
        <v>3.23</v>
      </c>
      <c r="L16" s="77">
        <v>1.57</v>
      </c>
      <c r="M16" s="35"/>
    </row>
    <row r="17" spans="2:13" x14ac:dyDescent="0.25">
      <c r="B17" t="s">
        <v>484</v>
      </c>
      <c r="C17" s="69">
        <v>0.4713</v>
      </c>
      <c r="D17" s="71">
        <v>0.54390000000000005</v>
      </c>
      <c r="E17" s="69">
        <v>0.36909999999999998</v>
      </c>
      <c r="F17" s="70">
        <v>0.45119999999999999</v>
      </c>
      <c r="G17" s="71">
        <v>0.4496</v>
      </c>
      <c r="H17" s="85">
        <v>0.45400000000000001</v>
      </c>
      <c r="I17" s="85">
        <v>0.47889999999999999</v>
      </c>
      <c r="J17" s="69">
        <v>0.46050000000000002</v>
      </c>
      <c r="K17" s="70">
        <v>0.3926</v>
      </c>
      <c r="L17" s="71">
        <v>0.4728</v>
      </c>
      <c r="M17" s="63"/>
    </row>
    <row r="18" spans="2:13" x14ac:dyDescent="0.25">
      <c r="B18" t="s">
        <v>485</v>
      </c>
      <c r="C18" s="69">
        <v>0.95099999999999996</v>
      </c>
      <c r="D18" s="71">
        <v>0.91620000000000001</v>
      </c>
      <c r="E18" s="69">
        <v>0.77690000000000003</v>
      </c>
      <c r="F18" s="70">
        <v>0.8417</v>
      </c>
      <c r="G18" s="71">
        <v>0.81520000000000004</v>
      </c>
      <c r="H18" s="85">
        <v>0.83420000000000005</v>
      </c>
      <c r="I18" s="85">
        <v>0.81530000000000002</v>
      </c>
      <c r="J18" s="69">
        <v>0.85970000000000002</v>
      </c>
      <c r="K18" s="70">
        <v>0.79269999999999996</v>
      </c>
      <c r="L18" s="71">
        <v>0.54959999999999998</v>
      </c>
      <c r="M18" s="63"/>
    </row>
    <row r="27" spans="2:13" x14ac:dyDescent="0.25">
      <c r="C27" s="20" t="s">
        <v>498</v>
      </c>
      <c r="D27" s="64" t="s">
        <v>497</v>
      </c>
      <c r="E27" s="64"/>
      <c r="F27" s="64"/>
    </row>
    <row r="28" spans="2:13" x14ac:dyDescent="0.25">
      <c r="C28" s="20" t="s">
        <v>498</v>
      </c>
      <c r="D28" s="20" t="s">
        <v>99</v>
      </c>
      <c r="E28" s="20" t="s">
        <v>100</v>
      </c>
      <c r="F28" s="20" t="s">
        <v>499</v>
      </c>
    </row>
    <row r="29" spans="2:13" x14ac:dyDescent="0.25">
      <c r="B29" t="s">
        <v>343</v>
      </c>
      <c r="C29" s="89">
        <v>1523867.666666667</v>
      </c>
      <c r="D29" s="89">
        <v>2443167</v>
      </c>
      <c r="E29" s="89">
        <v>1664387</v>
      </c>
      <c r="F29" s="89">
        <v>551921</v>
      </c>
    </row>
    <row r="30" spans="2:13" x14ac:dyDescent="0.25">
      <c r="B30" t="s">
        <v>345</v>
      </c>
      <c r="C30" s="89">
        <v>13513034.333333332</v>
      </c>
      <c r="D30" s="89">
        <v>711000</v>
      </c>
      <c r="E30" s="89">
        <v>44343</v>
      </c>
      <c r="F30" s="89">
        <v>0</v>
      </c>
    </row>
    <row r="31" spans="2:13" x14ac:dyDescent="0.25">
      <c r="B31" t="s">
        <v>344</v>
      </c>
      <c r="C31" s="89">
        <v>692628.33333333326</v>
      </c>
      <c r="D31" s="89">
        <v>38117</v>
      </c>
      <c r="E31" s="89">
        <v>4952</v>
      </c>
      <c r="F31" s="89">
        <v>0</v>
      </c>
    </row>
    <row r="32" spans="2:13" x14ac:dyDescent="0.25">
      <c r="B32" t="s">
        <v>211</v>
      </c>
      <c r="C32" s="89">
        <v>336829.33333333331</v>
      </c>
      <c r="D32" s="89">
        <v>46000</v>
      </c>
      <c r="E32" s="89">
        <v>1317</v>
      </c>
      <c r="F32" s="89">
        <v>0</v>
      </c>
    </row>
    <row r="33" spans="2:6" x14ac:dyDescent="0.25">
      <c r="B33" t="s">
        <v>31</v>
      </c>
      <c r="C33" s="89">
        <v>2359803.666666667</v>
      </c>
      <c r="D33" s="89">
        <v>627036</v>
      </c>
      <c r="E33" s="89">
        <v>140121</v>
      </c>
      <c r="F33" s="89">
        <v>0</v>
      </c>
    </row>
    <row r="46" spans="2:6" x14ac:dyDescent="0.25">
      <c r="C46" s="90"/>
    </row>
    <row r="47" spans="2:6" x14ac:dyDescent="0.25">
      <c r="C47" s="90"/>
    </row>
    <row r="48" spans="2:6" x14ac:dyDescent="0.25">
      <c r="C48" s="90" t="s">
        <v>500</v>
      </c>
    </row>
    <row r="49" spans="3:8" x14ac:dyDescent="0.25">
      <c r="C49" s="90" t="s">
        <v>501</v>
      </c>
      <c r="H49" s="20">
        <f>25000000</f>
        <v>25000000</v>
      </c>
    </row>
    <row r="50" spans="3:8" x14ac:dyDescent="0.25">
      <c r="C50" s="90" t="s">
        <v>504</v>
      </c>
      <c r="H50" s="20">
        <f>H49/60000</f>
        <v>416.66666666666669</v>
      </c>
    </row>
    <row r="51" spans="3:8" x14ac:dyDescent="0.25">
      <c r="C51" s="90" t="s">
        <v>507</v>
      </c>
    </row>
    <row r="52" spans="3:8" x14ac:dyDescent="0.25">
      <c r="C52" s="90" t="s">
        <v>505</v>
      </c>
    </row>
    <row r="53" spans="3:8" x14ac:dyDescent="0.25">
      <c r="C53" s="90" t="s">
        <v>506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44A3-1857-4D61-AB48-141AE16D7019}">
  <sheetPr codeName="Sheet8">
    <tabColor theme="3" tint="0.79998168889431442"/>
  </sheetPr>
  <dimension ref="B3:AN60"/>
  <sheetViews>
    <sheetView zoomScale="85" zoomScaleNormal="85" workbookViewId="0">
      <pane xSplit="2" ySplit="4" topLeftCell="C5" activePane="bottomRight" state="frozen"/>
      <selection activeCell="L99" sqref="L99"/>
      <selection pane="topRight" activeCell="L99" sqref="L99"/>
      <selection pane="bottomLeft" activeCell="L99" sqref="L99"/>
      <selection pane="bottomRight" activeCell="N15" sqref="N15"/>
    </sheetView>
  </sheetViews>
  <sheetFormatPr defaultRowHeight="15" x14ac:dyDescent="0.25"/>
  <cols>
    <col min="1" max="1" width="2.7109375" customWidth="1"/>
    <col min="2" max="2" width="23.42578125" bestFit="1" customWidth="1"/>
    <col min="8" max="8" width="2.7109375" style="30" customWidth="1"/>
    <col min="19" max="19" width="2.7109375" style="30" customWidth="1"/>
    <col min="40" max="40" width="9.140625" customWidth="1"/>
  </cols>
  <sheetData>
    <row r="3" spans="2:40" x14ac:dyDescent="0.25">
      <c r="B3" s="25"/>
      <c r="C3" s="25">
        <v>44012</v>
      </c>
      <c r="D3" s="25">
        <f>EOMONTH(C3,12)</f>
        <v>44377</v>
      </c>
      <c r="E3" s="25">
        <f t="shared" ref="E3:G3" si="0">EOMONTH(D3,12)</f>
        <v>44742</v>
      </c>
      <c r="F3" s="25">
        <f t="shared" si="0"/>
        <v>45107</v>
      </c>
      <c r="G3" s="25">
        <f t="shared" si="0"/>
        <v>45473</v>
      </c>
      <c r="H3" s="34"/>
      <c r="I3" s="25">
        <v>43830</v>
      </c>
      <c r="J3" s="25">
        <f>EOMONTH(I3,6)</f>
        <v>44012</v>
      </c>
      <c r="K3" s="25">
        <f t="shared" ref="K3:R3" si="1">EOMONTH(J3,6)</f>
        <v>44196</v>
      </c>
      <c r="L3" s="25">
        <f t="shared" si="1"/>
        <v>44377</v>
      </c>
      <c r="M3" s="25">
        <f t="shared" si="1"/>
        <v>44561</v>
      </c>
      <c r="N3" s="25">
        <f t="shared" si="1"/>
        <v>44742</v>
      </c>
      <c r="O3" s="25">
        <f t="shared" si="1"/>
        <v>44926</v>
      </c>
      <c r="P3" s="25">
        <f t="shared" si="1"/>
        <v>45107</v>
      </c>
      <c r="Q3" s="25">
        <f t="shared" si="1"/>
        <v>45291</v>
      </c>
      <c r="R3" s="25">
        <f t="shared" si="1"/>
        <v>45473</v>
      </c>
      <c r="S3" s="34"/>
      <c r="T3" s="25">
        <v>43646</v>
      </c>
      <c r="U3" s="25">
        <v>43738</v>
      </c>
      <c r="V3" s="25">
        <f>EOMONTH(U3,3)</f>
        <v>43830</v>
      </c>
      <c r="W3" s="25">
        <f t="shared" ref="W3:AN3" si="2">EOMONTH(V3,3)</f>
        <v>43921</v>
      </c>
      <c r="X3" s="25">
        <f t="shared" si="2"/>
        <v>44012</v>
      </c>
      <c r="Y3" s="25">
        <f t="shared" si="2"/>
        <v>44104</v>
      </c>
      <c r="Z3" s="25">
        <f t="shared" si="2"/>
        <v>44196</v>
      </c>
      <c r="AA3" s="25">
        <f t="shared" si="2"/>
        <v>44286</v>
      </c>
      <c r="AB3" s="25">
        <f t="shared" si="2"/>
        <v>44377</v>
      </c>
      <c r="AC3" s="25">
        <f t="shared" si="2"/>
        <v>44469</v>
      </c>
      <c r="AD3" s="25">
        <f t="shared" si="2"/>
        <v>44561</v>
      </c>
      <c r="AE3" s="25">
        <f t="shared" si="2"/>
        <v>44651</v>
      </c>
      <c r="AF3" s="25">
        <f t="shared" si="2"/>
        <v>44742</v>
      </c>
      <c r="AG3" s="25">
        <f t="shared" si="2"/>
        <v>44834</v>
      </c>
      <c r="AH3" s="25">
        <f t="shared" si="2"/>
        <v>44926</v>
      </c>
      <c r="AI3" s="25">
        <f t="shared" si="2"/>
        <v>45016</v>
      </c>
      <c r="AJ3" s="25">
        <f t="shared" si="2"/>
        <v>45107</v>
      </c>
      <c r="AK3" s="25">
        <f t="shared" si="2"/>
        <v>45199</v>
      </c>
      <c r="AL3" s="25">
        <f t="shared" si="2"/>
        <v>45291</v>
      </c>
      <c r="AM3" s="25">
        <f t="shared" si="2"/>
        <v>45382</v>
      </c>
      <c r="AN3" s="25">
        <f t="shared" si="2"/>
        <v>45473</v>
      </c>
    </row>
    <row r="4" spans="2:40" x14ac:dyDescent="0.25">
      <c r="B4" s="23"/>
      <c r="C4" s="24" t="s">
        <v>434</v>
      </c>
      <c r="D4" s="24" t="s">
        <v>435</v>
      </c>
      <c r="E4" s="24" t="s">
        <v>436</v>
      </c>
      <c r="F4" s="24" t="s">
        <v>437</v>
      </c>
      <c r="G4" s="24" t="s">
        <v>438</v>
      </c>
      <c r="I4" s="24" t="s">
        <v>447</v>
      </c>
      <c r="J4" s="24" t="s">
        <v>452</v>
      </c>
      <c r="K4" s="24" t="s">
        <v>448</v>
      </c>
      <c r="L4" s="24" t="s">
        <v>453</v>
      </c>
      <c r="M4" s="24" t="s">
        <v>449</v>
      </c>
      <c r="N4" s="24" t="s">
        <v>454</v>
      </c>
      <c r="O4" s="24" t="s">
        <v>450</v>
      </c>
      <c r="P4" s="24" t="s">
        <v>455</v>
      </c>
      <c r="Q4" s="24" t="s">
        <v>451</v>
      </c>
      <c r="R4" s="24" t="s">
        <v>456</v>
      </c>
      <c r="T4" s="24" t="s">
        <v>472</v>
      </c>
      <c r="U4" s="24" t="s">
        <v>459</v>
      </c>
      <c r="V4" s="24" t="s">
        <v>460</v>
      </c>
      <c r="W4" s="24" t="s">
        <v>461</v>
      </c>
      <c r="X4" s="24" t="s">
        <v>462</v>
      </c>
      <c r="Y4" s="24" t="s">
        <v>463</v>
      </c>
      <c r="Z4" s="24" t="s">
        <v>464</v>
      </c>
      <c r="AA4" s="24" t="s">
        <v>465</v>
      </c>
      <c r="AB4" s="24" t="s">
        <v>466</v>
      </c>
      <c r="AC4" s="24" t="s">
        <v>430</v>
      </c>
      <c r="AD4" s="24" t="s">
        <v>431</v>
      </c>
      <c r="AE4" s="24" t="s">
        <v>432</v>
      </c>
      <c r="AF4" s="24" t="s">
        <v>433</v>
      </c>
      <c r="AG4" s="24" t="s">
        <v>422</v>
      </c>
      <c r="AH4" s="24" t="s">
        <v>423</v>
      </c>
      <c r="AI4" s="24" t="s">
        <v>424</v>
      </c>
      <c r="AJ4" s="24" t="s">
        <v>425</v>
      </c>
      <c r="AK4" s="24" t="s">
        <v>426</v>
      </c>
      <c r="AL4" s="24" t="s">
        <v>427</v>
      </c>
      <c r="AM4" s="24" t="s">
        <v>428</v>
      </c>
      <c r="AN4" s="24" t="s">
        <v>429</v>
      </c>
    </row>
    <row r="5" spans="2:40" x14ac:dyDescent="0.25">
      <c r="C5" s="20"/>
      <c r="D5" s="20"/>
      <c r="E5" s="20"/>
      <c r="F5" s="20"/>
      <c r="G5" s="20"/>
      <c r="I5" s="20"/>
      <c r="J5" s="20"/>
      <c r="K5" s="20"/>
      <c r="L5" s="20"/>
      <c r="M5" s="20"/>
      <c r="T5" s="40"/>
      <c r="U5" s="40"/>
      <c r="V5" s="40"/>
      <c r="W5" s="40"/>
      <c r="X5" s="40"/>
      <c r="Y5" s="40"/>
      <c r="Z5" s="40"/>
      <c r="AA5" s="40"/>
      <c r="AB5" s="40"/>
      <c r="AC5" s="40"/>
      <c r="AD5" s="40"/>
      <c r="AE5" s="40"/>
      <c r="AF5" s="40"/>
      <c r="AG5" s="40"/>
      <c r="AH5" s="40"/>
      <c r="AI5" s="40"/>
      <c r="AJ5" s="40"/>
      <c r="AK5" s="40"/>
      <c r="AL5" s="40"/>
      <c r="AM5" s="40"/>
      <c r="AN5" s="40"/>
    </row>
    <row r="6" spans="2:40" x14ac:dyDescent="0.25">
      <c r="B6" s="11" t="s">
        <v>420</v>
      </c>
      <c r="C6" s="39">
        <v>3.5</v>
      </c>
      <c r="D6" s="39">
        <v>9.1999999999999993</v>
      </c>
      <c r="E6" s="39">
        <v>19</v>
      </c>
      <c r="F6" s="39">
        <v>30.3</v>
      </c>
      <c r="G6" s="54">
        <f>SUM(AK6:AN6)</f>
        <v>55.8</v>
      </c>
      <c r="I6" s="39">
        <v>1.4</v>
      </c>
      <c r="J6" s="54">
        <f>C6-I6</f>
        <v>2.1</v>
      </c>
      <c r="K6" s="39">
        <v>4.0999999999999996</v>
      </c>
      <c r="L6" s="54">
        <f>D6-K6</f>
        <v>5.0999999999999996</v>
      </c>
      <c r="M6" s="39">
        <v>10.7</v>
      </c>
      <c r="N6" s="39">
        <v>8.4</v>
      </c>
      <c r="O6" s="39">
        <v>14.5</v>
      </c>
      <c r="P6" s="39">
        <v>15.8</v>
      </c>
      <c r="Q6" s="39">
        <v>33.9</v>
      </c>
      <c r="R6" s="54">
        <f>G6-Q6</f>
        <v>21.9</v>
      </c>
      <c r="T6" s="41"/>
      <c r="U6" s="41"/>
      <c r="V6" s="42"/>
      <c r="W6" s="41">
        <v>0.7</v>
      </c>
      <c r="X6" s="42"/>
      <c r="Y6" s="41">
        <v>1.6</v>
      </c>
      <c r="Z6" s="42">
        <f>K6-Y6</f>
        <v>2.4999999999999996</v>
      </c>
      <c r="AA6" s="41">
        <v>2.5</v>
      </c>
      <c r="AB6" s="41">
        <v>2.5</v>
      </c>
      <c r="AC6" s="41">
        <v>5.9</v>
      </c>
      <c r="AD6" s="42">
        <f>M6-AC6</f>
        <v>4.7999999999999989</v>
      </c>
      <c r="AE6" s="41">
        <v>4.2</v>
      </c>
      <c r="AF6" s="42">
        <f>N6-AE6</f>
        <v>4.2</v>
      </c>
      <c r="AG6" s="41">
        <v>6.2</v>
      </c>
      <c r="AH6" s="42">
        <f>O6-AG6</f>
        <v>8.3000000000000007</v>
      </c>
      <c r="AI6" s="41">
        <v>7.7</v>
      </c>
      <c r="AJ6" s="41">
        <v>8.1</v>
      </c>
      <c r="AK6" s="41">
        <v>17.399999999999999</v>
      </c>
      <c r="AL6" s="42">
        <f>Q6-AK6</f>
        <v>16.5</v>
      </c>
      <c r="AM6" s="41">
        <v>9.6999999999999993</v>
      </c>
      <c r="AN6" s="41">
        <v>12.2</v>
      </c>
    </row>
    <row r="7" spans="2:40" x14ac:dyDescent="0.25">
      <c r="B7" s="11" t="s">
        <v>439</v>
      </c>
      <c r="C7" s="22">
        <f>C8-C6</f>
        <v>768.8</v>
      </c>
      <c r="D7" s="22">
        <f t="shared" ref="D7:G7" si="3">D8-D6</f>
        <v>1169.8</v>
      </c>
      <c r="E7" s="22">
        <f t="shared" si="3"/>
        <v>1161</v>
      </c>
      <c r="F7" s="22">
        <f t="shared" si="3"/>
        <v>814.5</v>
      </c>
      <c r="G7" s="22">
        <f t="shared" si="3"/>
        <v>753.2</v>
      </c>
      <c r="H7" s="32"/>
      <c r="I7" s="22">
        <f t="shared" ref="I7" si="4">I8-I6</f>
        <v>322</v>
      </c>
      <c r="J7" s="22">
        <f t="shared" ref="J7" si="5">J8-J6</f>
        <v>446.79999999999995</v>
      </c>
      <c r="K7" s="22">
        <f t="shared" ref="K7" si="6">K8-K6</f>
        <v>634.1</v>
      </c>
      <c r="L7" s="22">
        <f t="shared" ref="L7" si="7">L8-L6</f>
        <v>535.69999999999993</v>
      </c>
      <c r="M7" s="22">
        <f t="shared" ref="M7" si="8">M8-M6</f>
        <v>687.3</v>
      </c>
      <c r="N7" s="22">
        <f t="shared" ref="N7" si="9">N8-N6</f>
        <v>473.6</v>
      </c>
      <c r="O7" s="22">
        <f t="shared" ref="O7" si="10">O8-O6</f>
        <v>458.4</v>
      </c>
      <c r="P7" s="22">
        <f t="shared" ref="P7" si="11">P8-P6</f>
        <v>357.9</v>
      </c>
      <c r="Q7" s="22">
        <f t="shared" ref="Q7" si="12">Q8-Q6</f>
        <v>412.70000000000005</v>
      </c>
      <c r="R7" s="22">
        <f t="shared" ref="R7" si="13">R8-R6</f>
        <v>340.5</v>
      </c>
      <c r="S7" s="32"/>
      <c r="T7" s="42"/>
      <c r="U7" s="42"/>
      <c r="V7" s="42"/>
      <c r="W7" s="42"/>
      <c r="X7" s="42"/>
      <c r="Y7" s="42"/>
      <c r="Z7" s="42"/>
      <c r="AA7" s="42"/>
      <c r="AB7" s="42"/>
      <c r="AC7" s="42"/>
      <c r="AD7" s="42"/>
      <c r="AE7" s="42"/>
      <c r="AF7" s="42"/>
      <c r="AG7" s="42"/>
      <c r="AH7" s="42"/>
      <c r="AI7" s="42"/>
      <c r="AJ7" s="42"/>
      <c r="AK7" s="42"/>
      <c r="AL7" s="42"/>
      <c r="AM7" s="42"/>
      <c r="AN7" s="42"/>
    </row>
    <row r="8" spans="2:40" x14ac:dyDescent="0.25">
      <c r="B8" s="46" t="s">
        <v>421</v>
      </c>
      <c r="C8" s="47">
        <v>772.3</v>
      </c>
      <c r="D8" s="47">
        <v>1179</v>
      </c>
      <c r="E8" s="47">
        <v>1180</v>
      </c>
      <c r="F8" s="47">
        <v>844.8</v>
      </c>
      <c r="G8" s="47">
        <v>809</v>
      </c>
      <c r="H8" s="48"/>
      <c r="I8" s="47">
        <v>323.39999999999998</v>
      </c>
      <c r="J8" s="58">
        <f>C8-I8</f>
        <v>448.9</v>
      </c>
      <c r="K8" s="47">
        <v>638.20000000000005</v>
      </c>
      <c r="L8" s="58">
        <f>D8-K8</f>
        <v>540.79999999999995</v>
      </c>
      <c r="M8" s="47">
        <v>698</v>
      </c>
      <c r="N8" s="47">
        <v>482</v>
      </c>
      <c r="O8" s="47">
        <v>472.9</v>
      </c>
      <c r="P8" s="47">
        <v>373.7</v>
      </c>
      <c r="Q8" s="47">
        <v>446.6</v>
      </c>
      <c r="R8" s="58">
        <f>G8-Q8</f>
        <v>362.4</v>
      </c>
      <c r="S8" s="48"/>
      <c r="T8" s="49"/>
      <c r="U8" s="49"/>
      <c r="V8" s="49"/>
      <c r="W8" s="49">
        <v>183.8</v>
      </c>
      <c r="X8" s="50"/>
      <c r="Y8" s="49">
        <v>273</v>
      </c>
      <c r="Z8" s="50">
        <f>K8-Y8</f>
        <v>365.20000000000005</v>
      </c>
      <c r="AA8" s="49">
        <v>272.39999999999998</v>
      </c>
      <c r="AB8" s="49">
        <v>268.3</v>
      </c>
      <c r="AC8" s="49">
        <v>330.5</v>
      </c>
      <c r="AD8" s="50">
        <f>M8-AC8</f>
        <v>367.5</v>
      </c>
      <c r="AE8" s="49">
        <v>262.10000000000002</v>
      </c>
      <c r="AF8" s="50">
        <f>N8-AE8</f>
        <v>219.89999999999998</v>
      </c>
      <c r="AG8" s="49">
        <v>202.3</v>
      </c>
      <c r="AH8" s="50">
        <f>O8-AG8</f>
        <v>270.59999999999997</v>
      </c>
      <c r="AI8" s="49">
        <v>188.7</v>
      </c>
      <c r="AJ8" s="49">
        <v>186.8</v>
      </c>
      <c r="AK8" s="49">
        <v>189.2</v>
      </c>
      <c r="AL8" s="50">
        <f>Q8-AK8</f>
        <v>257.40000000000003</v>
      </c>
      <c r="AM8" s="49">
        <v>178.3</v>
      </c>
      <c r="AN8" s="49">
        <v>184.1</v>
      </c>
    </row>
    <row r="9" spans="2:40" x14ac:dyDescent="0.25">
      <c r="B9" s="10"/>
      <c r="C9" s="21"/>
      <c r="D9" s="21"/>
      <c r="E9" s="21"/>
      <c r="F9" s="21"/>
      <c r="G9" s="21"/>
      <c r="I9" s="21"/>
      <c r="J9" s="21"/>
      <c r="K9" s="21"/>
      <c r="L9" s="21"/>
      <c r="M9" s="21"/>
      <c r="T9" s="40"/>
      <c r="U9" s="40"/>
      <c r="V9" s="40"/>
      <c r="W9" s="40"/>
      <c r="X9" s="40"/>
      <c r="Y9" s="40"/>
      <c r="Z9" s="40"/>
      <c r="AA9" s="40"/>
      <c r="AB9" s="40"/>
      <c r="AC9" s="40"/>
      <c r="AD9" s="40"/>
      <c r="AE9" s="40"/>
      <c r="AF9" s="40"/>
      <c r="AG9" s="40"/>
      <c r="AH9" s="40"/>
      <c r="AI9" s="40"/>
      <c r="AJ9" s="40"/>
      <c r="AK9" s="40"/>
      <c r="AL9" s="40"/>
      <c r="AM9" s="40"/>
      <c r="AN9" s="40"/>
    </row>
    <row r="10" spans="2:40" x14ac:dyDescent="0.25">
      <c r="B10" s="10"/>
      <c r="C10" s="21"/>
      <c r="D10" s="21"/>
      <c r="E10" s="21"/>
      <c r="F10" s="21"/>
      <c r="G10" s="21"/>
      <c r="I10" s="21"/>
      <c r="J10" s="21"/>
      <c r="K10" s="21"/>
      <c r="L10" s="21"/>
      <c r="M10" s="21"/>
      <c r="T10" s="40"/>
      <c r="U10" s="40"/>
      <c r="V10" s="40"/>
      <c r="W10" s="40"/>
      <c r="X10" s="40"/>
      <c r="Y10" s="40"/>
      <c r="Z10" s="40"/>
      <c r="AA10" s="40"/>
      <c r="AB10" s="42">
        <f t="shared" ref="AB10:AM10" si="14">SUM(Y6:AB6)</f>
        <v>9.1</v>
      </c>
      <c r="AC10" s="42">
        <f t="shared" si="14"/>
        <v>13.4</v>
      </c>
      <c r="AD10" s="42">
        <f t="shared" si="14"/>
        <v>15.7</v>
      </c>
      <c r="AE10" s="42">
        <f t="shared" si="14"/>
        <v>17.399999999999999</v>
      </c>
      <c r="AF10" s="42">
        <f t="shared" si="14"/>
        <v>19.099999999999998</v>
      </c>
      <c r="AG10" s="42">
        <f t="shared" si="14"/>
        <v>19.399999999999999</v>
      </c>
      <c r="AH10" s="42">
        <f t="shared" si="14"/>
        <v>22.900000000000002</v>
      </c>
      <c r="AI10" s="42">
        <f t="shared" si="14"/>
        <v>26.400000000000002</v>
      </c>
      <c r="AJ10" s="42">
        <f t="shared" si="14"/>
        <v>30.299999999999997</v>
      </c>
      <c r="AK10" s="42">
        <f t="shared" si="14"/>
        <v>41.5</v>
      </c>
      <c r="AL10" s="42">
        <f t="shared" si="14"/>
        <v>49.7</v>
      </c>
      <c r="AM10" s="42">
        <f t="shared" si="14"/>
        <v>51.7</v>
      </c>
      <c r="AN10" s="42">
        <f>SUM(AK6:AN6)</f>
        <v>55.8</v>
      </c>
    </row>
    <row r="11" spans="2:40" x14ac:dyDescent="0.25">
      <c r="B11" s="10"/>
      <c r="C11" s="21"/>
      <c r="D11" s="21"/>
      <c r="E11" s="21"/>
      <c r="F11" s="21"/>
      <c r="G11" s="21"/>
      <c r="I11" s="21"/>
      <c r="J11" s="21"/>
      <c r="K11" s="21"/>
      <c r="L11" s="21"/>
      <c r="M11" s="21"/>
      <c r="T11" s="40"/>
      <c r="U11" s="40"/>
      <c r="V11" s="40"/>
      <c r="W11" s="40"/>
      <c r="X11" s="40"/>
      <c r="Y11" s="42">
        <f>SUM(Y6:AB6)</f>
        <v>9.1</v>
      </c>
      <c r="Z11" s="42">
        <f t="shared" ref="Z11:AN11" si="15">SUM(Z6:AC6)</f>
        <v>13.4</v>
      </c>
      <c r="AA11" s="42">
        <f t="shared" si="15"/>
        <v>15.7</v>
      </c>
      <c r="AB11" s="42">
        <f t="shared" si="15"/>
        <v>17.399999999999999</v>
      </c>
      <c r="AC11" s="42">
        <f t="shared" si="15"/>
        <v>19.099999999999998</v>
      </c>
      <c r="AD11" s="42">
        <f t="shared" si="15"/>
        <v>19.399999999999999</v>
      </c>
      <c r="AE11" s="42">
        <f t="shared" si="15"/>
        <v>22.900000000000002</v>
      </c>
      <c r="AF11" s="42">
        <f t="shared" si="15"/>
        <v>26.400000000000002</v>
      </c>
      <c r="AG11" s="42">
        <f t="shared" si="15"/>
        <v>30.299999999999997</v>
      </c>
      <c r="AH11" s="42">
        <f t="shared" si="15"/>
        <v>41.5</v>
      </c>
      <c r="AI11" s="42">
        <f t="shared" si="15"/>
        <v>49.7</v>
      </c>
      <c r="AJ11" s="42">
        <f t="shared" si="15"/>
        <v>51.7</v>
      </c>
      <c r="AK11" s="42">
        <f t="shared" si="15"/>
        <v>55.8</v>
      </c>
      <c r="AL11" s="42">
        <f t="shared" si="15"/>
        <v>38.4</v>
      </c>
      <c r="AM11" s="42">
        <f t="shared" si="15"/>
        <v>21.9</v>
      </c>
      <c r="AN11" s="42">
        <f t="shared" si="15"/>
        <v>12.2</v>
      </c>
    </row>
    <row r="12" spans="2:40" x14ac:dyDescent="0.25">
      <c r="B12" s="10"/>
      <c r="C12" s="21"/>
      <c r="D12" s="21"/>
      <c r="E12" s="21"/>
      <c r="F12" s="21"/>
      <c r="G12" s="21"/>
      <c r="I12" s="21"/>
      <c r="J12" s="21"/>
      <c r="K12" s="21"/>
      <c r="L12" s="21"/>
      <c r="M12" s="21"/>
      <c r="T12" s="40"/>
      <c r="U12" s="40"/>
      <c r="V12" s="40"/>
      <c r="W12" s="40"/>
      <c r="X12" s="40"/>
      <c r="Y12" s="40"/>
      <c r="Z12" s="40"/>
      <c r="AA12" s="40"/>
      <c r="AB12" s="40"/>
      <c r="AC12" s="40"/>
      <c r="AD12" s="40"/>
      <c r="AE12" s="40"/>
      <c r="AF12" s="40"/>
      <c r="AG12" s="40"/>
      <c r="AH12" s="40"/>
      <c r="AI12" s="40"/>
      <c r="AJ12" s="40"/>
      <c r="AK12" s="40"/>
      <c r="AL12" s="40"/>
      <c r="AM12" s="40"/>
      <c r="AN12" s="40"/>
    </row>
    <row r="13" spans="2:40" x14ac:dyDescent="0.25">
      <c r="B13" s="11" t="s">
        <v>420</v>
      </c>
      <c r="C13" s="54">
        <f t="shared" ref="C13:G13" si="16">C17-C6</f>
        <v>-1.1000000000000001</v>
      </c>
      <c r="D13" s="54">
        <f t="shared" si="16"/>
        <v>-0.29999999999999893</v>
      </c>
      <c r="E13" s="54">
        <f t="shared" si="16"/>
        <v>-3.5</v>
      </c>
      <c r="F13" s="54">
        <f t="shared" si="16"/>
        <v>-4</v>
      </c>
      <c r="G13" s="54">
        <f t="shared" si="16"/>
        <v>-12.099999999999994</v>
      </c>
      <c r="I13" s="54">
        <f t="shared" ref="I13:R13" si="17">I17-I6</f>
        <v>-0.7</v>
      </c>
      <c r="J13" s="54">
        <f t="shared" si="17"/>
        <v>-0.40000000000000013</v>
      </c>
      <c r="K13" s="54">
        <f t="shared" si="17"/>
        <v>0.10000000000000053</v>
      </c>
      <c r="L13" s="54">
        <f t="shared" si="17"/>
        <v>-0.39999999999999947</v>
      </c>
      <c r="M13" s="54">
        <f t="shared" si="17"/>
        <v>-4.7999999999999989</v>
      </c>
      <c r="N13" s="54">
        <f t="shared" si="17"/>
        <v>1.1999999999999993</v>
      </c>
      <c r="O13" s="54">
        <f t="shared" si="17"/>
        <v>-3.6999999999999993</v>
      </c>
      <c r="P13" s="54">
        <f t="shared" si="17"/>
        <v>-0.30000000000000071</v>
      </c>
      <c r="Q13" s="54">
        <f t="shared" si="17"/>
        <v>-11.2</v>
      </c>
      <c r="R13" s="54">
        <f t="shared" si="17"/>
        <v>-0.89999999999999503</v>
      </c>
      <c r="T13" s="41"/>
      <c r="U13" s="41"/>
      <c r="V13" s="42"/>
      <c r="W13" s="41"/>
      <c r="X13" s="42"/>
      <c r="Y13" s="41"/>
      <c r="Z13" s="42"/>
      <c r="AA13" s="41"/>
      <c r="AB13" s="42"/>
      <c r="AC13" s="41"/>
      <c r="AD13" s="42"/>
      <c r="AE13" s="41"/>
      <c r="AF13" s="42"/>
      <c r="AG13" s="41"/>
      <c r="AH13" s="42"/>
      <c r="AI13" s="41"/>
      <c r="AJ13" s="41"/>
      <c r="AK13" s="41"/>
      <c r="AL13" s="42"/>
      <c r="AM13" s="41"/>
      <c r="AN13" s="41"/>
    </row>
    <row r="14" spans="2:40" x14ac:dyDescent="0.25">
      <c r="B14" s="11" t="s">
        <v>439</v>
      </c>
      <c r="C14" s="22">
        <f t="shared" ref="C14:G14" si="18">C15-C13</f>
        <v>-273.29999999999995</v>
      </c>
      <c r="D14" s="22">
        <f t="shared" si="18"/>
        <v>-397.99999999999994</v>
      </c>
      <c r="E14" s="22">
        <f t="shared" si="18"/>
        <v>-458</v>
      </c>
      <c r="F14" s="22">
        <f t="shared" si="18"/>
        <v>-351.29999999999995</v>
      </c>
      <c r="G14" s="22">
        <f t="shared" si="18"/>
        <v>-337.20000000000005</v>
      </c>
      <c r="H14" s="32"/>
      <c r="I14" s="22">
        <f t="shared" ref="I14" si="19">I15-I13</f>
        <v>-103.19999999999997</v>
      </c>
      <c r="J14" s="22">
        <f t="shared" ref="J14" si="20">J15-J13</f>
        <v>-170.1</v>
      </c>
      <c r="K14" s="22">
        <f t="shared" ref="K14" si="21">K15-K13</f>
        <v>-224.30000000000004</v>
      </c>
      <c r="L14" s="22">
        <f t="shared" ref="L14" si="22">L15-L13</f>
        <v>-173.6999999999999</v>
      </c>
      <c r="M14" s="22">
        <f t="shared" ref="M14" si="23">M15-M13</f>
        <v>-273.7</v>
      </c>
      <c r="N14" s="22">
        <f t="shared" ref="N14" si="24">N15-N13</f>
        <v>-184.2</v>
      </c>
      <c r="O14" s="22">
        <f t="shared" ref="O14" si="25">O15-O13</f>
        <v>-193.59999999999997</v>
      </c>
      <c r="P14" s="22">
        <f t="shared" ref="P14" si="26">P15-P13</f>
        <v>-159.5</v>
      </c>
      <c r="Q14" s="22">
        <f t="shared" ref="Q14" si="27">Q15-Q13</f>
        <v>-187.20000000000005</v>
      </c>
      <c r="R14" s="22">
        <f t="shared" ref="R14" si="28">R15-R13</f>
        <v>-149.99999999999997</v>
      </c>
      <c r="S14" s="32"/>
      <c r="T14" s="42"/>
      <c r="U14" s="42"/>
      <c r="V14" s="42"/>
      <c r="W14" s="42"/>
      <c r="X14" s="42"/>
      <c r="Y14" s="42"/>
      <c r="Z14" s="42"/>
      <c r="AA14" s="42"/>
      <c r="AB14" s="42"/>
      <c r="AC14" s="42"/>
      <c r="AD14" s="42"/>
      <c r="AE14" s="42"/>
      <c r="AF14" s="42"/>
      <c r="AG14" s="42"/>
      <c r="AH14" s="42"/>
      <c r="AI14" s="42"/>
      <c r="AJ14" s="42"/>
      <c r="AK14" s="42"/>
      <c r="AL14" s="42"/>
      <c r="AM14" s="42"/>
      <c r="AN14" s="42"/>
    </row>
    <row r="15" spans="2:40" x14ac:dyDescent="0.25">
      <c r="B15" s="46" t="s">
        <v>458</v>
      </c>
      <c r="C15" s="37">
        <f>C19-C8</f>
        <v>-274.39999999999998</v>
      </c>
      <c r="D15" s="37">
        <f t="shared" ref="D15:G15" si="29">D19-D8</f>
        <v>-398.29999999999995</v>
      </c>
      <c r="E15" s="37">
        <f t="shared" si="29"/>
        <v>-461.5</v>
      </c>
      <c r="F15" s="37">
        <f t="shared" si="29"/>
        <v>-355.29999999999995</v>
      </c>
      <c r="G15" s="37">
        <f t="shared" si="29"/>
        <v>-349.3</v>
      </c>
      <c r="H15" s="51"/>
      <c r="I15" s="37">
        <f t="shared" ref="I15:R15" si="30">I19-I8</f>
        <v>-103.89999999999998</v>
      </c>
      <c r="J15" s="37">
        <f t="shared" si="30"/>
        <v>-170.5</v>
      </c>
      <c r="K15" s="37">
        <f t="shared" si="30"/>
        <v>-224.20000000000005</v>
      </c>
      <c r="L15" s="37">
        <f t="shared" si="30"/>
        <v>-174.09999999999991</v>
      </c>
      <c r="M15" s="37">
        <f t="shared" si="30"/>
        <v>-278.5</v>
      </c>
      <c r="N15" s="37">
        <f t="shared" si="30"/>
        <v>-183</v>
      </c>
      <c r="O15" s="37">
        <f t="shared" si="30"/>
        <v>-197.29999999999995</v>
      </c>
      <c r="P15" s="37">
        <f t="shared" si="30"/>
        <v>-159.80000000000001</v>
      </c>
      <c r="Q15" s="37">
        <f t="shared" si="30"/>
        <v>-198.40000000000003</v>
      </c>
      <c r="R15" s="37">
        <f t="shared" si="30"/>
        <v>-150.89999999999998</v>
      </c>
      <c r="S15" s="51"/>
      <c r="T15" s="52"/>
      <c r="U15" s="52"/>
      <c r="V15" s="52"/>
      <c r="W15" s="52"/>
      <c r="X15" s="52"/>
      <c r="Y15" s="52"/>
      <c r="Z15" s="52"/>
      <c r="AA15" s="52"/>
      <c r="AB15" s="52"/>
      <c r="AC15" s="52"/>
      <c r="AD15" s="52"/>
      <c r="AE15" s="52"/>
      <c r="AF15" s="52"/>
      <c r="AG15" s="52"/>
      <c r="AH15" s="52"/>
      <c r="AI15" s="52"/>
      <c r="AJ15" s="52"/>
      <c r="AK15" s="52"/>
      <c r="AL15" s="52"/>
      <c r="AM15" s="52"/>
      <c r="AN15" s="52"/>
    </row>
    <row r="16" spans="2:40" x14ac:dyDescent="0.25">
      <c r="B16" s="10"/>
      <c r="C16" s="21"/>
      <c r="D16" s="21"/>
      <c r="E16" s="21"/>
      <c r="F16" s="21"/>
      <c r="G16" s="21"/>
      <c r="I16" s="21"/>
      <c r="J16" s="21"/>
      <c r="K16" s="21"/>
      <c r="L16" s="21"/>
      <c r="M16" s="21"/>
      <c r="T16" s="40"/>
      <c r="U16" s="40"/>
      <c r="V16" s="40"/>
      <c r="W16" s="40"/>
      <c r="X16" s="40"/>
      <c r="Y16" s="40"/>
      <c r="Z16" s="40"/>
      <c r="AA16" s="40"/>
      <c r="AB16" s="40"/>
      <c r="AC16" s="40"/>
      <c r="AD16" s="40"/>
      <c r="AE16" s="40"/>
      <c r="AF16" s="40"/>
      <c r="AG16" s="40"/>
      <c r="AH16" s="40"/>
      <c r="AI16" s="40"/>
      <c r="AJ16" s="40"/>
      <c r="AK16" s="40"/>
      <c r="AL16" s="40"/>
      <c r="AM16" s="40"/>
      <c r="AN16" s="40"/>
    </row>
    <row r="17" spans="2:40" x14ac:dyDescent="0.25">
      <c r="B17" s="11" t="s">
        <v>420</v>
      </c>
      <c r="C17" s="29">
        <v>2.4</v>
      </c>
      <c r="D17" s="29">
        <v>8.9</v>
      </c>
      <c r="E17" s="29">
        <v>15.5</v>
      </c>
      <c r="F17" s="29">
        <v>26.3</v>
      </c>
      <c r="G17" s="29">
        <v>43.7</v>
      </c>
      <c r="H17" s="31"/>
      <c r="I17" s="29">
        <v>0.7</v>
      </c>
      <c r="J17" s="54">
        <f>C17-I17</f>
        <v>1.7</v>
      </c>
      <c r="K17" s="29">
        <v>4.2</v>
      </c>
      <c r="L17" s="54">
        <f>D17-K17</f>
        <v>4.7</v>
      </c>
      <c r="M17" s="29">
        <v>5.9</v>
      </c>
      <c r="N17" s="54">
        <f>E17-M17</f>
        <v>9.6</v>
      </c>
      <c r="O17" s="29">
        <v>10.8</v>
      </c>
      <c r="P17" s="22">
        <f>F17-O17</f>
        <v>15.5</v>
      </c>
      <c r="Q17" s="29">
        <v>22.7</v>
      </c>
      <c r="R17" s="54">
        <f>G17-Q17</f>
        <v>21.000000000000004</v>
      </c>
      <c r="S17" s="31"/>
      <c r="T17" s="41"/>
      <c r="U17" s="41"/>
      <c r="V17" s="41"/>
      <c r="W17" s="41"/>
      <c r="X17" s="41"/>
      <c r="Y17" s="41"/>
      <c r="Z17" s="41"/>
      <c r="AA17" s="41"/>
      <c r="AB17" s="41"/>
      <c r="AC17" s="41"/>
      <c r="AD17" s="41"/>
      <c r="AE17" s="41"/>
      <c r="AF17" s="41"/>
      <c r="AG17" s="41"/>
      <c r="AH17" s="41"/>
      <c r="AI17" s="41"/>
      <c r="AJ17" s="41"/>
      <c r="AK17" s="41"/>
      <c r="AL17" s="41"/>
      <c r="AM17" s="41"/>
      <c r="AN17" s="41"/>
    </row>
    <row r="18" spans="2:40" x14ac:dyDescent="0.25">
      <c r="B18" s="11" t="s">
        <v>439</v>
      </c>
      <c r="C18" s="22">
        <f t="shared" ref="C18:G18" si="31">C19-C17</f>
        <v>495.5</v>
      </c>
      <c r="D18" s="22">
        <f t="shared" si="31"/>
        <v>771.80000000000007</v>
      </c>
      <c r="E18" s="22">
        <f t="shared" si="31"/>
        <v>703</v>
      </c>
      <c r="F18" s="22">
        <f t="shared" si="31"/>
        <v>463.2</v>
      </c>
      <c r="G18" s="22">
        <f t="shared" si="31"/>
        <v>416</v>
      </c>
      <c r="H18" s="32"/>
      <c r="I18" s="22">
        <f t="shared" ref="I18:R18" si="32">I19-I17</f>
        <v>218.8</v>
      </c>
      <c r="J18" s="22">
        <f t="shared" si="32"/>
        <v>276.7</v>
      </c>
      <c r="K18" s="22">
        <f t="shared" si="32"/>
        <v>409.8</v>
      </c>
      <c r="L18" s="22">
        <f t="shared" si="32"/>
        <v>362.00000000000006</v>
      </c>
      <c r="M18" s="22">
        <f t="shared" si="32"/>
        <v>413.6</v>
      </c>
      <c r="N18" s="22">
        <f t="shared" si="32"/>
        <v>289.39999999999998</v>
      </c>
      <c r="O18" s="22">
        <f t="shared" si="32"/>
        <v>264.8</v>
      </c>
      <c r="P18" s="22">
        <f t="shared" si="32"/>
        <v>198.39999999999998</v>
      </c>
      <c r="Q18" s="22">
        <f t="shared" si="32"/>
        <v>225.5</v>
      </c>
      <c r="R18" s="22">
        <f t="shared" si="32"/>
        <v>190.5</v>
      </c>
      <c r="S18" s="32"/>
      <c r="T18" s="42"/>
      <c r="U18" s="42"/>
      <c r="V18" s="42"/>
      <c r="W18" s="42"/>
      <c r="X18" s="42"/>
      <c r="Y18" s="42"/>
      <c r="Z18" s="42"/>
      <c r="AA18" s="42"/>
      <c r="AB18" s="42"/>
      <c r="AC18" s="42"/>
      <c r="AD18" s="42"/>
      <c r="AE18" s="42"/>
      <c r="AF18" s="42"/>
      <c r="AG18" s="42"/>
      <c r="AH18" s="42"/>
      <c r="AI18" s="42"/>
      <c r="AJ18" s="42"/>
      <c r="AK18" s="42"/>
      <c r="AL18" s="42"/>
      <c r="AM18" s="42"/>
      <c r="AN18" s="42"/>
    </row>
    <row r="19" spans="2:40" x14ac:dyDescent="0.25">
      <c r="B19" s="46" t="s">
        <v>32</v>
      </c>
      <c r="C19" s="27">
        <v>497.9</v>
      </c>
      <c r="D19" s="27">
        <v>780.7</v>
      </c>
      <c r="E19" s="27">
        <v>718.5</v>
      </c>
      <c r="F19" s="27">
        <v>489.5</v>
      </c>
      <c r="G19" s="27">
        <v>459.7</v>
      </c>
      <c r="H19" s="33"/>
      <c r="I19" s="27">
        <v>219.5</v>
      </c>
      <c r="J19" s="58">
        <f>C19-I19</f>
        <v>278.39999999999998</v>
      </c>
      <c r="K19" s="27">
        <v>414</v>
      </c>
      <c r="L19" s="58">
        <f>D19-K19</f>
        <v>366.70000000000005</v>
      </c>
      <c r="M19" s="27">
        <v>419.5</v>
      </c>
      <c r="N19" s="58">
        <f>E19-M19</f>
        <v>299</v>
      </c>
      <c r="O19" s="27">
        <v>275.60000000000002</v>
      </c>
      <c r="P19" s="37">
        <f>F19-O19</f>
        <v>213.89999999999998</v>
      </c>
      <c r="Q19" s="27">
        <v>248.2</v>
      </c>
      <c r="R19" s="58">
        <f>G19-Q19</f>
        <v>211.5</v>
      </c>
      <c r="S19" s="33"/>
      <c r="T19" s="43"/>
      <c r="U19" s="43"/>
      <c r="V19" s="43"/>
      <c r="W19" s="43"/>
      <c r="X19" s="43"/>
      <c r="Y19" s="43"/>
      <c r="Z19" s="43"/>
      <c r="AA19" s="43"/>
      <c r="AB19" s="43"/>
      <c r="AC19" s="43"/>
      <c r="AD19" s="43"/>
      <c r="AE19" s="43"/>
      <c r="AF19" s="43"/>
      <c r="AG19" s="43"/>
      <c r="AH19" s="43"/>
      <c r="AI19" s="43"/>
      <c r="AJ19" s="43"/>
      <c r="AK19" s="43"/>
      <c r="AL19" s="43"/>
      <c r="AM19" s="43"/>
      <c r="AN19" s="43"/>
    </row>
    <row r="20" spans="2:40" x14ac:dyDescent="0.25">
      <c r="C20" s="22"/>
      <c r="D20" s="22"/>
      <c r="E20" s="22"/>
      <c r="F20" s="22"/>
      <c r="G20" s="22"/>
      <c r="H20" s="32"/>
      <c r="I20" s="22"/>
      <c r="J20" s="22"/>
      <c r="K20" s="22"/>
      <c r="L20" s="22"/>
      <c r="M20" s="22"/>
      <c r="N20" s="22"/>
      <c r="O20" s="22"/>
      <c r="P20" s="22"/>
      <c r="Q20" s="22"/>
      <c r="R20" s="22"/>
      <c r="S20" s="32"/>
      <c r="T20" s="42"/>
      <c r="U20" s="42"/>
      <c r="V20" s="42"/>
      <c r="W20" s="42"/>
      <c r="X20" s="42"/>
      <c r="Y20" s="42"/>
      <c r="Z20" s="42"/>
      <c r="AA20" s="42"/>
      <c r="AB20" s="42"/>
      <c r="AC20" s="42"/>
      <c r="AD20" s="42"/>
      <c r="AE20" s="42"/>
      <c r="AF20" s="42"/>
      <c r="AG20" s="42"/>
      <c r="AH20" s="42"/>
      <c r="AI20" s="42"/>
      <c r="AJ20" s="42"/>
      <c r="AK20" s="42"/>
      <c r="AL20" s="42"/>
      <c r="AM20" s="42"/>
      <c r="AN20" s="42"/>
    </row>
    <row r="21" spans="2:40" x14ac:dyDescent="0.25">
      <c r="B21" s="11" t="s">
        <v>420</v>
      </c>
      <c r="C21" s="55">
        <f t="shared" ref="C21:G22" si="33">C17/C6</f>
        <v>0.68571428571428572</v>
      </c>
      <c r="D21" s="55">
        <f t="shared" si="33"/>
        <v>0.96739130434782616</v>
      </c>
      <c r="E21" s="55">
        <f t="shared" si="33"/>
        <v>0.81578947368421051</v>
      </c>
      <c r="F21" s="55">
        <f t="shared" si="33"/>
        <v>0.86798679867986794</v>
      </c>
      <c r="G21" s="55">
        <f t="shared" si="33"/>
        <v>0.7831541218637994</v>
      </c>
      <c r="H21" s="32"/>
      <c r="I21" s="55">
        <f t="shared" ref="I21:R21" si="34">I17/I6</f>
        <v>0.5</v>
      </c>
      <c r="J21" s="55">
        <f t="shared" si="34"/>
        <v>0.80952380952380942</v>
      </c>
      <c r="K21" s="55">
        <f t="shared" si="34"/>
        <v>1.024390243902439</v>
      </c>
      <c r="L21" s="55">
        <f t="shared" si="34"/>
        <v>0.92156862745098045</v>
      </c>
      <c r="M21" s="55">
        <f t="shared" si="34"/>
        <v>0.55140186915887857</v>
      </c>
      <c r="N21" s="55">
        <f t="shared" si="34"/>
        <v>1.1428571428571428</v>
      </c>
      <c r="O21" s="55">
        <f t="shared" si="34"/>
        <v>0.7448275862068966</v>
      </c>
      <c r="P21" s="55">
        <f t="shared" si="34"/>
        <v>0.98101265822784811</v>
      </c>
      <c r="Q21" s="55">
        <f t="shared" si="34"/>
        <v>0.6696165191740413</v>
      </c>
      <c r="R21" s="55">
        <f t="shared" si="34"/>
        <v>0.95890410958904138</v>
      </c>
      <c r="S21" s="32"/>
      <c r="T21" s="42"/>
      <c r="U21" s="42"/>
      <c r="V21" s="42"/>
      <c r="W21" s="42"/>
      <c r="X21" s="42"/>
      <c r="Y21" s="42"/>
      <c r="Z21" s="42"/>
      <c r="AA21" s="42"/>
      <c r="AB21" s="42"/>
      <c r="AC21" s="42"/>
      <c r="AD21" s="42"/>
      <c r="AE21" s="42"/>
      <c r="AF21" s="42"/>
      <c r="AG21" s="42"/>
      <c r="AH21" s="42"/>
      <c r="AI21" s="42"/>
      <c r="AJ21" s="42"/>
      <c r="AK21" s="42"/>
      <c r="AL21" s="42"/>
      <c r="AM21" s="42"/>
      <c r="AN21" s="42"/>
    </row>
    <row r="22" spans="2:40" x14ac:dyDescent="0.25">
      <c r="B22" s="11" t="s">
        <v>439</v>
      </c>
      <c r="C22" s="55">
        <f t="shared" si="33"/>
        <v>0.64451092611862648</v>
      </c>
      <c r="D22" s="55">
        <f t="shared" si="33"/>
        <v>0.65977090100871949</v>
      </c>
      <c r="E22" s="55">
        <f t="shared" si="33"/>
        <v>0.60551248923341949</v>
      </c>
      <c r="F22" s="55">
        <f t="shared" si="33"/>
        <v>0.56869244935543273</v>
      </c>
      <c r="G22" s="55">
        <f t="shared" si="33"/>
        <v>0.55231014338821027</v>
      </c>
      <c r="H22" s="32"/>
      <c r="I22" s="55">
        <f t="shared" ref="I22:R22" si="35">I18/I7</f>
        <v>0.67950310559006211</v>
      </c>
      <c r="J22" s="55">
        <f t="shared" si="35"/>
        <v>0.61929274843330351</v>
      </c>
      <c r="K22" s="55">
        <f t="shared" si="35"/>
        <v>0.64627030436839616</v>
      </c>
      <c r="L22" s="55">
        <f t="shared" si="35"/>
        <v>0.67575135336942338</v>
      </c>
      <c r="M22" s="55">
        <f t="shared" si="35"/>
        <v>0.60177506183617058</v>
      </c>
      <c r="N22" s="55">
        <f t="shared" si="35"/>
        <v>0.61106418918918914</v>
      </c>
      <c r="O22" s="55">
        <f t="shared" si="35"/>
        <v>0.57766143106457246</v>
      </c>
      <c r="P22" s="55">
        <f t="shared" si="35"/>
        <v>0.55434478904721984</v>
      </c>
      <c r="Q22" s="55">
        <f t="shared" si="35"/>
        <v>0.54640174460867452</v>
      </c>
      <c r="R22" s="55">
        <f t="shared" si="35"/>
        <v>0.55947136563876654</v>
      </c>
      <c r="S22" s="32"/>
      <c r="T22" s="42"/>
      <c r="U22" s="42"/>
      <c r="V22" s="42"/>
      <c r="W22" s="42"/>
      <c r="X22" s="42"/>
      <c r="Y22" s="42"/>
      <c r="Z22" s="42"/>
      <c r="AA22" s="42"/>
      <c r="AB22" s="42"/>
      <c r="AC22" s="42"/>
      <c r="AD22" s="42"/>
      <c r="AE22" s="42"/>
      <c r="AF22" s="42"/>
      <c r="AG22" s="42"/>
      <c r="AH22" s="42"/>
      <c r="AI22" s="42"/>
      <c r="AJ22" s="42"/>
      <c r="AK22" s="42"/>
      <c r="AL22" s="42"/>
      <c r="AM22" s="42"/>
      <c r="AN22" s="42"/>
    </row>
    <row r="23" spans="2:40" x14ac:dyDescent="0.25">
      <c r="B23" s="46" t="s">
        <v>467</v>
      </c>
      <c r="C23" s="56">
        <f t="shared" ref="C23:G23" si="36">C19/C8</f>
        <v>0.64469765635115883</v>
      </c>
      <c r="D23" s="56">
        <f t="shared" si="36"/>
        <v>0.6621713316369805</v>
      </c>
      <c r="E23" s="56">
        <f t="shared" si="36"/>
        <v>0.60889830508474574</v>
      </c>
      <c r="F23" s="56">
        <f t="shared" si="36"/>
        <v>0.57942708333333337</v>
      </c>
      <c r="G23" s="56">
        <f t="shared" si="36"/>
        <v>0.56823238566131029</v>
      </c>
      <c r="H23" s="32"/>
      <c r="I23" s="56">
        <f t="shared" ref="I23:R23" si="37">I19/I8</f>
        <v>0.67872603586889302</v>
      </c>
      <c r="J23" s="56">
        <f t="shared" si="37"/>
        <v>0.62018266874582306</v>
      </c>
      <c r="K23" s="56">
        <f t="shared" si="37"/>
        <v>0.64869946725164518</v>
      </c>
      <c r="L23" s="56">
        <f t="shared" si="37"/>
        <v>0.67806952662721909</v>
      </c>
      <c r="M23" s="56">
        <f t="shared" si="37"/>
        <v>0.60100286532951286</v>
      </c>
      <c r="N23" s="56">
        <f t="shared" si="37"/>
        <v>0.6203319502074689</v>
      </c>
      <c r="O23" s="56">
        <f t="shared" si="37"/>
        <v>0.58278705857475166</v>
      </c>
      <c r="P23" s="56">
        <f t="shared" si="37"/>
        <v>0.57238426545357235</v>
      </c>
      <c r="Q23" s="56">
        <f t="shared" si="37"/>
        <v>0.55575459023734886</v>
      </c>
      <c r="R23" s="56">
        <f t="shared" si="37"/>
        <v>0.58360927152317887</v>
      </c>
      <c r="S23" s="32"/>
      <c r="T23" s="42"/>
      <c r="U23" s="42"/>
      <c r="V23" s="42"/>
      <c r="W23" s="42"/>
      <c r="X23" s="42"/>
      <c r="Y23" s="42"/>
      <c r="Z23" s="42"/>
      <c r="AA23" s="42"/>
      <c r="AB23" s="42"/>
      <c r="AC23" s="42"/>
      <c r="AD23" s="42"/>
      <c r="AE23" s="42"/>
      <c r="AF23" s="42"/>
      <c r="AG23" s="42"/>
      <c r="AH23" s="42"/>
      <c r="AI23" s="42"/>
      <c r="AJ23" s="42"/>
      <c r="AK23" s="42"/>
      <c r="AL23" s="42"/>
      <c r="AM23" s="42"/>
      <c r="AN23" s="42"/>
    </row>
    <row r="24" spans="2:40" x14ac:dyDescent="0.25">
      <c r="C24" s="22"/>
      <c r="D24" s="22"/>
      <c r="E24" s="22"/>
      <c r="F24" s="22"/>
      <c r="G24" s="22"/>
      <c r="H24" s="32"/>
      <c r="I24" s="22"/>
      <c r="J24" s="22"/>
      <c r="K24" s="22"/>
      <c r="L24" s="22"/>
      <c r="M24" s="22"/>
      <c r="N24" s="22"/>
      <c r="O24" s="22"/>
      <c r="P24" s="22"/>
      <c r="Q24" s="22"/>
      <c r="R24" s="22"/>
      <c r="S24" s="32"/>
      <c r="T24" s="42"/>
      <c r="U24" s="42"/>
      <c r="V24" s="42"/>
      <c r="W24" s="42"/>
      <c r="X24" s="42"/>
      <c r="Y24" s="42"/>
      <c r="Z24" s="42"/>
      <c r="AA24" s="42"/>
      <c r="AB24" s="42"/>
      <c r="AC24" s="42"/>
      <c r="AD24" s="42"/>
      <c r="AE24" s="42"/>
      <c r="AF24" s="42"/>
      <c r="AG24" s="42"/>
      <c r="AH24" s="42"/>
      <c r="AI24" s="42"/>
      <c r="AJ24" s="42"/>
      <c r="AK24" s="42"/>
      <c r="AL24" s="42"/>
      <c r="AM24" s="42"/>
      <c r="AN24" s="42"/>
    </row>
    <row r="25" spans="2:40" x14ac:dyDescent="0.25">
      <c r="C25" s="22"/>
      <c r="D25" s="22"/>
      <c r="E25" s="22"/>
      <c r="F25" s="22"/>
      <c r="G25" s="22"/>
      <c r="H25" s="32"/>
      <c r="I25" s="6">
        <f>I17/I19</f>
        <v>3.1890660592255125E-3</v>
      </c>
      <c r="J25" s="6">
        <f t="shared" ref="J25:R25" si="38">J17/J19</f>
        <v>6.1063218390804601E-3</v>
      </c>
      <c r="K25" s="6">
        <f t="shared" si="38"/>
        <v>1.0144927536231885E-2</v>
      </c>
      <c r="L25" s="6">
        <f t="shared" si="38"/>
        <v>1.2817016634851377E-2</v>
      </c>
      <c r="M25" s="6">
        <f t="shared" si="38"/>
        <v>1.4064362336114423E-2</v>
      </c>
      <c r="N25" s="6">
        <f t="shared" si="38"/>
        <v>3.2107023411371234E-2</v>
      </c>
      <c r="O25" s="6">
        <f t="shared" si="38"/>
        <v>3.9187227866473148E-2</v>
      </c>
      <c r="P25" s="6">
        <f t="shared" si="38"/>
        <v>7.2463768115942032E-2</v>
      </c>
      <c r="Q25" s="6">
        <f t="shared" si="38"/>
        <v>9.1458501208702664E-2</v>
      </c>
      <c r="R25" s="6">
        <f t="shared" si="38"/>
        <v>9.929078014184399E-2</v>
      </c>
      <c r="S25" s="32"/>
      <c r="T25" s="42"/>
      <c r="U25" s="42"/>
      <c r="V25" s="42"/>
      <c r="W25" s="42"/>
      <c r="X25" s="42"/>
      <c r="Y25" s="42"/>
      <c r="Z25" s="42"/>
      <c r="AA25" s="42"/>
      <c r="AB25" s="42"/>
      <c r="AC25" s="42"/>
      <c r="AD25" s="42"/>
      <c r="AE25" s="42"/>
      <c r="AF25" s="42"/>
      <c r="AG25" s="42"/>
      <c r="AH25" s="42"/>
      <c r="AI25" s="42"/>
      <c r="AJ25" s="42"/>
      <c r="AK25" s="42"/>
      <c r="AL25" s="42"/>
      <c r="AM25" s="42"/>
      <c r="AN25" s="42"/>
    </row>
    <row r="26" spans="2:40" x14ac:dyDescent="0.25">
      <c r="C26" s="22"/>
      <c r="D26" s="22"/>
      <c r="E26" s="22"/>
      <c r="F26" s="22"/>
      <c r="G26" s="22"/>
      <c r="H26" s="32"/>
      <c r="I26" s="22"/>
      <c r="J26" s="22"/>
      <c r="K26" s="22"/>
      <c r="L26" s="22"/>
      <c r="M26" s="22"/>
      <c r="N26" s="22"/>
      <c r="O26" s="22"/>
      <c r="P26" s="22"/>
      <c r="Q26" s="22"/>
      <c r="R26" s="22"/>
      <c r="S26" s="32"/>
      <c r="T26" s="42"/>
      <c r="U26" s="42"/>
      <c r="V26" s="42"/>
      <c r="W26" s="42"/>
      <c r="X26" s="42"/>
      <c r="Y26" s="42"/>
      <c r="Z26" s="42"/>
      <c r="AA26" s="42"/>
      <c r="AB26" s="42"/>
      <c r="AC26" s="42"/>
      <c r="AD26" s="42"/>
      <c r="AE26" s="42"/>
      <c r="AF26" s="42"/>
      <c r="AG26" s="42"/>
      <c r="AH26" s="42"/>
      <c r="AI26" s="42"/>
      <c r="AJ26" s="42"/>
      <c r="AK26" s="42"/>
      <c r="AL26" s="42"/>
      <c r="AM26" s="42"/>
      <c r="AN26" s="42"/>
    </row>
    <row r="27" spans="2:40" x14ac:dyDescent="0.25">
      <c r="C27" s="22"/>
      <c r="D27" s="22"/>
      <c r="E27" s="22"/>
      <c r="F27" s="22"/>
      <c r="G27" s="22"/>
      <c r="H27" s="32"/>
      <c r="I27" s="22"/>
      <c r="J27" s="22"/>
      <c r="K27" s="22"/>
      <c r="L27" s="22"/>
      <c r="M27" s="22"/>
      <c r="N27" s="22"/>
      <c r="O27" s="22"/>
      <c r="P27" s="22"/>
      <c r="Q27" s="22"/>
      <c r="R27" s="22"/>
      <c r="S27" s="32"/>
      <c r="T27" s="42"/>
      <c r="U27" s="42"/>
      <c r="V27" s="42"/>
      <c r="W27" s="42"/>
      <c r="X27" s="42"/>
      <c r="Y27" s="42"/>
      <c r="Z27" s="42"/>
      <c r="AA27" s="42"/>
      <c r="AB27" s="42"/>
      <c r="AC27" s="42"/>
      <c r="AD27" s="42"/>
      <c r="AE27" s="42"/>
      <c r="AF27" s="42"/>
      <c r="AG27" s="42"/>
      <c r="AH27" s="42"/>
      <c r="AI27" s="42"/>
      <c r="AJ27" s="42"/>
      <c r="AK27" s="42"/>
      <c r="AL27" s="42"/>
      <c r="AM27" s="42"/>
      <c r="AN27" s="42"/>
    </row>
    <row r="28" spans="2:40" x14ac:dyDescent="0.25">
      <c r="C28" s="22"/>
      <c r="D28" s="22"/>
      <c r="E28" s="22"/>
      <c r="F28" s="22"/>
      <c r="G28" s="22"/>
      <c r="H28" s="32"/>
      <c r="I28" s="22"/>
      <c r="J28" s="22"/>
      <c r="K28" s="22"/>
      <c r="L28" s="22"/>
      <c r="M28" s="22"/>
      <c r="N28" s="22"/>
      <c r="O28" s="22"/>
      <c r="P28" s="22"/>
      <c r="Q28" s="22"/>
      <c r="R28" s="22"/>
      <c r="S28" s="32"/>
      <c r="T28" s="42"/>
      <c r="U28" s="42"/>
      <c r="V28" s="42"/>
      <c r="W28" s="42"/>
      <c r="X28" s="42"/>
      <c r="Y28" s="42"/>
      <c r="Z28" s="42"/>
      <c r="AA28" s="42"/>
      <c r="AB28" s="42"/>
      <c r="AC28" s="42"/>
      <c r="AD28" s="42"/>
      <c r="AE28" s="42"/>
      <c r="AF28" s="42"/>
      <c r="AG28" s="42"/>
      <c r="AH28" s="42"/>
      <c r="AI28" s="42"/>
      <c r="AJ28" s="42"/>
      <c r="AK28" s="42"/>
      <c r="AL28" s="42"/>
      <c r="AM28" s="42"/>
      <c r="AN28" s="42"/>
    </row>
    <row r="29" spans="2:40" x14ac:dyDescent="0.25">
      <c r="B29" t="s">
        <v>457</v>
      </c>
      <c r="C29" s="26"/>
      <c r="D29" s="26"/>
      <c r="E29" s="26"/>
      <c r="F29" s="26"/>
      <c r="G29" s="26">
        <v>0.61</v>
      </c>
      <c r="H29" s="26"/>
      <c r="I29" s="26"/>
      <c r="J29" s="26"/>
      <c r="K29" s="26"/>
      <c r="L29" s="26"/>
      <c r="M29" s="26"/>
      <c r="N29" s="26"/>
      <c r="O29" s="26"/>
      <c r="P29" s="26"/>
      <c r="Q29" s="26">
        <v>0.629</v>
      </c>
      <c r="R29" s="26"/>
      <c r="S29" s="26"/>
      <c r="T29" s="44"/>
      <c r="U29" s="44"/>
      <c r="V29" s="44"/>
      <c r="W29" s="44"/>
      <c r="X29" s="44"/>
      <c r="Y29" s="44"/>
      <c r="Z29" s="44"/>
      <c r="AA29" s="44"/>
      <c r="AB29" s="44"/>
      <c r="AC29" s="44"/>
      <c r="AD29" s="44"/>
      <c r="AE29" s="44"/>
      <c r="AF29" s="44"/>
      <c r="AG29" s="44"/>
      <c r="AH29" s="44"/>
      <c r="AI29" s="44"/>
      <c r="AJ29" s="44"/>
      <c r="AK29" s="44"/>
      <c r="AL29" s="44"/>
      <c r="AM29" s="44"/>
      <c r="AN29" s="44"/>
    </row>
    <row r="30" spans="2:40" x14ac:dyDescent="0.25">
      <c r="C30" s="22"/>
      <c r="D30" s="22"/>
      <c r="E30" s="22"/>
      <c r="F30" s="22"/>
      <c r="G30" s="22"/>
      <c r="H30" s="32"/>
      <c r="I30" s="22"/>
      <c r="J30" s="22"/>
      <c r="K30" s="22"/>
      <c r="L30" s="22"/>
      <c r="M30" s="22"/>
      <c r="N30" s="22"/>
      <c r="O30" s="22"/>
      <c r="P30" s="22"/>
      <c r="Q30" s="22"/>
      <c r="R30" s="22"/>
      <c r="S30" s="32"/>
      <c r="T30" s="42"/>
      <c r="U30" s="42"/>
      <c r="V30" s="42"/>
      <c r="W30" s="42"/>
      <c r="X30" s="42"/>
      <c r="Y30" s="42"/>
      <c r="Z30" s="42"/>
      <c r="AA30" s="42"/>
      <c r="AB30" s="42"/>
      <c r="AC30" s="42"/>
      <c r="AD30" s="42"/>
      <c r="AE30" s="42"/>
      <c r="AF30" s="42"/>
      <c r="AG30" s="42"/>
      <c r="AH30" s="42"/>
      <c r="AI30" s="42"/>
      <c r="AJ30" s="42"/>
      <c r="AK30" s="42"/>
      <c r="AL30" s="42"/>
      <c r="AM30" s="42"/>
      <c r="AN30" s="42"/>
    </row>
    <row r="31" spans="2:40" x14ac:dyDescent="0.25">
      <c r="B31" s="10" t="s">
        <v>440</v>
      </c>
      <c r="C31" s="22"/>
      <c r="D31" s="22"/>
      <c r="E31" s="22"/>
      <c r="F31" s="22"/>
      <c r="G31" s="22"/>
      <c r="H31" s="32"/>
      <c r="I31" s="22"/>
      <c r="J31" s="22"/>
      <c r="K31" s="22"/>
      <c r="L31" s="22"/>
      <c r="M31" s="22"/>
      <c r="N31" s="22"/>
      <c r="O31" s="22"/>
      <c r="P31" s="22"/>
      <c r="Q31" s="22"/>
      <c r="R31" s="22"/>
      <c r="S31" s="32"/>
      <c r="T31" s="42"/>
      <c r="U31" s="42"/>
      <c r="V31" s="42"/>
      <c r="W31" s="42"/>
      <c r="X31" s="42"/>
      <c r="Y31" s="42"/>
      <c r="Z31" s="42"/>
      <c r="AA31" s="42"/>
      <c r="AB31" s="42"/>
      <c r="AC31" s="42"/>
      <c r="AD31" s="42"/>
      <c r="AE31" s="42"/>
      <c r="AF31" s="42"/>
      <c r="AG31" s="42"/>
      <c r="AH31" s="42"/>
      <c r="AI31" s="42"/>
      <c r="AJ31" s="42"/>
      <c r="AK31" s="42"/>
      <c r="AL31" s="42"/>
      <c r="AM31" s="42"/>
      <c r="AN31" s="42"/>
    </row>
    <row r="32" spans="2:40" x14ac:dyDescent="0.25">
      <c r="B32" s="11" t="s">
        <v>420</v>
      </c>
      <c r="C32" s="26"/>
      <c r="D32" s="26">
        <v>4.3999999999999997E-2</v>
      </c>
      <c r="E32" s="26">
        <v>8.4000000000000005E-2</v>
      </c>
      <c r="F32" s="55">
        <f>F34/F36</f>
        <v>0.192502196193265</v>
      </c>
      <c r="G32" s="26">
        <v>0.25900000000000001</v>
      </c>
      <c r="H32" s="36"/>
      <c r="I32" s="26"/>
      <c r="J32" s="26"/>
      <c r="K32" s="26"/>
      <c r="L32" s="26"/>
      <c r="M32" s="26">
        <v>5.5E-2</v>
      </c>
      <c r="N32" s="55">
        <f>N34/N36</f>
        <v>0.12508650065530799</v>
      </c>
      <c r="O32" s="26">
        <v>0.17199999999999999</v>
      </c>
      <c r="P32" s="26">
        <v>0.21</v>
      </c>
      <c r="Q32" s="26">
        <v>0.253</v>
      </c>
      <c r="R32" s="55">
        <f>R34/R36</f>
        <v>0.26580608365019009</v>
      </c>
      <c r="S32" s="36"/>
      <c r="T32" s="44"/>
      <c r="U32" s="44"/>
      <c r="V32" s="44"/>
      <c r="W32" s="44"/>
      <c r="X32" s="44"/>
      <c r="Y32" s="44"/>
      <c r="Z32" s="44"/>
      <c r="AA32" s="44"/>
      <c r="AB32" s="44"/>
      <c r="AC32" s="44"/>
      <c r="AD32" s="44"/>
      <c r="AE32" s="44"/>
      <c r="AF32" s="44"/>
      <c r="AG32" s="44"/>
      <c r="AH32" s="44"/>
      <c r="AI32" s="44"/>
      <c r="AJ32" s="44"/>
      <c r="AK32" s="44"/>
      <c r="AL32" s="44"/>
      <c r="AM32" s="44"/>
      <c r="AN32" s="45"/>
    </row>
    <row r="33" spans="2:40" x14ac:dyDescent="0.25">
      <c r="T33" s="40"/>
      <c r="U33" s="40"/>
      <c r="V33" s="40"/>
      <c r="W33" s="40"/>
      <c r="X33" s="40"/>
      <c r="Y33" s="40"/>
      <c r="Z33" s="40"/>
      <c r="AA33" s="40"/>
      <c r="AB33" s="40"/>
      <c r="AC33" s="40"/>
      <c r="AD33" s="40"/>
      <c r="AE33" s="40"/>
      <c r="AF33" s="40"/>
      <c r="AG33" s="40"/>
      <c r="AH33" s="40"/>
      <c r="AI33" s="40"/>
      <c r="AJ33" s="40"/>
      <c r="AK33" s="40"/>
      <c r="AL33" s="40"/>
      <c r="AM33" s="40"/>
      <c r="AN33" s="40"/>
    </row>
    <row r="34" spans="2:40" x14ac:dyDescent="0.25">
      <c r="B34" s="11" t="s">
        <v>420</v>
      </c>
      <c r="C34" s="22"/>
      <c r="D34" s="22">
        <f>D32*D$36</f>
        <v>8.9627999999999997</v>
      </c>
      <c r="E34" s="22">
        <f>E32*E$36</f>
        <v>15.489600000000001</v>
      </c>
      <c r="F34" s="22">
        <f>SUM(O34:P34)</f>
        <v>26.295799999999996</v>
      </c>
      <c r="G34" s="22">
        <f>G32*G$36</f>
        <v>43.615600000000001</v>
      </c>
      <c r="H34" s="32"/>
      <c r="I34" s="22"/>
      <c r="J34" s="22"/>
      <c r="K34" s="22"/>
      <c r="L34" s="22"/>
      <c r="M34" s="22">
        <f>M32*M$36</f>
        <v>5.9455</v>
      </c>
      <c r="N34" s="54">
        <f>E34-M34</f>
        <v>9.5441000000000003</v>
      </c>
      <c r="O34" s="22">
        <f>O32*O$36</f>
        <v>10.8188</v>
      </c>
      <c r="P34" s="22">
        <f>P32*P$36</f>
        <v>15.476999999999997</v>
      </c>
      <c r="Q34" s="22">
        <f>Q32*Q$36</f>
        <v>22.6435</v>
      </c>
      <c r="R34" s="54">
        <f>G34-Q34</f>
        <v>20.972100000000001</v>
      </c>
      <c r="S34" s="32"/>
      <c r="T34" s="42"/>
      <c r="U34" s="42"/>
      <c r="V34" s="42"/>
      <c r="W34" s="42"/>
      <c r="X34" s="42"/>
      <c r="Y34" s="42"/>
      <c r="Z34" s="42"/>
      <c r="AA34" s="42"/>
      <c r="AB34" s="42"/>
      <c r="AC34" s="42"/>
      <c r="AD34" s="42"/>
      <c r="AE34" s="42"/>
      <c r="AF34" s="42"/>
      <c r="AG34" s="42"/>
      <c r="AH34" s="42"/>
      <c r="AI34" s="42"/>
      <c r="AJ34" s="42"/>
      <c r="AK34" s="42"/>
      <c r="AL34" s="42"/>
      <c r="AM34" s="42"/>
      <c r="AN34" s="42"/>
    </row>
    <row r="35" spans="2:40" x14ac:dyDescent="0.25">
      <c r="B35" s="11" t="s">
        <v>439</v>
      </c>
      <c r="C35" s="22"/>
      <c r="D35" s="22">
        <f t="shared" ref="D35" si="39">D36-D34</f>
        <v>194.7372</v>
      </c>
      <c r="E35" s="22">
        <f t="shared" ref="E35" si="40">E36-E34</f>
        <v>168.91040000000001</v>
      </c>
      <c r="F35" s="22">
        <f t="shared" ref="F35" si="41">F36-F34</f>
        <v>110.30419999999999</v>
      </c>
      <c r="G35" s="22">
        <f t="shared" ref="G35" si="42">G36-G34</f>
        <v>124.78440000000001</v>
      </c>
      <c r="H35" s="32"/>
      <c r="I35" s="22"/>
      <c r="J35" s="22"/>
      <c r="K35" s="22"/>
      <c r="L35" s="22"/>
      <c r="M35" s="22">
        <f t="shared" ref="M35" si="43">M36-M34</f>
        <v>102.1545</v>
      </c>
      <c r="N35" s="22">
        <f t="shared" ref="N35" si="44">N36-N34</f>
        <v>66.755900000000011</v>
      </c>
      <c r="O35" s="22">
        <f t="shared" ref="O35" si="45">O36-O34</f>
        <v>52.081199999999995</v>
      </c>
      <c r="P35" s="22">
        <f t="shared" ref="P35" si="46">P36-P34</f>
        <v>58.222999999999992</v>
      </c>
      <c r="Q35" s="22">
        <f t="shared" ref="Q35" si="47">Q36-Q34</f>
        <v>66.856499999999997</v>
      </c>
      <c r="R35" s="22">
        <f t="shared" ref="R35" si="48">R36-R34</f>
        <v>57.927900000000008</v>
      </c>
      <c r="S35" s="32"/>
      <c r="T35" s="42"/>
      <c r="U35" s="42"/>
      <c r="V35" s="42"/>
      <c r="W35" s="42"/>
      <c r="X35" s="42"/>
      <c r="Y35" s="42"/>
      <c r="Z35" s="42"/>
      <c r="AA35" s="42"/>
      <c r="AB35" s="42"/>
      <c r="AC35" s="42"/>
      <c r="AD35" s="42"/>
      <c r="AE35" s="42"/>
      <c r="AF35" s="42"/>
      <c r="AG35" s="42"/>
      <c r="AH35" s="42"/>
      <c r="AI35" s="42"/>
      <c r="AJ35" s="42"/>
      <c r="AK35" s="42"/>
      <c r="AL35" s="42"/>
      <c r="AM35" s="42"/>
      <c r="AN35" s="42"/>
    </row>
    <row r="36" spans="2:40" x14ac:dyDescent="0.25">
      <c r="B36" s="53" t="s">
        <v>441</v>
      </c>
      <c r="C36" s="27">
        <v>126.5</v>
      </c>
      <c r="D36" s="27">
        <v>203.7</v>
      </c>
      <c r="E36" s="27">
        <v>184.4</v>
      </c>
      <c r="F36" s="27">
        <v>136.6</v>
      </c>
      <c r="G36" s="27">
        <v>168.4</v>
      </c>
      <c r="H36" s="33"/>
      <c r="I36" s="27">
        <v>49.9</v>
      </c>
      <c r="J36" s="58">
        <f>C36-I36</f>
        <v>76.599999999999994</v>
      </c>
      <c r="K36" s="27">
        <v>117.6</v>
      </c>
      <c r="L36" s="58">
        <f>D36-K36</f>
        <v>86.1</v>
      </c>
      <c r="M36" s="27">
        <v>108.1</v>
      </c>
      <c r="N36" s="58">
        <f>E36-M36</f>
        <v>76.300000000000011</v>
      </c>
      <c r="O36" s="27">
        <v>62.9</v>
      </c>
      <c r="P36" s="37">
        <f>F36-O36</f>
        <v>73.699999999999989</v>
      </c>
      <c r="Q36" s="27">
        <v>89.5</v>
      </c>
      <c r="R36" s="58">
        <f>G36-Q36</f>
        <v>78.900000000000006</v>
      </c>
      <c r="S36" s="33"/>
      <c r="T36" s="43"/>
      <c r="U36" s="43"/>
      <c r="V36" s="43"/>
      <c r="W36" s="43"/>
      <c r="X36" s="43"/>
      <c r="Y36" s="43"/>
      <c r="Z36" s="43"/>
      <c r="AA36" s="43"/>
      <c r="AB36" s="43"/>
      <c r="AC36" s="43"/>
      <c r="AD36" s="43"/>
      <c r="AE36" s="43"/>
      <c r="AF36" s="43"/>
      <c r="AG36" s="43"/>
      <c r="AH36" s="43"/>
      <c r="AI36" s="43"/>
      <c r="AJ36" s="43"/>
      <c r="AK36" s="43"/>
      <c r="AL36" s="43"/>
      <c r="AM36" s="43"/>
      <c r="AN36" s="43"/>
    </row>
    <row r="37" spans="2:40" x14ac:dyDescent="0.25">
      <c r="T37" s="40"/>
      <c r="U37" s="40"/>
      <c r="V37" s="40"/>
      <c r="W37" s="40"/>
      <c r="X37" s="40"/>
      <c r="Y37" s="40"/>
      <c r="Z37" s="40"/>
      <c r="AA37" s="40"/>
      <c r="AB37" s="40"/>
      <c r="AC37" s="40"/>
      <c r="AD37" s="40"/>
      <c r="AE37" s="40"/>
      <c r="AF37" s="40"/>
      <c r="AG37" s="40"/>
      <c r="AH37" s="40"/>
      <c r="AI37" s="40"/>
      <c r="AJ37" s="40"/>
      <c r="AK37" s="40"/>
      <c r="AL37" s="40"/>
      <c r="AM37" s="40"/>
      <c r="AN37" s="40"/>
    </row>
    <row r="38" spans="2:40" x14ac:dyDescent="0.25">
      <c r="B38" s="11" t="s">
        <v>420</v>
      </c>
      <c r="C38" s="6"/>
      <c r="D38" s="6">
        <f t="shared" ref="D38:G38" si="49">D34/D6</f>
        <v>0.97421739130434781</v>
      </c>
      <c r="E38" s="6">
        <f t="shared" si="49"/>
        <v>0.81524210526315799</v>
      </c>
      <c r="F38" s="6">
        <f t="shared" si="49"/>
        <v>0.86784818481848169</v>
      </c>
      <c r="G38" s="6">
        <f t="shared" si="49"/>
        <v>0.78164157706093196</v>
      </c>
      <c r="T38" s="40"/>
      <c r="U38" s="40"/>
      <c r="V38" s="40"/>
      <c r="W38" s="40"/>
      <c r="X38" s="40"/>
      <c r="Y38" s="40"/>
      <c r="Z38" s="40"/>
      <c r="AA38" s="40"/>
      <c r="AB38" s="40"/>
      <c r="AC38" s="40"/>
      <c r="AD38" s="40"/>
      <c r="AE38" s="40"/>
      <c r="AF38" s="40"/>
      <c r="AG38" s="40"/>
      <c r="AH38" s="40"/>
      <c r="AI38" s="40"/>
      <c r="AJ38" s="40"/>
      <c r="AK38" s="40"/>
      <c r="AL38" s="40"/>
      <c r="AM38" s="40"/>
      <c r="AN38" s="40"/>
    </row>
    <row r="39" spans="2:40" x14ac:dyDescent="0.25">
      <c r="B39" s="11" t="s">
        <v>439</v>
      </c>
      <c r="C39" s="6"/>
      <c r="D39" s="6">
        <f>D35/D7</f>
        <v>0.16647050777910755</v>
      </c>
      <c r="E39" s="6">
        <f>E35/E7</f>
        <v>0.14548699397071491</v>
      </c>
      <c r="F39" s="6">
        <f>F35/F7</f>
        <v>0.13542565991405769</v>
      </c>
      <c r="G39" s="6">
        <f>G35/G7</f>
        <v>0.16567233138608603</v>
      </c>
      <c r="T39" s="40"/>
      <c r="U39" s="40"/>
      <c r="V39" s="40"/>
      <c r="W39" s="40"/>
      <c r="X39" s="40"/>
      <c r="Y39" s="40"/>
      <c r="Z39" s="40"/>
      <c r="AA39" s="40"/>
      <c r="AB39" s="40"/>
      <c r="AC39" s="40"/>
      <c r="AD39" s="40"/>
      <c r="AE39" s="40"/>
      <c r="AF39" s="40"/>
      <c r="AG39" s="40"/>
      <c r="AH39" s="40"/>
      <c r="AI39" s="40"/>
      <c r="AJ39" s="40"/>
      <c r="AK39" s="40"/>
      <c r="AL39" s="40"/>
      <c r="AM39" s="40"/>
      <c r="AN39" s="40"/>
    </row>
    <row r="40" spans="2:40" x14ac:dyDescent="0.25">
      <c r="B40" s="53" t="s">
        <v>473</v>
      </c>
      <c r="C40" s="6">
        <f t="shared" ref="C40:G40" si="50">C36/C8</f>
        <v>0.16379645215589797</v>
      </c>
      <c r="D40" s="6">
        <f t="shared" si="50"/>
        <v>0.17277353689567429</v>
      </c>
      <c r="E40" s="6">
        <f t="shared" si="50"/>
        <v>0.15627118644067797</v>
      </c>
      <c r="F40" s="6">
        <f t="shared" si="50"/>
        <v>0.16169507575757575</v>
      </c>
      <c r="G40" s="6">
        <f t="shared" si="50"/>
        <v>0.2081582200247219</v>
      </c>
      <c r="T40" s="40"/>
      <c r="U40" s="40"/>
      <c r="V40" s="40"/>
      <c r="W40" s="40"/>
      <c r="X40" s="40"/>
      <c r="Y40" s="40"/>
      <c r="Z40" s="40"/>
      <c r="AA40" s="40"/>
      <c r="AB40" s="40"/>
      <c r="AC40" s="40"/>
      <c r="AD40" s="40"/>
      <c r="AE40" s="40"/>
      <c r="AF40" s="40"/>
      <c r="AG40" s="40"/>
      <c r="AH40" s="40"/>
      <c r="AI40" s="40"/>
      <c r="AJ40" s="40"/>
      <c r="AK40" s="40"/>
      <c r="AL40" s="40"/>
      <c r="AM40" s="40"/>
      <c r="AN40" s="40"/>
    </row>
    <row r="41" spans="2:40" x14ac:dyDescent="0.25">
      <c r="T41" s="40"/>
      <c r="U41" s="40"/>
      <c r="V41" s="40"/>
      <c r="W41" s="40"/>
      <c r="X41" s="40"/>
      <c r="Y41" s="40"/>
      <c r="Z41" s="40"/>
      <c r="AA41" s="40"/>
      <c r="AB41" s="40"/>
      <c r="AC41" s="40"/>
      <c r="AD41" s="40"/>
      <c r="AE41" s="40"/>
      <c r="AF41" s="40"/>
      <c r="AG41" s="40"/>
      <c r="AH41" s="40"/>
      <c r="AI41" s="40"/>
      <c r="AJ41" s="40"/>
      <c r="AK41" s="40"/>
      <c r="AL41" s="40"/>
      <c r="AM41" s="40"/>
      <c r="AN41" s="40"/>
    </row>
    <row r="42" spans="2:40" x14ac:dyDescent="0.25">
      <c r="B42" s="11" t="s">
        <v>444</v>
      </c>
      <c r="C42" s="29"/>
      <c r="D42" s="29"/>
      <c r="E42" s="29"/>
      <c r="F42" s="29">
        <v>-67.8</v>
      </c>
      <c r="G42" s="29">
        <v>-64.900000000000006</v>
      </c>
      <c r="H42" s="29"/>
      <c r="I42" s="29"/>
      <c r="J42" s="29"/>
      <c r="K42" s="29"/>
      <c r="L42" s="29"/>
      <c r="M42" s="29">
        <v>-59.4</v>
      </c>
      <c r="N42" s="29"/>
      <c r="O42" s="29">
        <v>-35.9</v>
      </c>
      <c r="P42" s="38">
        <f t="shared" ref="P42:P44" si="51">F42-O42</f>
        <v>-31.9</v>
      </c>
      <c r="Q42" s="29">
        <v>-36.1</v>
      </c>
      <c r="R42" s="29"/>
      <c r="S42" s="29"/>
      <c r="T42" s="41"/>
      <c r="U42" s="41"/>
      <c r="V42" s="41"/>
      <c r="W42" s="41"/>
      <c r="X42" s="41"/>
      <c r="Y42" s="41"/>
      <c r="Z42" s="41"/>
      <c r="AA42" s="41"/>
      <c r="AB42" s="41"/>
      <c r="AC42" s="41"/>
      <c r="AD42" s="41"/>
      <c r="AE42" s="41"/>
      <c r="AF42" s="41"/>
      <c r="AG42" s="41"/>
      <c r="AH42" s="41"/>
      <c r="AI42" s="41"/>
      <c r="AJ42" s="41"/>
      <c r="AK42" s="41"/>
      <c r="AL42" s="41"/>
      <c r="AM42" s="41"/>
      <c r="AN42" s="41"/>
    </row>
    <row r="43" spans="2:40" x14ac:dyDescent="0.25">
      <c r="B43" s="11" t="s">
        <v>445</v>
      </c>
      <c r="C43" s="29"/>
      <c r="D43" s="29"/>
      <c r="E43" s="29"/>
      <c r="F43" s="29">
        <v>-89.7</v>
      </c>
      <c r="G43" s="29">
        <v>-67.400000000000006</v>
      </c>
      <c r="H43" s="29"/>
      <c r="I43" s="29"/>
      <c r="J43" s="29"/>
      <c r="K43" s="29"/>
      <c r="L43" s="29"/>
      <c r="M43" s="29">
        <v>-55.5</v>
      </c>
      <c r="N43" s="29"/>
      <c r="O43" s="29">
        <v>-50</v>
      </c>
      <c r="P43" s="38">
        <f t="shared" si="51"/>
        <v>-39.700000000000003</v>
      </c>
      <c r="Q43" s="29">
        <v>-34</v>
      </c>
      <c r="R43" s="29"/>
      <c r="S43" s="29"/>
      <c r="T43" s="41"/>
      <c r="U43" s="41"/>
      <c r="V43" s="41"/>
      <c r="W43" s="41"/>
      <c r="X43" s="41"/>
      <c r="Y43" s="41"/>
      <c r="Z43" s="41"/>
      <c r="AA43" s="41"/>
      <c r="AB43" s="41"/>
      <c r="AC43" s="41"/>
      <c r="AD43" s="41"/>
      <c r="AE43" s="41"/>
      <c r="AF43" s="41"/>
      <c r="AG43" s="41"/>
      <c r="AH43" s="41"/>
      <c r="AI43" s="41"/>
      <c r="AJ43" s="41"/>
      <c r="AK43" s="41"/>
      <c r="AL43" s="41"/>
      <c r="AM43" s="41"/>
      <c r="AN43" s="41"/>
    </row>
    <row r="44" spans="2:40" x14ac:dyDescent="0.25">
      <c r="B44" s="53" t="s">
        <v>446</v>
      </c>
      <c r="C44" s="27">
        <v>46.5</v>
      </c>
      <c r="D44" s="27">
        <v>22.5</v>
      </c>
      <c r="E44" s="27">
        <v>-21.8</v>
      </c>
      <c r="F44" s="27">
        <v>-20.8</v>
      </c>
      <c r="G44" s="27">
        <v>36</v>
      </c>
      <c r="H44" s="27"/>
      <c r="I44" s="27">
        <v>16.7</v>
      </c>
      <c r="J44" s="58">
        <f>C44-I44</f>
        <v>29.8</v>
      </c>
      <c r="K44" s="27">
        <v>38.799999999999997</v>
      </c>
      <c r="L44" s="58">
        <f>D44-K44</f>
        <v>-16.299999999999997</v>
      </c>
      <c r="M44" s="27">
        <v>-2</v>
      </c>
      <c r="N44" s="58">
        <f>E44-M44</f>
        <v>-19.8</v>
      </c>
      <c r="O44" s="27">
        <v>-23</v>
      </c>
      <c r="P44" s="37">
        <f t="shared" si="51"/>
        <v>2.1999999999999993</v>
      </c>
      <c r="Q44" s="27">
        <v>19.399999999999999</v>
      </c>
      <c r="R44" s="58">
        <f>G44-Q44</f>
        <v>16.600000000000001</v>
      </c>
      <c r="S44" s="27"/>
      <c r="T44" s="43"/>
      <c r="U44" s="43"/>
      <c r="V44" s="43"/>
      <c r="W44" s="43"/>
      <c r="X44" s="43"/>
      <c r="Y44" s="43"/>
      <c r="Z44" s="43"/>
      <c r="AA44" s="43"/>
      <c r="AB44" s="43"/>
      <c r="AC44" s="43"/>
      <c r="AD44" s="43"/>
      <c r="AE44" s="43"/>
      <c r="AF44" s="43"/>
      <c r="AG44" s="43"/>
      <c r="AH44" s="43"/>
      <c r="AI44" s="43"/>
      <c r="AJ44" s="43"/>
      <c r="AK44" s="43"/>
      <c r="AL44" s="43"/>
      <c r="AM44" s="43"/>
      <c r="AN44" s="43"/>
    </row>
    <row r="46" spans="2:40" x14ac:dyDescent="0.25">
      <c r="B46" s="10" t="s">
        <v>443</v>
      </c>
    </row>
    <row r="47" spans="2:40" x14ac:dyDescent="0.25">
      <c r="B47" s="11" t="s">
        <v>442</v>
      </c>
      <c r="C47" s="28"/>
      <c r="D47" s="28"/>
      <c r="E47" s="28"/>
      <c r="F47" s="28"/>
      <c r="G47" s="28"/>
      <c r="H47" s="28"/>
      <c r="I47" s="28"/>
      <c r="J47" s="28"/>
      <c r="K47" s="28"/>
      <c r="L47" s="28"/>
      <c r="M47" s="28"/>
      <c r="N47" s="28"/>
      <c r="O47" s="28"/>
      <c r="P47" s="28"/>
      <c r="Q47" s="28"/>
      <c r="R47" s="28"/>
      <c r="S47" s="28"/>
      <c r="T47" s="28"/>
      <c r="U47" s="28"/>
      <c r="V47" s="28">
        <v>1699000</v>
      </c>
      <c r="W47" s="28">
        <v>1809000</v>
      </c>
      <c r="X47" s="28">
        <v>2183000</v>
      </c>
      <c r="Y47" s="57">
        <f>AC47/130.7%</f>
        <v>2563886.7635807195</v>
      </c>
      <c r="Z47" s="28">
        <v>3003000</v>
      </c>
      <c r="AA47" s="28">
        <v>3215000</v>
      </c>
      <c r="AB47" s="28">
        <v>3207000</v>
      </c>
      <c r="AC47" s="28">
        <v>3351000</v>
      </c>
      <c r="AD47" s="28"/>
      <c r="AE47" s="28"/>
      <c r="AF47" s="28">
        <v>3189000</v>
      </c>
      <c r="AG47" s="28"/>
      <c r="AH47" s="28">
        <v>2550000</v>
      </c>
      <c r="AI47" s="28">
        <v>2296000</v>
      </c>
      <c r="AJ47" s="28">
        <v>2190000</v>
      </c>
      <c r="AK47" s="28">
        <v>2114000</v>
      </c>
      <c r="AL47" s="28">
        <v>2026000</v>
      </c>
      <c r="AM47" s="28">
        <v>1950000</v>
      </c>
      <c r="AN47" s="28">
        <v>1909000</v>
      </c>
    </row>
    <row r="48" spans="2:40" x14ac:dyDescent="0.25">
      <c r="B48" s="11" t="s">
        <v>420</v>
      </c>
      <c r="C48" s="28"/>
      <c r="D48" s="28"/>
      <c r="E48" s="28"/>
      <c r="F48" s="28"/>
      <c r="G48" s="28"/>
      <c r="H48" s="28"/>
      <c r="I48" s="28"/>
      <c r="J48" s="28"/>
      <c r="K48" s="28"/>
      <c r="L48" s="28"/>
      <c r="M48" s="28"/>
      <c r="N48" s="28"/>
      <c r="O48" s="28"/>
      <c r="P48" s="28"/>
      <c r="Q48" s="28"/>
      <c r="R48" s="28"/>
      <c r="S48" s="28"/>
      <c r="T48" s="28"/>
      <c r="U48" s="28"/>
      <c r="V48" s="28"/>
      <c r="W48" s="28"/>
      <c r="X48" s="57">
        <f>AB48/199.7%</f>
        <v>60090.135202804209</v>
      </c>
      <c r="Y48" s="57">
        <f>AC48/271%</f>
        <v>72693.72693726937</v>
      </c>
      <c r="Z48" s="57">
        <f>AD48/276%</f>
        <v>99275.362318840591</v>
      </c>
      <c r="AA48" s="57">
        <f>AE48/364%</f>
        <v>90109.890109890111</v>
      </c>
      <c r="AB48" s="28">
        <v>120000</v>
      </c>
      <c r="AC48" s="28">
        <v>197000</v>
      </c>
      <c r="AD48" s="28">
        <v>274000</v>
      </c>
      <c r="AE48" s="28">
        <v>328000</v>
      </c>
      <c r="AF48" s="28">
        <v>372000</v>
      </c>
      <c r="AG48" s="28">
        <v>385000</v>
      </c>
      <c r="AH48" s="28">
        <v>404000</v>
      </c>
      <c r="AI48" s="28">
        <v>407000</v>
      </c>
      <c r="AJ48" s="28">
        <v>401000</v>
      </c>
      <c r="AK48" s="28">
        <v>440000</v>
      </c>
      <c r="AL48" s="28">
        <v>466000</v>
      </c>
      <c r="AM48" s="28">
        <v>472000</v>
      </c>
      <c r="AN48" s="28">
        <v>502000</v>
      </c>
    </row>
    <row r="49" spans="2:40" x14ac:dyDescent="0.25">
      <c r="B49" s="11" t="s">
        <v>471</v>
      </c>
      <c r="C49" s="28"/>
      <c r="D49" s="28"/>
      <c r="E49" s="28"/>
      <c r="F49" s="28"/>
      <c r="G49" s="28"/>
      <c r="H49" s="28"/>
      <c r="I49" s="28"/>
      <c r="J49" s="28"/>
      <c r="K49" s="28"/>
      <c r="L49" s="28"/>
      <c r="M49" s="28"/>
      <c r="N49" s="28"/>
      <c r="O49" s="28"/>
      <c r="P49" s="28"/>
      <c r="Q49" s="28"/>
      <c r="R49" s="28"/>
      <c r="S49" s="28"/>
      <c r="T49" s="28"/>
      <c r="U49" s="28"/>
      <c r="V49" s="28"/>
      <c r="W49" s="28"/>
      <c r="X49" s="28"/>
      <c r="Y49" s="28"/>
      <c r="Z49" s="28">
        <v>719000</v>
      </c>
      <c r="AA49" s="28">
        <v>742000</v>
      </c>
      <c r="AB49" s="28">
        <v>764000</v>
      </c>
      <c r="AC49" s="28">
        <v>748000</v>
      </c>
      <c r="AD49" s="28" t="s">
        <v>172</v>
      </c>
      <c r="AE49" s="28" t="s">
        <v>172</v>
      </c>
      <c r="AF49" s="28" t="s">
        <v>172</v>
      </c>
      <c r="AG49" s="28" t="s">
        <v>172</v>
      </c>
      <c r="AH49" s="28" t="s">
        <v>172</v>
      </c>
      <c r="AI49" s="28" t="s">
        <v>172</v>
      </c>
      <c r="AJ49" s="28" t="s">
        <v>172</v>
      </c>
      <c r="AK49" s="28" t="s">
        <v>172</v>
      </c>
      <c r="AL49" s="28" t="s">
        <v>172</v>
      </c>
      <c r="AM49" s="28" t="s">
        <v>172</v>
      </c>
      <c r="AN49" s="28" t="s">
        <v>172</v>
      </c>
    </row>
    <row r="50" spans="2:40" x14ac:dyDescent="0.25">
      <c r="B50" s="11" t="s">
        <v>394</v>
      </c>
      <c r="C50" s="28"/>
      <c r="D50" s="28"/>
      <c r="E50" s="28"/>
      <c r="F50" s="28"/>
      <c r="G50" s="28"/>
      <c r="H50" s="28"/>
      <c r="I50" s="28"/>
      <c r="J50" s="28"/>
      <c r="K50" s="28"/>
      <c r="L50" s="28"/>
      <c r="M50" s="28"/>
      <c r="N50" s="28"/>
      <c r="O50" s="28"/>
      <c r="P50" s="28"/>
      <c r="Q50" s="28"/>
      <c r="R50" s="28"/>
      <c r="S50" s="28"/>
      <c r="T50" s="57"/>
      <c r="U50" s="57"/>
      <c r="V50" s="57"/>
      <c r="W50" s="57"/>
      <c r="X50" s="57"/>
      <c r="Y50" s="57"/>
      <c r="Z50" s="57">
        <f t="shared" ref="Z50:AB50" si="52">Z47+Z49</f>
        <v>3722000</v>
      </c>
      <c r="AA50" s="57">
        <f t="shared" si="52"/>
        <v>3957000</v>
      </c>
      <c r="AB50" s="57">
        <f t="shared" si="52"/>
        <v>3971000</v>
      </c>
      <c r="AC50" s="57">
        <f>AC47+AC49</f>
        <v>4099000</v>
      </c>
      <c r="AD50" s="28">
        <v>4071000</v>
      </c>
      <c r="AE50" s="28">
        <v>4099000</v>
      </c>
      <c r="AF50" s="28">
        <v>3972000</v>
      </c>
      <c r="AG50" s="28">
        <v>3596000</v>
      </c>
      <c r="AH50" s="28">
        <v>3323000</v>
      </c>
      <c r="AI50" s="28">
        <v>3056000</v>
      </c>
      <c r="AJ50" s="28">
        <v>2945000</v>
      </c>
      <c r="AK50" s="28">
        <v>2864000</v>
      </c>
      <c r="AL50" s="28">
        <v>2744000</v>
      </c>
      <c r="AM50" s="28">
        <v>2660000</v>
      </c>
      <c r="AN50" s="28">
        <v>2609000</v>
      </c>
    </row>
    <row r="51" spans="2:40" x14ac:dyDescent="0.25">
      <c r="B51" s="6" t="s">
        <v>469</v>
      </c>
      <c r="C51" s="6" t="e">
        <f t="shared" ref="C51:G51" si="53">IFERROR(C48/C47,NA())</f>
        <v>#N/A</v>
      </c>
      <c r="D51" s="6" t="e">
        <f t="shared" si="53"/>
        <v>#N/A</v>
      </c>
      <c r="E51" s="6" t="e">
        <f t="shared" si="53"/>
        <v>#N/A</v>
      </c>
      <c r="F51" s="6" t="e">
        <f t="shared" si="53"/>
        <v>#N/A</v>
      </c>
      <c r="G51" s="6" t="e">
        <f t="shared" si="53"/>
        <v>#N/A</v>
      </c>
      <c r="H51" s="6"/>
      <c r="I51" s="6" t="e">
        <f t="shared" ref="I51:R51" si="54">IFERROR(I48/I47,NA())</f>
        <v>#N/A</v>
      </c>
      <c r="J51" s="6" t="e">
        <f t="shared" si="54"/>
        <v>#N/A</v>
      </c>
      <c r="K51" s="6" t="e">
        <f t="shared" si="54"/>
        <v>#N/A</v>
      </c>
      <c r="L51" s="6" t="e">
        <f t="shared" si="54"/>
        <v>#N/A</v>
      </c>
      <c r="M51" s="6" t="e">
        <f t="shared" si="54"/>
        <v>#N/A</v>
      </c>
      <c r="N51" s="6" t="e">
        <f t="shared" si="54"/>
        <v>#N/A</v>
      </c>
      <c r="O51" s="6" t="e">
        <f t="shared" si="54"/>
        <v>#N/A</v>
      </c>
      <c r="P51" s="6" t="e">
        <f t="shared" si="54"/>
        <v>#N/A</v>
      </c>
      <c r="Q51" s="6" t="e">
        <f t="shared" si="54"/>
        <v>#N/A</v>
      </c>
      <c r="R51" s="6" t="e">
        <f t="shared" si="54"/>
        <v>#N/A</v>
      </c>
      <c r="S51" s="6"/>
      <c r="T51" s="59" t="e">
        <f>NA()</f>
        <v>#N/A</v>
      </c>
      <c r="U51" s="59" t="e">
        <f>NA()</f>
        <v>#N/A</v>
      </c>
      <c r="V51" s="59" t="e">
        <f>NA()</f>
        <v>#N/A</v>
      </c>
      <c r="W51" s="59" t="e">
        <f>NA()</f>
        <v>#N/A</v>
      </c>
      <c r="X51" s="6">
        <f t="shared" ref="X51:AN51" si="55">IFERROR(X48/X47,NA())</f>
        <v>2.7526401833625383E-2</v>
      </c>
      <c r="Y51" s="6">
        <f t="shared" si="55"/>
        <v>2.8352939751420787E-2</v>
      </c>
      <c r="Z51" s="6">
        <f t="shared" si="55"/>
        <v>3.3058728710902631E-2</v>
      </c>
      <c r="AA51" s="6">
        <f t="shared" si="55"/>
        <v>2.8027959598721654E-2</v>
      </c>
      <c r="AB51" s="6">
        <f t="shared" si="55"/>
        <v>3.7418147801683815E-2</v>
      </c>
      <c r="AC51" s="6">
        <f t="shared" si="55"/>
        <v>5.8788421366756195E-2</v>
      </c>
      <c r="AD51" s="59" t="e">
        <f>NA()</f>
        <v>#N/A</v>
      </c>
      <c r="AE51" s="59" t="e">
        <f>NA()</f>
        <v>#N/A</v>
      </c>
      <c r="AF51" s="6">
        <f t="shared" si="55"/>
        <v>0.11665098777046096</v>
      </c>
      <c r="AG51" s="59" t="e">
        <f>NA()</f>
        <v>#N/A</v>
      </c>
      <c r="AH51" s="6">
        <f t="shared" si="55"/>
        <v>0.15843137254901959</v>
      </c>
      <c r="AI51" s="6">
        <f t="shared" si="55"/>
        <v>0.17726480836236932</v>
      </c>
      <c r="AJ51" s="6">
        <f t="shared" si="55"/>
        <v>0.18310502283105023</v>
      </c>
      <c r="AK51" s="6">
        <f t="shared" si="55"/>
        <v>0.20813623462630085</v>
      </c>
      <c r="AL51" s="6">
        <f t="shared" si="55"/>
        <v>0.23000987166831194</v>
      </c>
      <c r="AM51" s="6">
        <f t="shared" si="55"/>
        <v>0.24205128205128204</v>
      </c>
      <c r="AN51" s="6">
        <f t="shared" si="55"/>
        <v>0.26296490309062337</v>
      </c>
    </row>
    <row r="52" spans="2:40" x14ac:dyDescent="0.25">
      <c r="B52" s="6" t="s">
        <v>470</v>
      </c>
    </row>
    <row r="53" spans="2:40" x14ac:dyDescent="0.25">
      <c r="Z53">
        <f t="shared" ref="Z53:AM53" si="56">Z10/Z48*1000000</f>
        <v>0</v>
      </c>
      <c r="AA53">
        <f t="shared" si="56"/>
        <v>0</v>
      </c>
      <c r="AB53">
        <f t="shared" si="56"/>
        <v>75.833333333333329</v>
      </c>
      <c r="AC53">
        <f t="shared" si="56"/>
        <v>68.020304568527919</v>
      </c>
      <c r="AD53">
        <f t="shared" si="56"/>
        <v>57.299270072992698</v>
      </c>
      <c r="AE53">
        <f t="shared" si="56"/>
        <v>53.048780487804876</v>
      </c>
      <c r="AF53">
        <f t="shared" si="56"/>
        <v>51.344086021505369</v>
      </c>
      <c r="AG53">
        <f t="shared" si="56"/>
        <v>50.389610389610382</v>
      </c>
      <c r="AH53">
        <f t="shared" si="56"/>
        <v>56.68316831683169</v>
      </c>
      <c r="AI53">
        <f t="shared" si="56"/>
        <v>64.86486486486487</v>
      </c>
      <c r="AJ53">
        <f t="shared" si="56"/>
        <v>75.561097256857849</v>
      </c>
      <c r="AK53">
        <f t="shared" si="56"/>
        <v>94.318181818181827</v>
      </c>
      <c r="AL53">
        <f t="shared" si="56"/>
        <v>106.65236051502146</v>
      </c>
      <c r="AM53">
        <f t="shared" si="56"/>
        <v>109.53389830508475</v>
      </c>
      <c r="AN53">
        <f>AN10/AN48*1000000</f>
        <v>111.15537848605577</v>
      </c>
    </row>
    <row r="54" spans="2:40" x14ac:dyDescent="0.25">
      <c r="Z54">
        <f>Z11/Z48*1000000</f>
        <v>134.978102189781</v>
      </c>
      <c r="AA54">
        <f t="shared" ref="AA54:AN54" si="57">AA11/AA48*1000000</f>
        <v>174.23170731707316</v>
      </c>
      <c r="AB54">
        <f t="shared" si="57"/>
        <v>145</v>
      </c>
      <c r="AC54">
        <f t="shared" si="57"/>
        <v>96.954314720812178</v>
      </c>
      <c r="AD54">
        <f t="shared" si="57"/>
        <v>70.802919708029194</v>
      </c>
      <c r="AE54">
        <f t="shared" si="57"/>
        <v>69.817073170731717</v>
      </c>
      <c r="AF54">
        <f t="shared" si="57"/>
        <v>70.967741935483872</v>
      </c>
      <c r="AG54">
        <f t="shared" si="57"/>
        <v>78.701298701298697</v>
      </c>
      <c r="AH54">
        <f t="shared" si="57"/>
        <v>102.72277227722772</v>
      </c>
      <c r="AI54">
        <f t="shared" si="57"/>
        <v>122.11302211302211</v>
      </c>
      <c r="AJ54">
        <f t="shared" si="57"/>
        <v>128.92768079800501</v>
      </c>
      <c r="AK54">
        <f t="shared" si="57"/>
        <v>126.8181818181818</v>
      </c>
      <c r="AL54">
        <f t="shared" si="57"/>
        <v>82.403433476394852</v>
      </c>
      <c r="AM54">
        <f t="shared" si="57"/>
        <v>46.398305084745758</v>
      </c>
      <c r="AN54">
        <f t="shared" si="57"/>
        <v>24.302788844621514</v>
      </c>
    </row>
    <row r="56" spans="2:40" x14ac:dyDescent="0.25">
      <c r="AD56" s="3">
        <v>44593</v>
      </c>
      <c r="AH56" s="3">
        <v>44835</v>
      </c>
      <c r="AN56" s="3">
        <v>45390</v>
      </c>
    </row>
    <row r="57" spans="2:40" x14ac:dyDescent="0.25">
      <c r="B57" s="6" t="s">
        <v>488</v>
      </c>
      <c r="T57" s="61">
        <v>99</v>
      </c>
      <c r="U57" s="60"/>
      <c r="V57" s="60"/>
      <c r="W57" s="60"/>
      <c r="X57" s="60"/>
      <c r="Y57" s="60"/>
      <c r="Z57" s="26"/>
      <c r="AA57" s="60"/>
      <c r="AB57" s="60"/>
      <c r="AC57" s="60">
        <v>49</v>
      </c>
      <c r="AD57" s="60">
        <v>59</v>
      </c>
      <c r="AE57" s="60">
        <v>59</v>
      </c>
      <c r="AF57" s="60">
        <v>59</v>
      </c>
      <c r="AG57" s="60">
        <v>59</v>
      </c>
      <c r="AH57" s="60">
        <v>79</v>
      </c>
      <c r="AI57" s="61">
        <v>79</v>
      </c>
      <c r="AJ57" s="61">
        <v>99</v>
      </c>
      <c r="AK57" s="60">
        <v>99</v>
      </c>
      <c r="AL57" s="60">
        <v>99</v>
      </c>
      <c r="AM57" s="60">
        <v>99</v>
      </c>
      <c r="AN57" s="60">
        <v>129</v>
      </c>
    </row>
    <row r="58" spans="2:40" x14ac:dyDescent="0.25">
      <c r="AJ58" s="19">
        <f t="shared" ref="AJ58:AM58" si="58">AJ48*AJ57/1000000</f>
        <v>39.698999999999998</v>
      </c>
      <c r="AK58" s="19">
        <f t="shared" si="58"/>
        <v>43.56</v>
      </c>
      <c r="AL58" s="19">
        <f t="shared" si="58"/>
        <v>46.134</v>
      </c>
      <c r="AM58" s="19">
        <f t="shared" si="58"/>
        <v>46.728000000000002</v>
      </c>
      <c r="AN58" s="19">
        <f>AN48*AN57/1000000</f>
        <v>64.757999999999996</v>
      </c>
    </row>
    <row r="60" spans="2:40" x14ac:dyDescent="0.25">
      <c r="T60" t="s">
        <v>468</v>
      </c>
      <c r="U60" t="s">
        <v>468</v>
      </c>
    </row>
  </sheetData>
  <phoneticPr fontId="7"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1D08-B515-46C9-A424-659466758E3C}">
  <sheetPr codeName="Sheet11">
    <tabColor theme="3" tint="0.79998168889431442"/>
  </sheetPr>
  <dimension ref="A1:O28"/>
  <sheetViews>
    <sheetView workbookViewId="0">
      <selection activeCell="G37" sqref="G37"/>
    </sheetView>
  </sheetViews>
  <sheetFormatPr defaultRowHeight="15" x14ac:dyDescent="0.25"/>
  <cols>
    <col min="1" max="1" width="2.7109375" customWidth="1"/>
    <col min="2" max="2" width="17.7109375" bestFit="1" customWidth="1"/>
    <col min="6" max="6" width="10.140625" bestFit="1" customWidth="1"/>
    <col min="7" max="9" width="9.28515625" bestFit="1" customWidth="1"/>
  </cols>
  <sheetData>
    <row r="1" spans="1:15" s="62" customFormat="1" x14ac:dyDescent="0.25"/>
    <row r="2" spans="1:15" s="107" customFormat="1" x14ac:dyDescent="0.25">
      <c r="A2" s="104"/>
      <c r="B2" s="105"/>
      <c r="C2" s="106" t="s">
        <v>578</v>
      </c>
      <c r="D2" s="106" t="s">
        <v>577</v>
      </c>
      <c r="E2" s="106" t="s">
        <v>434</v>
      </c>
      <c r="F2" s="106" t="s">
        <v>435</v>
      </c>
      <c r="G2" s="106" t="s">
        <v>436</v>
      </c>
      <c r="H2" s="106" t="s">
        <v>437</v>
      </c>
      <c r="I2" s="106" t="s">
        <v>438</v>
      </c>
      <c r="J2" s="106" t="s">
        <v>582</v>
      </c>
      <c r="K2" s="106" t="s">
        <v>583</v>
      </c>
      <c r="L2" s="106" t="s">
        <v>584</v>
      </c>
      <c r="M2" s="106" t="s">
        <v>585</v>
      </c>
      <c r="N2" s="106" t="s">
        <v>586</v>
      </c>
      <c r="O2" s="106" t="s">
        <v>587</v>
      </c>
    </row>
    <row r="3" spans="1:15" s="30" customFormat="1" x14ac:dyDescent="0.25">
      <c r="A3" s="99"/>
      <c r="B3" s="102"/>
      <c r="C3" s="103"/>
      <c r="D3" s="103"/>
      <c r="E3" s="103"/>
      <c r="F3" s="103"/>
      <c r="G3" s="103"/>
      <c r="H3" s="103"/>
      <c r="I3" s="103"/>
      <c r="J3" s="103"/>
      <c r="K3" s="103"/>
      <c r="L3" s="103"/>
      <c r="M3" s="103"/>
      <c r="N3" s="103"/>
      <c r="O3" s="103"/>
    </row>
    <row r="4" spans="1:15" s="30" customFormat="1" x14ac:dyDescent="0.25">
      <c r="A4" s="99"/>
      <c r="B4" s="100" t="s">
        <v>581</v>
      </c>
      <c r="C4" s="20"/>
      <c r="D4" s="20"/>
      <c r="E4" s="20"/>
      <c r="F4" s="20"/>
      <c r="G4" s="20"/>
      <c r="H4" s="20"/>
      <c r="I4" s="20"/>
    </row>
    <row r="5" spans="1:15" x14ac:dyDescent="0.25">
      <c r="A5" s="6"/>
      <c r="B5" s="11" t="s">
        <v>579</v>
      </c>
      <c r="C5" s="97">
        <v>458613</v>
      </c>
      <c r="D5" s="97">
        <v>538632</v>
      </c>
      <c r="E5" s="97">
        <v>552218</v>
      </c>
      <c r="F5" s="97">
        <v>607622</v>
      </c>
      <c r="G5" s="97">
        <v>643040</v>
      </c>
      <c r="H5" s="97">
        <v>672137</v>
      </c>
      <c r="I5" s="97">
        <v>744469</v>
      </c>
      <c r="K5" t="s">
        <v>594</v>
      </c>
    </row>
    <row r="6" spans="1:15" x14ac:dyDescent="0.25">
      <c r="B6" s="101" t="s">
        <v>575</v>
      </c>
      <c r="C6" s="97">
        <v>34443</v>
      </c>
      <c r="D6" s="97">
        <v>40320</v>
      </c>
      <c r="E6" s="97">
        <v>41148</v>
      </c>
      <c r="F6" s="97">
        <v>45707</v>
      </c>
      <c r="G6" s="97">
        <v>58565</v>
      </c>
      <c r="H6" s="97">
        <v>63496</v>
      </c>
      <c r="I6" s="97">
        <v>76534</v>
      </c>
    </row>
    <row r="7" spans="1:15" x14ac:dyDescent="0.25">
      <c r="B7" s="11" t="s">
        <v>580</v>
      </c>
      <c r="C7" s="1">
        <f>C5-C6</f>
        <v>424170</v>
      </c>
      <c r="D7" s="1">
        <f>D5-D6</f>
        <v>498312</v>
      </c>
      <c r="E7" s="1">
        <f>E5-E6</f>
        <v>511070</v>
      </c>
      <c r="F7" s="1">
        <f t="shared" ref="F7" si="0">F5-F6</f>
        <v>561915</v>
      </c>
      <c r="G7" s="1">
        <f>G5-G6</f>
        <v>584475</v>
      </c>
      <c r="H7" s="1">
        <f>H5-H6</f>
        <v>608641</v>
      </c>
      <c r="I7" s="1">
        <f>I5-I6</f>
        <v>667935</v>
      </c>
    </row>
    <row r="8" spans="1:15" x14ac:dyDescent="0.25">
      <c r="B8" s="101" t="s">
        <v>576</v>
      </c>
      <c r="D8" s="6">
        <f t="shared" ref="D8:H8" si="1">D7/C7-1</f>
        <v>0.17479312539783587</v>
      </c>
      <c r="E8" s="6">
        <f t="shared" si="1"/>
        <v>2.5602433816564796E-2</v>
      </c>
      <c r="F8" s="6">
        <f t="shared" si="1"/>
        <v>9.9487350069462188E-2</v>
      </c>
      <c r="G8" s="6">
        <f t="shared" si="1"/>
        <v>4.0148421024532199E-2</v>
      </c>
      <c r="H8" s="6">
        <f t="shared" si="1"/>
        <v>4.1346507549510303E-2</v>
      </c>
      <c r="I8" s="6">
        <f>I7/H7-1</f>
        <v>9.7420318381443272E-2</v>
      </c>
    </row>
    <row r="10" spans="1:15" x14ac:dyDescent="0.25">
      <c r="B10" s="100" t="s">
        <v>564</v>
      </c>
    </row>
    <row r="11" spans="1:15" x14ac:dyDescent="0.25">
      <c r="B11" s="11" t="s">
        <v>580</v>
      </c>
      <c r="F11" s="97">
        <v>6125</v>
      </c>
      <c r="G11" s="97">
        <v>6716</v>
      </c>
      <c r="H11" s="97">
        <v>6614</v>
      </c>
      <c r="I11" s="97">
        <v>7347</v>
      </c>
    </row>
    <row r="12" spans="1:15" x14ac:dyDescent="0.25">
      <c r="B12" s="101" t="s">
        <v>576</v>
      </c>
      <c r="D12" s="6"/>
      <c r="E12" s="6"/>
      <c r="F12" s="6"/>
      <c r="G12" s="6">
        <f t="shared" ref="G12:I12" si="2">G11/F11-1</f>
        <v>9.648979591836726E-2</v>
      </c>
      <c r="H12" s="6">
        <f t="shared" si="2"/>
        <v>-1.5187611673615264E-2</v>
      </c>
      <c r="I12" s="6">
        <f t="shared" si="2"/>
        <v>0.11082552162080428</v>
      </c>
    </row>
    <row r="13" spans="1:15" x14ac:dyDescent="0.25">
      <c r="C13" s="97"/>
      <c r="D13" s="97"/>
      <c r="E13" s="97"/>
      <c r="F13" s="97"/>
      <c r="G13" s="97"/>
      <c r="H13" s="97"/>
      <c r="I13" s="97"/>
    </row>
    <row r="14" spans="1:15" x14ac:dyDescent="0.25">
      <c r="B14" s="100" t="s">
        <v>592</v>
      </c>
      <c r="C14" s="6"/>
      <c r="D14" s="6"/>
      <c r="E14" s="6"/>
      <c r="F14" s="6"/>
      <c r="G14" s="6"/>
      <c r="H14" s="6"/>
      <c r="I14" s="6"/>
    </row>
    <row r="15" spans="1:15" x14ac:dyDescent="0.25">
      <c r="B15" s="11" t="s">
        <v>5</v>
      </c>
      <c r="C15" s="108">
        <v>51.74</v>
      </c>
      <c r="D15" s="108">
        <v>62.286999999999999</v>
      </c>
      <c r="E15" s="108">
        <v>57.426000000000002</v>
      </c>
      <c r="F15" s="108">
        <v>55.877220000000001</v>
      </c>
      <c r="G15" s="108">
        <v>66.591070000000002</v>
      </c>
      <c r="H15" s="108">
        <v>66.835610000000003</v>
      </c>
      <c r="I15" s="1"/>
    </row>
    <row r="16" spans="1:15" x14ac:dyDescent="0.25">
      <c r="B16" s="11" t="s">
        <v>3</v>
      </c>
      <c r="C16" s="108">
        <v>1376.836</v>
      </c>
      <c r="D16" s="108">
        <v>1819.47</v>
      </c>
      <c r="E16" s="108">
        <v>1824.1</v>
      </c>
      <c r="F16" s="108">
        <v>1949.0329999999999</v>
      </c>
      <c r="G16" s="108">
        <v>2233.8670000000002</v>
      </c>
      <c r="H16" s="108">
        <v>2166.9279999999999</v>
      </c>
      <c r="I16" s="97"/>
    </row>
    <row r="17" spans="2:9" x14ac:dyDescent="0.25">
      <c r="B17" s="11" t="s">
        <v>536</v>
      </c>
      <c r="C17" s="108">
        <v>120.352</v>
      </c>
      <c r="D17" s="108">
        <v>123.997</v>
      </c>
      <c r="E17" s="108">
        <v>121.65600000000001</v>
      </c>
      <c r="F17" s="108">
        <v>108.569</v>
      </c>
      <c r="G17" s="108">
        <v>87.462999999999994</v>
      </c>
      <c r="H17" s="108">
        <v>82.132000000000005</v>
      </c>
    </row>
    <row r="18" spans="2:9" x14ac:dyDescent="0.25">
      <c r="B18" s="11" t="s">
        <v>526</v>
      </c>
      <c r="C18" s="108">
        <v>1086.0980675000001</v>
      </c>
      <c r="D18" s="108">
        <v>1312.6734617499999</v>
      </c>
      <c r="E18" s="108">
        <v>1386.5876868</v>
      </c>
      <c r="F18" s="108">
        <v>1495.6317964</v>
      </c>
      <c r="G18" s="108">
        <v>1616.50327485</v>
      </c>
      <c r="H18" s="108">
        <v>1613.12553005</v>
      </c>
      <c r="I18" s="1"/>
    </row>
    <row r="19" spans="2:9" x14ac:dyDescent="0.25">
      <c r="B19" s="11" t="s">
        <v>4</v>
      </c>
      <c r="C19" s="108">
        <v>339.82299999999998</v>
      </c>
      <c r="D19" s="108">
        <v>417.98399999999998</v>
      </c>
      <c r="E19" s="108">
        <v>436.41399999999999</v>
      </c>
      <c r="F19" s="108">
        <v>461.59800000000001</v>
      </c>
      <c r="G19" s="108">
        <v>505.80399999999997</v>
      </c>
      <c r="H19" s="108">
        <v>527.44424045000005</v>
      </c>
      <c r="I19" s="97"/>
    </row>
    <row r="20" spans="2:9" x14ac:dyDescent="0.25">
      <c r="B20" s="11" t="s">
        <v>532</v>
      </c>
      <c r="C20" s="108">
        <v>99.470626999999993</v>
      </c>
      <c r="D20" s="108">
        <v>120.26936600000001</v>
      </c>
      <c r="E20" s="108">
        <v>132.997468</v>
      </c>
      <c r="F20" s="108">
        <v>143.88812315000001</v>
      </c>
      <c r="G20" s="108">
        <v>151.59714399999999</v>
      </c>
      <c r="H20" s="108">
        <v>152.42681200000001</v>
      </c>
      <c r="I20" s="6"/>
    </row>
    <row r="21" spans="2:9" x14ac:dyDescent="0.25">
      <c r="B21" s="11" t="s">
        <v>524</v>
      </c>
      <c r="C21" s="108">
        <v>1301.63296612</v>
      </c>
      <c r="D21" s="108">
        <v>1614.8939976500001</v>
      </c>
      <c r="E21" s="108">
        <v>1640.15647586</v>
      </c>
      <c r="F21" s="108">
        <v>1820.3051834</v>
      </c>
      <c r="G21" s="108">
        <v>1981.9626163999999</v>
      </c>
      <c r="H21" s="108">
        <v>1926.53694083</v>
      </c>
    </row>
    <row r="22" spans="2:9" x14ac:dyDescent="0.25">
      <c r="B22" s="11" t="s">
        <v>530</v>
      </c>
      <c r="C22" s="108">
        <v>854.56399999999996</v>
      </c>
      <c r="D22" s="108">
        <v>985.25099999999998</v>
      </c>
      <c r="E22" s="108">
        <v>959.35</v>
      </c>
      <c r="F22" s="108">
        <v>1056.8699999999999</v>
      </c>
      <c r="G22" s="108">
        <v>1200.6510000000001</v>
      </c>
      <c r="H22" s="108">
        <v>1222.97</v>
      </c>
      <c r="I22" s="1"/>
    </row>
    <row r="23" spans="2:9" x14ac:dyDescent="0.25">
      <c r="C23" s="1"/>
      <c r="D23" s="1"/>
      <c r="E23" s="1"/>
      <c r="F23" s="1"/>
      <c r="G23" s="1"/>
      <c r="H23" s="1"/>
      <c r="I23" s="1"/>
    </row>
    <row r="24" spans="2:9" x14ac:dyDescent="0.25">
      <c r="B24" s="11" t="s">
        <v>593</v>
      </c>
      <c r="C24" s="1">
        <f>SUM(C15:C18,C20:C22)</f>
        <v>4890.6936606200006</v>
      </c>
      <c r="D24" s="1">
        <f t="shared" ref="D24:H24" si="3">SUM(D15:D18,D20:D22)</f>
        <v>6038.8418254000007</v>
      </c>
      <c r="E24" s="1">
        <f t="shared" si="3"/>
        <v>6122.27363066</v>
      </c>
      <c r="F24" s="1">
        <f t="shared" si="3"/>
        <v>6630.1743229499998</v>
      </c>
      <c r="G24" s="1">
        <f t="shared" si="3"/>
        <v>7338.6351052500004</v>
      </c>
      <c r="H24" s="1">
        <f t="shared" si="3"/>
        <v>7230.9548928800004</v>
      </c>
    </row>
    <row r="25" spans="2:9" x14ac:dyDescent="0.25">
      <c r="B25" s="11" t="s">
        <v>4</v>
      </c>
      <c r="C25" s="1">
        <f>C19</f>
        <v>339.82299999999998</v>
      </c>
      <c r="D25" s="1">
        <f t="shared" ref="D25:H25" si="4">D19</f>
        <v>417.98399999999998</v>
      </c>
      <c r="E25" s="1">
        <f t="shared" si="4"/>
        <v>436.41399999999999</v>
      </c>
      <c r="F25" s="1">
        <f t="shared" si="4"/>
        <v>461.59800000000001</v>
      </c>
      <c r="G25" s="1">
        <f t="shared" si="4"/>
        <v>505.80399999999997</v>
      </c>
      <c r="H25" s="1">
        <f t="shared" si="4"/>
        <v>527.44424045000005</v>
      </c>
      <c r="I25" s="1"/>
    </row>
    <row r="26" spans="2:9" x14ac:dyDescent="0.25">
      <c r="C26" s="6"/>
      <c r="D26" s="6"/>
      <c r="E26" s="6"/>
      <c r="F26" s="6"/>
      <c r="G26" s="6"/>
      <c r="H26" s="6"/>
      <c r="I26" s="6"/>
    </row>
    <row r="27" spans="2:9" x14ac:dyDescent="0.25">
      <c r="B27" s="11" t="s">
        <v>593</v>
      </c>
      <c r="D27" s="6">
        <f>D24/C24-1</f>
        <v>0.23476182407925505</v>
      </c>
      <c r="E27" s="6">
        <f t="shared" ref="E27:H27" si="5">E24/D24-1</f>
        <v>1.3815861993449863E-2</v>
      </c>
      <c r="F27" s="6">
        <f t="shared" si="5"/>
        <v>8.295948906080608E-2</v>
      </c>
      <c r="G27" s="6">
        <f t="shared" si="5"/>
        <v>0.10685402039094227</v>
      </c>
      <c r="H27" s="6">
        <f t="shared" si="5"/>
        <v>-1.467305715922107E-2</v>
      </c>
    </row>
    <row r="28" spans="2:9" x14ac:dyDescent="0.25">
      <c r="B28" s="11" t="s">
        <v>4</v>
      </c>
      <c r="D28" s="6">
        <f>D25/C25-1</f>
        <v>0.23000503203138112</v>
      </c>
      <c r="E28" s="6">
        <f t="shared" ref="E28:H28" si="6">E25/D25-1</f>
        <v>4.4092596845812349E-2</v>
      </c>
      <c r="F28" s="6">
        <f t="shared" si="6"/>
        <v>5.7706673021488797E-2</v>
      </c>
      <c r="G28" s="6">
        <f t="shared" si="6"/>
        <v>9.5767312683330497E-2</v>
      </c>
      <c r="H28" s="6">
        <f t="shared" si="6"/>
        <v>4.278384601545282E-2</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5FD0-196D-45BD-B389-E3ECAF2FCA56}">
  <sheetPr codeName="Sheet3">
    <tabColor theme="4"/>
  </sheetPr>
  <dimension ref="B2"/>
  <sheetViews>
    <sheetView tabSelected="1" workbookViewId="0">
      <selection activeCell="K16" sqref="K16"/>
    </sheetView>
  </sheetViews>
  <sheetFormatPr defaultRowHeight="15" x14ac:dyDescent="0.25"/>
  <sheetData>
    <row r="2" spans="2:2" x14ac:dyDescent="0.25">
      <c r="B2" t="s">
        <v>636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3110-443E-4C5C-A684-EBBA9D31332B}">
  <sheetPr codeName="Sheet4">
    <tabColor theme="4" tint="0.79998168889431442"/>
  </sheetPr>
  <dimension ref="B2:R35"/>
  <sheetViews>
    <sheetView workbookViewId="0">
      <selection activeCell="M34" sqref="M34"/>
    </sheetView>
  </sheetViews>
  <sheetFormatPr defaultRowHeight="15" x14ac:dyDescent="0.25"/>
  <cols>
    <col min="2" max="2" width="16.140625" bestFit="1" customWidth="1"/>
    <col min="10" max="10" width="16.7109375" bestFit="1" customWidth="1"/>
    <col min="11" max="18" width="12.7109375" customWidth="1"/>
  </cols>
  <sheetData>
    <row r="2" spans="2:18" x14ac:dyDescent="0.25">
      <c r="B2" t="s">
        <v>516</v>
      </c>
      <c r="C2" t="s">
        <v>518</v>
      </c>
      <c r="D2" t="s">
        <v>520</v>
      </c>
      <c r="E2" t="s">
        <v>521</v>
      </c>
    </row>
    <row r="3" spans="2:18" x14ac:dyDescent="0.25">
      <c r="B3" t="s">
        <v>517</v>
      </c>
      <c r="C3" t="s">
        <v>519</v>
      </c>
      <c r="D3" t="s">
        <v>519</v>
      </c>
    </row>
    <row r="4" spans="2:18" x14ac:dyDescent="0.25">
      <c r="B4" t="s">
        <v>3</v>
      </c>
      <c r="C4" t="s">
        <v>20</v>
      </c>
      <c r="D4" t="s">
        <v>522</v>
      </c>
      <c r="E4" t="s">
        <v>523</v>
      </c>
    </row>
    <row r="5" spans="2:18" x14ac:dyDescent="0.25">
      <c r="B5" t="s">
        <v>524</v>
      </c>
      <c r="C5" t="s">
        <v>20</v>
      </c>
      <c r="D5" t="s">
        <v>20</v>
      </c>
      <c r="E5" t="s">
        <v>525</v>
      </c>
    </row>
    <row r="6" spans="2:18" x14ac:dyDescent="0.25">
      <c r="B6" t="s">
        <v>526</v>
      </c>
      <c r="C6" t="s">
        <v>20</v>
      </c>
      <c r="D6" t="s">
        <v>20</v>
      </c>
      <c r="E6" t="s">
        <v>527</v>
      </c>
    </row>
    <row r="7" spans="2:18" x14ac:dyDescent="0.25">
      <c r="B7" t="s">
        <v>4</v>
      </c>
      <c r="C7" t="s">
        <v>20</v>
      </c>
      <c r="D7" t="s">
        <v>528</v>
      </c>
      <c r="E7" t="s">
        <v>529</v>
      </c>
    </row>
    <row r="8" spans="2:18" x14ac:dyDescent="0.25">
      <c r="B8" t="s">
        <v>530</v>
      </c>
      <c r="C8" t="s">
        <v>20</v>
      </c>
      <c r="D8" t="s">
        <v>20</v>
      </c>
      <c r="E8" t="s">
        <v>531</v>
      </c>
    </row>
    <row r="9" spans="2:18" x14ac:dyDescent="0.25">
      <c r="B9" t="s">
        <v>532</v>
      </c>
      <c r="C9" t="s">
        <v>20</v>
      </c>
      <c r="D9" t="s">
        <v>20</v>
      </c>
      <c r="E9" t="s">
        <v>533</v>
      </c>
    </row>
    <row r="10" spans="2:18" x14ac:dyDescent="0.25">
      <c r="B10" t="s">
        <v>5</v>
      </c>
      <c r="C10" t="s">
        <v>20</v>
      </c>
      <c r="D10" t="s">
        <v>534</v>
      </c>
      <c r="E10" t="s">
        <v>535</v>
      </c>
    </row>
    <row r="11" spans="2:18" x14ac:dyDescent="0.25">
      <c r="B11" t="s">
        <v>536</v>
      </c>
      <c r="C11" t="s">
        <v>20</v>
      </c>
      <c r="D11" t="s">
        <v>537</v>
      </c>
      <c r="E11" t="s">
        <v>538</v>
      </c>
    </row>
    <row r="12" spans="2:18" ht="60" x14ac:dyDescent="0.25">
      <c r="J12" s="93"/>
      <c r="K12" s="92"/>
      <c r="L12" s="92"/>
      <c r="M12" s="92"/>
      <c r="N12" s="92"/>
      <c r="O12" s="92"/>
      <c r="P12" s="92"/>
      <c r="Q12" s="92"/>
      <c r="R12" s="94" t="s">
        <v>551</v>
      </c>
    </row>
    <row r="13" spans="2:18" x14ac:dyDescent="0.25">
      <c r="J13" s="92"/>
      <c r="K13" s="92"/>
      <c r="L13" s="92"/>
      <c r="M13" s="92"/>
      <c r="N13" s="92"/>
      <c r="O13" s="92"/>
      <c r="P13" s="92"/>
      <c r="Q13" s="92"/>
      <c r="R13" s="92"/>
    </row>
    <row r="14" spans="2:18" x14ac:dyDescent="0.25">
      <c r="J14" s="92" t="s">
        <v>516</v>
      </c>
      <c r="K14" s="95" t="s">
        <v>3</v>
      </c>
      <c r="L14" s="95" t="s">
        <v>524</v>
      </c>
      <c r="M14" s="95" t="s">
        <v>526</v>
      </c>
      <c r="N14" s="95" t="s">
        <v>4</v>
      </c>
      <c r="O14" s="95" t="s">
        <v>530</v>
      </c>
      <c r="P14" s="95" t="s">
        <v>532</v>
      </c>
      <c r="Q14" s="95" t="s">
        <v>5</v>
      </c>
      <c r="R14" s="95" t="s">
        <v>536</v>
      </c>
    </row>
    <row r="15" spans="2:18" x14ac:dyDescent="0.25">
      <c r="J15" s="92" t="s">
        <v>519</v>
      </c>
      <c r="K15" s="95" t="s">
        <v>30</v>
      </c>
      <c r="L15" s="95" t="s">
        <v>20</v>
      </c>
      <c r="M15" s="95" t="s">
        <v>20</v>
      </c>
      <c r="N15" s="95" t="s">
        <v>30</v>
      </c>
      <c r="O15" s="95" t="s">
        <v>20</v>
      </c>
      <c r="P15" s="95" t="s">
        <v>20</v>
      </c>
      <c r="Q15" s="95" t="s">
        <v>30</v>
      </c>
      <c r="R15" s="95" t="s">
        <v>30</v>
      </c>
    </row>
    <row r="16" spans="2:18" x14ac:dyDescent="0.25">
      <c r="J16" s="92" t="s">
        <v>549</v>
      </c>
      <c r="K16" s="95" t="s">
        <v>548</v>
      </c>
      <c r="L16" s="95"/>
      <c r="M16" s="95"/>
      <c r="N16" s="95" t="s">
        <v>550</v>
      </c>
      <c r="O16" s="95"/>
      <c r="P16" s="95"/>
      <c r="Q16" s="95" t="s">
        <v>550</v>
      </c>
      <c r="R16" s="95" t="s">
        <v>550</v>
      </c>
    </row>
    <row r="17" spans="10:18" ht="60" x14ac:dyDescent="0.25">
      <c r="J17" s="92" t="s">
        <v>521</v>
      </c>
      <c r="K17" s="62" t="s">
        <v>523</v>
      </c>
      <c r="L17" s="62" t="s">
        <v>525</v>
      </c>
      <c r="M17" s="62" t="s">
        <v>527</v>
      </c>
      <c r="N17" s="62" t="s">
        <v>529</v>
      </c>
      <c r="O17" s="62" t="s">
        <v>531</v>
      </c>
      <c r="P17" s="62" t="s">
        <v>533</v>
      </c>
      <c r="Q17" s="62" t="s">
        <v>535</v>
      </c>
      <c r="R17" s="62" t="s">
        <v>538</v>
      </c>
    </row>
    <row r="19" spans="10:18" x14ac:dyDescent="0.25">
      <c r="K19">
        <f>990/52/5</f>
        <v>3.8076923076923079</v>
      </c>
    </row>
    <row r="35" spans="10:10" x14ac:dyDescent="0.25">
      <c r="J35" s="98" t="s">
        <v>565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Rewards Clubs</vt:lpstr>
      <vt:lpstr>Full List</vt:lpstr>
      <vt:lpstr>LMCT+</vt:lpstr>
      <vt:lpstr>TP Stats</vt:lpstr>
      <vt:lpstr>Marketing Channels</vt:lpstr>
      <vt:lpstr>Kogan</vt:lpstr>
      <vt:lpstr>Impact on SA</vt:lpstr>
      <vt:lpstr>Regulation</vt:lpstr>
      <vt:lpstr>Permits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2024-10-23T05:40:37Z</cp:lastPrinted>
  <dcterms:created xsi:type="dcterms:W3CDTF">2024-08-09T05:08:15Z</dcterms:created>
  <dcterms:modified xsi:type="dcterms:W3CDTF">2026-01-24T06:47:35Z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62aa29-677a-4cd5-98db-9c70c8e77e69_ActionId">
    <vt:lpwstr>cc14c5fe-7269-4a7e-9df9-dadf8b069cec</vt:lpwstr>
  </property>
  <property fmtid="{D5CDD505-2E9C-101B-9397-08002B2CF9AE}" pid="3" name="MSIP_Label_8e62aa29-677a-4cd5-98db-9c70c8e77e69_Name">
    <vt:lpwstr>Restricted \ Restricted - PII</vt:lpwstr>
  </property>
  <property fmtid="{D5CDD505-2E9C-101B-9397-08002B2CF9AE}" pid="4" name="MSIP_Label_8e62aa29-677a-4cd5-98db-9c70c8e77e69_SetDate">
    <vt:lpwstr>2024-08-29T02:04:35Z</vt:lpwstr>
  </property>
  <property fmtid="{D5CDD505-2E9C-101B-9397-08002B2CF9AE}" pid="5" name="MSIP_Label_8e62aa29-677a-4cd5-98db-9c70c8e77e69_SiteId">
    <vt:lpwstr>6d13d3d5-8b13-4ab4-a345-350f909f5f65</vt:lpwstr>
  </property>
  <property fmtid="{D5CDD505-2E9C-101B-9397-08002B2CF9AE}" pid="6" name="MSIP_Label_8e62aa29-677a-4cd5-98db-9c70c8e77e69_Enabled">
    <vt:lpwstr>True</vt:lpwstr>
  </property>
  <property fmtid="{D5CDD505-2E9C-101B-9397-08002B2CF9AE}" pid="7" name="MSIP_Label_8e62aa29-677a-4cd5-98db-9c70c8e77e69_Removed">
    <vt:lpwstr>False</vt:lpwstr>
  </property>
  <property fmtid="{D5CDD505-2E9C-101B-9397-08002B2CF9AE}" pid="8" name="MSIP_Label_8e62aa29-677a-4cd5-98db-9c70c8e77e69_Parent">
    <vt:lpwstr>9e99df88-3e81-4d57-aac4-2adf091a49aa</vt:lpwstr>
  </property>
  <property fmtid="{D5CDD505-2E9C-101B-9397-08002B2CF9AE}" pid="9" name="MSIP_Label_8e62aa29-677a-4cd5-98db-9c70c8e77e69_Extended_MSFT_Method">
    <vt:lpwstr>Standard</vt:lpwstr>
  </property>
  <property fmtid="{D5CDD505-2E9C-101B-9397-08002B2CF9AE}" pid="10" name="MSIP_Label_9e99df88-3e81-4d57-aac4-2adf091a49aa_Enabled">
    <vt:lpwstr>True</vt:lpwstr>
  </property>
  <property fmtid="{D5CDD505-2E9C-101B-9397-08002B2CF9AE}" pid="11" name="MSIP_Label_9e99df88-3e81-4d57-aac4-2adf091a49aa_SiteId">
    <vt:lpwstr>6d13d3d5-8b13-4ab4-a345-350f909f5f65</vt:lpwstr>
  </property>
  <property fmtid="{D5CDD505-2E9C-101B-9397-08002B2CF9AE}" pid="12" name="MSIP_Label_9e99df88-3e81-4d57-aac4-2adf091a49aa_SetDate">
    <vt:lpwstr>2024-08-29T02:04:35Z</vt:lpwstr>
  </property>
  <property fmtid="{D5CDD505-2E9C-101B-9397-08002B2CF9AE}" pid="13" name="MSIP_Label_9e99df88-3e81-4d57-aac4-2adf091a49aa_Name">
    <vt:lpwstr>Restricted</vt:lpwstr>
  </property>
  <property fmtid="{D5CDD505-2E9C-101B-9397-08002B2CF9AE}" pid="14" name="MSIP_Label_9e99df88-3e81-4d57-aac4-2adf091a49aa_ActionId">
    <vt:lpwstr>ac602c0f-bae6-4600-b123-552938f295d8</vt:lpwstr>
  </property>
  <property fmtid="{D5CDD505-2E9C-101B-9397-08002B2CF9AE}" pid="15" name="MSIP_Label_9e99df88-3e81-4d57-aac4-2adf091a49aa_Extended_MSFT_Method">
    <vt:lpwstr>Standard</vt:lpwstr>
  </property>
  <property fmtid="{D5CDD505-2E9C-101B-9397-08002B2CF9AE}" pid="16" name="Sensitivity">
    <vt:lpwstr>Restricted \ Restricted - PII Restricted</vt:lpwstr>
  </property>
  <property fmtid="{D5CDD505-2E9C-101B-9397-08002B2CF9AE}" pid="17" name="Id">
    <vt:lpwstr>49290acb-f642-4f25-81ae-5dc5a9872fb3</vt:lpwstr>
  </property>
</Properties>
</file>