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1. Monte Carlo Simulation\"/>
    </mc:Choice>
  </mc:AlternateContent>
  <xr:revisionPtr revIDLastSave="0" documentId="13_ncr:1_{0ED1F631-645D-4768-BF10-8A4E77090360}" xr6:coauthVersionLast="47" xr6:coauthVersionMax="47" xr10:uidLastSave="{00000000-0000-0000-0000-000000000000}"/>
  <bookViews>
    <workbookView xWindow="-120" yWindow="-120" windowWidth="29040" windowHeight="15720" xr2:uid="{F8EB2546-27C9-4FEC-A954-976B206B6815}"/>
  </bookViews>
  <sheets>
    <sheet name="Backtesting PBL" sheetId="1" r:id="rId1"/>
    <sheet name="Backtesting OZL" sheetId="2" r:id="rId2"/>
  </sheets>
  <definedNames>
    <definedName name="__1__123Graph_ACHART_1" hidden="1">#REF!</definedName>
    <definedName name="__10__123Graph_CCHART_1" hidden="1">#REF!</definedName>
    <definedName name="__11__123Graph_DCHART_5" hidden="1">#REF!</definedName>
    <definedName name="__12__123Graph_XCHART_1" hidden="1">#REF!</definedName>
    <definedName name="__123Graph_A" hidden="1">#REF!</definedName>
    <definedName name="__123Graph_AAL" hidden="1">#REF!</definedName>
    <definedName name="__123Graph_ACU" hidden="1">#REF!</definedName>
    <definedName name="__123Graph_AGRAPH1" hidden="1">#REF!</definedName>
    <definedName name="__123Graph_ALME" hidden="1">#REF!</definedName>
    <definedName name="__123Graph_APB" hidden="1">#REF!</definedName>
    <definedName name="__123Graph_AZN" hidden="1">#REF!</definedName>
    <definedName name="__123Graph_B" hidden="1">#REF!</definedName>
    <definedName name="__123Graph_BGRAPH1" hidden="1">#REF!</definedName>
    <definedName name="__123Graph_CGRAPH1" hidden="1">#REF!</definedName>
    <definedName name="__123Graph_E" hidden="1">#REF!</definedName>
    <definedName name="__123Graph_F" hidden="1">#REF!</definedName>
    <definedName name="__123Graph_XAL" hidden="1">#REF!</definedName>
    <definedName name="__123Graph_XCU" hidden="1">#REF!</definedName>
    <definedName name="__123Graph_XGRAPH1" hidden="1">#REF!</definedName>
    <definedName name="__123Graph_XLME" hidden="1">#REF!</definedName>
    <definedName name="__123Graph_XPB" hidden="1">#REF!</definedName>
    <definedName name="__123Graph_XZN" hidden="1">#REF!</definedName>
    <definedName name="__13__123Graph_XCHART_2" hidden="1">#REF!</definedName>
    <definedName name="__14__123Graph_XCHART_3" hidden="1">#REF!</definedName>
    <definedName name="__15__123Graph_XCHART_4" hidden="1">#REF!</definedName>
    <definedName name="__16__123Graph_XCHART_5" hidden="1">#REF!</definedName>
    <definedName name="__2__123Graph_ACHART_2" hidden="1">#REF!</definedName>
    <definedName name="__3__123Graph_ACHART_3" hidden="1">#REF!</definedName>
    <definedName name="__4__123Graph_ACHART_4" hidden="1">#REF!</definedName>
    <definedName name="__5__123Graph_ACHART_5" hidden="1">#REF!</definedName>
    <definedName name="__6__123Graph_BCHART_1" hidden="1">#REF!</definedName>
    <definedName name="__7__123Graph_BCHART_2" hidden="1">#REF!</definedName>
    <definedName name="__8__123Graph_BCHART_3" hidden="1">#REF!</definedName>
    <definedName name="__9__123Graph_BCHART_4" hidden="1">#REF!</definedName>
    <definedName name="__APW_RESTORE_DATA0__" hidden="1">#REF!,#REF!,#REF!,#REF!,#REF!,#REF!,#REF!</definedName>
    <definedName name="__APW_RESTORE_DATA1__" hidden="1">#REF!,#REF!,#REF!,#REF!,#REF!,#REF!,#REF!</definedName>
    <definedName name="__APW_RESTORE_DATA103__" hidden="1">#REF!,#REF!,#REF!,#REF!,#REF!,#REF!,#REF!,#REF!,#REF!,#REF!,#REF!,#REF!,#REF!,#REF!,#REF!,#REF!</definedName>
    <definedName name="__APW_RESTORE_DATA104__" hidden="1">#REF!,#REF!,#REF!,#REF!,#REF!,#REF!,#REF!,#REF!,#REF!,#REF!,#REF!,#REF!,#REF!,#REF!,#REF!,#REF!</definedName>
    <definedName name="__APW_RESTORE_DATA105__" hidden="1">#REF!,#REF!,#REF!,#REF!,#REF!,#REF!,#REF!,#REF!,#REF!,#REF!,#REF!,#REF!,#REF!,#REF!,#REF!,#REF!</definedName>
    <definedName name="__APW_RESTORE_DATA106__" hidden="1">#REF!,#REF!,#REF!,#REF!,#REF!,#REF!,#REF!,#REF!,#REF!,#REF!,#REF!,#REF!,#REF!,#REF!,#REF!,#REF!</definedName>
    <definedName name="__APW_RESTORE_DATA107__" hidden="1">#REF!,#REF!,#REF!,#REF!,#REF!,#REF!</definedName>
    <definedName name="__APW_RESTORE_DATA108__" hidden="1">#REF!,#REF!,#REF!,#REF!,#REF!,#REF!,#REF!,#REF!,#REF!,#REF!,#REF!,#REF!,#REF!,#REF!,#REF!,#REF!</definedName>
    <definedName name="__APW_RESTORE_DATA109__" hidden="1">#REF!,#REF!,#REF!,#REF!,#REF!,#REF!,#REF!,#REF!,#REF!,#REF!,#REF!,#REF!,#REF!,#REF!,#REF!,#REF!</definedName>
    <definedName name="__APW_RESTORE_DATA110__" hidden="1">#REF!,#REF!,#REF!,#REF!,#REF!,#REF!,#REF!,#REF!,#REF!,#REF!,#REF!,#REF!,#REF!,#REF!,#REF!,#REF!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2__" hidden="1">#REF!,#REF!,#REF!,#REF!,#REF!,#REF!</definedName>
    <definedName name="__APW_RESTORE_DATA113__" hidden="1">#REF!,#REF!,#REF!,#REF!,#REF!,#REF!,#REF!,#REF!,#REF!,#REF!,#REF!,#REF!,#REF!,#REF!,#REF!</definedName>
    <definedName name="__APW_RESTORE_DATA114__" hidden="1">#REF!,#REF!,#REF!,#REF!,#REF!,#REF!,#REF!,#REF!,#REF!,#REF!,#REF!,#REF!,#REF!,#REF!,#REF!</definedName>
    <definedName name="__APW_RESTORE_DATA115__" hidden="1">#REF!,#REF!,#REF!,#REF!,#REF!,#REF!,#REF!,#REF!,#REF!,#REF!,#REF!,#REF!,#REF!,#REF!,#REF!</definedName>
    <definedName name="__APW_RESTORE_DATA116__" hidden="1">#REF!,#REF!,#REF!,#REF!,#REF!,#REF!,#REF!,#REF!,#REF!,#REF!,#REF!,#REF!,#REF!,#REF!,#REF!</definedName>
    <definedName name="__APW_RESTORE_DATA117__" hidden="1">#REF!,#REF!,#REF!,#REF!,#REF!,#REF!,#REF!,#REF!,#REF!,#REF!</definedName>
    <definedName name="__APW_RESTORE_DATA17__" hidden="1">#REF!,#REF!,#REF!,#REF!,#REF!,#REF!,#REF!,#REF!,#REF!,#REF!,#REF!,#REF!,#REF!,#REF!,#REF!,#REF!</definedName>
    <definedName name="__APW_RESTORE_DATA18__" hidden="1">#REF!,#REF!,#REF!,#REF!,#REF!,#REF!,#REF!,#REF!,#REF!,#REF!,#REF!,#REF!,#REF!,#REF!,#REF!,#REF!</definedName>
    <definedName name="__APW_RESTORE_DATA19__" hidden="1">#REF!,#REF!,#REF!,#REF!,#REF!,#REF!,#REF!,#REF!,#REF!,#REF!,#REF!,#REF!,#REF!,#REF!,#REF!,#REF!</definedName>
    <definedName name="__APW_RESTORE_DATA191__" hidden="1">#REF!,#REF!,#REF!,#REF!,#REF!,#REF!,#REF!,#REF!,#REF!,#REF!,#REF!,#REF!,#REF!,#REF!,#REF!,#REF!</definedName>
    <definedName name="__APW_RESTORE_DATA192__" hidden="1">#REF!,#REF!,#REF!,#REF!,#REF!,#REF!,#REF!,#REF!,#REF!,#REF!,#REF!,#REF!,#REF!,#REF!,#REF!,#REF!</definedName>
    <definedName name="__APW_RESTORE_DATA193__" hidden="1">#REF!,#REF!,#REF!,#REF!,#REF!,#REF!,#REF!,#REF!,#REF!,#REF!,#REF!,#REF!,#REF!,#REF!,#REF!,#REF!</definedName>
    <definedName name="__APW_RESTORE_DATA194__" hidden="1">#REF!,#REF!,#REF!,#REF!,#REF!,#REF!,#REF!,#REF!,#REF!,#REF!,#REF!,#REF!,#REF!,#REF!,#REF!,#REF!</definedName>
    <definedName name="__APW_RESTORE_DATA195__" hidden="1">#REF!,#REF!,#REF!,#REF!,#REF!,#REF!,#REF!,#REF!,#REF!,#REF!,#REF!,#REF!,#REF!,#REF!,#REF!,#REF!</definedName>
    <definedName name="__APW_RESTORE_DATA196__" hidden="1">#REF!,#REF!,#REF!,#REF!,#REF!,#REF!,#REF!,#REF!,#REF!,#REF!,#REF!,#REF!,#REF!,#REF!,#REF!,#REF!</definedName>
    <definedName name="__APW_RESTORE_DATA197__" hidden="1">#REF!,#REF!,#REF!,#REF!,#REF!,#REF!,#REF!,#REF!,#REF!,#REF!,#REF!,#REF!,#REF!,#REF!,#REF!,#REF!</definedName>
    <definedName name="__APW_RESTORE_DATA198__" hidden="1">#REF!,#REF!,#REF!,#REF!,#REF!,#REF!,#REF!,#REF!,#REF!,#REF!,#REF!,#REF!,#REF!,#REF!,#REF!,#REF!</definedName>
    <definedName name="__APW_RESTORE_DATA199__" hidden="1">#REF!,#REF!,#REF!,#REF!,#REF!,#REF!,#REF!,#REF!,#REF!,#REF!,#REF!,#REF!,#REF!,#REF!,#REF!,#REF!</definedName>
    <definedName name="__APW_RESTORE_DATA2__" hidden="1">#REF!,#REF!,#REF!,#REF!,#REF!,#REF!,#REF!,#REF!,#REF!,#REF!,#REF!,#REF!,#REF!,#REF!,#REF!,#REF!,#REF!</definedName>
    <definedName name="__APW_RESTORE_DATA20__" hidden="1">#REF!,#REF!,#REF!,#REF!,#REF!,#REF!,#REF!,#REF!,#REF!,#REF!,#REF!,#REF!,#REF!,#REF!,#REF!,#REF!</definedName>
    <definedName name="__APW_RESTORE_DATA200__" hidden="1">#REF!,#REF!,#REF!,#REF!,#REF!,#REF!,#REF!,#REF!,#REF!,#REF!,#REF!,#REF!,#REF!,#REF!,#REF!,#REF!</definedName>
    <definedName name="__APW_RESTORE_DATA201__" hidden="1">#REF!,#REF!,#REF!,#REF!,#REF!,#REF!,#REF!,#REF!,#REF!,#REF!,#REF!,#REF!,#REF!,#REF!,#REF!,#REF!</definedName>
    <definedName name="__APW_RESTORE_DATA202__" hidden="1">#REF!,#REF!,#REF!,#REF!,#REF!,#REF!,#REF!,#REF!,#REF!,#REF!,#REF!,#REF!,#REF!,#REF!,#REF!,#REF!</definedName>
    <definedName name="__APW_RESTORE_DATA203__" hidden="1">#REF!,#REF!,#REF!,#REF!,#REF!,#REF!,#REF!,#REF!,#REF!,#REF!,#REF!,#REF!,#REF!,#REF!,#REF!,#REF!</definedName>
    <definedName name="__APW_RESTORE_DATA204__" hidden="1">#REF!,#REF!,#REF!,#REF!,#REF!,#REF!,#REF!,#REF!,#REF!,#REF!,#REF!,#REF!</definedName>
    <definedName name="__APW_RESTORE_DATA205__" hidden="1">#REF!,#REF!,#REF!,#REF!,#REF!,#REF!,#REF!,#REF!,#REF!,#REF!,#REF!,#REF!,#REF!,#REF!,#REF!,#REF!</definedName>
    <definedName name="__APW_RESTORE_DATA206__" hidden="1">#REF!,#REF!,#REF!,#REF!,#REF!,#REF!,#REF!,#REF!,#REF!,#REF!,#REF!,#REF!,#REF!,#REF!,#REF!,#REF!</definedName>
    <definedName name="__APW_RESTORE_DATA207__" hidden="1">#REF!,#REF!,#REF!,#REF!,#REF!,#REF!,#REF!,#REF!,#REF!,#REF!,#REF!,#REF!,#REF!,#REF!,#REF!,#REF!</definedName>
    <definedName name="__APW_RESTORE_DATA208__" hidden="1">#REF!,#REF!,#REF!,#REF!,#REF!,#REF!,#REF!,#REF!,#REF!,#REF!,#REF!,#REF!,#REF!,#REF!,#REF!,#REF!</definedName>
    <definedName name="__APW_RESTORE_DATA209__" hidden="1">#REF!,#REF!,#REF!,#REF!,#REF!,#REF!,#REF!,#REF!,#REF!,#REF!,#REF!,#REF!,#REF!,#REF!,#REF!,#REF!</definedName>
    <definedName name="__APW_RESTORE_DATA21__" hidden="1">#REF!,#REF!,#REF!,#REF!,#REF!,#REF!</definedName>
    <definedName name="__APW_RESTORE_DATA210__" hidden="1">#REF!,#REF!,#REF!,#REF!,#REF!,#REF!,#REF!,#REF!,#REF!,#REF!,#REF!,#REF!</definedName>
    <definedName name="__APW_RESTORE_DATA22__" hidden="1">#REF!,#REF!,#REF!,#REF!,#REF!,#REF!,#REF!,#REF!,#REF!,#REF!,#REF!,#REF!,#REF!,#REF!,#REF!,#REF!</definedName>
    <definedName name="__APW_RESTORE_DATA23__" hidden="1">#REF!,#REF!,#REF!,#REF!,#REF!,#REF!,#REF!,#REF!,#REF!,#REF!,#REF!,#REF!,#REF!,#REF!,#REF!,#REF!</definedName>
    <definedName name="__APW_RESTORE_DATA24__" hidden="1">#REF!,#REF!,#REF!,#REF!,#REF!,#REF!,#REF!,#REF!,#REF!,#REF!,#REF!,#REF!,#REF!,#REF!,#REF!,#REF!</definedName>
    <definedName name="__APW_RESTORE_DATA25__" hidden="1">#REF!,#REF!,#REF!,#REF!,#REF!,#REF!,#REF!,#REF!,#REF!,#REF!,#REF!,#REF!,#REF!,#REF!,#REF!,#REF!</definedName>
    <definedName name="__APW_RESTORE_DATA26__" hidden="1">#REF!,#REF!,#REF!,#REF!,#REF!,#REF!</definedName>
    <definedName name="__APW_RESTORE_DATA27__" hidden="1">#REF!,#REF!,#REF!,#REF!,#REF!,#REF!,#REF!,#REF!,#REF!,#REF!,#REF!,#REF!,#REF!,#REF!,#REF!,#REF!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9__" hidden="1">#REF!,#REF!,#REF!,#REF!,#REF!,#REF!,#REF!,#REF!,#REF!,#REF!,#REF!,#REF!,#REF!,#REF!,#REF!,#REF!</definedName>
    <definedName name="__APW_RESTORE_DATA3__" hidden="1">#REF!,#REF!,#REF!,#REF!,#REF!,#REF!,#REF!,#REF!,#REF!,#REF!,#REF!,#REF!,#REF!,#REF!,#REF!,#REF!,#REF!</definedName>
    <definedName name="__APW_RESTORE_DATA30__" hidden="1">#REF!,#REF!,#REF!,#REF!,#REF!,#REF!,#REF!,#REF!,#REF!,#REF!,#REF!,#REF!,#REF!,#REF!,#REF!,#REF!</definedName>
    <definedName name="__APW_RESTORE_DATA31__" hidden="1">#REF!,#REF!,#REF!,#REF!,#REF!,#REF!</definedName>
    <definedName name="__APW_RESTORE_DATA32__" hidden="1">#REF!,#REF!,#REF!,#REF!,#REF!,#REF!,#REF!,#REF!,#REF!,#REF!,#REF!,#REF!,#REF!,#REF!,#REF!,#REF!</definedName>
    <definedName name="__APW_RESTORE_DATA33__" hidden="1">#REF!,#REF!,#REF!,#REF!,#REF!,#REF!,#REF!,#REF!,#REF!,#REF!,#REF!,#REF!,#REF!,#REF!,#REF!,#REF!</definedName>
    <definedName name="__APW_RESTORE_DATA34__" hidden="1">#REF!,#REF!,#REF!,#REF!,#REF!,#REF!,#REF!,#REF!,#REF!,#REF!,#REF!,#REF!,#REF!,#REF!,#REF!,#REF!</definedName>
    <definedName name="__APW_RESTORE_DATA35__" hidden="1">#REF!,#REF!,#REF!,#REF!,#REF!,#REF!,#REF!,#REF!,#REF!,#REF!,#REF!,#REF!,#REF!,#REF!,#REF!,#REF!</definedName>
    <definedName name="__APW_RESTORE_DATA36__" hidden="1">#REF!,#REF!,#REF!,#REF!,#REF!,#REF!</definedName>
    <definedName name="__APW_RESTORE_DATA37__" hidden="1">#REF!,#REF!,#REF!,#REF!,#REF!,#REF!,#REF!,#REF!,#REF!,#REF!,#REF!,#REF!,#REF!,#REF!,#REF!</definedName>
    <definedName name="__APW_RESTORE_DATA38__" hidden="1">#REF!,#REF!,#REF!,#REF!,#REF!,#REF!,#REF!,#REF!,#REF!,#REF!,#REF!,#REF!,#REF!,#REF!,#REF!</definedName>
    <definedName name="__APW_RESTORE_DATA39__" hidden="1">#REF!,#REF!,#REF!,#REF!,#REF!,#REF!,#REF!,#REF!,#REF!,#REF!,#REF!,#REF!,#REF!,#REF!,#REF!</definedName>
    <definedName name="__APW_RESTORE_DATA4__" hidden="1">#REF!,#REF!,#REF!,#REF!,#REF!,#REF!,#REF!,#REF!,#REF!,#REF!,#REF!,#REF!,#REF!,#REF!,#REF!,#REF!,#REF!</definedName>
    <definedName name="__APW_RESTORE_DATA40__" hidden="1">#REF!,#REF!,#REF!,#REF!,#REF!,#REF!,#REF!,#REF!,#REF!,#REF!,#REF!,#REF!,#REF!,#REF!,#REF!</definedName>
    <definedName name="__APW_RESTORE_DATA41__" hidden="1">#REF!,#REF!,#REF!,#REF!,#REF!,#REF!,#REF!,#REF!,#REF!,#REF!</definedName>
    <definedName name="__APW_RESTORE_DATA42__" hidden="1">#REF!,#REF!,#REF!,#REF!,#REF!,#REF!,#REF!,#REF!,#REF!,#REF!,#REF!,#REF!,#REF!,#REF!,#REF!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4__" hidden="1">#REF!,#REF!,#REF!,#REF!,#REF!,#REF!,#REF!,#REF!,#REF!,#REF!,#REF!,#REF!,#REF!,#REF!,#REF!</definedName>
    <definedName name="__APW_RESTORE_DATA45__" hidden="1">#REF!,#REF!,#REF!,#REF!,#REF!,#REF!,#REF!,#REF!,#REF!,#REF!,#REF!,#REF!,#REF!,#REF!,#REF!</definedName>
    <definedName name="__APW_RESTORE_DATA46__" hidden="1">#REF!,#REF!,#REF!,#REF!,#REF!,#REF!,#REF!,#REF!,#REF!,#REF!</definedName>
    <definedName name="__APW_RESTORE_DATA47__" hidden="1">#REF!,#REF!,#REF!,#REF!,#REF!,#REF!,#REF!,#REF!,#REF!,#REF!,#REF!,#REF!,#REF!,#REF!,#REF!</definedName>
    <definedName name="__APW_RESTORE_DATA48__" hidden="1">#REF!,#REF!,#REF!,#REF!,#REF!,#REF!,#REF!,#REF!,#REF!,#REF!,#REF!,#REF!,#REF!,#REF!,#REF!</definedName>
    <definedName name="__APW_RESTORE_DATA482__" hidden="1">#REF!,#REF!,#REF!,#REF!,#REF!,#REF!,#REF!,#REF!,#REF!,#REF!,#REF!,#REF!,#REF!,#REF!,#REF!,#REF!</definedName>
    <definedName name="__APW_RESTORE_DATA483__" hidden="1">#REF!,#REF!,#REF!,#REF!,#REF!,#REF!,#REF!,#REF!,#REF!,#REF!,#REF!,#REF!,#REF!,#REF!,#REF!,#REF!</definedName>
    <definedName name="__APW_RESTORE_DATA484__" hidden="1">#REF!,#REF!,#REF!,#REF!,#REF!,#REF!,#REF!</definedName>
    <definedName name="__APW_RESTORE_DATA487__" hidden="1">#REF!,#REF!,#REF!,#REF!,#REF!,#REF!,#REF!,#REF!,#REF!,#REF!,#REF!,#REF!,#REF!,#REF!,#REF!,#REF!</definedName>
    <definedName name="__APW_RESTORE_DATA488__" hidden="1">#REF!,#REF!,#REF!,#REF!,#REF!,#REF!,#REF!,#REF!,#REF!,#REF!,#REF!,#REF!,#REF!,#REF!,#REF!,#REF!</definedName>
    <definedName name="__APW_RESTORE_DATA489__" hidden="1">#REF!,#REF!,#REF!,#REF!,#REF!,#REF!</definedName>
    <definedName name="__APW_RESTORE_DATA49__" hidden="1">#REF!,#REF!,#REF!,#REF!,#REF!,#REF!,#REF!,#REF!,#REF!,#REF!,#REF!,#REF!,#REF!,#REF!,#REF!</definedName>
    <definedName name="__APW_RESTORE_DATA492__" hidden="1">#REF!,#REF!,#REF!,#REF!,#REF!,#REF!,#REF!,#REF!,#REF!,#REF!,#REF!,#REF!,#REF!,#REF!,#REF!,#REF!</definedName>
    <definedName name="__APW_RESTORE_DATA493__" hidden="1">#REF!,#REF!,#REF!,#REF!,#REF!,#REF!,#REF!,#REF!,#REF!,#REF!,#REF!,#REF!,#REF!,#REF!,#REF!,#REF!</definedName>
    <definedName name="__APW_RESTORE_DATA494__" hidden="1">#REF!,#REF!,#REF!,#REF!,#REF!,#REF!</definedName>
    <definedName name="__APW_RESTORE_DATA497__" hidden="1">#REF!,#REF!,#REF!,#REF!,#REF!,#REF!,#REF!,#REF!,#REF!,#REF!,#REF!,#REF!,#REF!,#REF!,#REF!,#REF!</definedName>
    <definedName name="__APW_RESTORE_DATA498__" hidden="1">#REF!,#REF!,#REF!,#REF!,#REF!,#REF!,#REF!,#REF!,#REF!,#REF!,#REF!,#REF!,#REF!,#REF!,#REF!,#REF!</definedName>
    <definedName name="__APW_RESTORE_DATA499__" hidden="1">#REF!,#REF!,#REF!,#REF!,#REF!,#REF!,#REF!</definedName>
    <definedName name="__APW_RESTORE_DATA5__" hidden="1">#REF!,#REF!,#REF!,#REF!,#REF!,#REF!,#REF!,#REF!,#REF!,#REF!,#REF!,#REF!,#REF!,#REF!,#REF!,#REF!,#REF!</definedName>
    <definedName name="__APW_RESTORE_DATA50__" hidden="1">#REF!,#REF!,#REF!,#REF!,#REF!,#REF!,#REF!,#REF!,#REF!,#REF!,#REF!,#REF!,#REF!,#REF!,#REF!</definedName>
    <definedName name="__APW_RESTORE_DATA502__" hidden="1">#REF!,#REF!,#REF!,#REF!,#REF!,#REF!,#REF!,#REF!,#REF!,#REF!,#REF!,#REF!,#REF!,#REF!,#REF!,#REF!</definedName>
    <definedName name="__APW_RESTORE_DATA503__" hidden="1">#REF!,#REF!,#REF!,#REF!,#REF!,#REF!,#REF!,#REF!,#REF!,#REF!,#REF!,#REF!,#REF!,#REF!,#REF!,#REF!</definedName>
    <definedName name="__APW_RESTORE_DATA504__" hidden="1">#REF!,#REF!,#REF!,#REF!,#REF!,#REF!,#REF!</definedName>
    <definedName name="__APW_RESTORE_DATA507__" hidden="1">#REF!,#REF!,#REF!,#REF!,#REF!,#REF!,#REF!,#REF!,#REF!,#REF!,#REF!,#REF!,#REF!,#REF!,#REF!,#REF!</definedName>
    <definedName name="__APW_RESTORE_DATA508__" hidden="1">#REF!,#REF!,#REF!,#REF!,#REF!,#REF!,#REF!,#REF!,#REF!,#REF!,#REF!,#REF!,#REF!,#REF!,#REF!,#REF!</definedName>
    <definedName name="__APW_RESTORE_DATA509__" hidden="1">#REF!,#REF!,#REF!,#REF!,#REF!,#REF!,#REF!</definedName>
    <definedName name="__APW_RESTORE_DATA51__" hidden="1">#REF!,#REF!,#REF!,#REF!,#REF!,#REF!,#REF!,#REF!,#REF!,#REF!</definedName>
    <definedName name="__APW_RESTORE_DATA512__" hidden="1">#REF!,#REF!,#REF!,#REF!,#REF!,#REF!,#REF!,#REF!,#REF!,#REF!,#REF!,#REF!,#REF!,#REF!,#REF!,#REF!</definedName>
    <definedName name="__APW_RESTORE_DATA513__" hidden="1">#REF!,#REF!,#REF!,#REF!,#REF!,#REF!,#REF!,#REF!,#REF!,#REF!,#REF!,#REF!,#REF!,#REF!,#REF!,#REF!</definedName>
    <definedName name="__APW_RESTORE_DATA514__" hidden="1">#REF!,#REF!,#REF!,#REF!,#REF!,#REF!,#REF!</definedName>
    <definedName name="__APW_RESTORE_DATA517__" hidden="1">#REF!,#REF!,#REF!,#REF!,#REF!,#REF!,#REF!,#REF!,#REF!,#REF!,#REF!,#REF!,#REF!,#REF!,#REF!,#REF!</definedName>
    <definedName name="__APW_RESTORE_DATA518__" hidden="1">#REF!,#REF!,#REF!,#REF!,#REF!,#REF!,#REF!,#REF!,#REF!,#REF!,#REF!,#REF!,#REF!,#REF!,#REF!,#REF!</definedName>
    <definedName name="__APW_RESTORE_DATA519__" hidden="1">#REF!,#REF!,#REF!,#REF!,#REF!,#REF!,#REF!</definedName>
    <definedName name="__APW_RESTORE_DATA522__" hidden="1">#REF!,#REF!,#REF!,#REF!,#REF!,#REF!,#REF!,#REF!,#REF!,#REF!,#REF!,#REF!,#REF!,#REF!,#REF!,#REF!</definedName>
    <definedName name="__APW_RESTORE_DATA523__" hidden="1">#REF!,#REF!,#REF!,#REF!,#REF!,#REF!,#REF!,#REF!,#REF!,#REF!,#REF!,#REF!,#REF!,#REF!,#REF!,#REF!</definedName>
    <definedName name="__APW_RESTORE_DATA524__" hidden="1">#REF!,#REF!,#REF!,#REF!,#REF!,#REF!,#REF!</definedName>
    <definedName name="__APW_RESTORE_DATA527__" hidden="1">#REF!,#REF!,#REF!,#REF!,#REF!,#REF!,#REF!,#REF!,#REF!,#REF!,#REF!,#REF!,#REF!,#REF!,#REF!,#REF!</definedName>
    <definedName name="__APW_RESTORE_DATA528__" hidden="1">#REF!,#REF!,#REF!,#REF!,#REF!,#REF!,#REF!,#REF!,#REF!,#REF!,#REF!,#REF!,#REF!,#REF!,#REF!,#REF!</definedName>
    <definedName name="__APW_RESTORE_DATA529__" hidden="1">#REF!,#REF!,#REF!,#REF!,#REF!,#REF!,#REF!</definedName>
    <definedName name="__APW_RESTORE_DATA532__" hidden="1">#REF!,#REF!,#REF!,#REF!,#REF!,#REF!,#REF!,#REF!,#REF!,#REF!,#REF!,#REF!,#REF!,#REF!,#REF!,#REF!</definedName>
    <definedName name="__APW_RESTORE_DATA533__" hidden="1">#REF!,#REF!,#REF!,#REF!,#REF!,#REF!,#REF!,#REF!,#REF!,#REF!,#REF!,#REF!,#REF!,#REF!,#REF!,#REF!</definedName>
    <definedName name="__APW_RESTORE_DATA534__" hidden="1">#REF!,#REF!,#REF!,#REF!,#REF!,#REF!,#REF!</definedName>
    <definedName name="__APW_RESTORE_DATA57__" hidden="1">#REF!,#REF!,#REF!,#REF!,#REF!,#REF!,#REF!,#REF!,#REF!,#REF!,#REF!,#REF!,#REF!,#REF!,#REF!,#REF!</definedName>
    <definedName name="__APW_RESTORE_DATA58__" hidden="1">#REF!,#REF!,#REF!,#REF!,#REF!,#REF!,#REF!,#REF!,#REF!,#REF!,#REF!,#REF!,#REF!,#REF!,#REF!,#REF!</definedName>
    <definedName name="__APW_RESTORE_DATA59__" hidden="1">#REF!,#REF!,#REF!,#REF!,#REF!,#REF!,#REF!,#REF!,#REF!,#REF!,#REF!,#REF!,#REF!,#REF!,#REF!,#REF!</definedName>
    <definedName name="__APW_RESTORE_DATA6__" hidden="1">#REF!,#REF!</definedName>
    <definedName name="__APW_RESTORE_DATA60__" hidden="1">#REF!,#REF!,#REF!,#REF!,#REF!,#REF!,#REF!,#REF!,#REF!,#REF!,#REF!,#REF!,#REF!,#REF!,#REF!,#REF!</definedName>
    <definedName name="__APW_RESTORE_DATA61__" hidden="1">#REF!,#REF!,#REF!,#REF!,#REF!,#REF!</definedName>
    <definedName name="__FDS_HYPERLINK_TOGGLE_STATE__" hidden="1">"ON"</definedName>
    <definedName name="__FDS_UNIQUE_RANGE_ID_GENERATOR_COUNTER" hidden="1">1</definedName>
    <definedName name="_1__123Graph_ACHART_1" hidden="1">#REF!</definedName>
    <definedName name="_10__123Graph_CCHART_1" hidden="1">#REF!</definedName>
    <definedName name="_11__123Graph_DCHART_5" hidden="1">#REF!</definedName>
    <definedName name="_12__123Graph_BCHART_21A" hidden="1">#REF!</definedName>
    <definedName name="_12__123Graph_BCHART_8A" hidden="1">#REF!</definedName>
    <definedName name="_12__123Graph_XCHART_1" hidden="1">#REF!</definedName>
    <definedName name="_13__123Graph_XCHART_2" hidden="1">#REF!</definedName>
    <definedName name="_14__123Graph_XCHART_3" hidden="1">#REF!</definedName>
    <definedName name="_15__123Graph_BCHART_8A" hidden="1">#REF!</definedName>
    <definedName name="_15__123Graph_CCHART_21A" hidden="1">#REF!</definedName>
    <definedName name="_15__123Graph_XCHART_4" hidden="1">#REF!</definedName>
    <definedName name="_16__123Graph_XCHART_5" hidden="1">#REF!</definedName>
    <definedName name="_18__123Graph_CCHART_21A" hidden="1">#REF!</definedName>
    <definedName name="_18__123Graph_CCHART_8A" hidden="1">#REF!</definedName>
    <definedName name="_2__123Graph_ACHART_2" hidden="1">#REF!</definedName>
    <definedName name="_21__123Graph_CCHART_8A" hidden="1">#REF!</definedName>
    <definedName name="_21__123Graph_DCHART_21A" hidden="1">#REF!</definedName>
    <definedName name="_24__123Graph_DCHART_21A" hidden="1">#REF!</definedName>
    <definedName name="_24__123Graph_DCHART_8A" hidden="1">#REF!</definedName>
    <definedName name="_27__123Graph_DCHART_8A" hidden="1">#REF!</definedName>
    <definedName name="_27__123Graph_ECHART_21A" hidden="1">#REF!</definedName>
    <definedName name="_3__123Graph_ACHART_21A" hidden="1">#REF!</definedName>
    <definedName name="_3__123Graph_ACHART_3" hidden="1">#REF!</definedName>
    <definedName name="_30__123Graph_ECHART_21A" hidden="1">#REF!</definedName>
    <definedName name="_30__123Graph_ECHART_8A" hidden="1">#REF!</definedName>
    <definedName name="_33__123Graph_ECHART_8A" hidden="1">#REF!</definedName>
    <definedName name="_33__123Graph_FCHART_21A" hidden="1">#REF!</definedName>
    <definedName name="_36__123Graph_FCHART_21A" hidden="1">#REF!</definedName>
    <definedName name="_36__123Graph_XCHART_21A" hidden="1">#REF!</definedName>
    <definedName name="_39__123Graph_XCHART_21A" hidden="1">#REF!</definedName>
    <definedName name="_4__123Graph_ACHART_4" hidden="1">#REF!</definedName>
    <definedName name="_5__123Graph_ACHART_5" hidden="1">#REF!</definedName>
    <definedName name="_6__123Graph_ACHART_21A" hidden="1">#REF!</definedName>
    <definedName name="_6__123Graph_ACHART_8A" hidden="1">#REF!</definedName>
    <definedName name="_6__123Graph_BCHART_1" hidden="1">#REF!</definedName>
    <definedName name="_7__123Graph_BCHART_2" hidden="1">#REF!</definedName>
    <definedName name="_8__123Graph_BCHART_3" hidden="1">#REF!</definedName>
    <definedName name="_9__123Graph_ACHART_8A" hidden="1">#REF!</definedName>
    <definedName name="_9__123Graph_BCHART_21A" hidden="1">#REF!</definedName>
    <definedName name="_9__123Graph_BCHART_4" hidden="1">#REF!</definedName>
    <definedName name="_AMO_UniqueIdentifier" hidden="1">"'2995e12c-7f92-4103-a2d1-a1d598d57c6f'"</definedName>
    <definedName name="_bdm.050D39CD650D4F2095D8D24650D7326B.edm" hidden="1">#REF!</definedName>
    <definedName name="_bdm.2A10043F760B4BDFB6F9D8DB5014AD69.edm" hidden="1">#REF!</definedName>
    <definedName name="_bdm.30AE078D04674B0581A83DC0BB71CAE9.edm" hidden="1">#REF!</definedName>
    <definedName name="_bdm.400015F9721047F2AE12F65177C08B38.edm" hidden="1">#REF!</definedName>
    <definedName name="_bdm.408316A99C924475A002B539D6B19081.edm" hidden="1">#REF!</definedName>
    <definedName name="_bdm.607844024ECD4A758B546863D50AC585.edm" hidden="1">#REF!</definedName>
    <definedName name="_bdm.6C3132C4E18240B19A2542E06B6496E8.edm" hidden="1">#REF!</definedName>
    <definedName name="_bdm.9083CA28584C43EE98009F3577D43C4B.edm" hidden="1">#REF!</definedName>
    <definedName name="_bdm.A9747668DA694B539C05FB076C09D3D2.edm" hidden="1">#REF!</definedName>
    <definedName name="_bdm.AA02C9D3B8C541E8BBDF9C677034FBDA.edm" hidden="1">#REF!</definedName>
    <definedName name="_bdm.ACC583D0D3094FA89BCB4D4AEC1005C1.edm" hidden="1">#REF!</definedName>
    <definedName name="_bdm.AE6209C86C4741CFBFB6DD9A1DBF58D1.edm" hidden="1">#REF!</definedName>
    <definedName name="_bdm.CF80122F6E9B4FFC98957A0CF584493D.edm" hidden="1">#REF!</definedName>
    <definedName name="_bdm.E0A73A124C724002A7E42D1DD632219A.edm" hidden="1">#REF!</definedName>
    <definedName name="_ct2" hidden="1">{"Qtr Op Mgd Q3",#N/A,FALSE,"Qtr-Op (Mng)";"Qtr Op Rpt Q3",#N/A,FALSE,"Qtr-Op (Rpt)";"Operating Vs Reported",#N/A,FALSE,"Rpt-Op Inc"}</definedName>
    <definedName name="_GSRATES_1" hidden="1">"CF3000012000063019980601"</definedName>
    <definedName name="_GSRATES_2" hidden="1">"CF3000011997073119970701"</definedName>
    <definedName name="_GSRATES_3" hidden="1">"CF3000011998063019980601"</definedName>
    <definedName name="_GSRATES_4" hidden="1">"CF3000011998033119980301"</definedName>
    <definedName name="_GSRATES_COUNT" hidden="1">4</definedName>
    <definedName name="_Order1" hidden="1">0</definedName>
    <definedName name="_Order1_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Table2_In1" hidden="1">#REF!</definedName>
    <definedName name="_Table2_In2" hidden="1">#REF!</definedName>
    <definedName name="AAA_DOCTOPS" hidden="1">"AAA_SET"</definedName>
    <definedName name="AAA_duser" hidden="1">"OFF"</definedName>
    <definedName name="aaaa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aa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AAB_Addin5" hidden="1">"AAB_Description for addin 5,Description for addin 5,Description for addin 5,Description for addin 5,Description for addin 5,Description for addin 5"</definedName>
    <definedName name="ACwvu.bal_98." hidden="1">#REF!</definedName>
    <definedName name="ACwvu.Detail." hidden="1">#REF!</definedName>
    <definedName name="ACwvu.Forestry." hidden="1">#REF!</definedName>
    <definedName name="ACwvu.Full_Year." hidden="1">#REF!</definedName>
    <definedName name="ACwvu.Merch_Summary." hidden="1">#REF!</definedName>
    <definedName name="ACwvu.Summary." hidden="1">#REF!</definedName>
    <definedName name="ACwvu.Warehouse." hidden="1">#REF!</definedName>
    <definedName name="anscount" hidden="1">1</definedName>
    <definedName name="arse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_SKC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arse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1_SKC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arse2" hidden="1">{"Print Summary",#N/A,FALSE,"Bal_Graphs";"Print Summary",#N/A,FALSE,"DCF";"Print Summary",#N/A,FALSE,"Graphs";"Print Summary",#N/A,FALSE,"Summary"}</definedName>
    <definedName name="arse2_1" hidden="1">{"Print Summary",#N/A,FALSE,"Bal_Graphs";"Print Summary",#N/A,FALSE,"DCF";"Print Summary",#N/A,FALSE,"Graphs";"Print Summary",#N/A,FALSE,"Summary"}</definedName>
    <definedName name="arse2_2" hidden="1">{"Print Summary",#N/A,FALSE,"Bal_Graphs";"Print Summary",#N/A,FALSE,"DCF";"Print Summary",#N/A,FALSE,"Graphs";"Print Summary",#N/A,FALSE,"Summary"}</definedName>
    <definedName name="arse2_CWN" hidden="1">{"Print Summary",#N/A,FALSE,"Bal_Graphs";"Print Summary",#N/A,FALSE,"DCF";"Print Summary",#N/A,FALSE,"Graphs";"Print Summary",#N/A,FALSE,"Summary"}</definedName>
    <definedName name="berkshire" hidden="1">{"Revenue by Industry Chart",#N/A,FALSE,"Mix";"Annual Revenue Detail",#N/A,FALSE,"Mix";"Quarterly Revenue Detail",#N/A,FALSE,"Mix"}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0" hidden="1">#REF!</definedName>
    <definedName name="BLPH121" hidden="1">#REF!</definedName>
    <definedName name="BLPH122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5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94" hidden="1">#REF!</definedName>
    <definedName name="BLPH3" hidden="1">#REF!</definedName>
    <definedName name="BLPH30" hidden="1">#REF!</definedName>
    <definedName name="BLPH31" hidden="1">#REF!</definedName>
    <definedName name="BLPH34" hidden="1">#REF!</definedName>
    <definedName name="BLPH4" hidden="1">#REF!</definedName>
    <definedName name="BLPH5" hidden="1">#REF!</definedName>
    <definedName name="BLPH60" hidden="1">#REF!</definedName>
    <definedName name="BLPH61" hidden="1">#REF!</definedName>
    <definedName name="BLPH67" hidden="1">#REF!</definedName>
    <definedName name="BLPH68" hidden="1">#REF!</definedName>
    <definedName name="BLPH69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harft" hidden="1">#REF!</definedName>
    <definedName name="chart1" hidden="1">#REF!</definedName>
    <definedName name="charts" hidden="1">{"IND","COMPANIES",TRUE}</definedName>
    <definedName name="CIQWBGuid" hidden="1">"PER Analysis.xls"</definedName>
    <definedName name="cu103.EmployeeScalingFactor" hidden="1">1000</definedName>
    <definedName name="cu107.EPSSymbol" hidden="1">"A$"</definedName>
    <definedName name="cu71.ScalingFactor" hidden="1">1000000</definedName>
    <definedName name="Cwvu.Full_Year." hidden="1">#REF!</definedName>
    <definedName name="Cwvu.Summary." hidden="1">#REF!,#REF!,#REF!,#REF!</definedName>
    <definedName name="ddddd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dddd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ME_BeforeCloseCompleted" hidden="1">"False"</definedName>
    <definedName name="DME_Dirty" hidden="1">"False"</definedName>
    <definedName name="DME_LocalFile" hidden="1">"True"</definedName>
    <definedName name="DS" hidden="1">{"Full_Year",#N/A,FALSE,"PE1_S";#N/A,#N/A,FALSE,"DIVIS_S"}</definedName>
    <definedName name="DS_1" hidden="1">{"Full_Year",#N/A,FALSE,"PE1_S";#N/A,#N/A,FALSE,"DIVIS_S"}</definedName>
    <definedName name="DS_2" hidden="1">{"Full_Year",#N/A,FALSE,"PE1_S";#N/A,#N/A,FALSE,"DIVIS_S"}</definedName>
    <definedName name="DS_CWN" hidden="1">{"Full_Year",#N/A,FALSE,"PE1_S";#N/A,#N/A,FALSE,"DIVIS_S"}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esnrc100c1_values" hidden="1">{"FTSE100","COMPANIES",TRUE}</definedName>
    <definedName name="esnrc100c1_values_1" hidden="1">{"FTSE100","COMPANIES",TRUE}</definedName>
    <definedName name="esnrc100c1_values_2" hidden="1">{"FTSE100","COMPANIES",TRUE}</definedName>
    <definedName name="esnrc33c1_values" hidden="1">{"EUMOT","COMPANIES",TRUE}</definedName>
    <definedName name="esnrc33c1_values_1" hidden="1">{"EUMOT","COMPANIES",TRUE}</definedName>
    <definedName name="esnrc33c1_values_2" hidden="1">{"EUMOT","COMPANIES",TRUE}</definedName>
    <definedName name="esnrc56c1_values" hidden="1">{"ASCONGRP","COMPANIES",TRUE}</definedName>
    <definedName name="esnrc56c1_values_1" hidden="1">{"ASCONGRP","COMPANIES",TRUE}</definedName>
    <definedName name="esnrc56c1_values_2" hidden="1">{"ASCONGRP","COMPANIES",TRUE}</definedName>
    <definedName name="esnrc63c1_values" hidden="1">{"EUUTIGRP","COMPANIES",TRUE}</definedName>
    <definedName name="esnrc63c1_values_1" hidden="1">{"EUUTIGRP","COMPANIES",TRUE}</definedName>
    <definedName name="esnrc63c1_values_2" hidden="1">{"EUUTIGRP","COMPANIES",TRUE}</definedName>
    <definedName name="esnrc65c1_values" hidden="1">{"IND","COMPANIES",TRUE}</definedName>
    <definedName name="esnrc65c1_values_1" hidden="1">{"IND","COMPANIES",TRUE}</definedName>
    <definedName name="esnrc65c1_values_2" hidden="1">{"IND","COMPANIES",TRUE}</definedName>
    <definedName name="esnrc65c1_values_CWN" hidden="1">{"IND","COMPANIES",TRUE}</definedName>
    <definedName name="esnrc65c2_values" hidden="1">{"IND","COMPANIES",TRUE}</definedName>
    <definedName name="esnrc65c2_values_1" hidden="1">{"IND","COMPANIES",TRUE}</definedName>
    <definedName name="esnrc65c2_values_2" hidden="1">{"IND","COMPANIES",TRUE}</definedName>
    <definedName name="esnrc65c2_values_CWN" hidden="1">{"IND","COMPANIES",TRUE}</definedName>
    <definedName name="esnrc91c1_values" hidden="1">{"EUUTI","COMPANIES",TRUE}</definedName>
    <definedName name="esnrc91c1_values_1" hidden="1">{"EUUTI","COMPANIES",TRUE}</definedName>
    <definedName name="esnrc91c1_values_2" hidden="1">{"EUUTI","COMPANIES",TRUE}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39_1_aS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6_1_aSrv" hidden="1">#REF!</definedName>
    <definedName name="FDP_157_1_aUrv" hidden="1">#REF!</definedName>
    <definedName name="FDP_159_1_aUrv" hidden="1">#REF!</definedName>
    <definedName name="FDP_16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Urv" hidden="1">#REF!</definedName>
    <definedName name="FDP_170_1_aSrv" hidden="1">#REF!</definedName>
    <definedName name="FDP_171_1_aUrv" hidden="1">#REF!</definedName>
    <definedName name="FDP_172_1_aUrv" hidden="1">#REF!</definedName>
    <definedName name="FDP_173_1_aUrv" hidden="1">#REF!</definedName>
    <definedName name="FDP_174_1_aSrv" hidden="1">#REF!</definedName>
    <definedName name="FDP_174_1_aUrv" hidden="1">#REF!</definedName>
    <definedName name="FDP_175_1_aUrv" hidden="1">#REF!</definedName>
    <definedName name="FDP_176_1_aUrv" hidden="1">#REF!</definedName>
    <definedName name="FDP_177_1_aSrv" hidden="1">#REF!</definedName>
    <definedName name="FDP_177_1_aU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Srv" hidden="1">#REF!</definedName>
    <definedName name="FDP_184_1_aUrv" hidden="1">#REF!</definedName>
    <definedName name="FDP_185_1_aSrv" hidden="1">#REF!</definedName>
    <definedName name="FDP_186_1_aUrv" hidden="1">#REF!</definedName>
    <definedName name="FDP_187_1_aSrv" hidden="1">#REF!</definedName>
    <definedName name="FDP_188_1_aUrv" hidden="1">#REF!</definedName>
    <definedName name="FDP_189_1_aUrv" hidden="1">#REF!</definedName>
    <definedName name="FDP_19_1_aUrv" hidden="1">#REF!</definedName>
    <definedName name="FDP_190_1_aUrv" hidden="1">#REF!</definedName>
    <definedName name="FDP_191_1_aUrv" hidden="1">#REF!</definedName>
    <definedName name="FDP_192_1_aSrv" hidden="1">#REF!</definedName>
    <definedName name="FDP_193_1_aUrv" hidden="1">#REF!</definedName>
    <definedName name="FDP_194_1_aUrv" hidden="1">#REF!</definedName>
    <definedName name="FDP_195_1_aUrv" hidden="1">#REF!</definedName>
    <definedName name="FDP_196_1_aSrv" hidden="1">#REF!</definedName>
    <definedName name="FDP_197_1_aUrv" hidden="1">#REF!</definedName>
    <definedName name="FDP_198_1_aS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S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S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4_1_aUrv" hidden="1">#REF!</definedName>
    <definedName name="FDP_215_1_aUrv" hidden="1">#REF!</definedName>
    <definedName name="FDP_216_1_aUrv" hidden="1">#REF!</definedName>
    <definedName name="FDP_217_1_aUrv" hidden="1">#REF!</definedName>
    <definedName name="FDP_218_1_aSrv" hidden="1">#REF!</definedName>
    <definedName name="FDP_219_1_aSrv" hidden="1">#REF!</definedName>
    <definedName name="FDP_22_1_aUrv" hidden="1">#REF!</definedName>
    <definedName name="FDP_220_1_aSrv" hidden="1">#REF!</definedName>
    <definedName name="FDP_221_1_aSrv" hidden="1">#REF!</definedName>
    <definedName name="FDP_222_1_aSrv" hidden="1">#REF!</definedName>
    <definedName name="FDP_223_1_aSrv" hidden="1">#REF!</definedName>
    <definedName name="FDP_224_1_aUrv" hidden="1">#REF!</definedName>
    <definedName name="FDP_225_1_aUrv" hidden="1">#REF!</definedName>
    <definedName name="FDP_226_1_aUrv" hidden="1">#REF!</definedName>
    <definedName name="FDP_227_1_aU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Urv" hidden="1">#REF!</definedName>
    <definedName name="FDP_235_1_aUrv" hidden="1">#REF!</definedName>
    <definedName name="FDP_236_1_aUrv" hidden="1">#REF!</definedName>
    <definedName name="FDP_237_1_aUrv" hidden="1">#REF!</definedName>
    <definedName name="FDP_238_1_aSrv" hidden="1">#REF!</definedName>
    <definedName name="FDP_24_1_aU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4_1_aUrv" hidden="1">#REF!</definedName>
    <definedName name="FDP_265_1_aUrv" hidden="1">#REF!</definedName>
    <definedName name="FDP_266_1_aUrv" hidden="1">#REF!</definedName>
    <definedName name="FDP_267_1_aUrv" hidden="1">#REF!</definedName>
    <definedName name="FDP_268_1_aUrv" hidden="1">#REF!</definedName>
    <definedName name="FDP_269_1_aUrv" hidden="1">#REF!</definedName>
    <definedName name="FDP_27_1_aUrv" hidden="1">#REF!</definedName>
    <definedName name="FDP_270_1_aUrv" hidden="1">#REF!</definedName>
    <definedName name="FDP_271_1_aUrv" hidden="1">#REF!</definedName>
    <definedName name="FDP_272_1_aUrv" hidden="1">#REF!</definedName>
    <definedName name="FDP_273_1_aUrv" hidden="1">#REF!</definedName>
    <definedName name="FDP_274_1_aUrv" hidden="1">#REF!</definedName>
    <definedName name="FDP_275_1_aUrv" hidden="1">#REF!</definedName>
    <definedName name="FDP_276_1_aUrv" hidden="1">#REF!</definedName>
    <definedName name="FDP_277_1_aUrv" hidden="1">#REF!</definedName>
    <definedName name="FDP_278_1_aUrv" hidden="1">#REF!</definedName>
    <definedName name="FDP_279_1_aSrv" hidden="1">#REF!</definedName>
    <definedName name="FDP_28_1_aU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4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1_1_aSrv" hidden="1">#REF!</definedName>
    <definedName name="FDP_52_1_aUrv" hidden="1">#REF!</definedName>
    <definedName name="FDP_53_1_aUrv" hidden="1">#REF!</definedName>
    <definedName name="FDP_54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1_1_aSrv" hidden="1">#REF!</definedName>
    <definedName name="FDP_72_1_aUrv" hidden="1">#REF!</definedName>
    <definedName name="FDP_73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2_1_aS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gls_ACT_EST_ROW" hidden="1">#REF!</definedName>
    <definedName name="gls_ACT_FORM_OFFSET" hidden="1">#REF!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OFILE_NAME" hidden="1">#REF!</definedName>
    <definedName name="gls_SaveBeforePublish" hidden="1">#REF!</definedName>
    <definedName name="gls_SaveWkbForNewPeriodCodes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HTML_CodePage" hidden="1">1252</definedName>
    <definedName name="HTML_Control" hidden="1">{"'Outline (2)'!$A$1:$Q$7"}</definedName>
    <definedName name="HTML_Description" hidden="1">""</definedName>
    <definedName name="HTML_Email" hidden="1">""</definedName>
    <definedName name="HTML_Header" hidden="1">"Outline (2)"</definedName>
    <definedName name="HTML_LastUpdate" hidden="1">"2/9/98"</definedName>
    <definedName name="HTML_LineAfter" hidden="1">FALSE</definedName>
    <definedName name="HTML_LineBefore" hidden="1">FALSE</definedName>
    <definedName name="HTML_Name" hidden="1">"Kenfil Training Centre"</definedName>
    <definedName name="HTML_OBDlg2" hidden="1">TRUE</definedName>
    <definedName name="HTML_OBDlg4" hidden="1">TRUE</definedName>
    <definedName name="HTML_OS" hidden="1">0</definedName>
    <definedName name="HTML_PathFile" hidden="1">"F:\USERS\STUDENT\KAREEN\EXCEL97\MyHTML.htm"</definedName>
    <definedName name="HTML_Title" hidden="1">"XL97_ADV"</definedName>
    <definedName name="HTML1_1" hidden="1">"[firstpacpg59withformula.xls]Sheet1!$A$1:$G$23"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" hidden="1">"[firstpacpg58.xls]Sheet1!$A$1:$F$15"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i" hidden="1">{"Qtr Op Mgd Q3",#N/A,FALSE,"Qtr-Op (Mng)";"Qtr Op Rpt Q3",#N/A,FALSE,"Qtr-Op (Rpt)";"Operating Vs Reported",#N/A,FALSE,"Rpt-Op Inc"}</definedName>
    <definedName name="Img_ML_1c3d1n6n" hidden="1">"IMG_11"</definedName>
    <definedName name="Img_ML_1d1b5x3i" hidden="1">"IMG_18"</definedName>
    <definedName name="Img_ML_1e1k9n5y" hidden="1">"IMG_10"</definedName>
    <definedName name="Img_ML_1g9i6j4i" hidden="1">"IMG_6"</definedName>
    <definedName name="Img_ML_1h4n3h8h" hidden="1">"IMG_18"</definedName>
    <definedName name="Img_ML_1k2d3y6g" hidden="1">"IMG_18"</definedName>
    <definedName name="Img_ML_1k4g9u7k" hidden="1">"IMG_10"</definedName>
    <definedName name="Img_ML_1k4u6z9q" hidden="1">"IMG_12"</definedName>
    <definedName name="Img_ML_1q6n1r3y" hidden="1">"IMG_18"</definedName>
    <definedName name="Img_ML_1q7t4c5p" hidden="1">"IMG_18"</definedName>
    <definedName name="Img_ML_1q9i2k7i" hidden="1">"IMG_6"</definedName>
    <definedName name="Img_ML_1s9s8u2q" hidden="1">"IMG_12"</definedName>
    <definedName name="Img_ML_1t5s6u1f" hidden="1">"IMG_18"</definedName>
    <definedName name="Img_ML_1u3g1w9g" hidden="1">"IMG_18"</definedName>
    <definedName name="Img_ML_1v1d3k4v" hidden="1">"IMG_6"</definedName>
    <definedName name="Img_ML_1y7a6c1t" hidden="1">"IMG_17"</definedName>
    <definedName name="Img_ML_2e1r5p2m" hidden="1">"IMG_10"</definedName>
    <definedName name="Img_ML_2f4p3r6p" hidden="1">"IMG_18"</definedName>
    <definedName name="Img_ML_2i4d6c2r" hidden="1">"IMG_18"</definedName>
    <definedName name="Img_ML_2j1p7k4i" hidden="1">"IMG_6"</definedName>
    <definedName name="Img_ML_2j4h5d5y" hidden="1">"IMG_10"</definedName>
    <definedName name="Img_ML_2j6i5k6b" hidden="1">"IMG_18"</definedName>
    <definedName name="Img_ML_2m9t4m5q" hidden="1">"IMG_18"</definedName>
    <definedName name="Img_ML_2u8x3t5a" hidden="1">"IMG_3"</definedName>
    <definedName name="Img_ML_2v6s9i5c" hidden="1">"IMG_18"</definedName>
    <definedName name="Img_ML_2w1t7g9m" hidden="1">"IMG_18"</definedName>
    <definedName name="Img_ML_2x1b8j5c" hidden="1">"IMG_10"</definedName>
    <definedName name="Img_ML_2x8r4a2e" hidden="1">"IMG_18"</definedName>
    <definedName name="Img_ML_3b3j3x9k" hidden="1">"IMG_10"</definedName>
    <definedName name="Img_ML_3b5m6a3d" hidden="1">"IMG_18"</definedName>
    <definedName name="Img_ML_3b8r3t8y" hidden="1">"IMG_11"</definedName>
    <definedName name="Img_ML_3c6e9c4g" hidden="1">"IMG_11"</definedName>
    <definedName name="Img_ML_3e2q4k7i" hidden="1">"IMG_18"</definedName>
    <definedName name="Img_ML_3h2n3p4v" hidden="1">"IMG_17"</definedName>
    <definedName name="Img_ML_3j3i3p7g" hidden="1">"IMG_18"</definedName>
    <definedName name="Img_ML_3m9x5w6k" hidden="1">"IMG_6"</definedName>
    <definedName name="Img_ML_3n5p3k4y" hidden="1">"IMG_18"</definedName>
    <definedName name="Img_ML_3p2b9c6w" hidden="1">"IMG_18"</definedName>
    <definedName name="Img_ML_3p5d9q5j" hidden="1">"IMG_11"</definedName>
    <definedName name="Img_ML_3r4u7k1k" hidden="1">"IMG_18"</definedName>
    <definedName name="Img_ML_3u5n6c7g" hidden="1">"IMG_6"</definedName>
    <definedName name="Img_ML_3x8m5t8j" hidden="1">"IMG_18"</definedName>
    <definedName name="Img_ML_3y1j4m2m" hidden="1">"IMG_17"</definedName>
    <definedName name="Img_ML_4b5b4m3y" hidden="1">"IMG_18"</definedName>
    <definedName name="Img_ML_4b5r5k9y" hidden="1">"IMG_18"</definedName>
    <definedName name="Img_ML_4g9t7u4l" hidden="1">"IMG_12"</definedName>
    <definedName name="Img_ML_4k4p2k2y" hidden="1">"IMG_6"</definedName>
    <definedName name="Img_ML_4k4z1z9l" hidden="1">"IMG_11"</definedName>
    <definedName name="Img_ML_4k8k7q4x" hidden="1">"IMG_18"</definedName>
    <definedName name="Img_ML_4m1m4x3e" hidden="1">"IMG_18"</definedName>
    <definedName name="Img_ML_4m3p5r8j" hidden="1">"IMG_10"</definedName>
    <definedName name="Img_ML_4n6t1k1h" hidden="1">"IMG_18"</definedName>
    <definedName name="Img_ML_4r3t2p9g" hidden="1">"IMG_18"</definedName>
    <definedName name="Img_ML_4s4r5e3c" hidden="1">"IMG_18"</definedName>
    <definedName name="Img_ML_5d3i8b5s" hidden="1">"IMG_10"</definedName>
    <definedName name="Img_ML_5e7s6t2u" hidden="1">"IMG_10"</definedName>
    <definedName name="Img_ML_5e9m1k3s" hidden="1">"IMG_11"</definedName>
    <definedName name="Img_ML_5f9d1i5x" hidden="1">"IMG_18"</definedName>
    <definedName name="Img_ML_5f9x9u4u" hidden="1">"IMG_18"</definedName>
    <definedName name="Img_ML_5g9z1u4m" hidden="1">"IMG_11"</definedName>
    <definedName name="Img_ML_5h6q3g8u" hidden="1">"IMG_12"</definedName>
    <definedName name="Img_ML_5i2f2p6v" hidden="1">"IMG_11"</definedName>
    <definedName name="Img_ML_5k1g6v5e" hidden="1">"IMG_18"</definedName>
    <definedName name="Img_ML_5k7e4n8n" hidden="1">"IMG_18"</definedName>
    <definedName name="Img_ML_5k8u7s9i" hidden="1">"IMG_11"</definedName>
    <definedName name="Img_ML_5p5a4d6d" hidden="1">"IMG_11"</definedName>
    <definedName name="Img_ML_6a6y1x1h" hidden="1">"IMG_18"</definedName>
    <definedName name="Img_ML_6d9u6u7z" hidden="1">"IMG_4"</definedName>
    <definedName name="Img_ML_6f2p1m9g" hidden="1">"IMG_10"</definedName>
    <definedName name="Img_ML_6j4v6x5i" hidden="1">"IMG_10"</definedName>
    <definedName name="Img_ML_6k5t7m9z" hidden="1">"IMG_4"</definedName>
    <definedName name="Img_ML_6k9c9p4d" hidden="1">"IMG_18"</definedName>
    <definedName name="Img_ML_6m3p7m9h" hidden="1">"IMG_18"</definedName>
    <definedName name="Img_ML_6m5d9e6r" hidden="1">"IMG_18"</definedName>
    <definedName name="Img_ML_6m6i9t6k" hidden="1">"IMG_18"</definedName>
    <definedName name="Img_ML_6n6c2h1d" hidden="1">"IMG_18"</definedName>
    <definedName name="Img_ML_6p2b6u6k" hidden="1">"IMG_12"</definedName>
    <definedName name="Img_ML_6p3m8v1n" hidden="1">"IMG_18"</definedName>
    <definedName name="Img_ML_6p9x3u7k" hidden="1">"IMG_18"</definedName>
    <definedName name="Img_ML_6r9u1n9k" hidden="1">"IMG_5"</definedName>
    <definedName name="Img_ML_6s4w4z2z" hidden="1">"IMG_3"</definedName>
    <definedName name="Img_ML_6s5x3m6z" hidden="1">"IMG_3"</definedName>
    <definedName name="Img_ML_6u1b6h4m" hidden="1">"IMG_18"</definedName>
    <definedName name="Img_ML_6u4t7r7e" hidden="1">"IMG_11"</definedName>
    <definedName name="Img_ML_6w6m7b7r" hidden="1">"IMG_10"</definedName>
    <definedName name="Img_ML_6y9f7y3n" hidden="1">"IMG_10"</definedName>
    <definedName name="Img_ML_7b3x8f2f" hidden="1">"IMG_18"</definedName>
    <definedName name="Img_ML_7d3a8x3f" hidden="1">"IMG_18"</definedName>
    <definedName name="Img_ML_7e1g7x4r" hidden="1">"IMG_18"</definedName>
    <definedName name="Img_ML_7f1w1m7s" hidden="1">"IMG_11"</definedName>
    <definedName name="Img_ML_7g4k9d6i" hidden="1">"IMG_10"</definedName>
    <definedName name="Img_ML_7g5e5e2b" hidden="1">"IMG_11"</definedName>
    <definedName name="Img_ML_7j3p5m6t" hidden="1">"IMG_18"</definedName>
    <definedName name="Img_ML_7j8s8t8i" hidden="1">"IMG_11"</definedName>
    <definedName name="Img_ML_7m3b4p7p" hidden="1">"IMG_18"</definedName>
    <definedName name="Img_ML_7m5m4k3b" hidden="1">"IMG_17"</definedName>
    <definedName name="Img_ML_7n6h3t1t" hidden="1">"IMG_17"</definedName>
    <definedName name="Img_ML_7s4w7c6r" hidden="1">"IMG_10"</definedName>
    <definedName name="Img_ML_7s5s8m2i" hidden="1">"IMG_12"</definedName>
    <definedName name="Img_ML_7t5s6e3m" hidden="1">"IMG_11"</definedName>
    <definedName name="Img_ML_7w3j1h9t" hidden="1">"IMG_18"</definedName>
    <definedName name="Img_ML_8a8m2p9x" hidden="1">"IMG_11"</definedName>
    <definedName name="Img_ML_8b4s3j4n" hidden="1">"IMG_18"</definedName>
    <definedName name="Img_ML_8b9j5t1p" hidden="1">"IMG_10"</definedName>
    <definedName name="Img_ML_8c2q5i2r" hidden="1">"IMG_18"</definedName>
    <definedName name="Img_ML_8d2v5j7j" hidden="1">"IMG_12"</definedName>
    <definedName name="Img_ML_8e3p4n9n" hidden="1">"IMG_18"</definedName>
    <definedName name="Img_ML_8f5v8k5i" hidden="1">"IMG_11"</definedName>
    <definedName name="Img_ML_8g3e4a7v" hidden="1">"IMG_17"</definedName>
    <definedName name="Img_ML_8h3m3i1m" hidden="1">"IMG_11"</definedName>
    <definedName name="Img_ML_8i9u7w8k" hidden="1">"IMG_18"</definedName>
    <definedName name="Img_ML_8j3w6p4c" hidden="1">"IMG_12"</definedName>
    <definedName name="Img_ML_8n6m2q6v" hidden="1">"IMG_18"</definedName>
    <definedName name="Img_ML_8r1k8t4y" hidden="1">"IMG_10"</definedName>
    <definedName name="Img_ML_8r9f4n4f" hidden="1">"IMG_18"</definedName>
    <definedName name="Img_ML_8s3q3c1i" hidden="1">"IMG_18"</definedName>
    <definedName name="Img_ML_8s9d7q9u" hidden="1">"IMG_11"</definedName>
    <definedName name="Img_ML_8t3m5u6f" hidden="1">"IMG_11"</definedName>
    <definedName name="Img_ML_8y3q6y4b" hidden="1">"IMG_18"</definedName>
    <definedName name="Img_ML_8y5b6i3r" hidden="1">"IMG_6"</definedName>
    <definedName name="Img_ML_9c9p6w6g" hidden="1">"IMG_18"</definedName>
    <definedName name="Img_ML_9e4j3y6n" hidden="1">"IMG_18"</definedName>
    <definedName name="Img_ML_9g2r1i7c" hidden="1">"IMG_18"</definedName>
    <definedName name="Img_ML_9g3r6t7h" hidden="1">"IMG_18"</definedName>
    <definedName name="Img_ML_9h6h8h8e" hidden="1">"IMG_18"</definedName>
    <definedName name="Img_ML_9h6p7r7t" hidden="1">"IMG_18"</definedName>
    <definedName name="Img_ML_9j3t2m3v" hidden="1">"IMG_18"</definedName>
    <definedName name="Img_ML_9m3v1d9u" hidden="1">"IMG_18"</definedName>
    <definedName name="Img_ML_9n1s4m5f" hidden="1">"IMG_18"</definedName>
    <definedName name="Img_ML_9t4s6m1a" hidden="1">"IMG_18"</definedName>
    <definedName name="Img_ML_9u2c1d4e" hidden="1">"IMG_11"</definedName>
    <definedName name="Img_ML_9v4y5y5t" hidden="1">"IMG_11"</definedName>
    <definedName name="Img_ML_9v6s2g1u" hidden="1">"IMG_18"</definedName>
    <definedName name="Img_NAV_chart" hidden="1">"IMG_50"</definedName>
    <definedName name="Img_Office_S_vs_Rental" hidden="1">"IMG_10"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FOOTNOTE" hidden="1">"c4540"</definedName>
    <definedName name="IQ_EST_FOOTNOTE_CIQ" hidden="1">"c12022"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40917.624212963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39890.4646875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limcount" hidden="1">1</definedName>
    <definedName name="M_PlaceofPath" hidden="1">"H:\excel\AIG\aig_vdf.xls"</definedName>
    <definedName name="MnPrices" hidden="1">#REF!</definedName>
    <definedName name="MODEL_db_ORIGINATOR" hidden="1">"1"</definedName>
    <definedName name="MODEL_db_TICKER" hidden="1">"ABC"</definedName>
    <definedName name="q" hidden="1">{"Qtr Op Mgd Q2",#N/A,FALSE,"Qtr-Op (Mng)";"Qtr Op Rpt Q2",#N/A,FALSE,"Qtr-Op (Rpt)";"Operating Vs Reported",#N/A,FALSE,"Rpt-Op Inc"}</definedName>
    <definedName name="qwer" hidden="1">{"'Outline (2)'!$A$1:$Q$7"}</definedName>
    <definedName name="rep" hidden="1">{#N/A,#N/A,FALSE,"COVER";#N/A,#N/A,FALSE,"VALUATION";#N/A,#N/A,FALSE,"FORECAST";#N/A,#N/A,FALSE,"FY ANALYSIS ";#N/A,#N/A,FALSE," HY ANALYSIS"}</definedName>
    <definedName name="RiM_A.ValMethod" hidden="1">#REF!</definedName>
    <definedName name="RiM_SHAREUNITS" hidden="1">"U.WN.MIL"</definedName>
    <definedName name="RiM_UNITS" hidden="1">"U.CUR.MIL"</definedName>
    <definedName name="rrrrrr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rrrrr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Rwvu.bal_98." hidden="1">#REF!</definedName>
    <definedName name="Rwvu.Full_Year." hidden="1">#REF!,#REF!,#REF!,#REF!</definedName>
    <definedName name="s" hidden="1">{"IND","COMPANIES",TRUE}</definedName>
    <definedName name="sencount" hidden="1">1</definedName>
    <definedName name="solver_cvg" hidden="1">0.000000001</definedName>
    <definedName name="solver_drv" hidden="1">1</definedName>
    <definedName name="solver_est" hidden="1">1</definedName>
    <definedName name="solver_itr" hidden="1">10000</definedName>
    <definedName name="solver_lin" hidden="1">0</definedName>
    <definedName name="solver_lin_1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0.000000000001</definedName>
    <definedName name="solver_scl" hidden="1">2</definedName>
    <definedName name="solver_sho" hidden="1">2</definedName>
    <definedName name="solver_tim" hidden="1">1000</definedName>
    <definedName name="solver_tol" hidden="1">0.000000000001</definedName>
    <definedName name="solver_typ" hidden="1">3</definedName>
    <definedName name="solver_val" hidden="1">5.05</definedName>
    <definedName name="srthhdg" hidden="1">{"Revenue by Industry Chart",#N/A,FALSE,"Mix";"Annual Revenue Detail",#N/A,FALSE,"Mix";"Quarterly Revenue Detail",#N/A,FALSE,"Mix"}</definedName>
    <definedName name="ssss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ssss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Swvu.bal_98." hidden="1">#REF!</definedName>
    <definedName name="Swvu.Detail." hidden="1">#REF!</definedName>
    <definedName name="Swvu.Forestry." hidden="1">#REF!</definedName>
    <definedName name="Swvu.Full_Year." hidden="1">#REF!</definedName>
    <definedName name="Swvu.Merch_Summary." hidden="1">#REF!</definedName>
    <definedName name="Swvu.Summary." hidden="1">#REF!</definedName>
    <definedName name="Swvu.Warehouse." hidden="1">#REF!</definedName>
    <definedName name="Tigr_Exhibit2cf0c7a4_8079_452d_90b1_946b4ca5791e" hidden="1">#REF!</definedName>
    <definedName name="Tigr_Exhibit3edd6723_b4b8_4c96_a3d2_86d3ddbd543d" hidden="1">#REF!</definedName>
    <definedName name="Tigr_Exhibitf2941059_9aad_40de_bd7f_fb976c9da072" hidden="1">#REF!</definedName>
    <definedName name="tttttt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tttttt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know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1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2" hidden="1">{"Print Summary",#N/A,FALSE,"Bal_Graphs";"Print Summary",#N/A,FALSE,"DCF";"Print Summary",#N/A,FALSE,"Graphs";"Print Summary",#N/A,FALSE,"Summary"}</definedName>
    <definedName name="unknown2_1" hidden="1">{"Print Summary",#N/A,FALSE,"Bal_Graphs";"Print Summary",#N/A,FALSE,"DCF";"Print Summary",#N/A,FALSE,"Graphs";"Print Summary",#N/A,FALSE,"Summary"}</definedName>
    <definedName name="unknown2_2" hidden="1">{"Print Summary",#N/A,FALSE,"Bal_Graphs";"Print Summary",#N/A,FALSE,"DCF";"Print Summary",#N/A,FALSE,"Graphs";"Print Summary",#N/A,FALSE,"Summary"}</definedName>
    <definedName name="unknown2_CWN" hidden="1">{"Print Summary",#N/A,FALSE,"Bal_Graphs";"Print Summary",#N/A,FALSE,"DCF";"Print Summary",#N/A,FALSE,"Graphs";"Print Summary",#N/A,FALSE,"Summary"}</definedName>
    <definedName name="unknown3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3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4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5_CWN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unknown6" hidden="1">{"Print Summary",#N/A,FALSE,"Bal_Graphs";"Print Summary",#N/A,FALSE,"DCF";"Print Summary",#N/A,FALSE,"Graphs";"Print Summary",#N/A,FALSE,"Summary"}</definedName>
    <definedName name="unknown6_1" hidden="1">{"Print Summary",#N/A,FALSE,"Bal_Graphs";"Print Summary",#N/A,FALSE,"DCF";"Print Summary",#N/A,FALSE,"Graphs";"Print Summary",#N/A,FALSE,"Summary"}</definedName>
    <definedName name="unknown6_2" hidden="1">{"Print Summary",#N/A,FALSE,"Bal_Graphs";"Print Summary",#N/A,FALSE,"DCF";"Print Summary",#N/A,FALSE,"Graphs";"Print Summary",#N/A,FALSE,"Summary"}</definedName>
    <definedName name="unknown6_CWN" hidden="1">{"Print Summary",#N/A,FALSE,"Bal_Graphs";"Print Summary",#N/A,FALSE,"DCF";"Print Summary",#N/A,FALSE,"Graphs";"Print Summary",#N/A,FALSE,"Summary"}</definedName>
    <definedName name="unknown7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nknown7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uuuuu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uuuuu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ar.client_detailed_skc" hidden="1">{"Full_Year",#N/A,FALSE,"PE1_S";"Full_Year",#N/A,FALSE,"Cashflow_EPS";"Full_Year",#N/A,FALSE,"EBIT_DIV"}</definedName>
    <definedName name="warn.full_client_skc" hidden="1">{"Full_Year",#N/A,FALSE,"PE1_S";"Automotive",#N/A,FALSE,"Auto_EBIT";#N/A,#N/A,FALSE,"Industrial_EBIT";#N/A,#N/A,FALSE,"Webforge_EBIT"}</definedName>
    <definedName name="wrn.1q97." hidden="1">{#N/A,#N/A,FALSE,"Allstate Inc Stmt YTD";#N/A,#N/A,FALSE,"Segment Inc Stmt YTD";#N/A,#N/A,FALSE,"Current &amp; Prior Bal Sht";#N/A,#N/A,FALSE,"Dec Bal Sht.";#N/A,#N/A,FALSE,"CASH FLOW QTR";#N/A,#N/A,FALSE,"Resegmented Underwriting";#N/A,#N/A,FALSE,"RESEG WRITTEN";#N/A,#N/A,FALSE,"Segment Underwriting";#N/A,#N/A,FALSE,"Written Premium";#N/A,#N/A,FALSE,"Life Premium";#N/A,#N/A,FALSE,"Investments";#N/A,#N/A,FALSE,"Dec Investments";#N/A,#N/A,FALSE,"4Qtr PL Inv. Income";#N/A,#N/A,FALSE,"4Qtr Life Inv. Inc.";#N/A,#N/A,FALSE,"GAAP to STAT"}</definedName>
    <definedName name="wrn.3rd._.Qtr._.Supplement." hidden="1">{"STMT INC OPS 3Q QTR",#N/A,TRUE,"Allstate Corporation Inc Stmt";"STMT INC OPS 3Q YTD",#N/A,TRUE,"Allstate Corporation Inc Stmt";"Q3 Segment Qtr",#N/A,TRUE,"Segment Income Statement";"Q3 Segment Ytd",#N/A,TRUE,"Segment Income Statement";"Q3 Balance Sheet",#N/A,TRUE,"Current &amp; Prior Bal Sht";"December Balance Sheet",#N/A,TRUE,"December Bal Sht";"Q3 Cash Flow Qtr",#N/A,TRUE,"Cash Flow";"Q3 Cash Flow Ytd",#N/A,TRUE,"Cash Flow";"Third Quarter",#N/A,TRUE,"Resegmented Underwriting";"Q3 Written Premium",#N/A,TRUE,"RESEG WRITTEN";"Life Ops Third Quarter",#N/A,TRUE,"Life Premium";"Q3 Investments",#N/A,TRUE,"Investments";#N/A,#N/A,TRUE,"Dec Investments";"Q3 PL II Qtr",#N/A,TRUE,"PL Investment Income";"Q3 PL II Ytd",#N/A,TRUE,"PL Investment Income";"Q3 PL II Ytd",#N/A,TRUE,"PL Investment Income";"Q3 PL II Qtr",#N/A,TRUE,"PL Investment Income";"Q3 PL II Ytd",#N/A,TRUE,"PL Investment Income";"Q3 Life II Qtr",#N/A,TRUE,"Life Investment Income";"Q3 Life II YTD",#N/A,TRUE,"Life Investment Income";#N/A,#N/A,TRUE,"GAAP to STAT"}</definedName>
    <definedName name="wrn.3rd._.Quarter._.Supplement." hidden="1">{#N/A,#N/A,TRUE,"Allstate Inc Stmt YTD 3mths.";#N/A,#N/A,TRUE,"Allstate Inc Stmt YTD 9mths. ";#N/A,#N/A,TRUE,"Segment Inc Stmt YTD 3 mths. ";#N/A,#N/A,TRUE,"Segment Inc Stmt YTD 9 mths. ";#N/A,#N/A,TRUE,"Current &amp; Prior Bal Sht";#N/A,#N/A,TRUE,"Dec Bal Sht.";#N/A,#N/A,TRUE,"CASH FLOW QTR";#N/A,#N/A,TRUE,"Cash Flow 9 mths. ";#N/A,#N/A,TRUE,"Resegmented Underwriting";#N/A,#N/A,TRUE,"RESEG WRITTEN";#N/A,#N/A,TRUE,"Life Premium";#N/A,#N/A,TRUE,"Investments";#N/A,#N/A,TRUE,"Dec Investments";#N/A,#N/A,TRUE,"Qtr PL Inv. Income";#N/A,#N/A,TRUE,"YTD PL Inv. Inc.";#N/A,#N/A,TRUE,"Qtr Life Inv. Inc.";#N/A,#N/A,TRUE,"YTD Life Investment Income";#N/A,#N/A,TRUE,"GAAP to STAT"}</definedName>
    <definedName name="wrn.all." hidden="1">{#N/A,#N/A,FALSE,"Gaming Revenues";#N/A,#N/A,FALSE,"RevCompare";#N/A,#N/A,FALSE,"Capacity";#N/A,#N/A,FALSE,"% Casino Rooms";#N/A,#N/A,FALSE,"ADR";#N/A,#N/A,FALSE,"Occupancy";#N/A,#N/A,FALSE,"Length of stay";#N/A,#N/A,FALSE,"Growth Rates";#N/A,#N/A,FALSE,"casinos";#N/A,#N/A,FALSE,"Slots&amp;Tables";#N/A,#N/A,FALSE,"tax";#N/A,#N/A,FALSE,"demographics";#N/A,#N/A,FALSE,"Rooms v stops";#N/A,#N/A,FALSE,"demos2";#N/A,#N/A,FALSE,"air arrivals";#N/A,#N/A,FALSE,"load";#N/A,#N/A,FALSE,"stays"}</definedName>
    <definedName name="wrn.AMPJAN96." hidden="1">{"Associates",#N/A,FALSE,"FULLESTI";"GPEBIT",#N/A,FALSE,"FULLESTI";"USEBIT",#N/A,FALSE,"FULLESTI";"UKEBIT",#N/A,FALSE,"FULLESTI";"AUSTEBIT",#N/A,FALSE,"FULLESTI"}</definedName>
    <definedName name="wrn.Bunnings." hidden="1">{"Summary",#N/A,FALSE,"Bunnings";"Merch_Summary",#N/A,FALSE,"Bunnings";"Forestry",#N/A,FALSE,"Bunnings"}</definedName>
    <definedName name="wrn.Cable." hidden="1">{"Cable_front",#N/A,TRUE,"Cable";"Cable_back",#N/A,TRUE,"Cable"}</definedName>
    <definedName name="wrn.Client." hidden="1">{"Full_Year",#N/A,FALSE,"PE1_S";#N/A,#N/A,FALSE,"DIVIS_S"}</definedName>
    <definedName name="wrn.Client._1" hidden="1">{"Full_Year",#N/A,FALSE,"PE1_S";#N/A,#N/A,FALSE,"DIVIS_S"}</definedName>
    <definedName name="wrn.Client._2" hidden="1">{"Full_Year",#N/A,FALSE,"PE1_S";#N/A,#N/A,FALSE,"DIVIS_S"}</definedName>
    <definedName name="wrn.Client_CWN" hidden="1">{"Full_Year",#N/A,FALSE,"PE1_S";#N/A,#N/A,FALSE,"DIVIS_S"}</definedName>
    <definedName name="wrn.Client_Detailed." hidden="1">{"Full_Year",#N/A,FALSE,"PE1_S";"Full_Year",#N/A,FALSE,"Cashflow_EPS";"Full_Year",#N/A,FALSE,"EBIT_DIV"}</definedName>
    <definedName name="wrn.Client_Detailed._1" hidden="1">{"Full_Year",#N/A,FALSE,"PE1_S";"Full_Year",#N/A,FALSE,"Cashflow_EPS";"Full_Year",#N/A,FALSE,"EBIT_DIV"}</definedName>
    <definedName name="wrn.Client_Detailed._2" hidden="1">{"Full_Year",#N/A,FALSE,"PE1_S";"Full_Year",#N/A,FALSE,"Cashflow_EPS";"Full_Year",#N/A,FALSE,"EBIT_DIV"}</definedName>
    <definedName name="wrn.client_detailed_CWN" hidden="1">{"Full_Year",#N/A,FALSE,"PE1_S";"Full_Year",#N/A,FALSE,"Cashflow_EPS";"Full_Year",#N/A,FALSE,"EBIT_DIV"}</definedName>
    <definedName name="wrn.client_SKC" hidden="1">{"Full_Year",#N/A,FALSE,"PE1_S";#N/A,#N/A,FALSE,"DIVIS_S"}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daily." hidden="1">{#N/A,#N/A,FALSE,"Major v. River";#N/A,#N/A,FALSE,"Large Operators";#N/A,#N/A,FALSE,"Smaller Operators";#N/A,#N/A,FALSE,"Equip. Supply";#N/A,#N/A,FALSE,"EBITDA"}</definedName>
    <definedName name="wrn.Divisional._.Summaries." hidden="1">{"Divisional summaries",#N/A,TRUE,"Model"}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Divisional._.Analysis." hidden="1">{#N/A,"Likely capex",TRUE,"Model";#N/A,"Optimal ROAs",TRUE,"Model";"Full Divisional Analysis","Aggressive asset sales",TRUE,"Model"}</definedName>
    <definedName name="wrn.Full._.EBITDA._.Valuation." hidden="1">{"Full EBITDA valuation",#N/A,FALSE,"Value"}</definedName>
    <definedName name="wrn.Full._.Report." hidden="1">{"Assumptions",#N/A,FALSE,"Sheet1";"Main Report",#N/A,FALSE,"Sheet1";"Results",#N/A,FALSE,"Sheet1";"Advances",#N/A,FALSE,"Sheet1"}</definedName>
    <definedName name="wrn.Full._.Report._1" hidden="1">{"Assumptions",#N/A,FALSE,"Sheet1";"Main Report",#N/A,FALSE,"Sheet1";"Results",#N/A,FALSE,"Sheet1";"Advances",#N/A,FALSE,"Sheet1"}</definedName>
    <definedName name="wrn.Full._.Report._2" hidden="1">{"Assumptions",#N/A,FALSE,"Sheet1";"Main Report",#N/A,FALSE,"Sheet1";"Results",#N/A,FALSE,"Sheet1";"Advances",#N/A,FALSE,"Sheet1"}</definedName>
    <definedName name="wrn.full._report_CWN" hidden="1">{"Assumptions",#N/A,FALSE,"Sheet1";"Main Report",#N/A,FALSE,"Sheet1";"Results",#N/A,FALSE,"Sheet1";"Advances",#N/A,FALSE,"Sheet1"}</definedName>
    <definedName name="wrn.Full_Client." hidden="1">{"Full_Year",#N/A,FALSE,"PE1_S";"Automotive",#N/A,FALSE,"Auto_EBIT";#N/A,#N/A,FALSE,"Industrial_EBIT";#N/A,#N/A,FALSE,"Webforge_EBIT"}</definedName>
    <definedName name="wrn.Full_Client._1" hidden="1">{"Full_Year",#N/A,FALSE,"PE1_S";"Automotive",#N/A,FALSE,"Auto_EBIT";#N/A,#N/A,FALSE,"Industrial_EBIT";#N/A,#N/A,FALSE,"Webforge_EBIT"}</definedName>
    <definedName name="wrn.Full_Client._2" hidden="1">{"Full_Year",#N/A,FALSE,"PE1_S";"Automotive",#N/A,FALSE,"Auto_EBIT";#N/A,#N/A,FALSE,"Industrial_EBIT";#N/A,#N/A,FALSE,"Webforge_EBIT"}</definedName>
    <definedName name="wrn.full_client_CWN" hidden="1">{"Full_Year",#N/A,FALSE,"PE1_S";"Automotive",#N/A,FALSE,"Auto_EBIT";#N/A,#N/A,FALSE,"Industrial_EBIT";#N/A,#N/A,FALSE,"Webforge_EBIT"}</definedName>
    <definedName name="wrn.Full_Model." hidden="1">{"Full_Year",#N/A,FALSE,"P&amp;L";#N/A,#N/A,FALSE,"C_flow_EPS";"B_Sheet",#N/A,FALSE,"B_Sheet";"Detail",#N/A,FALSE,"Fert. &amp; Chem.";#N/A,#N/A,FALSE,"Energy";"Merch_Summary",#N/A,FALSE,"Bunnings";"Warehouse",#N/A,FALSE,"Bunnings";"Forestry",#N/A,FALSE,"Bunnings";#N/A,#N/A,FALSE,"Rural"}</definedName>
    <definedName name="wrn.IGT._.Model." hidden="1">{#N/A,#N/A,TRUE,"IGT";#N/A,#N/A,TRUE,"IGTSLOT"}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_and_output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1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_2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odging." hidden="1">{#N/A,#N/A,FALSE,"EPS";#N/A,#N/A,FALSE,"EBITDA"}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1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_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irBellagio." hidden="1">{#N/A,#N/A,FALSE,"MIR";#N/A,#N/A,FALSE,"NYNY"}</definedName>
    <definedName name="wrn.Model." hidden="1">{#N/A,#N/A,FALSE,"PRH";#N/A,#N/A,FALSE,"Units"}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.Level._.3._1" hidden="1">{"Income (All hidden)",#N/A,FALSE,"Income";"EPS (All Hidden)",#N/A,FALSE,"EPS";"EPS (All Hidden)",#N/A,FALSE,"CashFlow";"Quarterly (Last, Current and Next)",#N/A,FALSE,"Quarterly"}</definedName>
    <definedName name="wrn.Model._.Level._.3._2" hidden="1">{"Income (All hidden)",#N/A,FALSE,"Income";"EPS (All Hidden)",#N/A,FALSE,"EPS";"EPS (All Hidden)",#N/A,FALSE,"CashFlow";"Quarterly (Last, Current and Next)",#N/A,FALSE,"Quarterly"}</definedName>
    <definedName name="wrn.monthly." hidden="1">{#N/A,#N/A,FALSE,"Running Total";#N/A,#N/A,FALSE,"Oct 96";#N/A,#N/A,FALSE,"Nov 96";#N/A,#N/A,FALSE,"Dec 96";#N/A,#N/A,FALSE,"Jan 97";#N/A,#N/A,FALSE,"Feb 97";#N/A,#N/A,FALSE,"Mar 97";#N/A,#N/A,FALSE,"Apr 97";#N/A,#N/A,FALSE,"May 97";#N/A,#N/A,FALSE,"June 97";#N/A,#N/A,FALSE,"July 97"}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t." hidden="1">{"Cashflow",#N/A,FALSE,"CASHFLOW";"DCF",#N/A,FALSE,"CASHFLOW"}</definedName>
    <definedName name="wrn.Q2._.Press._.Release." hidden="1">{"Q2_STMT_INC_PR",#N/A,FALSE,"STMT OF INC";"Q2 SUPPL INFO PR",#N/A,FALSE,"SUPPL INFO"}</definedName>
    <definedName name="wrn.Report." hidden="1">{"Cashflow",#N/A,FALSE,"CASHFLOW";"DCF",#N/A,FALSE,"CASHFLOW"}</definedName>
    <definedName name="wrn.Revenue._.Details." hidden="1">{"Revenue by Industry Chart",#N/A,FALSE,"Mix";"Annual Revenue Detail",#N/A,FALSE,"Mix";"Quarterly Revenue Detail",#N/A,FALSE,"Mix"}</definedName>
    <definedName name="wrn.Summary." hidden="1">{"Print Summary",#N/A,FALSE,"Bal_Graphs";"Print Summary",#N/A,FALSE,"DCF";"Print Summary",#N/A,FALSE,"Graphs";"Print Summary",#N/A,FALSE,"Summary"}</definedName>
    <definedName name="wrn.Summary._1" hidden="1">{"Print Summary",#N/A,FALSE,"Bal_Graphs";"Print Summary",#N/A,FALSE,"DCF";"Print Summary",#N/A,FALSE,"Graphs";"Print Summary",#N/A,FALSE,"Summary"}</definedName>
    <definedName name="wrn.Summary._2" hidden="1">{"Print Summary",#N/A,FALSE,"Bal_Graphs";"Print Summary",#N/A,FALSE,"DCF";"Print Summary",#N/A,FALSE,"Graphs";"Print Summary",#N/A,FALSE,"Summary"}</definedName>
    <definedName name="wrn.summary_CWN" hidden="1">{"Print Summary",#N/A,FALSE,"Bal_Graphs";"Print Summary",#N/A,FALSE,"DCF";"Print Summary",#N/A,FALSE,"Graphs";"Print Summary",#N/A,FALSE,"Summary"}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Test." hidden="1">{"Detail",#N/A,FALSE,"FULLESTI";#N/A,#N/A,FALSE,"USMEDCOY"}</definedName>
    <definedName name="wrn.Variance._.Q4" hidden="1">{"Variance Q4",#N/A,FALSE,"Var"}</definedName>
    <definedName name="wrn.weekly." hidden="1">{#N/A,#N/A,FALSE,"Large Operators";#N/A,#N/A,FALSE,"Smaller Operators";#N/A,#N/A,FALSE,"Equip. Supply";#N/A,#N/A,FALSE,"EBITDA";#N/A,#N/A,FALSE,"perform"}</definedName>
    <definedName name="wrn.year._.end." hidden="1">{#N/A,#N/A,FALSE,"Allstate Inc Stmt 4Qtr";#N/A,#N/A,FALSE,"Allstate Inc Stmt YTD";#N/A,#N/A,FALSE,"Segment Inc Stmt 4Qtr";#N/A,#N/A,FALSE,"Segment Inc Stmt YTD";#N/A,#N/A,FALSE,"Current &amp; Prior Bal Sht";#N/A,#N/A,FALSE,"CASH FLOW QTR";#N/A,#N/A,FALSE,"CASH FLOW YTD";#N/A,#N/A,FALSE,"Resegmented Underwriting";#N/A,#N/A,FALSE,"Segment Underwriting";#N/A,#N/A,FALSE,"RESEG WRITTEN";#N/A,#N/A,FALSE,"Life Premium";#N/A,#N/A,FALSE,"Investments";#N/A,#N/A,FALSE,"Dec Investments";#N/A,#N/A,FALSE,"4Qtr PL Inv. Income";#N/A,#N/A,FALSE,"YTD PL Inv. Inc.";#N/A,#N/A,FALSE,"4Qtr Life Inv. Inc.";#N/A,#N/A,FALSE,"YTD Life Investment Income";#N/A,#N/A,FALSE,"GAAP to STAT";#N/A,#N/A,FALSE,"5 YR Fin &amp; Oper";#N/A,#N/A,FALSE,"5 Yr Prop_Liab Summary";#N/A,#N/A,FALSE,"5 Yr P_L Seg UW I";#N/A,#N/A,FALSE,"5 Yr P_L Seg UW II";#N/A,#N/A,FALSE,"Historical Life";#N/A,#N/A,FALSE,"Fixed Income by Quality";#N/A,#N/A,FALSE,"P_L Loss Reserves";#N/A,#N/A,FALSE,"Environmental"}</definedName>
    <definedName name="wrnmain_report_all_sections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vu.B_Sheet." hidden="1">{TRUE,TRUE,-1.25,-15.5,604.5,366.75,FALSE,TRUE,TRUE,TRUE,0,1,#N/A,1,65,17.1333333333333,4,3,FALSE,TRUE,3,TRUE,1,FALSE,75,"Swvu.B_Sheet.","ACwvu.B_Sheet.",#N/A,FALSE,FALSE,0.748031496062992,0.748031496062992,0.984251968503937,0.984251968503937,1,"","&amp;C&amp;""Helvetica,Regular""&amp;10J B Were &amp;&amp; Son Industrial Research - Analyst: Matt Cook - (03) 9679-1445",FALSE,FALSE,FALSE,FALSE,1,75,#N/A,#N/A,"=R5C7:R69C15","=C1:C3,R1:R4","Rwvu.B_Sheet.",#N/A,FALSE,FALSE,TRUE,9,#N/A,#N/A,FALSE,FALSE,TRUE,TRUE,TRUE}</definedName>
    <definedName name="wvu.bal_98." hidden="1">{TRUE,TRUE,-1.25,-15.5,484.5,276.75,FALSE,TRUE,TRUE,TRUE,0,1,#N/A,1,36,13.234375,17,1,FALSE,TRUE,3,TRUE,1,FALSE,100,"Swvu.bal_98.","ACwvu.bal_98.",#N/A,FALSE,FALSE,0.748031496062992,0.748031496062992,0.984251968503937,0.984251968503937,1,"&amp;F","Page &amp;P",FALSE,FALSE,FALSE,FALSE,1,100,#N/A,#N/A,FALSE,FALSE,"Rwvu.bal_98.",#N/A,FALSE,FALSE,TRUE,9,#N/A,#N/A,FALSE,FALSE,TRUE,TRUE,TRUE}</definedName>
    <definedName name="wvu.Detail." hidden="1">{TRUE,TRUE,-1.25,-15.5,604.5,366.75,FALSE,TRUE,TRUE,TRUE,0,1,#N/A,1,#N/A,11.4,33.0769230769231,1,FALSE,FALSE,3,TRUE,1,FALSE,75,"Swvu.Detail.","ACwvu.Detail.",#N/A,FALSE,FALSE,0.393700787401575,0.393700787401575,0.393700787401575,0.393700787401575,1,"","&amp;C&amp;""Helvetica,Regular""&amp;10J B Were &amp;&amp; Son Industrial Research:  Analyst Matt Cook:  Ph: 03-9679 1445",TRUE,FALSE,FALSE,FALSE,1,80,#N/A,#N/A,"=R5C4:R105C11","=C1,R1:R4",#N/A,#N/A,FALSE,FALSE,TRUE,9,#N/A,#N/A,FALSE,FALSE,TRUE,TRUE,TRUE}</definedName>
    <definedName name="wvu.Full_Year." hidden="1">{TRUE,TRUE,-1.25,-15.5,604.5,366.75,FALSE,TRUE,TRUE,TRUE,0,1,#N/A,1,18,25.85,20,1,FALSE,TRUE,3,TRUE,1,FALSE,75,"Swvu.Full_Year.","ACwvu.Full_Year.",#N/A,FALSE,FALSE,0.393700787401575,0.393700787401575,0.393700787401575,0.393700787401575,1," ","&amp;C&amp;""Helvetica,Regular""J B Were &amp; Son - Research. Analyst: Matt Cook- Tel: (03) 9679 1445",TRUE,FALSE,FALSE,FALSE,1,85,#N/A,#N/A,"=C1:C22","=C1:C3,R1:R4","Rwvu.Full_Year.","Cwvu.Full_Year.",FALSE,FALSE,FALSE,9,#N/A,#N/A,FALSE,FALSE,TRUE,TRUE,TRUE}</definedName>
    <definedName name="wvu.Warehouse." hidden="1">{TRUE,TRUE,-1.25,-15.5,604.5,366.75,FALSE,TRUE,TRUE,TRUE,0,1,6,1,74,3.7,5.15384615384615,4,TRUE,TRUE,3,TRUE,1,FALSE,75,"Swvu.Warehouse.","ACwvu.Warehouse.",#N/A,FALSE,FALSE,0.393700787401575,0.393700787401575,0.393700787401575,0.393700787401575,1,"","&amp;C&amp;10J B Were &amp;&amp; Son Industrial Research - Analyst:  Matt Cook Ph: 03 9679 1445",TRUE,FALSE,FALSE,FALSE,1,75,#N/A,#N/A,"=R74C7:R192C13","=C1:C4,R1:R4",#N/A,#N/A,FALSE,FALSE,TRUE,9,#N/A,#N/A,FALSE,FALSE,TRUE,TRUE,TRUE}</definedName>
    <definedName name="ww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1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_CWN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wwww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wwww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x" hidden="1">{"Revenue by Industry Chart",#N/A,FALSE,"Mix";"Annual Revenue Detail",#N/A,FALSE,"Mix";"Quarterly Revenue Detail",#N/A,FALSE,"Mix"}</definedName>
    <definedName name="xxx" hidden="1">{"'Outline (2)'!$A$1:$Q$7"}</definedName>
    <definedName name="Z_03DAD996_7A4F_11D1_AB8C_00805F1D08F8_.wvu.Cols" hidden="1">#REF!</definedName>
    <definedName name="Z_03DAD997_7A4F_11D1_AB8C_00805F1D08F8_.wvu.Cols" hidden="1">#REF!,#REF!,#REF!,#REF!</definedName>
    <definedName name="Z_03DAD997_7A4F_11D1_AB8C_00805F1D08F8_.wvu.Rows" hidden="1">#REF!</definedName>
    <definedName name="Z_0C942D73_7104_11D1_AB6C_00805F1D2048_.wvu.Cols" hidden="1">#REF!</definedName>
    <definedName name="Z_0C942D74_7104_11D1_AB6C_00805F1D2048_.wvu.Cols" hidden="1">#REF!,#REF!,#REF!,#REF!</definedName>
    <definedName name="Z_0C942D74_7104_11D1_AB6C_00805F1D2048_.wvu.Rows" hidden="1">#REF!</definedName>
    <definedName name="Z_115772F5_74E0_11D1_AB6E_00805F1D2048_.wvu.Cols" hidden="1">#REF!</definedName>
    <definedName name="Z_115772F6_74E0_11D1_AB6E_00805F1D2048_.wvu.Cols" hidden="1">#REF!,#REF!,#REF!,#REF!</definedName>
    <definedName name="Z_115772F6_74E0_11D1_AB6E_00805F1D2048_.wvu.Rows" hidden="1">#REF!</definedName>
    <definedName name="Z_2087720D_7599_11D1_AB6F_00805F1D2048_.wvu.Cols" hidden="1">#REF!</definedName>
    <definedName name="Z_2087720E_7599_11D1_AB6F_00805F1D2048_.wvu.Cols" hidden="1">#REF!,#REF!,#REF!,#REF!</definedName>
    <definedName name="Z_2087720E_7599_11D1_AB6F_00805F1D2048_.wvu.Rows" hidden="1">#REF!</definedName>
    <definedName name="Z_2087722D_7599_11D1_AB6F_00805F1D2048_.wvu.Cols" hidden="1">#REF!</definedName>
    <definedName name="Z_2087722E_7599_11D1_AB6F_00805F1D2048_.wvu.Cols" hidden="1">#REF!,#REF!,#REF!,#REF!</definedName>
    <definedName name="Z_2087722E_7599_11D1_AB6F_00805F1D2048_.wvu.Rows" hidden="1">#REF!</definedName>
    <definedName name="Z_2087724D_7599_11D1_AB6F_00805F1D2048_.wvu.Cols" hidden="1">#REF!</definedName>
    <definedName name="Z_2087724E_7599_11D1_AB6F_00805F1D2048_.wvu.Cols" hidden="1">#REF!,#REF!,#REF!,#REF!</definedName>
    <definedName name="Z_2087724E_7599_11D1_AB6F_00805F1D2048_.wvu.Rows" hidden="1">#REF!</definedName>
    <definedName name="Z_390AA9A0_4F12_11D1_AB62_00805F1D08F8_.wvu.Cols" hidden="1">#REF!</definedName>
    <definedName name="Z_390AA9A1_4F12_11D1_AB62_00805F1D08F8_.wvu.Cols" hidden="1">#REF!,#REF!,#REF!,#REF!</definedName>
    <definedName name="Z_390AA9A1_4F12_11D1_AB62_00805F1D08F8_.wvu.Rows" hidden="1">#REF!</definedName>
    <definedName name="Z_3A0CF412_61F2_11D1_AB75_00805F1D08F8_.wvu.Cols" hidden="1">#REF!</definedName>
    <definedName name="Z_3A0CF413_61F2_11D1_AB75_00805F1D08F8_.wvu.Cols" hidden="1">#REF!,#REF!,#REF!,#REF!</definedName>
    <definedName name="Z_3A0CF413_61F2_11D1_AB75_00805F1D08F8_.wvu.Rows" hidden="1">#REF!</definedName>
    <definedName name="Z_40C39523_4116_11D1_AB55_00805F1D08F8_.wvu.Cols" hidden="1">#REF!</definedName>
    <definedName name="Z_40C39524_4116_11D1_AB55_00805F1D08F8_.wvu.Cols" hidden="1">#REF!,#REF!,#REF!,#REF!</definedName>
    <definedName name="Z_40C39524_4116_11D1_AB55_00805F1D08F8_.wvu.Rows" hidden="1">#REF!</definedName>
    <definedName name="Z_40C39573_4116_11D1_AB55_00805F1D08F8_.wvu.Cols" hidden="1">#REF!</definedName>
    <definedName name="Z_40C39574_4116_11D1_AB55_00805F1D08F8_.wvu.Cols" hidden="1">#REF!,#REF!,#REF!,#REF!</definedName>
    <definedName name="Z_40C39574_4116_11D1_AB55_00805F1D08F8_.wvu.Rows" hidden="1">#REF!</definedName>
    <definedName name="Z_4B689A83_6515_11D1_AB79_00805F1D08F8_.wvu.Cols" hidden="1">#REF!</definedName>
    <definedName name="Z_4B689A84_6515_11D1_AB79_00805F1D08F8_.wvu.Cols" hidden="1">#REF!,#REF!,#REF!,#REF!</definedName>
    <definedName name="Z_4B689A84_6515_11D1_AB79_00805F1D08F8_.wvu.Rows" hidden="1">#REF!</definedName>
    <definedName name="Z_4D4EF4DC_6A0A_11D1_AB7D_00805F1D08F8_.wvu.Cols" hidden="1">#REF!</definedName>
    <definedName name="Z_4D4EF4DD_6A0A_11D1_AB7D_00805F1D08F8_.wvu.Cols" hidden="1">#REF!,#REF!,#REF!,#REF!</definedName>
    <definedName name="Z_4D4EF4DD_6A0A_11D1_AB7D_00805F1D08F8_.wvu.Rows" hidden="1">#REF!</definedName>
    <definedName name="Z_5BD438D4_7596_11D1_AB88_00805F1D08F8_.wvu.Cols" hidden="1">#REF!</definedName>
    <definedName name="Z_5BD438D5_7596_11D1_AB88_00805F1D08F8_.wvu.Cols" hidden="1">#REF!,#REF!,#REF!,#REF!</definedName>
    <definedName name="Z_5BD438D5_7596_11D1_AB88_00805F1D08F8_.wvu.Rows" hidden="1">#REF!</definedName>
    <definedName name="Z_5BD43914_7596_11D1_AB88_00805F1D08F8_.wvu.Cols" hidden="1">#REF!</definedName>
    <definedName name="Z_5BD43915_7596_11D1_AB88_00805F1D08F8_.wvu.Cols" hidden="1">#REF!,#REF!,#REF!,#REF!</definedName>
    <definedName name="Z_5BD43915_7596_11D1_AB88_00805F1D08F8_.wvu.Rows" hidden="1">#REF!</definedName>
    <definedName name="Z_5D8928C3_27D9_11D1_AB33_00805F1D2048_.wvu.Cols" hidden="1">#REF!</definedName>
    <definedName name="Z_5D8928C4_27D9_11D1_AB33_00805F1D2048_.wvu.Cols" hidden="1">#REF!,#REF!,#REF!,#REF!</definedName>
    <definedName name="Z_5D8928C4_27D9_11D1_AB33_00805F1D2048_.wvu.Rows" hidden="1">#REF!</definedName>
    <definedName name="Z_63193F35_1A71_11D1_AB28_00805F1D2048_.wvu.Cols" hidden="1">#REF!</definedName>
    <definedName name="Z_63193F36_1A71_11D1_AB28_00805F1D2048_.wvu.Cols" hidden="1">#REF!,#REF!,#REF!,#REF!</definedName>
    <definedName name="Z_63193F36_1A71_11D1_AB28_00805F1D2048_.wvu.Rows" hidden="1">#REF!</definedName>
    <definedName name="Z_67539AE7_7018_11D1_AB83_00805F1D08F8_.wvu.Cols" hidden="1">#REF!</definedName>
    <definedName name="Z_67539AE8_7018_11D1_AB83_00805F1D08F8_.wvu.Cols" hidden="1">#REF!,#REF!,#REF!,#REF!</definedName>
    <definedName name="Z_67539AE8_7018_11D1_AB83_00805F1D08F8_.wvu.Rows" hidden="1">#REF!</definedName>
    <definedName name="Z_78668872_6450_11D1_AB62_00805F1D2048_.wvu.Cols" hidden="1">#REF!</definedName>
    <definedName name="Z_78668873_6450_11D1_AB62_00805F1D2048_.wvu.Cols" hidden="1">#REF!,#REF!,#REF!,#REF!</definedName>
    <definedName name="Z_78668873_6450_11D1_AB62_00805F1D2048_.wvu.Rows" hidden="1">#REF!</definedName>
    <definedName name="Z_78668A26_6450_11D1_AB62_00805F1D2048_.wvu.Cols" hidden="1">#REF!</definedName>
    <definedName name="Z_78668A27_6450_11D1_AB62_00805F1D2048_.wvu.Cols" hidden="1">#REF!,#REF!,#REF!,#REF!</definedName>
    <definedName name="Z_78668A27_6450_11D1_AB62_00805F1D2048_.wvu.Rows" hidden="1">#REF!</definedName>
    <definedName name="Z_81AF337E_7A53_11D1_AB73_00805F1D2048_.wvu.Cols" hidden="1">#REF!</definedName>
    <definedName name="Z_81AF337F_7A53_11D1_AB73_00805F1D2048_.wvu.Cols" hidden="1">#REF!,#REF!,#REF!,#REF!</definedName>
    <definedName name="Z_81AF337F_7A53_11D1_AB73_00805F1D2048_.wvu.Rows" hidden="1">#REF!</definedName>
    <definedName name="Z_9431393B_8BB4_11D1_AB82_00805F1D2048_.wvu.Cols" hidden="1">#REF!</definedName>
    <definedName name="Z_9431393C_8BB4_11D1_AB82_00805F1D2048_.wvu.Cols" hidden="1">#REF!,#REF!,#REF!,#REF!</definedName>
    <definedName name="Z_9431393C_8BB4_11D1_AB82_00805F1D2048_.wvu.Rows" hidden="1">#REF!</definedName>
    <definedName name="Z_A399A71D_4368_11D1_AB57_00805F1D08F8_.wvu.Cols" hidden="1">#REF!</definedName>
    <definedName name="Z_A399A71E_4368_11D1_AB57_00805F1D08F8_.wvu.Cols" hidden="1">#REF!,#REF!,#REF!,#REF!</definedName>
    <definedName name="Z_A399A71E_4368_11D1_AB57_00805F1D08F8_.wvu.Rows" hidden="1">#REF!</definedName>
    <definedName name="Z_BAD6B5D0_6209_11D1_AB61_00805F1D2048_.wvu.Cols" hidden="1">#REF!</definedName>
    <definedName name="Z_BAD6B5D1_6209_11D1_AB61_00805F1D2048_.wvu.Cols" hidden="1">#REF!,#REF!,#REF!,#REF!</definedName>
    <definedName name="Z_BAD6B5D1_6209_11D1_AB61_00805F1D2048_.wvu.Rows" hidden="1">#REF!</definedName>
    <definedName name="Z_C743300D_5626_11D1_AB56_00805F1D2048_.wvu.Cols" hidden="1">#REF!</definedName>
    <definedName name="Z_C743300E_5626_11D1_AB56_00805F1D2048_.wvu.Cols" hidden="1">#REF!,#REF!,#REF!,#REF!</definedName>
    <definedName name="Z_C743300E_5626_11D1_AB56_00805F1D2048_.wvu.Rows" hidden="1">#REF!</definedName>
    <definedName name="Z_C7433013_5626_11D1_AB56_00805F1D2048_.wvu.Cols" hidden="1">#REF!</definedName>
    <definedName name="Z_C7433014_5626_11D1_AB56_00805F1D2048_.wvu.Cols" hidden="1">#REF!,#REF!,#REF!,#REF!</definedName>
    <definedName name="Z_C7433014_5626_11D1_AB56_00805F1D2048_.wvu.Rows" hidden="1">#REF!</definedName>
    <definedName name="Z_D54F9874_4E48_11D1_AB4F_00805F1D2048_.wvu.Cols" hidden="1">#REF!</definedName>
    <definedName name="Z_D54F9875_4E48_11D1_AB4F_00805F1D2048_.wvu.Cols" hidden="1">#REF!,#REF!,#REF!,#REF!</definedName>
    <definedName name="Z_D54F9875_4E48_11D1_AB4F_00805F1D2048_.wvu.Rows" hidden="1">#REF!</definedName>
    <definedName name="Z_D54F996E_4E48_11D1_AB4F_00805F1D2048_.wvu.Cols" hidden="1">#REF!</definedName>
    <definedName name="Z_D54F996F_4E48_11D1_AB4F_00805F1D2048_.wvu.Cols" hidden="1">#REF!,#REF!,#REF!,#REF!</definedName>
    <definedName name="Z_D54F996F_4E48_11D1_AB4F_00805F1D2048_.wvu.Rows" hidden="1">#REF!</definedName>
    <definedName name="Z_D62B3FE5_56F6_11D1_AB57_00805F1D2048_.wvu.Cols" hidden="1">#REF!</definedName>
    <definedName name="Z_D62B3FE6_56F6_11D1_AB57_00805F1D2048_.wvu.Cols" hidden="1">#REF!,#REF!,#REF!,#REF!</definedName>
    <definedName name="Z_D62B3FE6_56F6_11D1_AB57_00805F1D2048_.wvu.Rows" hidden="1">#REF!</definedName>
    <definedName name="Z_DCBAD063_2D80_11D1_AB5C_00805F466D8F_.wvu.Cols" hidden="1">#REF!</definedName>
    <definedName name="Z_DCBAD064_2D80_11D1_AB5C_00805F466D8F_.wvu.Cols" hidden="1">#REF!,#REF!,#REF!,#REF!</definedName>
    <definedName name="Z_DCBAD064_2D80_11D1_AB5C_00805F466D8F_.wvu.Rows" hidden="1">#REF!</definedName>
    <definedName name="Z_EC399ADF_4413_11D1_AB58_00805F1D08F8_.wvu.Cols" hidden="1">#REF!</definedName>
    <definedName name="Z_EC399AE0_4413_11D1_AB58_00805F1D08F8_.wvu.Cols" hidden="1">#REF!,#REF!,#REF!,#REF!</definedName>
    <definedName name="Z_EC399AE0_4413_11D1_AB58_00805F1D08F8_.wvu.Rows" hidden="1">#REF!</definedName>
    <definedName name="Z_F8F432B7_2D4F_11D1_AB36_00805F1DF014_.wvu.Cols" hidden="1">#REF!</definedName>
    <definedName name="Z_F8F432B8_2D4F_11D1_AB36_00805F1DF014_.wvu.Cols" hidden="1">#REF!,#REF!,#REF!,#REF!</definedName>
    <definedName name="Z_F8F432B8_2D4F_11D1_AB36_00805F1DF014_.wvu.Rows" hidden="1">#REF!</definedName>
    <definedName name="Z_F97BFBDE_2894_11D1_AB3A_00805F1D08F8_.wvu.Cols" hidden="1">#REF!</definedName>
    <definedName name="Z_F97BFBDF_2894_11D1_AB3A_00805F1D08F8_.wvu.Cols" hidden="1">#REF!,#REF!,#REF!,#REF!</definedName>
    <definedName name="Z_F97BFBDF_2894_11D1_AB3A_00805F1D08F8_.wvu.Row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5" i="1" l="1"/>
  <c r="AF5" i="1"/>
  <c r="AE5" i="1"/>
  <c r="AD5" i="1"/>
  <c r="AC5" i="1"/>
  <c r="AB5" i="1"/>
  <c r="AA5" i="1"/>
  <c r="AH5" i="1"/>
  <c r="AH4" i="2"/>
  <c r="AF4" i="2"/>
  <c r="AG4" i="2"/>
  <c r="AO12" i="2"/>
  <c r="AO16" i="2" s="1"/>
  <c r="AO20" i="2" s="1"/>
  <c r="P67" i="1"/>
</calcChain>
</file>

<file path=xl/sharedStrings.xml><?xml version="1.0" encoding="utf-8"?>
<sst xmlns="http://schemas.openxmlformats.org/spreadsheetml/2006/main" count="56" uniqueCount="36">
  <si>
    <t>Maximum</t>
  </si>
  <si>
    <t>Max</t>
  </si>
  <si>
    <t>Minimum</t>
  </si>
  <si>
    <t>Min</t>
  </si>
  <si>
    <t>2H24 act.</t>
  </si>
  <si>
    <t>1H24 act.</t>
  </si>
  <si>
    <t>2H23 act.</t>
  </si>
  <si>
    <t>1H23 act.</t>
  </si>
  <si>
    <t>2H22 act.</t>
  </si>
  <si>
    <t>1H22 act.</t>
  </si>
  <si>
    <t>2H24 theo</t>
  </si>
  <si>
    <t>1H24 theo</t>
  </si>
  <si>
    <t>2H23 theo.</t>
  </si>
  <si>
    <t>1H23 theo.</t>
  </si>
  <si>
    <t>2H22 theo.</t>
  </si>
  <si>
    <t>1H22 theo.</t>
  </si>
  <si>
    <t>FY24 theo.</t>
  </si>
  <si>
    <t>FY26 act.</t>
  </si>
  <si>
    <t>FY25 act.</t>
  </si>
  <si>
    <t>FY24 act.</t>
  </si>
  <si>
    <t>FY23 act.</t>
  </si>
  <si>
    <t>FY22 act.</t>
  </si>
  <si>
    <t>FY21 act.</t>
  </si>
  <si>
    <t>FY20 act.</t>
  </si>
  <si>
    <t>FY19 act.</t>
  </si>
  <si>
    <t>FY26 theo.</t>
  </si>
  <si>
    <t>FY25 theo.</t>
  </si>
  <si>
    <t>FY23 theo.</t>
  </si>
  <si>
    <t>FY22 theo.</t>
  </si>
  <si>
    <t>FY21 theo.</t>
  </si>
  <si>
    <t>FY20 theo.</t>
  </si>
  <si>
    <t>FY19 theo.</t>
  </si>
  <si>
    <t>OLD</t>
  </si>
  <si>
    <t>Actual</t>
  </si>
  <si>
    <t>SJ</t>
  </si>
  <si>
    <t>50th revesion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</si>
</sst>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%_);\(0.00%\)_);&quot;-  &quot;;&quot; &quot;@&quot; &quot;"/>
    <numFmt numFmtId="167" formatCode="0.0%_);\(0.0%\);0.0%_);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Protection="0">
      <alignment vertical="top"/>
    </xf>
  </cellStyleXfs>
  <cellXfs count="14">
    <xf numFmtId="0" fontId="0" fillId="0" borderId="0" xfId="0"/>
    <xf numFmtId="0" fontId="1" fillId="0" borderId="0" xfId="1"/>
    <xf numFmtId="2" fontId="1" fillId="2" borderId="0" xfId="1" applyNumberFormat="1" applyFill="1" applyAlignment="1">
      <alignment horizontal="center"/>
    </xf>
    <xf numFmtId="164" fontId="1" fillId="0" borderId="0" xfId="1" applyNumberFormat="1"/>
    <xf numFmtId="2" fontId="0" fillId="2" borderId="0" xfId="1" applyNumberFormat="1" applyFont="1" applyFill="1" applyAlignment="1">
      <alignment horizontal="center"/>
    </xf>
    <xf numFmtId="0" fontId="1" fillId="2" borderId="0" xfId="1" applyFill="1" applyAlignment="1">
      <alignment horizontal="center"/>
    </xf>
    <xf numFmtId="3" fontId="1" fillId="0" borderId="0" xfId="1" applyNumberFormat="1"/>
    <xf numFmtId="0" fontId="0" fillId="2" borderId="0" xfId="1" applyFont="1" applyFill="1" applyAlignment="1">
      <alignment horizontal="center"/>
    </xf>
    <xf numFmtId="165" fontId="1" fillId="0" borderId="0" xfId="1" applyNumberFormat="1"/>
    <xf numFmtId="166" fontId="1" fillId="0" borderId="0" xfId="2">
      <alignment vertical="top"/>
    </xf>
    <xf numFmtId="0" fontId="1" fillId="0" borderId="0" xfId="1" applyAlignment="1">
      <alignment horizontal="center"/>
    </xf>
    <xf numFmtId="10" fontId="2" fillId="0" borderId="0" xfId="1" applyNumberFormat="1" applyFont="1"/>
    <xf numFmtId="10" fontId="1" fillId="0" borderId="0" xfId="1" applyNumberFormat="1"/>
    <xf numFmtId="167" fontId="1" fillId="0" borderId="0" xfId="1" applyNumberFormat="1"/>
  </cellXfs>
  <cellStyles count="3">
    <cellStyle name="Normal" xfId="0" builtinId="0"/>
    <cellStyle name="Normal 1351" xfId="1" xr:uid="{087A3461-BF01-40FE-82F9-E7FBCEDB5B83}"/>
    <cellStyle name="Percent 3" xfId="2" xr:uid="{FFC1C501-B37C-4FD8-A36F-66141E6905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01522018136507E-2"/>
          <c:y val="4.1156627925817903E-2"/>
          <c:w val="0.94339980095139298"/>
          <c:h val="0.63129818669259208"/>
        </c:manualLayout>
      </c:layout>
      <c:lineChart>
        <c:grouping val="standard"/>
        <c:varyColors val="0"/>
        <c:ser>
          <c:idx val="3"/>
          <c:order val="0"/>
          <c:tx>
            <c:strRef>
              <c:f>'Backtesting PBL'!$AU$7</c:f>
              <c:strCache>
                <c:ptCount val="1"/>
                <c:pt idx="0">
                  <c:v>2H24 theo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PBL'!$AU$8:$AU$108</c:f>
              <c:numCache>
                <c:formatCode>General</c:formatCode>
                <c:ptCount val="101"/>
                <c:pt idx="0">
                  <c:v>0.99700284801019623</c:v>
                </c:pt>
                <c:pt idx="1">
                  <c:v>1.1531310414400191</c:v>
                </c:pt>
                <c:pt idx="2">
                  <c:v>1.1918558570894036</c:v>
                </c:pt>
                <c:pt idx="3">
                  <c:v>1.2217910533979979</c:v>
                </c:pt>
                <c:pt idx="4">
                  <c:v>1.2464696158992543</c:v>
                </c:pt>
                <c:pt idx="5">
                  <c:v>1.2614581041795034</c:v>
                </c:pt>
                <c:pt idx="6">
                  <c:v>1.2846906161204379</c:v>
                </c:pt>
                <c:pt idx="7">
                  <c:v>1.2962376154598978</c:v>
                </c:pt>
                <c:pt idx="8">
                  <c:v>1.3123472882372909</c:v>
                </c:pt>
                <c:pt idx="9">
                  <c:v>1.3310603512696033</c:v>
                </c:pt>
                <c:pt idx="10">
                  <c:v>1.3439688665637108</c:v>
                </c:pt>
                <c:pt idx="11">
                  <c:v>1.3542928632105378</c:v>
                </c:pt>
                <c:pt idx="12">
                  <c:v>1.3667998605916922</c:v>
                </c:pt>
                <c:pt idx="13">
                  <c:v>1.3788861608731819</c:v>
                </c:pt>
                <c:pt idx="14">
                  <c:v>1.3858003724634722</c:v>
                </c:pt>
                <c:pt idx="15">
                  <c:v>1.3961243691102994</c:v>
                </c:pt>
                <c:pt idx="16">
                  <c:v>1.4045646781993819</c:v>
                </c:pt>
                <c:pt idx="17">
                  <c:v>1.4146563333173665</c:v>
                </c:pt>
                <c:pt idx="18">
                  <c:v>1.423050568042372</c:v>
                </c:pt>
                <c:pt idx="19">
                  <c:v>1.4322646661124032</c:v>
                </c:pt>
                <c:pt idx="20">
                  <c:v>1.442324568932994</c:v>
                </c:pt>
                <c:pt idx="21">
                  <c:v>1.4554026195535721</c:v>
                </c:pt>
                <c:pt idx="22">
                  <c:v>1.4647597021550378</c:v>
                </c:pt>
                <c:pt idx="23">
                  <c:v>1.4720993803385833</c:v>
                </c:pt>
                <c:pt idx="24">
                  <c:v>1.4810811368797721</c:v>
                </c:pt>
                <c:pt idx="25">
                  <c:v>1.4893529998176822</c:v>
                </c:pt>
                <c:pt idx="26">
                  <c:v>1.4995824379647436</c:v>
                </c:pt>
                <c:pt idx="27">
                  <c:v>1.5055366515133393</c:v>
                </c:pt>
                <c:pt idx="28">
                  <c:v>1.5111405569285761</c:v>
                </c:pt>
                <c:pt idx="29">
                  <c:v>1.5196444223816508</c:v>
                </c:pt>
                <c:pt idx="30">
                  <c:v>1.5298327508268474</c:v>
                </c:pt>
                <c:pt idx="31">
                  <c:v>1.5365518659831319</c:v>
                </c:pt>
                <c:pt idx="32">
                  <c:v>1.5404539458228108</c:v>
                </c:pt>
                <c:pt idx="33">
                  <c:v>1.5554980831900049</c:v>
                </c:pt>
                <c:pt idx="34">
                  <c:v>1.563824240792822</c:v>
                </c:pt>
                <c:pt idx="35">
                  <c:v>1.5691846850548437</c:v>
                </c:pt>
                <c:pt idx="36">
                  <c:v>1.5834107615413493</c:v>
                </c:pt>
                <c:pt idx="37">
                  <c:v>1.589502758119022</c:v>
                </c:pt>
                <c:pt idx="38">
                  <c:v>1.5997321962660833</c:v>
                </c:pt>
                <c:pt idx="39">
                  <c:v>1.6100561929129107</c:v>
                </c:pt>
                <c:pt idx="40">
                  <c:v>1.6210113015963865</c:v>
                </c:pt>
                <c:pt idx="41">
                  <c:v>1.6252422674411109</c:v>
                </c:pt>
                <c:pt idx="42">
                  <c:v>1.6355265495180364</c:v>
                </c:pt>
                <c:pt idx="43">
                  <c:v>1.6457957022349994</c:v>
                </c:pt>
                <c:pt idx="44">
                  <c:v>1.6562574819109035</c:v>
                </c:pt>
                <c:pt idx="45">
                  <c:v>1.6601595617505822</c:v>
                </c:pt>
                <c:pt idx="46">
                  <c:v>1.6690977034505379</c:v>
                </c:pt>
                <c:pt idx="47">
                  <c:v>1.6752579937826835</c:v>
                </c:pt>
                <c:pt idx="48">
                  <c:v>1.6845205178843836</c:v>
                </c:pt>
                <c:pt idx="49">
                  <c:v>1.6947409881711168</c:v>
                </c:pt>
                <c:pt idx="50">
                  <c:v>1.6997135084162509</c:v>
                </c:pt>
                <c:pt idx="51">
                  <c:v>1.7092083740467938</c:v>
                </c:pt>
                <c:pt idx="52">
                  <c:v>1.719300029164778</c:v>
                </c:pt>
                <c:pt idx="53">
                  <c:v>1.7266397073483235</c:v>
                </c:pt>
                <c:pt idx="54">
                  <c:v>1.735621463889512</c:v>
                </c:pt>
                <c:pt idx="55">
                  <c:v>1.7438933268274222</c:v>
                </c:pt>
                <c:pt idx="56">
                  <c:v>1.7516270114508163</c:v>
                </c:pt>
                <c:pt idx="57">
                  <c:v>1.7601362252255828</c:v>
                </c:pt>
                <c:pt idx="58">
                  <c:v>1.7705387581989833</c:v>
                </c:pt>
                <c:pt idx="59">
                  <c:v>1.7792656795533828</c:v>
                </c:pt>
                <c:pt idx="60">
                  <c:v>1.7880878334897943</c:v>
                </c:pt>
                <c:pt idx="61">
                  <c:v>1.7949942728325508</c:v>
                </c:pt>
                <c:pt idx="62">
                  <c:v>1.8037825139974049</c:v>
                </c:pt>
                <c:pt idx="63">
                  <c:v>1.8157310312498178</c:v>
                </c:pt>
                <c:pt idx="64">
                  <c:v>1.8274158136183547</c:v>
                </c:pt>
                <c:pt idx="65">
                  <c:v>1.8423695466177121</c:v>
                </c:pt>
                <c:pt idx="66">
                  <c:v>1.8521671694389532</c:v>
                </c:pt>
                <c:pt idx="67">
                  <c:v>1.8625443862137336</c:v>
                </c:pt>
                <c:pt idx="68">
                  <c:v>1.8755586347943505</c:v>
                </c:pt>
                <c:pt idx="69">
                  <c:v>1.8837087577343323</c:v>
                </c:pt>
                <c:pt idx="70">
                  <c:v>1.8978402757210719</c:v>
                </c:pt>
                <c:pt idx="71">
                  <c:v>1.9122041352366548</c:v>
                </c:pt>
                <c:pt idx="72">
                  <c:v>1.9224335733837166</c:v>
                </c:pt>
                <c:pt idx="73">
                  <c:v>1.9364273083413794</c:v>
                </c:pt>
                <c:pt idx="74">
                  <c:v>1.9468890880172836</c:v>
                </c:pt>
                <c:pt idx="75">
                  <c:v>1.9569469436457594</c:v>
                </c:pt>
                <c:pt idx="76">
                  <c:v>1.9713446026508508</c:v>
                </c:pt>
                <c:pt idx="77">
                  <c:v>1.9774365992285234</c:v>
                </c:pt>
                <c:pt idx="78">
                  <c:v>1.9903941324280949</c:v>
                </c:pt>
                <c:pt idx="79">
                  <c:v>2.0048704049044441</c:v>
                </c:pt>
                <c:pt idx="80">
                  <c:v>2.0190967966608939</c:v>
                </c:pt>
                <c:pt idx="81">
                  <c:v>2.0368094081715622</c:v>
                </c:pt>
                <c:pt idx="82">
                  <c:v>2.0553107092565339</c:v>
                </c:pt>
                <c:pt idx="83">
                  <c:v>2.0714943609521907</c:v>
                </c:pt>
                <c:pt idx="84">
                  <c:v>2.0899956620371625</c:v>
                </c:pt>
                <c:pt idx="85">
                  <c:v>2.1128540434379501</c:v>
                </c:pt>
                <c:pt idx="86">
                  <c:v>2.1343229214605905</c:v>
                </c:pt>
                <c:pt idx="87">
                  <c:v>2.1585302698844044</c:v>
                </c:pt>
                <c:pt idx="88">
                  <c:v>2.1804466689079467</c:v>
                </c:pt>
                <c:pt idx="89">
                  <c:v>2.2014294150270239</c:v>
                </c:pt>
                <c:pt idx="90">
                  <c:v>2.2233891761369238</c:v>
                </c:pt>
                <c:pt idx="91">
                  <c:v>2.2412365070982414</c:v>
                </c:pt>
                <c:pt idx="92">
                  <c:v>2.2734288897974717</c:v>
                </c:pt>
                <c:pt idx="93">
                  <c:v>2.3235389344382633</c:v>
                </c:pt>
                <c:pt idx="94">
                  <c:v>2.3705307572514749</c:v>
                </c:pt>
                <c:pt idx="95">
                  <c:v>2.4151009426382632</c:v>
                </c:pt>
                <c:pt idx="96">
                  <c:v>2.4676055064998366</c:v>
                </c:pt>
                <c:pt idx="97">
                  <c:v>2.522366888744318</c:v>
                </c:pt>
                <c:pt idx="98">
                  <c:v>2.6078672656810635</c:v>
                </c:pt>
                <c:pt idx="99">
                  <c:v>2.7849211155107474</c:v>
                </c:pt>
                <c:pt idx="100">
                  <c:v>4.0898458783198768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1-48FA-B367-770A18200B6D}"/>
            </c:ext>
          </c:extLst>
        </c:ser>
        <c:ser>
          <c:idx val="2"/>
          <c:order val="1"/>
          <c:tx>
            <c:strRef>
              <c:f>'Backtesting PBL'!$AT$7</c:f>
              <c:strCache>
                <c:ptCount val="1"/>
                <c:pt idx="0">
                  <c:v>1H24 theo</c:v>
                </c:pt>
              </c:strCache>
            </c:strRef>
          </c:tx>
          <c:spPr>
            <a:ln w="28575" cap="rnd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PBL'!$AT$8:$AT$108</c:f>
              <c:numCache>
                <c:formatCode>General</c:formatCode>
                <c:ptCount val="101"/>
                <c:pt idx="0">
                  <c:v>0.99693653408973981</c:v>
                </c:pt>
                <c:pt idx="1">
                  <c:v>1.1517700556476627</c:v>
                </c:pt>
                <c:pt idx="2">
                  <c:v>1.1876323328484581</c:v>
                </c:pt>
                <c:pt idx="3">
                  <c:v>1.2133237516641824</c:v>
                </c:pt>
                <c:pt idx="4">
                  <c:v>1.2348302595379093</c:v>
                </c:pt>
                <c:pt idx="5">
                  <c:v>1.251398002381354</c:v>
                </c:pt>
                <c:pt idx="6">
                  <c:v>1.2713520832724783</c:v>
                </c:pt>
                <c:pt idx="7">
                  <c:v>1.2819871389744557</c:v>
                </c:pt>
                <c:pt idx="8">
                  <c:v>1.2970328379750682</c:v>
                </c:pt>
                <c:pt idx="9">
                  <c:v>1.3093931496999456</c:v>
                </c:pt>
                <c:pt idx="10">
                  <c:v>1.3209167156885515</c:v>
                </c:pt>
                <c:pt idx="11">
                  <c:v>1.3350716672594096</c:v>
                </c:pt>
                <c:pt idx="12">
                  <c:v>1.3446232653439798</c:v>
                </c:pt>
                <c:pt idx="13">
                  <c:v>1.3613738014286367</c:v>
                </c:pt>
                <c:pt idx="14">
                  <c:v>1.3703017829034434</c:v>
                </c:pt>
                <c:pt idx="15">
                  <c:v>1.3798423617985338</c:v>
                </c:pt>
                <c:pt idx="16">
                  <c:v>1.3926328582082164</c:v>
                </c:pt>
                <c:pt idx="17">
                  <c:v>1.3997968155468457</c:v>
                </c:pt>
                <c:pt idx="18">
                  <c:v>1.4078712343851696</c:v>
                </c:pt>
                <c:pt idx="19">
                  <c:v>1.4156001868674717</c:v>
                </c:pt>
                <c:pt idx="20">
                  <c:v>1.4289984603714072</c:v>
                </c:pt>
                <c:pt idx="21">
                  <c:v>1.434722524182559</c:v>
                </c:pt>
                <c:pt idx="22">
                  <c:v>1.4407509950020316</c:v>
                </c:pt>
                <c:pt idx="23">
                  <c:v>1.4519758202077524</c:v>
                </c:pt>
                <c:pt idx="24">
                  <c:v>1.4603427101197342</c:v>
                </c:pt>
                <c:pt idx="25">
                  <c:v>1.4670745753745171</c:v>
                </c:pt>
                <c:pt idx="26">
                  <c:v>1.4722709297607657</c:v>
                </c:pt>
                <c:pt idx="27">
                  <c:v>1.4823502372702395</c:v>
                </c:pt>
                <c:pt idx="28">
                  <c:v>1.4927530929339812</c:v>
                </c:pt>
                <c:pt idx="29">
                  <c:v>1.4967766750823037</c:v>
                </c:pt>
                <c:pt idx="30">
                  <c:v>1.5028324004434552</c:v>
                </c:pt>
                <c:pt idx="31">
                  <c:v>1.5140199399304071</c:v>
                </c:pt>
                <c:pt idx="32">
                  <c:v>1.5219360716394101</c:v>
                </c:pt>
                <c:pt idx="33">
                  <c:v>1.5279832085780152</c:v>
                </c:pt>
                <c:pt idx="34">
                  <c:v>1.5336489407668785</c:v>
                </c:pt>
                <c:pt idx="35">
                  <c:v>1.544894811876119</c:v>
                </c:pt>
                <c:pt idx="36">
                  <c:v>1.5543067889505007</c:v>
                </c:pt>
                <c:pt idx="37">
                  <c:v>1.5588580805237271</c:v>
                </c:pt>
                <c:pt idx="38">
                  <c:v>1.5660593235811251</c:v>
                </c:pt>
                <c:pt idx="39">
                  <c:v>1.5748262378424853</c:v>
                </c:pt>
                <c:pt idx="40">
                  <c:v>1.5851443751774441</c:v>
                </c:pt>
                <c:pt idx="41">
                  <c:v>1.5940188453559927</c:v>
                </c:pt>
                <c:pt idx="42">
                  <c:v>1.6043085412712206</c:v>
                </c:pt>
                <c:pt idx="43">
                  <c:v>1.6167266111932495</c:v>
                </c:pt>
                <c:pt idx="44">
                  <c:v>1.623220490180554</c:v>
                </c:pt>
                <c:pt idx="45">
                  <c:v>1.6283737014210933</c:v>
                </c:pt>
                <c:pt idx="46">
                  <c:v>1.637361735960253</c:v>
                </c:pt>
                <c:pt idx="47">
                  <c:v>1.6487340369457233</c:v>
                </c:pt>
                <c:pt idx="48">
                  <c:v>1.6532542514383399</c:v>
                </c:pt>
                <c:pt idx="49">
                  <c:v>1.6616593438142735</c:v>
                </c:pt>
                <c:pt idx="50">
                  <c:v>1.6737646238422128</c:v>
                </c:pt>
                <c:pt idx="51">
                  <c:v>1.681251058931976</c:v>
                </c:pt>
                <c:pt idx="52">
                  <c:v>1.6856646342525865</c:v>
                </c:pt>
                <c:pt idx="53">
                  <c:v>1.6908609886388344</c:v>
                </c:pt>
                <c:pt idx="54">
                  <c:v>1.6989154319767727</c:v>
                </c:pt>
                <c:pt idx="55">
                  <c:v>1.7084650873599747</c:v>
                </c:pt>
                <c:pt idx="56">
                  <c:v>1.713661441746223</c:v>
                </c:pt>
                <c:pt idx="57">
                  <c:v>1.7230916929175673</c:v>
                </c:pt>
                <c:pt idx="58">
                  <c:v>1.7288142819709218</c:v>
                </c:pt>
                <c:pt idx="59">
                  <c:v>1.7374819706860178</c:v>
                </c:pt>
                <c:pt idx="60">
                  <c:v>1.7431302078603361</c:v>
                </c:pt>
                <c:pt idx="61">
                  <c:v>1.7488542716714881</c:v>
                </c:pt>
                <c:pt idx="62">
                  <c:v>1.7574031603974478</c:v>
                </c:pt>
                <c:pt idx="63">
                  <c:v>1.7721843769051482</c:v>
                </c:pt>
                <c:pt idx="64">
                  <c:v>1.7817340322883499</c:v>
                </c:pt>
                <c:pt idx="65">
                  <c:v>1.7942923345895003</c:v>
                </c:pt>
                <c:pt idx="66">
                  <c:v>1.804594759719395</c:v>
                </c:pt>
                <c:pt idx="67">
                  <c:v>1.8109356771129115</c:v>
                </c:pt>
                <c:pt idx="68">
                  <c:v>1.8223011105696452</c:v>
                </c:pt>
                <c:pt idx="69">
                  <c:v>1.8360864852474714</c:v>
                </c:pt>
                <c:pt idx="70">
                  <c:v>1.8462944325214496</c:v>
                </c:pt>
                <c:pt idx="71">
                  <c:v>1.8646678503762264</c:v>
                </c:pt>
                <c:pt idx="72">
                  <c:v>1.8736618338476232</c:v>
                </c:pt>
                <c:pt idx="73">
                  <c:v>1.8862678802785209</c:v>
                </c:pt>
                <c:pt idx="74">
                  <c:v>1.9003957311685091</c:v>
                </c:pt>
                <c:pt idx="75">
                  <c:v>1.9093463536877353</c:v>
                </c:pt>
                <c:pt idx="76">
                  <c:v>1.9255105588813974</c:v>
                </c:pt>
                <c:pt idx="77">
                  <c:v>1.9350621569659678</c:v>
                </c:pt>
                <c:pt idx="78">
                  <c:v>1.9468098505493692</c:v>
                </c:pt>
                <c:pt idx="79">
                  <c:v>1.9607406745254312</c:v>
                </c:pt>
                <c:pt idx="80">
                  <c:v>1.9695778589852118</c:v>
                </c:pt>
                <c:pt idx="81">
                  <c:v>1.9871232352482142</c:v>
                </c:pt>
                <c:pt idx="82">
                  <c:v>1.9947286671197715</c:v>
                </c:pt>
                <c:pt idx="83">
                  <c:v>2.0100129226467156</c:v>
                </c:pt>
                <c:pt idx="84">
                  <c:v>2.0311315550017315</c:v>
                </c:pt>
                <c:pt idx="85">
                  <c:v>2.0568100725611953</c:v>
                </c:pt>
                <c:pt idx="86">
                  <c:v>2.0808153629995081</c:v>
                </c:pt>
                <c:pt idx="87">
                  <c:v>2.1089773433555203</c:v>
                </c:pt>
                <c:pt idx="88">
                  <c:v>2.1305825905346736</c:v>
                </c:pt>
                <c:pt idx="89">
                  <c:v>2.1559332200594405</c:v>
                </c:pt>
                <c:pt idx="90">
                  <c:v>2.1764526689514252</c:v>
                </c:pt>
                <c:pt idx="91">
                  <c:v>2.2026036824753827</c:v>
                </c:pt>
                <c:pt idx="92">
                  <c:v>2.2344477630473123</c:v>
                </c:pt>
                <c:pt idx="93">
                  <c:v>2.2558909191137673</c:v>
                </c:pt>
                <c:pt idx="94">
                  <c:v>2.3129112512987016</c:v>
                </c:pt>
                <c:pt idx="95">
                  <c:v>2.3534116762091246</c:v>
                </c:pt>
                <c:pt idx="96">
                  <c:v>2.4058584521977258</c:v>
                </c:pt>
                <c:pt idx="97">
                  <c:v>2.478463872524459</c:v>
                </c:pt>
                <c:pt idx="98">
                  <c:v>2.584476888004628</c:v>
                </c:pt>
                <c:pt idx="99">
                  <c:v>2.7410404761654212</c:v>
                </c:pt>
                <c:pt idx="100">
                  <c:v>4.0141305343690021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1-48FA-B367-770A18200B6D}"/>
            </c:ext>
          </c:extLst>
        </c:ser>
        <c:ser>
          <c:idx val="1"/>
          <c:order val="2"/>
          <c:tx>
            <c:strRef>
              <c:f>'Backtesting PBL'!$AS$7</c:f>
              <c:strCache>
                <c:ptCount val="1"/>
                <c:pt idx="0">
                  <c:v>2H23 theo.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PBL'!$AS$8:$AS$108</c:f>
              <c:numCache>
                <c:formatCode>General</c:formatCode>
                <c:ptCount val="101"/>
                <c:pt idx="0">
                  <c:v>0.82102924376030073</c:v>
                </c:pt>
                <c:pt idx="1">
                  <c:v>1.0038180612591272</c:v>
                </c:pt>
                <c:pt idx="2">
                  <c:v>1.0390302599242653</c:v>
                </c:pt>
                <c:pt idx="3">
                  <c:v>1.0592286625698271</c:v>
                </c:pt>
                <c:pt idx="4">
                  <c:v>1.0730310067525608</c:v>
                </c:pt>
                <c:pt idx="5">
                  <c:v>1.0870626374969428</c:v>
                </c:pt>
                <c:pt idx="6">
                  <c:v>1.1007006612281585</c:v>
                </c:pt>
                <c:pt idx="7">
                  <c:v>1.1117637770213855</c:v>
                </c:pt>
                <c:pt idx="8">
                  <c:v>1.1246796483895805</c:v>
                </c:pt>
                <c:pt idx="9">
                  <c:v>1.1353070718947955</c:v>
                </c:pt>
                <c:pt idx="10">
                  <c:v>1.1457900424713214</c:v>
                </c:pt>
                <c:pt idx="11">
                  <c:v>1.1552617694128009</c:v>
                </c:pt>
                <c:pt idx="12">
                  <c:v>1.1652936708240891</c:v>
                </c:pt>
                <c:pt idx="13">
                  <c:v>1.173151558800791</c:v>
                </c:pt>
                <c:pt idx="14">
                  <c:v>1.1795115763782977</c:v>
                </c:pt>
                <c:pt idx="15">
                  <c:v>1.188267294497894</c:v>
                </c:pt>
                <c:pt idx="16">
                  <c:v>1.1958297327268854</c:v>
                </c:pt>
                <c:pt idx="17">
                  <c:v>1.2041740606489786</c:v>
                </c:pt>
                <c:pt idx="18">
                  <c:v>1.211885559464728</c:v>
                </c:pt>
                <c:pt idx="19">
                  <c:v>1.2183349800764065</c:v>
                </c:pt>
                <c:pt idx="20">
                  <c:v>1.2256949905317238</c:v>
                </c:pt>
                <c:pt idx="21">
                  <c:v>1.2331601905023757</c:v>
                </c:pt>
                <c:pt idx="22">
                  <c:v>1.239590766135487</c:v>
                </c:pt>
                <c:pt idx="23">
                  <c:v>1.2453735453120311</c:v>
                </c:pt>
                <c:pt idx="24">
                  <c:v>1.2512077775680399</c:v>
                </c:pt>
                <c:pt idx="25">
                  <c:v>1.2580296811040308</c:v>
                </c:pt>
                <c:pt idx="26">
                  <c:v>1.2644723176669539</c:v>
                </c:pt>
                <c:pt idx="27">
                  <c:v>1.2716585477230546</c:v>
                </c:pt>
                <c:pt idx="28">
                  <c:v>1.2796188031824196</c:v>
                </c:pt>
                <c:pt idx="29">
                  <c:v>1.2861937871277671</c:v>
                </c:pt>
                <c:pt idx="30">
                  <c:v>1.2910847834892161</c:v>
                </c:pt>
                <c:pt idx="31">
                  <c:v>1.298428507628844</c:v>
                </c:pt>
                <c:pt idx="32">
                  <c:v>1.3045624948509775</c:v>
                </c:pt>
                <c:pt idx="33">
                  <c:v>1.3118760217137571</c:v>
                </c:pt>
                <c:pt idx="34">
                  <c:v>1.3188944526593727</c:v>
                </c:pt>
                <c:pt idx="35">
                  <c:v>1.326301073711881</c:v>
                </c:pt>
                <c:pt idx="36">
                  <c:v>1.3316169773003519</c:v>
                </c:pt>
                <c:pt idx="37">
                  <c:v>1.3381919612456994</c:v>
                </c:pt>
                <c:pt idx="38">
                  <c:v>1.3462103878656668</c:v>
                </c:pt>
                <c:pt idx="39">
                  <c:v>1.3522675342003854</c:v>
                </c:pt>
                <c:pt idx="40">
                  <c:v>1.3593083533054384</c:v>
                </c:pt>
                <c:pt idx="41">
                  <c:v>1.3658618200014343</c:v>
                </c:pt>
                <c:pt idx="42">
                  <c:v>1.3724885148938031</c:v>
                </c:pt>
                <c:pt idx="43">
                  <c:v>1.3793770647264478</c:v>
                </c:pt>
                <c:pt idx="44">
                  <c:v>1.3856789499899009</c:v>
                </c:pt>
                <c:pt idx="45">
                  <c:v>1.3935919015376708</c:v>
                </c:pt>
                <c:pt idx="46">
                  <c:v>1.4008239517541299</c:v>
                </c:pt>
                <c:pt idx="47">
                  <c:v>1.4075223541179798</c:v>
                </c:pt>
                <c:pt idx="48">
                  <c:v>1.4152324190558341</c:v>
                </c:pt>
                <c:pt idx="49">
                  <c:v>1.4239737333089357</c:v>
                </c:pt>
                <c:pt idx="50">
                  <c:v>1.4328582394592324</c:v>
                </c:pt>
                <c:pt idx="51">
                  <c:v>1.4389375387607</c:v>
                </c:pt>
                <c:pt idx="52">
                  <c:v>1.4430554000674778</c:v>
                </c:pt>
                <c:pt idx="53">
                  <c:v>1.4520274879949067</c:v>
                </c:pt>
                <c:pt idx="54">
                  <c:v>1.4601935153604502</c:v>
                </c:pt>
                <c:pt idx="55">
                  <c:v>1.4665558906934266</c:v>
                </c:pt>
                <c:pt idx="56">
                  <c:v>1.4745526709556349</c:v>
                </c:pt>
                <c:pt idx="57">
                  <c:v>1.4822293798931594</c:v>
                </c:pt>
                <c:pt idx="58">
                  <c:v>1.487638816319693</c:v>
                </c:pt>
                <c:pt idx="59">
                  <c:v>1.4947800686423152</c:v>
                </c:pt>
                <c:pt idx="60">
                  <c:v>1.5039934665912686</c:v>
                </c:pt>
                <c:pt idx="61">
                  <c:v>1.5112071261468711</c:v>
                </c:pt>
                <c:pt idx="62">
                  <c:v>1.517905528510721</c:v>
                </c:pt>
                <c:pt idx="63">
                  <c:v>1.5296025938022777</c:v>
                </c:pt>
                <c:pt idx="64">
                  <c:v>1.5364005604331874</c:v>
                </c:pt>
                <c:pt idx="65">
                  <c:v>1.5472636411391951</c:v>
                </c:pt>
                <c:pt idx="66">
                  <c:v>1.5537830536685913</c:v>
                </c:pt>
                <c:pt idx="67">
                  <c:v>1.5624106623876481</c:v>
                </c:pt>
                <c:pt idx="68">
                  <c:v>1.5713827398179381</c:v>
                </c:pt>
                <c:pt idx="69">
                  <c:v>1.5815232800385142</c:v>
                </c:pt>
                <c:pt idx="70">
                  <c:v>1.5937212616073659</c:v>
                </c:pt>
                <c:pt idx="71">
                  <c:v>1.6018948412368861</c:v>
                </c:pt>
                <c:pt idx="72">
                  <c:v>1.6111851805471225</c:v>
                </c:pt>
                <c:pt idx="73">
                  <c:v>1.6216683615301299</c:v>
                </c:pt>
                <c:pt idx="74">
                  <c:v>1.6359359965156242</c:v>
                </c:pt>
                <c:pt idx="75">
                  <c:v>1.6517330595062454</c:v>
                </c:pt>
                <c:pt idx="76">
                  <c:v>1.6631593391086374</c:v>
                </c:pt>
                <c:pt idx="77">
                  <c:v>1.6712087577249695</c:v>
                </c:pt>
                <c:pt idx="78">
                  <c:v>1.6799061265216257</c:v>
                </c:pt>
                <c:pt idx="79">
                  <c:v>1.6916994250311834</c:v>
                </c:pt>
                <c:pt idx="80">
                  <c:v>1.704657075685347</c:v>
                </c:pt>
                <c:pt idx="81">
                  <c:v>1.7151641928045471</c:v>
                </c:pt>
                <c:pt idx="82">
                  <c:v>1.7301307494406675</c:v>
                </c:pt>
                <c:pt idx="83">
                  <c:v>1.7427829775278421</c:v>
                </c:pt>
                <c:pt idx="84">
                  <c:v>1.7565861740889335</c:v>
                </c:pt>
                <c:pt idx="85">
                  <c:v>1.7708541903995931</c:v>
                </c:pt>
                <c:pt idx="86">
                  <c:v>1.7863328935288496</c:v>
                </c:pt>
                <c:pt idx="87">
                  <c:v>1.808165811132415</c:v>
                </c:pt>
                <c:pt idx="88">
                  <c:v>1.8228301847031152</c:v>
                </c:pt>
                <c:pt idx="89">
                  <c:v>1.8468507038179953</c:v>
                </c:pt>
                <c:pt idx="90">
                  <c:v>1.872264015670037</c:v>
                </c:pt>
                <c:pt idx="91">
                  <c:v>1.8936127496065609</c:v>
                </c:pt>
                <c:pt idx="92">
                  <c:v>1.9232374453144407</c:v>
                </c:pt>
                <c:pt idx="93">
                  <c:v>1.9563207604483452</c:v>
                </c:pt>
                <c:pt idx="94">
                  <c:v>2.0013992004455754</c:v>
                </c:pt>
                <c:pt idx="95">
                  <c:v>2.0371861759824106</c:v>
                </c:pt>
                <c:pt idx="96">
                  <c:v>2.0869529858580234</c:v>
                </c:pt>
                <c:pt idx="97">
                  <c:v>2.1606460150659732</c:v>
                </c:pt>
                <c:pt idx="98">
                  <c:v>2.2445021292420457</c:v>
                </c:pt>
                <c:pt idx="99">
                  <c:v>2.3966542844508676</c:v>
                </c:pt>
                <c:pt idx="100">
                  <c:v>3.2993543244918593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21-48FA-B367-770A18200B6D}"/>
            </c:ext>
          </c:extLst>
        </c:ser>
        <c:ser>
          <c:idx val="0"/>
          <c:order val="3"/>
          <c:tx>
            <c:strRef>
              <c:f>'Backtesting PBL'!$AR$7</c:f>
              <c:strCache>
                <c:ptCount val="1"/>
                <c:pt idx="0">
                  <c:v>1H23 theo.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7121-48FA-B367-770A18200B6D}"/>
              </c:ext>
            </c:extLst>
          </c:dPt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PBL'!$AR$8:$AR$108</c:f>
              <c:numCache>
                <c:formatCode>General</c:formatCode>
                <c:ptCount val="101"/>
                <c:pt idx="0">
                  <c:v>0.94966870048447338</c:v>
                </c:pt>
                <c:pt idx="1">
                  <c:v>1.0834807074507675</c:v>
                </c:pt>
                <c:pt idx="2">
                  <c:v>1.1184801007072895</c:v>
                </c:pt>
                <c:pt idx="3">
                  <c:v>1.1406459643368443</c:v>
                </c:pt>
                <c:pt idx="4">
                  <c:v>1.1621079822938789</c:v>
                </c:pt>
                <c:pt idx="5">
                  <c:v>1.1765634581234088</c:v>
                </c:pt>
                <c:pt idx="6">
                  <c:v>1.1945109377716159</c:v>
                </c:pt>
                <c:pt idx="7">
                  <c:v>1.2073670078477341</c:v>
                </c:pt>
                <c:pt idx="8">
                  <c:v>1.2225818374054207</c:v>
                </c:pt>
                <c:pt idx="9">
                  <c:v>1.2351194711109392</c:v>
                </c:pt>
                <c:pt idx="10">
                  <c:v>1.2456364130218756</c:v>
                </c:pt>
                <c:pt idx="11">
                  <c:v>1.2584750472410238</c:v>
                </c:pt>
                <c:pt idx="12">
                  <c:v>1.2702142315944143</c:v>
                </c:pt>
                <c:pt idx="13">
                  <c:v>1.2814860971824049</c:v>
                </c:pt>
                <c:pt idx="14">
                  <c:v>1.2920379540096294</c:v>
                </c:pt>
                <c:pt idx="15">
                  <c:v>1.3001415954681865</c:v>
                </c:pt>
                <c:pt idx="16">
                  <c:v>1.3063741747139646</c:v>
                </c:pt>
                <c:pt idx="17">
                  <c:v>1.3168452286123478</c:v>
                </c:pt>
                <c:pt idx="18">
                  <c:v>1.3231961710846414</c:v>
                </c:pt>
                <c:pt idx="19">
                  <c:v>1.3337075469821553</c:v>
                </c:pt>
                <c:pt idx="20">
                  <c:v>1.3407841257983004</c:v>
                </c:pt>
                <c:pt idx="21">
                  <c:v>1.3454688420303593</c:v>
                </c:pt>
                <c:pt idx="22">
                  <c:v>1.351301067709237</c:v>
                </c:pt>
                <c:pt idx="23">
                  <c:v>1.3593992946106686</c:v>
                </c:pt>
                <c:pt idx="24">
                  <c:v>1.3656318738564464</c:v>
                </c:pt>
                <c:pt idx="25">
                  <c:v>1.374989813952739</c:v>
                </c:pt>
                <c:pt idx="26">
                  <c:v>1.3820774685367627</c:v>
                </c:pt>
                <c:pt idx="27">
                  <c:v>1.3867961817596124</c:v>
                </c:pt>
                <c:pt idx="28">
                  <c:v>1.3925944104476993</c:v>
                </c:pt>
                <c:pt idx="29">
                  <c:v>1.4039497859155803</c:v>
                </c:pt>
                <c:pt idx="30">
                  <c:v>1.410524769860928</c:v>
                </c:pt>
                <c:pt idx="31">
                  <c:v>1.4152434830837775</c:v>
                </c:pt>
                <c:pt idx="32">
                  <c:v>1.4225989517187392</c:v>
                </c:pt>
                <c:pt idx="33">
                  <c:v>1.4335793454773826</c:v>
                </c:pt>
                <c:pt idx="34">
                  <c:v>1.440992762979675</c:v>
                </c:pt>
                <c:pt idx="35">
                  <c:v>1.4515097048906116</c:v>
                </c:pt>
                <c:pt idx="36">
                  <c:v>1.4584610905263193</c:v>
                </c:pt>
                <c:pt idx="37">
                  <c:v>1.4632074850580621</c:v>
                </c:pt>
                <c:pt idx="38">
                  <c:v>1.4749066852066359</c:v>
                </c:pt>
                <c:pt idx="39">
                  <c:v>1.4821896629979903</c:v>
                </c:pt>
                <c:pt idx="40">
                  <c:v>1.4928370446198644</c:v>
                </c:pt>
                <c:pt idx="41">
                  <c:v>1.4998580524575478</c:v>
                </c:pt>
                <c:pt idx="42">
                  <c:v>1.5088339559133279</c:v>
                </c:pt>
                <c:pt idx="43">
                  <c:v>1.5186257969840475</c:v>
                </c:pt>
                <c:pt idx="44">
                  <c:v>1.5212843459440297</c:v>
                </c:pt>
                <c:pt idx="45">
                  <c:v>1.5294876120193504</c:v>
                </c:pt>
                <c:pt idx="46">
                  <c:v>1.5367227391164233</c:v>
                </c:pt>
                <c:pt idx="47">
                  <c:v>1.543928716396803</c:v>
                </c:pt>
                <c:pt idx="48">
                  <c:v>1.550941780332195</c:v>
                </c:pt>
                <c:pt idx="49">
                  <c:v>1.5607502265640278</c:v>
                </c:pt>
                <c:pt idx="50">
                  <c:v>1.5641658580130731</c:v>
                </c:pt>
                <c:pt idx="51">
                  <c:v>1.5680916550558097</c:v>
                </c:pt>
                <c:pt idx="52">
                  <c:v>1.5798034038424682</c:v>
                </c:pt>
                <c:pt idx="53">
                  <c:v>1.5875630529241949</c:v>
                </c:pt>
                <c:pt idx="54">
                  <c:v>1.5925390495470551</c:v>
                </c:pt>
                <c:pt idx="55">
                  <c:v>1.6024096602820239</c:v>
                </c:pt>
                <c:pt idx="56">
                  <c:v>1.6094189947850626</c:v>
                </c:pt>
                <c:pt idx="57">
                  <c:v>1.6203400196952529</c:v>
                </c:pt>
                <c:pt idx="58">
                  <c:v>1.6285479879538785</c:v>
                </c:pt>
                <c:pt idx="59">
                  <c:v>1.6370895408519672</c:v>
                </c:pt>
                <c:pt idx="60">
                  <c:v>1.64797045611014</c:v>
                </c:pt>
                <c:pt idx="61">
                  <c:v>1.6553623049647652</c:v>
                </c:pt>
                <c:pt idx="62">
                  <c:v>1.6663726536019663</c:v>
                </c:pt>
                <c:pt idx="63">
                  <c:v>1.6737699094328158</c:v>
                </c:pt>
                <c:pt idx="64">
                  <c:v>1.6807264907663573</c:v>
                </c:pt>
                <c:pt idx="65">
                  <c:v>1.6955946301311979</c:v>
                </c:pt>
                <c:pt idx="66">
                  <c:v>1.7061115720421343</c:v>
                </c:pt>
                <c:pt idx="67">
                  <c:v>1.7138031391979693</c:v>
                </c:pt>
                <c:pt idx="68">
                  <c:v>1.7203781231433168</c:v>
                </c:pt>
                <c:pt idx="69">
                  <c:v>1.736921969860451</c:v>
                </c:pt>
                <c:pt idx="70">
                  <c:v>1.7451297446016067</c:v>
                </c:pt>
                <c:pt idx="71">
                  <c:v>1.7551304789272222</c:v>
                </c:pt>
                <c:pt idx="72">
                  <c:v>1.7637789104047654</c:v>
                </c:pt>
                <c:pt idx="73">
                  <c:v>1.7743830959905185</c:v>
                </c:pt>
                <c:pt idx="74">
                  <c:v>1.7835777802513875</c:v>
                </c:pt>
                <c:pt idx="75">
                  <c:v>1.7876789287832586</c:v>
                </c:pt>
                <c:pt idx="76">
                  <c:v>1.8040112355711981</c:v>
                </c:pt>
                <c:pt idx="77">
                  <c:v>1.8145281774821345</c:v>
                </c:pt>
                <c:pt idx="78">
                  <c:v>1.8250324733074743</c:v>
                </c:pt>
                <c:pt idx="79">
                  <c:v>1.8337256525628454</c:v>
                </c:pt>
                <c:pt idx="80">
                  <c:v>1.8496617798638069</c:v>
                </c:pt>
                <c:pt idx="81">
                  <c:v>1.8636744376940562</c:v>
                </c:pt>
                <c:pt idx="82">
                  <c:v>1.8858891597724432</c:v>
                </c:pt>
                <c:pt idx="83">
                  <c:v>1.8944307126705322</c:v>
                </c:pt>
                <c:pt idx="84">
                  <c:v>1.9211659027667405</c:v>
                </c:pt>
                <c:pt idx="85">
                  <c:v>1.9367683569229892</c:v>
                </c:pt>
                <c:pt idx="86">
                  <c:v>1.9586406743018068</c:v>
                </c:pt>
                <c:pt idx="87">
                  <c:v>1.9730472248154194</c:v>
                </c:pt>
                <c:pt idx="88">
                  <c:v>1.9981287984051521</c:v>
                </c:pt>
                <c:pt idx="89">
                  <c:v>2.0087036891834193</c:v>
                </c:pt>
                <c:pt idx="90">
                  <c:v>2.0368096482175848</c:v>
                </c:pt>
                <c:pt idx="91">
                  <c:v>2.0591863617699633</c:v>
                </c:pt>
                <c:pt idx="92">
                  <c:v>2.1002842352371962</c:v>
                </c:pt>
                <c:pt idx="93">
                  <c:v>2.1273149576858361</c:v>
                </c:pt>
                <c:pt idx="94">
                  <c:v>2.1609901572709269</c:v>
                </c:pt>
                <c:pt idx="95">
                  <c:v>2.2023174970001795</c:v>
                </c:pt>
                <c:pt idx="96">
                  <c:v>2.2486951577375738</c:v>
                </c:pt>
                <c:pt idx="97">
                  <c:v>2.3249800740382467</c:v>
                </c:pt>
                <c:pt idx="98">
                  <c:v>2.4160223554371814</c:v>
                </c:pt>
                <c:pt idx="99">
                  <c:v>2.6088246831683133</c:v>
                </c:pt>
                <c:pt idx="100">
                  <c:v>3.4729309222084965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21-48FA-B367-770A18200B6D}"/>
            </c:ext>
          </c:extLst>
        </c:ser>
        <c:ser>
          <c:idx val="7"/>
          <c:order val="6"/>
          <c:tx>
            <c:strRef>
              <c:f>'Backtesting PBL'!$BA$7</c:f>
              <c:strCache>
                <c:ptCount val="1"/>
                <c:pt idx="0">
                  <c:v>2H24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Pt>
            <c:idx val="61"/>
            <c:marker>
              <c:spPr>
                <a:solidFill>
                  <a:schemeClr val="tx2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121-48FA-B367-770A18200B6D}"/>
              </c:ext>
            </c:extLst>
          </c:dPt>
          <c:dPt>
            <c:idx val="67"/>
            <c:marker>
              <c:spPr>
                <a:solidFill>
                  <a:schemeClr val="tx2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121-48FA-B367-770A18200B6D}"/>
              </c:ext>
            </c:extLst>
          </c:dPt>
          <c:dLbls>
            <c:dLbl>
              <c:idx val="34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34.19th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121-48FA-B367-770A18200B6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52nd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121-48FA-B367-770A18200B6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55th</a:t>
                    </a:r>
                    <a:r>
                      <a:rPr lang="en-US" b="1" baseline="0">
                        <a:solidFill>
                          <a:schemeClr val="tx2"/>
                        </a:solidFill>
                      </a:rPr>
                      <a:t> percentile</a:t>
                    </a:r>
                    <a:endParaRPr lang="en-US" b="1">
                      <a:solidFill>
                        <a:schemeClr val="tx2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121-48FA-B367-770A18200B6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61st 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121-48FA-B367-770A18200B6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67th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121-48FA-B367-770A18200B6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r>
                      <a:rPr lang="en-US"/>
                      <a:t>85th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121-48FA-B367-770A18200B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PBL'!$BA$8:$BA$108</c:f>
              <c:numCache>
                <c:formatCode>General</c:formatCode>
                <c:ptCount val="101"/>
                <c:pt idx="95" formatCode="0.0000">
                  <c:v>2.4199585589999999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121-48FA-B367-770A18200B6D}"/>
            </c:ext>
          </c:extLst>
        </c:ser>
        <c:ser>
          <c:idx val="6"/>
          <c:order val="7"/>
          <c:tx>
            <c:strRef>
              <c:f>'Backtesting PBL'!$AZ$7</c:f>
              <c:strCache>
                <c:ptCount val="1"/>
                <c:pt idx="0">
                  <c:v>1H24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dLbl>
              <c:idx val="51"/>
              <c:layout>
                <c:manualLayout>
                  <c:x val="-6.4063604918166511E-2"/>
                  <c:y val="5.037972222222215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51st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121-48FA-B367-770A18200B6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69.55th</a:t>
                    </a:r>
                    <a:r>
                      <a:rPr lang="en-US" baseline="0"/>
                      <a:t> percentile</a:t>
                    </a:r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121-48FA-B367-770A18200B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PBL'!$AZ$8:$AZ$108</c:f>
              <c:numCache>
                <c:formatCode>#,##0</c:formatCode>
                <c:ptCount val="101"/>
                <c:pt idx="37" formatCode="0.0000">
                  <c:v>1.5581673469999999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121-48FA-B367-770A18200B6D}"/>
            </c:ext>
          </c:extLst>
        </c:ser>
        <c:ser>
          <c:idx val="5"/>
          <c:order val="8"/>
          <c:tx>
            <c:strRef>
              <c:f>'Backtesting PBL'!$AY$7</c:f>
              <c:strCache>
                <c:ptCount val="1"/>
                <c:pt idx="0">
                  <c:v>2H23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16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16.48th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121-48FA-B367-770A18200B6D}"/>
                </c:ext>
              </c:extLst>
            </c:dLbl>
            <c:dLbl>
              <c:idx val="68"/>
              <c:layout>
                <c:manualLayout>
                  <c:x val="-7.360932857237916E-2"/>
                  <c:y val="4.487015187001929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68th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7121-48FA-B367-770A18200B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PBL'!$AY$8:$AY$108</c:f>
              <c:numCache>
                <c:formatCode>General</c:formatCode>
                <c:ptCount val="101"/>
                <c:pt idx="35" formatCode="0.0000">
                  <c:v>1.32085606258931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121-48FA-B367-770A18200B6D}"/>
            </c:ext>
          </c:extLst>
        </c:ser>
        <c:ser>
          <c:idx val="4"/>
          <c:order val="9"/>
          <c:tx>
            <c:strRef>
              <c:f>'Backtesting PBL'!$AX$7</c:f>
              <c:strCache>
                <c:ptCount val="1"/>
                <c:pt idx="0">
                  <c:v>1H23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2.9106311008900699E-2"/>
                  <c:y val="5.60946867588787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2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t>4th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7121-48FA-B367-770A18200B6D}"/>
                </c:ext>
              </c:extLst>
            </c:dLbl>
            <c:dLbl>
              <c:idx val="69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68.77th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7121-48FA-B367-770A18200B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PBL'!$AX$8:$AX$108</c:f>
              <c:numCache>
                <c:formatCode>General</c:formatCode>
                <c:ptCount val="101"/>
                <c:pt idx="77" formatCode="0.0000">
                  <c:v>1.81418389404495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121-48FA-B367-770A18200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84784"/>
        <c:axId val="1732385768"/>
        <c:extLst>
          <c:ext xmlns:c15="http://schemas.microsoft.com/office/drawing/2012/chart" uri="{02D57815-91ED-43cb-92C2-25804820EDAC}">
            <c15:filteredLineSeries>
              <c15:ser>
                <c:idx val="8"/>
                <c:order val="4"/>
                <c:tx>
                  <c:strRef>
                    <c:extLst>
                      <c:ext uri="{02D57815-91ED-43cb-92C2-25804820EDAC}">
                        <c15:formulaRef>
                          <c15:sqref>'Backtesting PBL'!$AQ$7</c15:sqref>
                        </c15:formulaRef>
                      </c:ext>
                    </c:extLst>
                    <c:strCache>
                      <c:ptCount val="1"/>
                      <c:pt idx="0">
                        <c:v>2H22 theo.</c:v>
                      </c:pt>
                    </c:strCache>
                  </c:strRef>
                </c:tx>
                <c:spPr>
                  <a:ln w="28575">
                    <a:solidFill>
                      <a:schemeClr val="accent4">
                        <a:lumMod val="40000"/>
                        <a:lumOff val="60000"/>
                      </a:schemeClr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'Backtesting PBL'!$R$8:$R$108</c15:sqref>
                        </c15:formulaRef>
                      </c:ext>
                    </c:extLst>
                    <c:strCache>
                      <c:ptCount val="101"/>
                      <c:pt idx="0">
                        <c:v>Min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0.07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0.10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0.20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</c:v>
                      </c:pt>
                      <c:pt idx="29">
                        <c:v>0.29</c:v>
                      </c:pt>
                      <c:pt idx="30">
                        <c:v>0.30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0.40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0.50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</c:v>
                      </c:pt>
                      <c:pt idx="56">
                        <c:v>0.56</c:v>
                      </c:pt>
                      <c:pt idx="57">
                        <c:v>0.57</c:v>
                      </c:pt>
                      <c:pt idx="58">
                        <c:v>0.58</c:v>
                      </c:pt>
                      <c:pt idx="59">
                        <c:v>0.59</c:v>
                      </c:pt>
                      <c:pt idx="60">
                        <c:v>0.60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0.70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0.80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0.90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Max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'Backtesting PBL'!$AQ$8:$AQ$108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0.92914825627984265</c:v>
                      </c:pt>
                      <c:pt idx="1">
                        <c:v>1.0389258658583558</c:v>
                      </c:pt>
                      <c:pt idx="2">
                        <c:v>1.0780514229572393</c:v>
                      </c:pt>
                      <c:pt idx="3">
                        <c:v>1.1012897060076317</c:v>
                      </c:pt>
                      <c:pt idx="4">
                        <c:v>1.1215864709051746</c:v>
                      </c:pt>
                      <c:pt idx="5">
                        <c:v>1.1351745057655176</c:v>
                      </c:pt>
                      <c:pt idx="6">
                        <c:v>1.148703475436869</c:v>
                      </c:pt>
                      <c:pt idx="7">
                        <c:v>1.1636535461569073</c:v>
                      </c:pt>
                      <c:pt idx="8">
                        <c:v>1.1704213413830988</c:v>
                      </c:pt>
                      <c:pt idx="9">
                        <c:v>1.1796467570419054</c:v>
                      </c:pt>
                      <c:pt idx="10">
                        <c:v>1.1936596244334909</c:v>
                      </c:pt>
                      <c:pt idx="11">
                        <c:v>1.1975383459147932</c:v>
                      </c:pt>
                      <c:pt idx="12">
                        <c:v>1.2115512133063788</c:v>
                      </c:pt>
                      <c:pt idx="13">
                        <c:v>1.2178351108123362</c:v>
                      </c:pt>
                      <c:pt idx="14">
                        <c:v>1.2318479782039218</c:v>
                      </c:pt>
                      <c:pt idx="15">
                        <c:v>1.2381843201178393</c:v>
                      </c:pt>
                      <c:pt idx="16">
                        <c:v>1.2449521153440306</c:v>
                      </c:pt>
                      <c:pt idx="17">
                        <c:v>1.256023464582767</c:v>
                      </c:pt>
                      <c:pt idx="18">
                        <c:v>1.2623503665032514</c:v>
                      </c:pt>
                      <c:pt idx="19">
                        <c:v>1.2691276017228756</c:v>
                      </c:pt>
                      <c:pt idx="20">
                        <c:v>1.2801989509616121</c:v>
                      </c:pt>
                      <c:pt idx="21">
                        <c:v>1.2831404691144614</c:v>
                      </c:pt>
                      <c:pt idx="22">
                        <c:v>1.2899082643406525</c:v>
                      </c:pt>
                      <c:pt idx="23">
                        <c:v>1.3034372340120044</c:v>
                      </c:pt>
                      <c:pt idx="24">
                        <c:v>1.3102050292381955</c:v>
                      </c:pt>
                      <c:pt idx="25">
                        <c:v>1.3246712022379998</c:v>
                      </c:pt>
                      <c:pt idx="26">
                        <c:v>1.3276127203908494</c:v>
                      </c:pt>
                      <c:pt idx="27">
                        <c:v>1.3300703408234646</c:v>
                      </c:pt>
                      <c:pt idx="28">
                        <c:v>1.3419260691587818</c:v>
                      </c:pt>
                      <c:pt idx="29">
                        <c:v>1.3517882067696945</c:v>
                      </c:pt>
                      <c:pt idx="30">
                        <c:v>1.3547297249225438</c:v>
                      </c:pt>
                      <c:pt idx="31">
                        <c:v>1.366101555537627</c:v>
                      </c:pt>
                      <c:pt idx="32">
                        <c:v>1.3723854530435842</c:v>
                      </c:pt>
                      <c:pt idx="33">
                        <c:v>1.375510387540321</c:v>
                      </c:pt>
                      <c:pt idx="34">
                        <c:v>1.3870168746319498</c:v>
                      </c:pt>
                      <c:pt idx="35">
                        <c:v>1.3934019764132086</c:v>
                      </c:pt>
                      <c:pt idx="36">
                        <c:v>1.3992019761989318</c:v>
                      </c:pt>
                      <c:pt idx="37">
                        <c:v>1.399685873919166</c:v>
                      </c:pt>
                      <c:pt idx="38">
                        <c:v>1.4136987413107516</c:v>
                      </c:pt>
                      <c:pt idx="39">
                        <c:v>1.423861360298011</c:v>
                      </c:pt>
                      <c:pt idx="40">
                        <c:v>1.4363339152587662</c:v>
                      </c:pt>
                      <c:pt idx="41">
                        <c:v>1.4378742276895966</c:v>
                      </c:pt>
                      <c:pt idx="42">
                        <c:v>1.444158125195554</c:v>
                      </c:pt>
                      <c:pt idx="43">
                        <c:v>1.4470996433484034</c:v>
                      </c:pt>
                      <c:pt idx="44">
                        <c:v>1.4584714739634863</c:v>
                      </c:pt>
                      <c:pt idx="45">
                        <c:v>1.4695952676101829</c:v>
                      </c:pt>
                      <c:pt idx="46">
                        <c:v>1.4729376469632909</c:v>
                      </c:pt>
                      <c:pt idx="47">
                        <c:v>1.4822602732843582</c:v>
                      </c:pt>
                      <c:pt idx="48">
                        <c:v>1.4861638640710439</c:v>
                      </c:pt>
                      <c:pt idx="49">
                        <c:v>1.5000546514949851</c:v>
                      </c:pt>
                      <c:pt idx="50">
                        <c:v>1.5029437252398745</c:v>
                      </c:pt>
                      <c:pt idx="51">
                        <c:v>1.5094634834976792</c:v>
                      </c:pt>
                      <c:pt idx="52">
                        <c:v>1.5162312787238703</c:v>
                      </c:pt>
                      <c:pt idx="53">
                        <c:v>1.5237768322656113</c:v>
                      </c:pt>
                      <c:pt idx="54">
                        <c:v>1.5382430052654159</c:v>
                      </c:pt>
                      <c:pt idx="55">
                        <c:v>1.5445269027713731</c:v>
                      </c:pt>
                      <c:pt idx="56">
                        <c:v>1.5474684209242227</c:v>
                      </c:pt>
                      <c:pt idx="57">
                        <c:v>1.5542362161504137</c:v>
                      </c:pt>
                      <c:pt idx="58">
                        <c:v>1.5636450481531077</c:v>
                      </c:pt>
                      <c:pt idx="59">
                        <c:v>1.5716439073030677</c:v>
                      </c:pt>
                      <c:pt idx="60">
                        <c:v>1.5815366370259956</c:v>
                      </c:pt>
                      <c:pt idx="61">
                        <c:v>1.5861406724148877</c:v>
                      </c:pt>
                      <c:pt idx="62">
                        <c:v>1.5924245699208448</c:v>
                      </c:pt>
                      <c:pt idx="63">
                        <c:v>1.6018334019235385</c:v>
                      </c:pt>
                      <c:pt idx="64">
                        <c:v>1.6103161587937329</c:v>
                      </c:pt>
                      <c:pt idx="65">
                        <c:v>1.6166000562996901</c:v>
                      </c:pt>
                      <c:pt idx="66">
                        <c:v>1.6306129236912756</c:v>
                      </c:pt>
                      <c:pt idx="67">
                        <c:v>1.6462131698993443</c:v>
                      </c:pt>
                      <c:pt idx="68">
                        <c:v>1.6547884100701205</c:v>
                      </c:pt>
                      <c:pt idx="69">
                        <c:v>1.6577299282229701</c:v>
                      </c:pt>
                      <c:pt idx="70">
                        <c:v>1.6680663882135502</c:v>
                      </c:pt>
                      <c:pt idx="71">
                        <c:v>1.6819054146018153</c:v>
                      </c:pt>
                      <c:pt idx="72">
                        <c:v>1.6999108368345388</c:v>
                      </c:pt>
                      <c:pt idx="73">
                        <c:v>1.7023328318838233</c:v>
                      </c:pt>
                      <c:pt idx="74">
                        <c:v>1.7179522847728417</c:v>
                      </c:pt>
                      <c:pt idx="75">
                        <c:v>1.7263776658782031</c:v>
                      </c:pt>
                      <c:pt idx="76">
                        <c:v>1.738227912715739</c:v>
                      </c:pt>
                      <c:pt idx="77">
                        <c:v>1.7500998466488296</c:v>
                      </c:pt>
                      <c:pt idx="78">
                        <c:v>1.7652161951366638</c:v>
                      </c:pt>
                      <c:pt idx="79">
                        <c:v>1.7737914353074404</c:v>
                      </c:pt>
                      <c:pt idx="80">
                        <c:v>1.7835916817297861</c:v>
                      </c:pt>
                      <c:pt idx="81">
                        <c:v>1.7984508194065199</c:v>
                      </c:pt>
                      <c:pt idx="82">
                        <c:v>1.8124636867981052</c:v>
                      </c:pt>
                      <c:pt idx="83">
                        <c:v>1.8187475843040628</c:v>
                      </c:pt>
                      <c:pt idx="84">
                        <c:v>1.8368054509447469</c:v>
                      </c:pt>
                      <c:pt idx="85">
                        <c:v>1.8614648350438256</c:v>
                      </c:pt>
                      <c:pt idx="86">
                        <c:v>1.8751280083237281</c:v>
                      </c:pt>
                      <c:pt idx="87">
                        <c:v>1.8845368403264218</c:v>
                      </c:pt>
                      <c:pt idx="88">
                        <c:v>1.9063656227514729</c:v>
                      </c:pt>
                      <c:pt idx="89">
                        <c:v>1.9290090916028098</c:v>
                      </c:pt>
                      <c:pt idx="90">
                        <c:v>1.9538347534696854</c:v>
                      </c:pt>
                      <c:pt idx="91">
                        <c:v>1.9849056179022413</c:v>
                      </c:pt>
                      <c:pt idx="92">
                        <c:v>2.0005983474108922</c:v>
                      </c:pt>
                      <c:pt idx="93">
                        <c:v>2.0451840216574131</c:v>
                      </c:pt>
                      <c:pt idx="94">
                        <c:v>2.0923918848159353</c:v>
                      </c:pt>
                      <c:pt idx="95">
                        <c:v>2.1305802385863664</c:v>
                      </c:pt>
                      <c:pt idx="96">
                        <c:v>2.1747027957510707</c:v>
                      </c:pt>
                      <c:pt idx="97">
                        <c:v>2.2500671615439201</c:v>
                      </c:pt>
                      <c:pt idx="98">
                        <c:v>2.3187148991991537</c:v>
                      </c:pt>
                      <c:pt idx="99">
                        <c:v>2.4640398257715952</c:v>
                      </c:pt>
                      <c:pt idx="100">
                        <c:v>3.2283397589042404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5-7121-48FA-B367-770A18200B6D}"/>
                  </c:ext>
                </c:extLst>
              </c15:ser>
            </c15:filteredLineSeries>
            <c15:filteredLineSeries>
              <c15:ser>
                <c:idx val="10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PBL'!$AP$7</c15:sqref>
                        </c15:formulaRef>
                      </c:ext>
                    </c:extLst>
                    <c:strCache>
                      <c:ptCount val="1"/>
                      <c:pt idx="0">
                        <c:v>1H22 theo.</c:v>
                      </c:pt>
                    </c:strCache>
                  </c:strRef>
                </c:tx>
                <c:spPr>
                  <a:ln w="28575">
                    <a:solidFill>
                      <a:srgbClr val="D9C1ED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PBL'!$R$8:$R$108</c15:sqref>
                        </c15:formulaRef>
                      </c:ext>
                    </c:extLst>
                    <c:strCache>
                      <c:ptCount val="101"/>
                      <c:pt idx="0">
                        <c:v>Min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0.07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0.10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0.20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</c:v>
                      </c:pt>
                      <c:pt idx="29">
                        <c:v>0.29</c:v>
                      </c:pt>
                      <c:pt idx="30">
                        <c:v>0.30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0.40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0.50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</c:v>
                      </c:pt>
                      <c:pt idx="56">
                        <c:v>0.56</c:v>
                      </c:pt>
                      <c:pt idx="57">
                        <c:v>0.57</c:v>
                      </c:pt>
                      <c:pt idx="58">
                        <c:v>0.58</c:v>
                      </c:pt>
                      <c:pt idx="59">
                        <c:v>0.59</c:v>
                      </c:pt>
                      <c:pt idx="60">
                        <c:v>0.60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0.70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0.80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0.90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Max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PBL'!$AP$8:$AP$108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>
                        <c:v>0.92001453356683971</c:v>
                      </c:pt>
                      <c:pt idx="1">
                        <c:v>1.058310382077509</c:v>
                      </c:pt>
                      <c:pt idx="2">
                        <c:v>1.0938158620344913</c:v>
                      </c:pt>
                      <c:pt idx="3">
                        <c:v>1.131277768029767</c:v>
                      </c:pt>
                      <c:pt idx="4">
                        <c:v>1.1421942210457079</c:v>
                      </c:pt>
                      <c:pt idx="5">
                        <c:v>1.1591355742859812</c:v>
                      </c:pt>
                      <c:pt idx="6">
                        <c:v>1.1779444998390964</c:v>
                      </c:pt>
                      <c:pt idx="7">
                        <c:v>1.1871699154979032</c:v>
                      </c:pt>
                      <c:pt idx="8">
                        <c:v>1.204291362494597</c:v>
                      </c:pt>
                      <c:pt idx="9">
                        <c:v>1.2144453750531057</c:v>
                      </c:pt>
                      <c:pt idx="10">
                        <c:v>1.2236707907119124</c:v>
                      </c:pt>
                      <c:pt idx="11">
                        <c:v>1.22972088846987</c:v>
                      </c:pt>
                      <c:pt idx="12">
                        <c:v>1.2422401044358509</c:v>
                      </c:pt>
                      <c:pt idx="13">
                        <c:v>1.250017653367413</c:v>
                      </c:pt>
                      <c:pt idx="14">
                        <c:v>1.2592430690262197</c:v>
                      </c:pt>
                      <c:pt idx="15">
                        <c:v>1.2703144182649559</c:v>
                      </c:pt>
                      <c:pt idx="16">
                        <c:v>1.2763645160229136</c:v>
                      </c:pt>
                      <c:pt idx="17">
                        <c:v>1.2889761490140375</c:v>
                      </c:pt>
                      <c:pt idx="18">
                        <c:v>1.2966612809204563</c:v>
                      </c:pt>
                      <c:pt idx="19">
                        <c:v>1.2974314227966504</c:v>
                      </c:pt>
                      <c:pt idx="20">
                        <c:v>1.3092729139115806</c:v>
                      </c:pt>
                      <c:pt idx="21">
                        <c:v>1.3177281876941933</c:v>
                      </c:pt>
                      <c:pt idx="22">
                        <c:v>1.3260777348914785</c:v>
                      </c:pt>
                      <c:pt idx="23">
                        <c:v>1.3356197765670812</c:v>
                      </c:pt>
                      <c:pt idx="24">
                        <c:v>1.3423875717932725</c:v>
                      </c:pt>
                      <c:pt idx="25">
                        <c:v>1.3440750503496939</c:v>
                      </c:pt>
                      <c:pt idx="26">
                        <c:v>1.3610493025423542</c:v>
                      </c:pt>
                      <c:pt idx="27">
                        <c:v>1.3627367810987756</c:v>
                      </c:pt>
                      <c:pt idx="28">
                        <c:v>1.3697658591605477</c:v>
                      </c:pt>
                      <c:pt idx="29">
                        <c:v>1.3805759255637033</c:v>
                      </c:pt>
                      <c:pt idx="30">
                        <c:v>1.3830335459963186</c:v>
                      </c:pt>
                      <c:pt idx="31">
                        <c:v>1.3914888197789312</c:v>
                      </c:pt>
                      <c:pt idx="32">
                        <c:v>1.4071004605473991</c:v>
                      </c:pt>
                      <c:pt idx="33">
                        <c:v>1.4086102667756253</c:v>
                      </c:pt>
                      <c:pt idx="34">
                        <c:v>1.4093804086518191</c:v>
                      </c:pt>
                      <c:pt idx="35">
                        <c:v>1.4203045630865219</c:v>
                      </c:pt>
                      <c:pt idx="36">
                        <c:v>1.4340397927508983</c:v>
                      </c:pt>
                      <c:pt idx="37">
                        <c:v>1.4364449687755534</c:v>
                      </c:pt>
                      <c:pt idx="38">
                        <c:v>1.44756876242225</c:v>
                      </c:pt>
                      <c:pt idx="39">
                        <c:v>1.4543365576484413</c:v>
                      </c:pt>
                      <c:pt idx="40">
                        <c:v>1.4560240362048626</c:v>
                      </c:pt>
                      <c:pt idx="41">
                        <c:v>1.4698733539007862</c:v>
                      </c:pt>
                      <c:pt idx="42">
                        <c:v>1.4806834203039418</c:v>
                      </c:pt>
                      <c:pt idx="43">
                        <c:v>1.4817148450157167</c:v>
                      </c:pt>
                      <c:pt idx="44">
                        <c:v>1.4917538931265704</c:v>
                      </c:pt>
                      <c:pt idx="45">
                        <c:v>1.5017503270776784</c:v>
                      </c:pt>
                      <c:pt idx="46">
                        <c:v>1.5078004248356363</c:v>
                      </c:pt>
                      <c:pt idx="47">
                        <c:v>1.5165169814538297</c:v>
                      </c:pt>
                      <c:pt idx="48">
                        <c:v>1.5196419159505665</c:v>
                      </c:pt>
                      <c:pt idx="49">
                        <c:v>1.528097189733179</c:v>
                      </c:pt>
                      <c:pt idx="50">
                        <c:v>1.5309248531076316</c:v>
                      </c:pt>
                      <c:pt idx="51">
                        <c:v>1.5467064760743008</c:v>
                      </c:pt>
                      <c:pt idx="52">
                        <c:v>1.5547053352242606</c:v>
                      </c:pt>
                      <c:pt idx="53">
                        <c:v>1.5622432723266457</c:v>
                      </c:pt>
                      <c:pt idx="54">
                        <c:v>1.5670556853798039</c:v>
                      </c:pt>
                      <c:pt idx="55">
                        <c:v>1.5755834915554561</c:v>
                      </c:pt>
                      <c:pt idx="56">
                        <c:v>1.5818223397559552</c:v>
                      </c:pt>
                      <c:pt idx="57">
                        <c:v>1.5934025480353045</c:v>
                      </c:pt>
                      <c:pt idx="58">
                        <c:v>1.6004316260970766</c:v>
                      </c:pt>
                      <c:pt idx="59">
                        <c:v>1.6071735900631714</c:v>
                      </c:pt>
                      <c:pt idx="60">
                        <c:v>1.6183232149699647</c:v>
                      </c:pt>
                      <c:pt idx="61">
                        <c:v>1.6267784887525771</c:v>
                      </c:pt>
                      <c:pt idx="62">
                        <c:v>1.6284659673089985</c:v>
                      </c:pt>
                      <c:pt idx="63">
                        <c:v>1.6386199798675074</c:v>
                      </c:pt>
                      <c:pt idx="64">
                        <c:v>1.6531253514080775</c:v>
                      </c:pt>
                      <c:pt idx="65">
                        <c:v>1.664966842523008</c:v>
                      </c:pt>
                      <c:pt idx="66">
                        <c:v>1.6734221163056204</c:v>
                      </c:pt>
                      <c:pt idx="67">
                        <c:v>1.6741922581818145</c:v>
                      </c:pt>
                      <c:pt idx="68">
                        <c:v>1.6850023245849701</c:v>
                      </c:pt>
                      <c:pt idx="69">
                        <c:v>1.6988516422808939</c:v>
                      </c:pt>
                      <c:pt idx="70">
                        <c:v>1.7104318505602429</c:v>
                      </c:pt>
                      <c:pt idx="71">
                        <c:v>1.7123806119522456</c:v>
                      </c:pt>
                      <c:pt idx="72">
                        <c:v>1.7254597877719755</c:v>
                      </c:pt>
                      <c:pt idx="73">
                        <c:v>1.7387274746077459</c:v>
                      </c:pt>
                      <c:pt idx="74">
                        <c:v>1.7454952698339372</c:v>
                      </c:pt>
                      <c:pt idx="75">
                        <c:v>1.7657920347314802</c:v>
                      </c:pt>
                      <c:pt idx="76">
                        <c:v>1.7836836236043681</c:v>
                      </c:pt>
                      <c:pt idx="77">
                        <c:v>1.7861412440369833</c:v>
                      </c:pt>
                      <c:pt idx="78">
                        <c:v>1.7995701139683964</c:v>
                      </c:pt>
                      <c:pt idx="79">
                        <c:v>1.8124881066924841</c:v>
                      </c:pt>
                      <c:pt idx="80">
                        <c:v>1.829288502786284</c:v>
                      </c:pt>
                      <c:pt idx="81">
                        <c:v>1.8374087736271438</c:v>
                      </c:pt>
                      <c:pt idx="82">
                        <c:v>1.8569353966484932</c:v>
                      </c:pt>
                      <c:pt idx="83">
                        <c:v>1.866291736426257</c:v>
                      </c:pt>
                      <c:pt idx="84">
                        <c:v>1.8848784941142527</c:v>
                      </c:pt>
                      <c:pt idx="85">
                        <c:v>1.903170546561922</c:v>
                      </c:pt>
                      <c:pt idx="86">
                        <c:v>1.9179372009380735</c:v>
                      </c:pt>
                      <c:pt idx="87">
                        <c:v>1.9314661706094249</c:v>
                      </c:pt>
                      <c:pt idx="88">
                        <c:v>1.9572453906963811</c:v>
                      </c:pt>
                      <c:pt idx="89">
                        <c:v>1.9835922533518819</c:v>
                      </c:pt>
                      <c:pt idx="90">
                        <c:v>2.0035393241377415</c:v>
                      </c:pt>
                      <c:pt idx="91">
                        <c:v>2.0298861867932421</c:v>
                      </c:pt>
                      <c:pt idx="92">
                        <c:v>2.0501829516907848</c:v>
                      </c:pt>
                      <c:pt idx="93">
                        <c:v>2.0897946457521761</c:v>
                      </c:pt>
                      <c:pt idx="94">
                        <c:v>2.1226057993307847</c:v>
                      </c:pt>
                      <c:pt idx="95">
                        <c:v>2.1755608074773671</c:v>
                      </c:pt>
                      <c:pt idx="96">
                        <c:v>2.2212870983501838</c:v>
                      </c:pt>
                      <c:pt idx="97">
                        <c:v>2.2882799352087302</c:v>
                      </c:pt>
                      <c:pt idx="98">
                        <c:v>2.379530017646712</c:v>
                      </c:pt>
                      <c:pt idx="99">
                        <c:v>2.5385915995198935</c:v>
                      </c:pt>
                      <c:pt idx="100">
                        <c:v>3.9232861802249244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121-48FA-B367-770A18200B6D}"/>
                  </c:ext>
                </c:extLst>
              </c15:ser>
            </c15:filteredLineSeries>
            <c15:filteredLineSeries>
              <c15:ser>
                <c:idx val="9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PBL'!$AW$7</c15:sqref>
                        </c15:formulaRef>
                      </c:ext>
                    </c:extLst>
                    <c:strCache>
                      <c:ptCount val="1"/>
                      <c:pt idx="0">
                        <c:v>2H22 act.</c:v>
                      </c:pt>
                    </c:strCache>
                  </c:strRef>
                </c:tx>
                <c:spPr>
                  <a:ln>
                    <a:noFill/>
                  </a:ln>
                </c:spPr>
                <c:marker>
                  <c:symbol val="diamond"/>
                  <c:size val="10"/>
                  <c:spPr>
                    <a:solidFill>
                      <a:schemeClr val="accent4"/>
                    </a:solidFill>
                    <a:ln>
                      <a:noFill/>
                    </a:ln>
                  </c:spPr>
                </c:marker>
                <c:dLbls>
                  <c:dLbl>
                    <c:idx val="73"/>
                    <c:layout>
                      <c:manualLayout>
                        <c:x val="-4.0232065399770311E-2"/>
                        <c:y val="-4.492612724085613E-2"/>
                      </c:manualLayout>
                    </c:layout>
                    <c:tx>
                      <c:rich>
                        <a:bodyPr wrap="square" lIns="38100" tIns="19050" rIns="38100" bIns="19050" anchor="ctr">
                          <a:spAutoFit/>
                        </a:bodyPr>
                        <a:lstStyle/>
                        <a:p>
                          <a:pPr>
                            <a:defRPr sz="900">
                              <a:solidFill>
                                <a:schemeClr val="accent4">
                                  <a:lumMod val="75000"/>
                                </a:schemeClr>
                              </a:solidFill>
                            </a:defRPr>
                          </a:pPr>
                          <a:r>
                            <a:rPr lang="en-US" sz="900" b="1">
                              <a:solidFill>
                                <a:schemeClr val="accent4">
                                  <a:lumMod val="75000"/>
                                </a:schemeClr>
                              </a:solidFill>
                            </a:rPr>
                            <a:t>73rd percentile</a:t>
                          </a:r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17-7121-48FA-B367-770A18200B6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900"/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PBL'!$R$8:$R$108</c15:sqref>
                        </c15:formulaRef>
                      </c:ext>
                    </c:extLst>
                    <c:strCache>
                      <c:ptCount val="101"/>
                      <c:pt idx="0">
                        <c:v>Min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0.07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0.10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0.20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</c:v>
                      </c:pt>
                      <c:pt idx="29">
                        <c:v>0.29</c:v>
                      </c:pt>
                      <c:pt idx="30">
                        <c:v>0.30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0.40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0.50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</c:v>
                      </c:pt>
                      <c:pt idx="56">
                        <c:v>0.56</c:v>
                      </c:pt>
                      <c:pt idx="57">
                        <c:v>0.57</c:v>
                      </c:pt>
                      <c:pt idx="58">
                        <c:v>0.58</c:v>
                      </c:pt>
                      <c:pt idx="59">
                        <c:v>0.59</c:v>
                      </c:pt>
                      <c:pt idx="60">
                        <c:v>0.60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0.70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0.80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0.90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Max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PBL'!$AW$8:$AW$108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74" formatCode="0.0000">
                        <c:v>1.7155061281669599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7121-48FA-B367-770A18200B6D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PBL'!$AV$7</c15:sqref>
                        </c15:formulaRef>
                      </c:ext>
                    </c:extLst>
                    <c:strCache>
                      <c:ptCount val="1"/>
                      <c:pt idx="0">
                        <c:v>1H22 act.</c:v>
                      </c:pt>
                    </c:strCache>
                  </c:strRef>
                </c:tx>
                <c:spPr>
                  <a:ln>
                    <a:noFill/>
                  </a:ln>
                </c:spPr>
                <c:marker>
                  <c:symbol val="diamond"/>
                  <c:size val="10"/>
                  <c:spPr>
                    <a:solidFill>
                      <a:srgbClr val="7030A0"/>
                    </a:solidFill>
                    <a:ln>
                      <a:noFill/>
                    </a:ln>
                  </c:spPr>
                </c:marker>
                <c:dLbls>
                  <c:dLbl>
                    <c:idx val="70"/>
                    <c:tx>
                      <c:rich>
                        <a:bodyPr wrap="square" lIns="38100" tIns="19050" rIns="38100" bIns="19050" anchor="ctr">
                          <a:spAutoFit/>
                        </a:bodyPr>
                        <a:lstStyle/>
                        <a:p>
                          <a:pPr>
                            <a:defRPr sz="900" b="1">
                              <a:solidFill>
                                <a:srgbClr val="7030A0"/>
                              </a:solidFill>
                            </a:defRPr>
                          </a:pPr>
                          <a:r>
                            <a:rPr lang="en-US" sz="900" b="1">
                              <a:solidFill>
                                <a:srgbClr val="7030A0"/>
                              </a:solidFill>
                            </a:rPr>
                            <a:t>70th percentile</a:t>
                          </a:r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dLblPos val="b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19-7121-48FA-B367-770A18200B6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900"/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PBL'!$R$8:$R$108</c15:sqref>
                        </c15:formulaRef>
                      </c:ext>
                    </c:extLst>
                    <c:strCache>
                      <c:ptCount val="101"/>
                      <c:pt idx="0">
                        <c:v>Min</c:v>
                      </c:pt>
                      <c:pt idx="1">
                        <c:v>0.01</c:v>
                      </c:pt>
                      <c:pt idx="2">
                        <c:v>0.02</c:v>
                      </c:pt>
                      <c:pt idx="3">
                        <c:v>0.03</c:v>
                      </c:pt>
                      <c:pt idx="4">
                        <c:v>0.04</c:v>
                      </c:pt>
                      <c:pt idx="5">
                        <c:v>0.05</c:v>
                      </c:pt>
                      <c:pt idx="6">
                        <c:v>0.06</c:v>
                      </c:pt>
                      <c:pt idx="7">
                        <c:v>0.07</c:v>
                      </c:pt>
                      <c:pt idx="8">
                        <c:v>0.08</c:v>
                      </c:pt>
                      <c:pt idx="9">
                        <c:v>0.09</c:v>
                      </c:pt>
                      <c:pt idx="10">
                        <c:v>0.10</c:v>
                      </c:pt>
                      <c:pt idx="11">
                        <c:v>0.11</c:v>
                      </c:pt>
                      <c:pt idx="12">
                        <c:v>0.12</c:v>
                      </c:pt>
                      <c:pt idx="13">
                        <c:v>0.13</c:v>
                      </c:pt>
                      <c:pt idx="14">
                        <c:v>0.14</c:v>
                      </c:pt>
                      <c:pt idx="15">
                        <c:v>0.15</c:v>
                      </c:pt>
                      <c:pt idx="16">
                        <c:v>0.16</c:v>
                      </c:pt>
                      <c:pt idx="17">
                        <c:v>0.17</c:v>
                      </c:pt>
                      <c:pt idx="18">
                        <c:v>0.18</c:v>
                      </c:pt>
                      <c:pt idx="19">
                        <c:v>0.19</c:v>
                      </c:pt>
                      <c:pt idx="20">
                        <c:v>0.20</c:v>
                      </c:pt>
                      <c:pt idx="21">
                        <c:v>0.21</c:v>
                      </c:pt>
                      <c:pt idx="22">
                        <c:v>0.22</c:v>
                      </c:pt>
                      <c:pt idx="23">
                        <c:v>0.23</c:v>
                      </c:pt>
                      <c:pt idx="24">
                        <c:v>0.24</c:v>
                      </c:pt>
                      <c:pt idx="25">
                        <c:v>0.25</c:v>
                      </c:pt>
                      <c:pt idx="26">
                        <c:v>0.26</c:v>
                      </c:pt>
                      <c:pt idx="27">
                        <c:v>0.27</c:v>
                      </c:pt>
                      <c:pt idx="28">
                        <c:v>0.28</c:v>
                      </c:pt>
                      <c:pt idx="29">
                        <c:v>0.29</c:v>
                      </c:pt>
                      <c:pt idx="30">
                        <c:v>0.30</c:v>
                      </c:pt>
                      <c:pt idx="31">
                        <c:v>0.31</c:v>
                      </c:pt>
                      <c:pt idx="32">
                        <c:v>0.32</c:v>
                      </c:pt>
                      <c:pt idx="33">
                        <c:v>0.33</c:v>
                      </c:pt>
                      <c:pt idx="34">
                        <c:v>0.34</c:v>
                      </c:pt>
                      <c:pt idx="35">
                        <c:v>0.35</c:v>
                      </c:pt>
                      <c:pt idx="36">
                        <c:v>0.36</c:v>
                      </c:pt>
                      <c:pt idx="37">
                        <c:v>0.37</c:v>
                      </c:pt>
                      <c:pt idx="38">
                        <c:v>0.38</c:v>
                      </c:pt>
                      <c:pt idx="39">
                        <c:v>0.39</c:v>
                      </c:pt>
                      <c:pt idx="40">
                        <c:v>0.40</c:v>
                      </c:pt>
                      <c:pt idx="41">
                        <c:v>0.41</c:v>
                      </c:pt>
                      <c:pt idx="42">
                        <c:v>0.42</c:v>
                      </c:pt>
                      <c:pt idx="43">
                        <c:v>0.43</c:v>
                      </c:pt>
                      <c:pt idx="44">
                        <c:v>0.44</c:v>
                      </c:pt>
                      <c:pt idx="45">
                        <c:v>0.45</c:v>
                      </c:pt>
                      <c:pt idx="46">
                        <c:v>0.46</c:v>
                      </c:pt>
                      <c:pt idx="47">
                        <c:v>0.47</c:v>
                      </c:pt>
                      <c:pt idx="48">
                        <c:v>0.48</c:v>
                      </c:pt>
                      <c:pt idx="49">
                        <c:v>0.49</c:v>
                      </c:pt>
                      <c:pt idx="50">
                        <c:v>0.50</c:v>
                      </c:pt>
                      <c:pt idx="51">
                        <c:v>0.51</c:v>
                      </c:pt>
                      <c:pt idx="52">
                        <c:v>0.52</c:v>
                      </c:pt>
                      <c:pt idx="53">
                        <c:v>0.53</c:v>
                      </c:pt>
                      <c:pt idx="54">
                        <c:v>0.54</c:v>
                      </c:pt>
                      <c:pt idx="55">
                        <c:v>0.55</c:v>
                      </c:pt>
                      <c:pt idx="56">
                        <c:v>0.56</c:v>
                      </c:pt>
                      <c:pt idx="57">
                        <c:v>0.57</c:v>
                      </c:pt>
                      <c:pt idx="58">
                        <c:v>0.58</c:v>
                      </c:pt>
                      <c:pt idx="59">
                        <c:v>0.59</c:v>
                      </c:pt>
                      <c:pt idx="60">
                        <c:v>0.60</c:v>
                      </c:pt>
                      <c:pt idx="61">
                        <c:v>0.61</c:v>
                      </c:pt>
                      <c:pt idx="62">
                        <c:v>0.62</c:v>
                      </c:pt>
                      <c:pt idx="63">
                        <c:v>0.63</c:v>
                      </c:pt>
                      <c:pt idx="64">
                        <c:v>0.64</c:v>
                      </c:pt>
                      <c:pt idx="65">
                        <c:v>0.65</c:v>
                      </c:pt>
                      <c:pt idx="66">
                        <c:v>0.66</c:v>
                      </c:pt>
                      <c:pt idx="67">
                        <c:v>0.67</c:v>
                      </c:pt>
                      <c:pt idx="68">
                        <c:v>0.68</c:v>
                      </c:pt>
                      <c:pt idx="69">
                        <c:v>0.69</c:v>
                      </c:pt>
                      <c:pt idx="70">
                        <c:v>0.70</c:v>
                      </c:pt>
                      <c:pt idx="71">
                        <c:v>0.71</c:v>
                      </c:pt>
                      <c:pt idx="72">
                        <c:v>0.72</c:v>
                      </c:pt>
                      <c:pt idx="73">
                        <c:v>0.73</c:v>
                      </c:pt>
                      <c:pt idx="74">
                        <c:v>0.74</c:v>
                      </c:pt>
                      <c:pt idx="75">
                        <c:v>0.75</c:v>
                      </c:pt>
                      <c:pt idx="76">
                        <c:v>0.76</c:v>
                      </c:pt>
                      <c:pt idx="77">
                        <c:v>0.77</c:v>
                      </c:pt>
                      <c:pt idx="78">
                        <c:v>0.78</c:v>
                      </c:pt>
                      <c:pt idx="79">
                        <c:v>0.79</c:v>
                      </c:pt>
                      <c:pt idx="80">
                        <c:v>0.80</c:v>
                      </c:pt>
                      <c:pt idx="81">
                        <c:v>0.81</c:v>
                      </c:pt>
                      <c:pt idx="82">
                        <c:v>0.82</c:v>
                      </c:pt>
                      <c:pt idx="83">
                        <c:v>0.83</c:v>
                      </c:pt>
                      <c:pt idx="84">
                        <c:v>0.84</c:v>
                      </c:pt>
                      <c:pt idx="85">
                        <c:v>0.85</c:v>
                      </c:pt>
                      <c:pt idx="86">
                        <c:v>0.86</c:v>
                      </c:pt>
                      <c:pt idx="87">
                        <c:v>0.87</c:v>
                      </c:pt>
                      <c:pt idx="88">
                        <c:v>0.88</c:v>
                      </c:pt>
                      <c:pt idx="89">
                        <c:v>0.89</c:v>
                      </c:pt>
                      <c:pt idx="90">
                        <c:v>0.90</c:v>
                      </c:pt>
                      <c:pt idx="91">
                        <c:v>0.91</c:v>
                      </c:pt>
                      <c:pt idx="92">
                        <c:v>0.92</c:v>
                      </c:pt>
                      <c:pt idx="93">
                        <c:v>0.93</c:v>
                      </c:pt>
                      <c:pt idx="94">
                        <c:v>0.94</c:v>
                      </c:pt>
                      <c:pt idx="95">
                        <c:v>0.95</c:v>
                      </c:pt>
                      <c:pt idx="96">
                        <c:v>0.96</c:v>
                      </c:pt>
                      <c:pt idx="97">
                        <c:v>0.97</c:v>
                      </c:pt>
                      <c:pt idx="98">
                        <c:v>0.98</c:v>
                      </c:pt>
                      <c:pt idx="99">
                        <c:v>0.99</c:v>
                      </c:pt>
                      <c:pt idx="100">
                        <c:v>Max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'Backtesting PBL'!$AV$8:$AV$108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49" formatCode="0.0000">
                        <c:v>1.5278880799101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7121-48FA-B367-770A18200B6D}"/>
                  </c:ext>
                </c:extLst>
              </c15:ser>
            </c15:filteredLineSeries>
          </c:ext>
        </c:extLst>
      </c:lineChart>
      <c:catAx>
        <c:axId val="173238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5768"/>
        <c:crosses val="autoZero"/>
        <c:auto val="1"/>
        <c:lblAlgn val="ctr"/>
        <c:lblOffset val="100"/>
        <c:noMultiLvlLbl val="0"/>
      </c:catAx>
      <c:valAx>
        <c:axId val="1732385768"/>
        <c:scaling>
          <c:orientation val="minMax"/>
          <c:max val="2.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47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01522018136507E-2"/>
          <c:y val="4.1156627925817903E-2"/>
          <c:w val="0.94339980095139298"/>
          <c:h val="0.71596472222222218"/>
        </c:manualLayout>
      </c:layout>
      <c:lineChart>
        <c:grouping val="standard"/>
        <c:varyColors val="0"/>
        <c:ser>
          <c:idx val="3"/>
          <c:order val="0"/>
          <c:tx>
            <c:strRef>
              <c:f>'Backtesting PBL'!$X$7</c:f>
              <c:strCache>
                <c:ptCount val="1"/>
                <c:pt idx="0">
                  <c:v>FY24 theo.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PBL'!$X$8:$X$108</c:f>
              <c:numCache>
                <c:formatCode>General</c:formatCode>
                <c:ptCount val="101"/>
                <c:pt idx="0">
                  <c:v>2.1283821308769344</c:v>
                </c:pt>
                <c:pt idx="1">
                  <c:v>2.5144420325676951</c:v>
                </c:pt>
                <c:pt idx="2">
                  <c:v>2.5878400770582624</c:v>
                </c:pt>
                <c:pt idx="3">
                  <c:v>2.6426013852028976</c:v>
                </c:pt>
                <c:pt idx="4">
                  <c:v>2.6843032785708951</c:v>
                </c:pt>
                <c:pt idx="5">
                  <c:v>2.7196343593798886</c:v>
                </c:pt>
                <c:pt idx="6">
                  <c:v>2.7461420077223733</c:v>
                </c:pt>
                <c:pt idx="7">
                  <c:v>2.7771732575778119</c:v>
                </c:pt>
                <c:pt idx="8">
                  <c:v>2.8051420949435726</c:v>
                </c:pt>
                <c:pt idx="9">
                  <c:v>2.82364135466573</c:v>
                </c:pt>
                <c:pt idx="10">
                  <c:v>2.8447869936396715</c:v>
                </c:pt>
                <c:pt idx="11">
                  <c:v>2.8661367093602093</c:v>
                </c:pt>
                <c:pt idx="12">
                  <c:v>2.8874610309207278</c:v>
                </c:pt>
                <c:pt idx="13">
                  <c:v>2.9088783270200897</c:v>
                </c:pt>
                <c:pt idx="14">
                  <c:v>2.9274387575284453</c:v>
                </c:pt>
                <c:pt idx="15">
                  <c:v>2.9431835553636394</c:v>
                </c:pt>
                <c:pt idx="16">
                  <c:v>2.9562689437346825</c:v>
                </c:pt>
                <c:pt idx="17">
                  <c:v>2.9719288080996136</c:v>
                </c:pt>
                <c:pt idx="18">
                  <c:v>2.990668881023868</c:v>
                </c:pt>
                <c:pt idx="19">
                  <c:v>3.0039906452852176</c:v>
                </c:pt>
                <c:pt idx="20">
                  <c:v>3.018471376117621</c:v>
                </c:pt>
                <c:pt idx="21">
                  <c:v>3.0323983802914416</c:v>
                </c:pt>
                <c:pt idx="22">
                  <c:v>3.0450246150856026</c:v>
                </c:pt>
                <c:pt idx="23">
                  <c:v>3.0580719881297349</c:v>
                </c:pt>
                <c:pt idx="24">
                  <c:v>3.0724863385306027</c:v>
                </c:pt>
                <c:pt idx="25">
                  <c:v>3.087653522188595</c:v>
                </c:pt>
                <c:pt idx="26">
                  <c:v>3.1015921523847592</c:v>
                </c:pt>
                <c:pt idx="27">
                  <c:v>3.1135615383822657</c:v>
                </c:pt>
                <c:pt idx="28">
                  <c:v>3.1257483949219065</c:v>
                </c:pt>
                <c:pt idx="29">
                  <c:v>3.138726399490618</c:v>
                </c:pt>
                <c:pt idx="30">
                  <c:v>3.1526745938539786</c:v>
                </c:pt>
                <c:pt idx="31">
                  <c:v>3.1647010253655017</c:v>
                </c:pt>
                <c:pt idx="32">
                  <c:v>3.1794570669882778</c:v>
                </c:pt>
                <c:pt idx="33">
                  <c:v>3.1912066750509354</c:v>
                </c:pt>
                <c:pt idx="34">
                  <c:v>3.201442638589679</c:v>
                </c:pt>
                <c:pt idx="35">
                  <c:v>3.2145043725398414</c:v>
                </c:pt>
                <c:pt idx="36">
                  <c:v>3.2271517287152434</c:v>
                </c:pt>
                <c:pt idx="37">
                  <c:v>3.2388090766421684</c:v>
                </c:pt>
                <c:pt idx="38">
                  <c:v>3.2481450917915193</c:v>
                </c:pt>
                <c:pt idx="39">
                  <c:v>3.2621848960338209</c:v>
                </c:pt>
                <c:pt idx="40">
                  <c:v>3.273057141036992</c:v>
                </c:pt>
                <c:pt idx="41">
                  <c:v>3.2853134851685373</c:v>
                </c:pt>
                <c:pt idx="42">
                  <c:v>3.2981544082352308</c:v>
                </c:pt>
                <c:pt idx="43">
                  <c:v>3.3081907213178789</c:v>
                </c:pt>
                <c:pt idx="44">
                  <c:v>3.3194212487500376</c:v>
                </c:pt>
                <c:pt idx="45">
                  <c:v>3.3337509330258843</c:v>
                </c:pt>
                <c:pt idx="46">
                  <c:v>3.3455092106512523</c:v>
                </c:pt>
                <c:pt idx="47">
                  <c:v>3.3569844318503632</c:v>
                </c:pt>
                <c:pt idx="48">
                  <c:v>3.3686161948794706</c:v>
                </c:pt>
                <c:pt idx="49">
                  <c:v>3.3805356382009162</c:v>
                </c:pt>
                <c:pt idx="50">
                  <c:v>3.393172168000592</c:v>
                </c:pt>
                <c:pt idx="51">
                  <c:v>3.4047158045970001</c:v>
                </c:pt>
                <c:pt idx="52">
                  <c:v>3.4178928051651494</c:v>
                </c:pt>
                <c:pt idx="53">
                  <c:v>3.4292939193866259</c:v>
                </c:pt>
                <c:pt idx="54">
                  <c:v>3.4420981514294344</c:v>
                </c:pt>
                <c:pt idx="55">
                  <c:v>3.4551138138199944</c:v>
                </c:pt>
                <c:pt idx="56">
                  <c:v>3.4676187300624917</c:v>
                </c:pt>
                <c:pt idx="57">
                  <c:v>3.481085469849035</c:v>
                </c:pt>
                <c:pt idx="58">
                  <c:v>3.4920742446960591</c:v>
                </c:pt>
                <c:pt idx="59">
                  <c:v>3.5047366290484314</c:v>
                </c:pt>
                <c:pt idx="60">
                  <c:v>3.5182021967961741</c:v>
                </c:pt>
                <c:pt idx="61">
                  <c:v>3.5317071710784336</c:v>
                </c:pt>
                <c:pt idx="62">
                  <c:v>3.5425182899261736</c:v>
                </c:pt>
                <c:pt idx="63">
                  <c:v>3.5552600586810215</c:v>
                </c:pt>
                <c:pt idx="64">
                  <c:v>3.5712652468244466</c:v>
                </c:pt>
                <c:pt idx="65">
                  <c:v>3.5868220147687433</c:v>
                </c:pt>
                <c:pt idx="66">
                  <c:v>3.6003144107731107</c:v>
                </c:pt>
                <c:pt idx="67">
                  <c:v>3.6118747962000106</c:v>
                </c:pt>
                <c:pt idx="68">
                  <c:v>3.6271372280448495</c:v>
                </c:pt>
                <c:pt idx="69">
                  <c:v>3.6437604662647014</c:v>
                </c:pt>
                <c:pt idx="70">
                  <c:v>3.658169577601587</c:v>
                </c:pt>
                <c:pt idx="71">
                  <c:v>3.6737859291925221</c:v>
                </c:pt>
                <c:pt idx="72">
                  <c:v>3.6865263124974943</c:v>
                </c:pt>
                <c:pt idx="73">
                  <c:v>3.7044709532118127</c:v>
                </c:pt>
                <c:pt idx="74">
                  <c:v>3.7208677606251266</c:v>
                </c:pt>
                <c:pt idx="75">
                  <c:v>3.7384913878280717</c:v>
                </c:pt>
                <c:pt idx="76">
                  <c:v>3.7579481338729299</c:v>
                </c:pt>
                <c:pt idx="77">
                  <c:v>3.779116123287539</c:v>
                </c:pt>
                <c:pt idx="78">
                  <c:v>3.7949038770238306</c:v>
                </c:pt>
                <c:pt idx="79">
                  <c:v>3.8117968762341126</c:v>
                </c:pt>
                <c:pt idx="80">
                  <c:v>3.8332824003732253</c:v>
                </c:pt>
                <c:pt idx="81">
                  <c:v>3.8510528967485449</c:v>
                </c:pt>
                <c:pt idx="82">
                  <c:v>3.8726805956356691</c:v>
                </c:pt>
                <c:pt idx="83">
                  <c:v>3.8950536353251715</c:v>
                </c:pt>
                <c:pt idx="84">
                  <c:v>3.9202198788584952</c:v>
                </c:pt>
                <c:pt idx="85">
                  <c:v>3.9416916161414108</c:v>
                </c:pt>
                <c:pt idx="86">
                  <c:v>3.9730068024712537</c:v>
                </c:pt>
                <c:pt idx="87">
                  <c:v>4.0076712479137049</c:v>
                </c:pt>
                <c:pt idx="88">
                  <c:v>4.0414300360188138</c:v>
                </c:pt>
                <c:pt idx="89">
                  <c:v>4.069331104956631</c:v>
                </c:pt>
                <c:pt idx="90">
                  <c:v>4.1057601944604984</c:v>
                </c:pt>
                <c:pt idx="91">
                  <c:v>4.1453056167545999</c:v>
                </c:pt>
                <c:pt idx="92">
                  <c:v>4.1831056688148864</c:v>
                </c:pt>
                <c:pt idx="93">
                  <c:v>4.2193910445070353</c:v>
                </c:pt>
                <c:pt idx="94">
                  <c:v>4.2770687265357008</c:v>
                </c:pt>
                <c:pt idx="95">
                  <c:v>4.3279311212306411</c:v>
                </c:pt>
                <c:pt idx="96">
                  <c:v>4.3985919017382713</c:v>
                </c:pt>
                <c:pt idx="97">
                  <c:v>4.4815586039216404</c:v>
                </c:pt>
                <c:pt idx="98">
                  <c:v>4.5858307425625275</c:v>
                </c:pt>
                <c:pt idx="99">
                  <c:v>4.7587621792180386</c:v>
                </c:pt>
                <c:pt idx="100">
                  <c:v>6.0990249226165218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C-4E77-8912-9747544760BC}"/>
            </c:ext>
          </c:extLst>
        </c:ser>
        <c:ser>
          <c:idx val="2"/>
          <c:order val="1"/>
          <c:tx>
            <c:strRef>
              <c:f>'Backtesting PBL'!$W$7</c:f>
              <c:strCache>
                <c:ptCount val="1"/>
                <c:pt idx="0">
                  <c:v>FY23 theo.</c:v>
                </c:pt>
              </c:strCache>
            </c:strRef>
          </c:tx>
          <c:spPr>
            <a:ln w="28575" cap="rnd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PBL'!$W$8:$W$108</c:f>
              <c:numCache>
                <c:formatCode>General</c:formatCode>
                <c:ptCount val="101"/>
                <c:pt idx="0">
                  <c:v>1.9730692212375116</c:v>
                </c:pt>
                <c:pt idx="1">
                  <c:v>2.3626883034718671</c:v>
                </c:pt>
                <c:pt idx="2">
                  <c:v>2.4251820400415198</c:v>
                </c:pt>
                <c:pt idx="3">
                  <c:v>2.4601048743621257</c:v>
                </c:pt>
                <c:pt idx="4">
                  <c:v>2.494629755634838</c:v>
                </c:pt>
                <c:pt idx="5">
                  <c:v>2.5176745801202833</c:v>
                </c:pt>
                <c:pt idx="6">
                  <c:v>2.5420278077918015</c:v>
                </c:pt>
                <c:pt idx="7">
                  <c:v>2.5652021959969389</c:v>
                </c:pt>
                <c:pt idx="8">
                  <c:v>2.5882587148958822</c:v>
                </c:pt>
                <c:pt idx="9">
                  <c:v>2.6063869576491165</c:v>
                </c:pt>
                <c:pt idx="10">
                  <c:v>2.6261043791853167</c:v>
                </c:pt>
                <c:pt idx="11">
                  <c:v>2.6462870806970145</c:v>
                </c:pt>
                <c:pt idx="12">
                  <c:v>2.665939164211693</c:v>
                </c:pt>
                <c:pt idx="13">
                  <c:v>2.6830641395423691</c:v>
                </c:pt>
                <c:pt idx="14">
                  <c:v>2.6992634983503443</c:v>
                </c:pt>
                <c:pt idx="15">
                  <c:v>2.7138351286116467</c:v>
                </c:pt>
                <c:pt idx="16">
                  <c:v>2.7268387171676038</c:v>
                </c:pt>
                <c:pt idx="17">
                  <c:v>2.74261739893476</c:v>
                </c:pt>
                <c:pt idx="18">
                  <c:v>2.7555201144864458</c:v>
                </c:pt>
                <c:pt idx="19">
                  <c:v>2.7685579940060476</c:v>
                </c:pt>
                <c:pt idx="20">
                  <c:v>2.7821984601964229</c:v>
                </c:pt>
                <c:pt idx="21">
                  <c:v>2.7943229328495058</c:v>
                </c:pt>
                <c:pt idx="22">
                  <c:v>2.8077484034755007</c:v>
                </c:pt>
                <c:pt idx="23">
                  <c:v>2.8195337174853425</c:v>
                </c:pt>
                <c:pt idx="24">
                  <c:v>2.830523021015269</c:v>
                </c:pt>
                <c:pt idx="25">
                  <c:v>2.8448489682389617</c:v>
                </c:pt>
                <c:pt idx="26">
                  <c:v>2.8593011101071046</c:v>
                </c:pt>
                <c:pt idx="27">
                  <c:v>2.8703082361124999</c:v>
                </c:pt>
                <c:pt idx="28">
                  <c:v>2.8815259102060584</c:v>
                </c:pt>
                <c:pt idx="29">
                  <c:v>2.8932455391860388</c:v>
                </c:pt>
                <c:pt idx="30">
                  <c:v>2.9044355371426307</c:v>
                </c:pt>
                <c:pt idx="31">
                  <c:v>2.9170085263887859</c:v>
                </c:pt>
                <c:pt idx="32">
                  <c:v>2.9298833676671006</c:v>
                </c:pt>
                <c:pt idx="33">
                  <c:v>2.9427230997732376</c:v>
                </c:pt>
                <c:pt idx="34">
                  <c:v>2.9558118068814991</c:v>
                </c:pt>
                <c:pt idx="35">
                  <c:v>2.9655771253094949</c:v>
                </c:pt>
                <c:pt idx="36">
                  <c:v>2.9754857410905999</c:v>
                </c:pt>
                <c:pt idx="37">
                  <c:v>2.986711349999505</c:v>
                </c:pt>
                <c:pt idx="38">
                  <c:v>2.9990715509555708</c:v>
                </c:pt>
                <c:pt idx="39">
                  <c:v>3.0103567015186847</c:v>
                </c:pt>
                <c:pt idx="40">
                  <c:v>3.0215270604341695</c:v>
                </c:pt>
                <c:pt idx="41">
                  <c:v>3.0330279363504711</c:v>
                </c:pt>
                <c:pt idx="42">
                  <c:v>3.0430613525081465</c:v>
                </c:pt>
                <c:pt idx="43">
                  <c:v>3.0535239383899975</c:v>
                </c:pt>
                <c:pt idx="44">
                  <c:v>3.0649828689735035</c:v>
                </c:pt>
                <c:pt idx="45">
                  <c:v>3.0763968047378301</c:v>
                </c:pt>
                <c:pt idx="46">
                  <c:v>3.0870428300806427</c:v>
                </c:pt>
                <c:pt idx="47">
                  <c:v>3.0970364274227675</c:v>
                </c:pt>
                <c:pt idx="48">
                  <c:v>3.1098453102930206</c:v>
                </c:pt>
                <c:pt idx="49">
                  <c:v>3.1211559311306418</c:v>
                </c:pt>
                <c:pt idx="50">
                  <c:v>3.1309048613443902</c:v>
                </c:pt>
                <c:pt idx="51">
                  <c:v>3.1401931607734612</c:v>
                </c:pt>
                <c:pt idx="52">
                  <c:v>3.1507393121023823</c:v>
                </c:pt>
                <c:pt idx="53">
                  <c:v>3.1632906642979042</c:v>
                </c:pt>
                <c:pt idx="54">
                  <c:v>3.1743940810043547</c:v>
                </c:pt>
                <c:pt idx="55">
                  <c:v>3.1830049059349643</c:v>
                </c:pt>
                <c:pt idx="56">
                  <c:v>3.1944071896793607</c:v>
                </c:pt>
                <c:pt idx="57">
                  <c:v>3.2057345783938884</c:v>
                </c:pt>
                <c:pt idx="58">
                  <c:v>3.2188093040693411</c:v>
                </c:pt>
                <c:pt idx="59">
                  <c:v>3.229734345562834</c:v>
                </c:pt>
                <c:pt idx="60">
                  <c:v>3.2413360708212497</c:v>
                </c:pt>
                <c:pt idx="61">
                  <c:v>3.2544883142002545</c:v>
                </c:pt>
                <c:pt idx="62">
                  <c:v>3.2665856629569214</c:v>
                </c:pt>
                <c:pt idx="63">
                  <c:v>3.280423409732502</c:v>
                </c:pt>
                <c:pt idx="64">
                  <c:v>3.2919768485803309</c:v>
                </c:pt>
                <c:pt idx="65">
                  <c:v>3.3050325958061646</c:v>
                </c:pt>
                <c:pt idx="66">
                  <c:v>3.3170119318842319</c:v>
                </c:pt>
                <c:pt idx="67">
                  <c:v>3.3284543966838025</c:v>
                </c:pt>
                <c:pt idx="68">
                  <c:v>3.3417264995794325</c:v>
                </c:pt>
                <c:pt idx="69">
                  <c:v>3.3574853983302719</c:v>
                </c:pt>
                <c:pt idx="70">
                  <c:v>3.373458461460844</c:v>
                </c:pt>
                <c:pt idx="71">
                  <c:v>3.3871266024558793</c:v>
                </c:pt>
                <c:pt idx="72">
                  <c:v>3.4005305277646571</c:v>
                </c:pt>
                <c:pt idx="73">
                  <c:v>3.4124417210669029</c:v>
                </c:pt>
                <c:pt idx="74">
                  <c:v>3.4255276427017267</c:v>
                </c:pt>
                <c:pt idx="75">
                  <c:v>3.4440917441693282</c:v>
                </c:pt>
                <c:pt idx="76">
                  <c:v>3.4647906843686376</c:v>
                </c:pt>
                <c:pt idx="77">
                  <c:v>3.4819657608378547</c:v>
                </c:pt>
                <c:pt idx="78">
                  <c:v>3.4979234690426875</c:v>
                </c:pt>
                <c:pt idx="79">
                  <c:v>3.5167631479988066</c:v>
                </c:pt>
                <c:pt idx="80">
                  <c:v>3.535678659716444</c:v>
                </c:pt>
                <c:pt idx="81">
                  <c:v>3.5550217456117172</c:v>
                </c:pt>
                <c:pt idx="82">
                  <c:v>3.5715393688001065</c:v>
                </c:pt>
                <c:pt idx="83">
                  <c:v>3.5938350325630806</c:v>
                </c:pt>
                <c:pt idx="84">
                  <c:v>3.6133960420297639</c:v>
                </c:pt>
                <c:pt idx="85">
                  <c:v>3.6381776698523853</c:v>
                </c:pt>
                <c:pt idx="86">
                  <c:v>3.6582322739126827</c:v>
                </c:pt>
                <c:pt idx="87">
                  <c:v>3.6869676060644045</c:v>
                </c:pt>
                <c:pt idx="88">
                  <c:v>3.7158242173342972</c:v>
                </c:pt>
                <c:pt idx="89">
                  <c:v>3.7474308955146052</c:v>
                </c:pt>
                <c:pt idx="90">
                  <c:v>3.7759718488560376</c:v>
                </c:pt>
                <c:pt idx="91">
                  <c:v>3.8082911175783045</c:v>
                </c:pt>
                <c:pt idx="92">
                  <c:v>3.8366794225732765</c:v>
                </c:pt>
                <c:pt idx="93">
                  <c:v>3.8764123425232397</c:v>
                </c:pt>
                <c:pt idx="94">
                  <c:v>3.9164039746827393</c:v>
                </c:pt>
                <c:pt idx="95">
                  <c:v>3.9745915521120496</c:v>
                </c:pt>
                <c:pt idx="96">
                  <c:v>4.0413880623699452</c:v>
                </c:pt>
                <c:pt idx="97">
                  <c:v>4.1256664612897014</c:v>
                </c:pt>
                <c:pt idx="98">
                  <c:v>4.2459383527360588</c:v>
                </c:pt>
                <c:pt idx="99">
                  <c:v>4.4058892007265467</c:v>
                </c:pt>
                <c:pt idx="100">
                  <c:v>5.349885689585725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C-4E77-8912-9747544760BC}"/>
            </c:ext>
          </c:extLst>
        </c:ser>
        <c:ser>
          <c:idx val="1"/>
          <c:order val="2"/>
          <c:tx>
            <c:strRef>
              <c:f>'Backtesting PBL'!$V$7</c:f>
              <c:strCache>
                <c:ptCount val="1"/>
                <c:pt idx="0">
                  <c:v>FY22 theo.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PBL'!$V$8:$V$108</c:f>
              <c:numCache>
                <c:formatCode>General</c:formatCode>
                <c:ptCount val="101"/>
                <c:pt idx="0">
                  <c:v>1.9813453707276425</c:v>
                </c:pt>
                <c:pt idx="1">
                  <c:v>2.2480232761807439</c:v>
                </c:pt>
                <c:pt idx="2">
                  <c:v>2.3141036153362662</c:v>
                </c:pt>
                <c:pt idx="3">
                  <c:v>2.3590382334088407</c:v>
                </c:pt>
                <c:pt idx="4">
                  <c:v>2.3865987580583377</c:v>
                </c:pt>
                <c:pt idx="5">
                  <c:v>2.4189743669232717</c:v>
                </c:pt>
                <c:pt idx="6">
                  <c:v>2.4426288743716924</c:v>
                </c:pt>
                <c:pt idx="7">
                  <c:v>2.4675244464477073</c:v>
                </c:pt>
                <c:pt idx="8">
                  <c:v>2.4883452929529106</c:v>
                </c:pt>
                <c:pt idx="9">
                  <c:v>2.5077558466318739</c:v>
                </c:pt>
                <c:pt idx="10">
                  <c:v>2.5256709537706437</c:v>
                </c:pt>
                <c:pt idx="11">
                  <c:v>2.5447693822727953</c:v>
                </c:pt>
                <c:pt idx="12">
                  <c:v>2.5617133903192371</c:v>
                </c:pt>
                <c:pt idx="13">
                  <c:v>2.5718491750642145</c:v>
                </c:pt>
                <c:pt idx="14">
                  <c:v>2.5883242968689557</c:v>
                </c:pt>
                <c:pt idx="15">
                  <c:v>2.6034913611970762</c:v>
                </c:pt>
                <c:pt idx="16">
                  <c:v>2.6182121456312895</c:v>
                </c:pt>
                <c:pt idx="17">
                  <c:v>2.6356425458048736</c:v>
                </c:pt>
                <c:pt idx="18">
                  <c:v>2.6477432615669581</c:v>
                </c:pt>
                <c:pt idx="19">
                  <c:v>2.661427805908799</c:v>
                </c:pt>
                <c:pt idx="20">
                  <c:v>2.6741326800616489</c:v>
                </c:pt>
                <c:pt idx="21">
                  <c:v>2.6852624478362039</c:v>
                </c:pt>
                <c:pt idx="22">
                  <c:v>2.6968635351027479</c:v>
                </c:pt>
                <c:pt idx="23">
                  <c:v>2.7083802446620129</c:v>
                </c:pt>
                <c:pt idx="24">
                  <c:v>2.7251580107644124</c:v>
                </c:pt>
                <c:pt idx="25">
                  <c:v>2.7343806657780161</c:v>
                </c:pt>
                <c:pt idx="26">
                  <c:v>2.7483181446776297</c:v>
                </c:pt>
                <c:pt idx="27">
                  <c:v>2.7616835646533193</c:v>
                </c:pt>
                <c:pt idx="28">
                  <c:v>2.7748846950482804</c:v>
                </c:pt>
                <c:pt idx="29">
                  <c:v>2.7833695013663995</c:v>
                </c:pt>
                <c:pt idx="30">
                  <c:v>2.7990968925126976</c:v>
                </c:pt>
                <c:pt idx="31">
                  <c:v>2.8090844395952232</c:v>
                </c:pt>
                <c:pt idx="32">
                  <c:v>2.8206775423619064</c:v>
                </c:pt>
                <c:pt idx="33">
                  <c:v>2.8290110694123367</c:v>
                </c:pt>
                <c:pt idx="34">
                  <c:v>2.8436050679054041</c:v>
                </c:pt>
                <c:pt idx="35">
                  <c:v>2.8511498510421389</c:v>
                </c:pt>
                <c:pt idx="36">
                  <c:v>2.8655277770933609</c:v>
                </c:pt>
                <c:pt idx="37">
                  <c:v>2.8740748531082918</c:v>
                </c:pt>
                <c:pt idx="38">
                  <c:v>2.8851462023470282</c:v>
                </c:pt>
                <c:pt idx="39">
                  <c:v>2.8936539205376004</c:v>
                </c:pt>
                <c:pt idx="40">
                  <c:v>2.9075007122182015</c:v>
                </c:pt>
                <c:pt idx="41">
                  <c:v>2.917508773508187</c:v>
                </c:pt>
                <c:pt idx="42">
                  <c:v>2.9272847943942049</c:v>
                </c:pt>
                <c:pt idx="43">
                  <c:v>2.9384306127840714</c:v>
                </c:pt>
                <c:pt idx="44">
                  <c:v>2.9504515606491535</c:v>
                </c:pt>
                <c:pt idx="45">
                  <c:v>2.9606141796364125</c:v>
                </c:pt>
                <c:pt idx="46">
                  <c:v>2.972743509907402</c:v>
                </c:pt>
                <c:pt idx="47">
                  <c:v>2.983852462686805</c:v>
                </c:pt>
                <c:pt idx="48">
                  <c:v>2.9936033711862766</c:v>
                </c:pt>
                <c:pt idx="49">
                  <c:v>3.0048308720006074</c:v>
                </c:pt>
                <c:pt idx="50">
                  <c:v>3.0156532251138426</c:v>
                </c:pt>
                <c:pt idx="51">
                  <c:v>3.0288412243394238</c:v>
                </c:pt>
                <c:pt idx="52">
                  <c:v>3.0373579249944305</c:v>
                </c:pt>
                <c:pt idx="53">
                  <c:v>3.050669787992923</c:v>
                </c:pt>
                <c:pt idx="54">
                  <c:v>3.0600745856538651</c:v>
                </c:pt>
                <c:pt idx="55">
                  <c:v>3.0735351907287467</c:v>
                </c:pt>
                <c:pt idx="56">
                  <c:v>3.084160760797567</c:v>
                </c:pt>
                <c:pt idx="57">
                  <c:v>3.0966794455601625</c:v>
                </c:pt>
                <c:pt idx="58">
                  <c:v>3.1049603077599714</c:v>
                </c:pt>
                <c:pt idx="59">
                  <c:v>3.1212563546160053</c:v>
                </c:pt>
                <c:pt idx="60">
                  <c:v>3.1362725887960878</c:v>
                </c:pt>
                <c:pt idx="61">
                  <c:v>3.1474155546970657</c:v>
                </c:pt>
                <c:pt idx="62">
                  <c:v>3.1622395150296763</c:v>
                </c:pt>
                <c:pt idx="63">
                  <c:v>3.174620990727405</c:v>
                </c:pt>
                <c:pt idx="64">
                  <c:v>3.188171366967834</c:v>
                </c:pt>
                <c:pt idx="65">
                  <c:v>3.2007666450673296</c:v>
                </c:pt>
                <c:pt idx="66">
                  <c:v>3.2139677754622897</c:v>
                </c:pt>
                <c:pt idx="67">
                  <c:v>3.2269326819157285</c:v>
                </c:pt>
                <c:pt idx="68">
                  <c:v>3.2406141927122882</c:v>
                </c:pt>
                <c:pt idx="69">
                  <c:v>3.2529855035017228</c:v>
                </c:pt>
                <c:pt idx="70">
                  <c:v>3.2630800815905374</c:v>
                </c:pt>
                <c:pt idx="71">
                  <c:v>3.2783678596691139</c:v>
                </c:pt>
                <c:pt idx="72">
                  <c:v>3.2902526492360029</c:v>
                </c:pt>
                <c:pt idx="73">
                  <c:v>3.3080610787551206</c:v>
                </c:pt>
                <c:pt idx="74">
                  <c:v>3.3247797369220815</c:v>
                </c:pt>
                <c:pt idx="75">
                  <c:v>3.3402460035281338</c:v>
                </c:pt>
                <c:pt idx="76">
                  <c:v>3.3576717799191198</c:v>
                </c:pt>
                <c:pt idx="77">
                  <c:v>3.3765491700093726</c:v>
                </c:pt>
                <c:pt idx="78">
                  <c:v>3.3979899148457755</c:v>
                </c:pt>
                <c:pt idx="79">
                  <c:v>3.4165992011868975</c:v>
                </c:pt>
                <c:pt idx="80">
                  <c:v>3.4346109575728194</c:v>
                </c:pt>
                <c:pt idx="81">
                  <c:v>3.4522309698336167</c:v>
                </c:pt>
                <c:pt idx="82">
                  <c:v>3.4713394114097422</c:v>
                </c:pt>
                <c:pt idx="83">
                  <c:v>3.4912000324001906</c:v>
                </c:pt>
                <c:pt idx="84">
                  <c:v>3.514568236162289</c:v>
                </c:pt>
                <c:pt idx="85">
                  <c:v>3.5366143134650292</c:v>
                </c:pt>
                <c:pt idx="86">
                  <c:v>3.5593168166100693</c:v>
                </c:pt>
                <c:pt idx="87">
                  <c:v>3.5868268308460318</c:v>
                </c:pt>
                <c:pt idx="88">
                  <c:v>3.6221275934359838</c:v>
                </c:pt>
                <c:pt idx="89">
                  <c:v>3.6560501782416259</c:v>
                </c:pt>
                <c:pt idx="90">
                  <c:v>3.6901373787995704</c:v>
                </c:pt>
                <c:pt idx="91">
                  <c:v>3.7251873458202898</c:v>
                </c:pt>
                <c:pt idx="92">
                  <c:v>3.7607249121378579</c:v>
                </c:pt>
                <c:pt idx="93">
                  <c:v>3.7962020020165115</c:v>
                </c:pt>
                <c:pt idx="94">
                  <c:v>3.8502379485847578</c:v>
                </c:pt>
                <c:pt idx="95">
                  <c:v>3.9074288851128771</c:v>
                </c:pt>
                <c:pt idx="96">
                  <c:v>3.9831697275132387</c:v>
                </c:pt>
                <c:pt idx="97">
                  <c:v>4.0800337867565366</c:v>
                </c:pt>
                <c:pt idx="98">
                  <c:v>4.1899082206427813</c:v>
                </c:pt>
                <c:pt idx="99">
                  <c:v>4.3830365719355893</c:v>
                </c:pt>
                <c:pt idx="100">
                  <c:v>5.3648981107892606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C-4E77-8912-9747544760BC}"/>
            </c:ext>
          </c:extLst>
        </c:ser>
        <c:ser>
          <c:idx val="0"/>
          <c:order val="3"/>
          <c:tx>
            <c:strRef>
              <c:f>'Backtesting PBL'!$U$7</c:f>
              <c:strCache>
                <c:ptCount val="1"/>
                <c:pt idx="0">
                  <c:v>FY21 theo.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280C-4E77-8912-9747544760BC}"/>
              </c:ext>
            </c:extLst>
          </c:dPt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PBL'!$U$8:$U$108</c:f>
              <c:numCache>
                <c:formatCode>General</c:formatCode>
                <c:ptCount val="101"/>
                <c:pt idx="0">
                  <c:v>1.9416729916472746</c:v>
                </c:pt>
                <c:pt idx="1">
                  <c:v>2.3060131231805605</c:v>
                </c:pt>
                <c:pt idx="2">
                  <c:v>2.3659037228137114</c:v>
                </c:pt>
                <c:pt idx="3">
                  <c:v>2.4120755192014425</c:v>
                </c:pt>
                <c:pt idx="4">
                  <c:v>2.4466925885580539</c:v>
                </c:pt>
                <c:pt idx="5">
                  <c:v>2.4767433665788237</c:v>
                </c:pt>
                <c:pt idx="6">
                  <c:v>2.4994077216273687</c:v>
                </c:pt>
                <c:pt idx="7">
                  <c:v>2.5200483509466909</c:v>
                </c:pt>
                <c:pt idx="8">
                  <c:v>2.5431643711255068</c:v>
                </c:pt>
                <c:pt idx="9">
                  <c:v>2.5633940163394469</c:v>
                </c:pt>
                <c:pt idx="10">
                  <c:v>2.5833571250012488</c:v>
                </c:pt>
                <c:pt idx="11">
                  <c:v>2.6003008146832975</c:v>
                </c:pt>
                <c:pt idx="12">
                  <c:v>2.617265668587859</c:v>
                </c:pt>
                <c:pt idx="13">
                  <c:v>2.6349763102055825</c:v>
                </c:pt>
                <c:pt idx="14">
                  <c:v>2.651746272704977</c:v>
                </c:pt>
                <c:pt idx="15">
                  <c:v>2.6663735215613684</c:v>
                </c:pt>
                <c:pt idx="16">
                  <c:v>2.6807197163669318</c:v>
                </c:pt>
                <c:pt idx="17">
                  <c:v>2.6951952185267984</c:v>
                </c:pt>
                <c:pt idx="18">
                  <c:v>2.7078212205601644</c:v>
                </c:pt>
                <c:pt idx="19">
                  <c:v>2.7207799151060135</c:v>
                </c:pt>
                <c:pt idx="20">
                  <c:v>2.7327479531236474</c:v>
                </c:pt>
                <c:pt idx="21">
                  <c:v>2.7451043024371318</c:v>
                </c:pt>
                <c:pt idx="22">
                  <c:v>2.7579011364783201</c:v>
                </c:pt>
                <c:pt idx="23">
                  <c:v>2.7689624371441841</c:v>
                </c:pt>
                <c:pt idx="24">
                  <c:v>2.7820898577011741</c:v>
                </c:pt>
                <c:pt idx="25">
                  <c:v>2.7923831840464186</c:v>
                </c:pt>
                <c:pt idx="26">
                  <c:v>2.8044045281579035</c:v>
                </c:pt>
                <c:pt idx="27">
                  <c:v>2.816131224884955</c:v>
                </c:pt>
                <c:pt idx="28">
                  <c:v>2.8268122013683725</c:v>
                </c:pt>
                <c:pt idx="29">
                  <c:v>2.8371837545707375</c:v>
                </c:pt>
                <c:pt idx="30">
                  <c:v>2.8485175732030226</c:v>
                </c:pt>
                <c:pt idx="31">
                  <c:v>2.8599618293110445</c:v>
                </c:pt>
                <c:pt idx="32">
                  <c:v>2.8704870688821678</c:v>
                </c:pt>
                <c:pt idx="33">
                  <c:v>2.8806482013026593</c:v>
                </c:pt>
                <c:pt idx="34">
                  <c:v>2.8902141791338374</c:v>
                </c:pt>
                <c:pt idx="35">
                  <c:v>2.9040093516126588</c:v>
                </c:pt>
                <c:pt idx="36">
                  <c:v>2.9137616181721708</c:v>
                </c:pt>
                <c:pt idx="37">
                  <c:v>2.9243768035572377</c:v>
                </c:pt>
                <c:pt idx="38">
                  <c:v>2.9367775409876744</c:v>
                </c:pt>
                <c:pt idx="39">
                  <c:v>2.9466103634073249</c:v>
                </c:pt>
                <c:pt idx="40">
                  <c:v>2.9578776732165726</c:v>
                </c:pt>
                <c:pt idx="41">
                  <c:v>2.969535723452259</c:v>
                </c:pt>
                <c:pt idx="42">
                  <c:v>2.9812867003601062</c:v>
                </c:pt>
                <c:pt idx="43">
                  <c:v>2.9910901198968576</c:v>
                </c:pt>
                <c:pt idx="44">
                  <c:v>3.001565988133966</c:v>
                </c:pt>
                <c:pt idx="45">
                  <c:v>3.0104844559670556</c:v>
                </c:pt>
                <c:pt idx="46">
                  <c:v>3.0194075637068694</c:v>
                </c:pt>
                <c:pt idx="47">
                  <c:v>3.0306738810967633</c:v>
                </c:pt>
                <c:pt idx="48">
                  <c:v>3.0421616864983365</c:v>
                </c:pt>
                <c:pt idx="49">
                  <c:v>3.0527077746111515</c:v>
                </c:pt>
                <c:pt idx="50">
                  <c:v>3.0613325821258943</c:v>
                </c:pt>
                <c:pt idx="51">
                  <c:v>3.0739007017879487</c:v>
                </c:pt>
                <c:pt idx="52">
                  <c:v>3.0840759019004844</c:v>
                </c:pt>
                <c:pt idx="53">
                  <c:v>3.0972033069769616</c:v>
                </c:pt>
                <c:pt idx="54">
                  <c:v>3.1071164744900099</c:v>
                </c:pt>
                <c:pt idx="55">
                  <c:v>3.118624635334569</c:v>
                </c:pt>
                <c:pt idx="56">
                  <c:v>3.1289113409051605</c:v>
                </c:pt>
                <c:pt idx="57">
                  <c:v>3.1393265231775458</c:v>
                </c:pt>
                <c:pt idx="58">
                  <c:v>3.1523561103175073</c:v>
                </c:pt>
                <c:pt idx="59">
                  <c:v>3.1638407621309459</c:v>
                </c:pt>
                <c:pt idx="60">
                  <c:v>3.1751609980253583</c:v>
                </c:pt>
                <c:pt idx="61">
                  <c:v>3.1877557873243072</c:v>
                </c:pt>
                <c:pt idx="62">
                  <c:v>3.1989818544411257</c:v>
                </c:pt>
                <c:pt idx="63">
                  <c:v>3.2100587910581857</c:v>
                </c:pt>
                <c:pt idx="64">
                  <c:v>3.2214438499595444</c:v>
                </c:pt>
                <c:pt idx="65">
                  <c:v>3.2331926154200219</c:v>
                </c:pt>
                <c:pt idx="66">
                  <c:v>3.2481051317536669</c:v>
                </c:pt>
                <c:pt idx="67">
                  <c:v>3.2620931422754649</c:v>
                </c:pt>
                <c:pt idx="68">
                  <c:v>3.2772630683901016</c:v>
                </c:pt>
                <c:pt idx="69">
                  <c:v>3.2904298913140746</c:v>
                </c:pt>
                <c:pt idx="70">
                  <c:v>3.3044954472107522</c:v>
                </c:pt>
                <c:pt idx="71">
                  <c:v>3.3147866206559606</c:v>
                </c:pt>
                <c:pt idx="72">
                  <c:v>3.330611627190216</c:v>
                </c:pt>
                <c:pt idx="73">
                  <c:v>3.3454939049169612</c:v>
                </c:pt>
                <c:pt idx="74">
                  <c:v>3.359263874149883</c:v>
                </c:pt>
                <c:pt idx="75">
                  <c:v>3.3759182350806278</c:v>
                </c:pt>
                <c:pt idx="76">
                  <c:v>3.3940976628781976</c:v>
                </c:pt>
                <c:pt idx="77">
                  <c:v>3.4107006138012359</c:v>
                </c:pt>
                <c:pt idx="78">
                  <c:v>3.428496137454442</c:v>
                </c:pt>
                <c:pt idx="79">
                  <c:v>3.4445296243215378</c:v>
                </c:pt>
                <c:pt idx="80">
                  <c:v>3.4615984945364544</c:v>
                </c:pt>
                <c:pt idx="81">
                  <c:v>3.4794537320270482</c:v>
                </c:pt>
                <c:pt idx="82">
                  <c:v>3.498728665413017</c:v>
                </c:pt>
                <c:pt idx="83">
                  <c:v>3.5162429937031661</c:v>
                </c:pt>
                <c:pt idx="84">
                  <c:v>3.5358247407609906</c:v>
                </c:pt>
                <c:pt idx="85">
                  <c:v>3.5582476352615231</c:v>
                </c:pt>
                <c:pt idx="86">
                  <c:v>3.5818207517060769</c:v>
                </c:pt>
                <c:pt idx="87">
                  <c:v>3.6121482258789666</c:v>
                </c:pt>
                <c:pt idx="88">
                  <c:v>3.6401873948654324</c:v>
                </c:pt>
                <c:pt idx="89">
                  <c:v>3.6673468593405945</c:v>
                </c:pt>
                <c:pt idx="90">
                  <c:v>3.6984761477465953</c:v>
                </c:pt>
                <c:pt idx="91">
                  <c:v>3.7287289187459707</c:v>
                </c:pt>
                <c:pt idx="92">
                  <c:v>3.7663914779142389</c:v>
                </c:pt>
                <c:pt idx="93">
                  <c:v>3.8058676505056788</c:v>
                </c:pt>
                <c:pt idx="94">
                  <c:v>3.8447555256927783</c:v>
                </c:pt>
                <c:pt idx="95">
                  <c:v>3.8900419866272422</c:v>
                </c:pt>
                <c:pt idx="96">
                  <c:v>3.9499333541507218</c:v>
                </c:pt>
                <c:pt idx="97">
                  <c:v>4.0293703368466316</c:v>
                </c:pt>
                <c:pt idx="98">
                  <c:v>4.1363477218244578</c:v>
                </c:pt>
                <c:pt idx="99">
                  <c:v>4.3100086635543464</c:v>
                </c:pt>
                <c:pt idx="100">
                  <c:v>5.22857565255502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C-4E77-8912-9747544760BC}"/>
            </c:ext>
          </c:extLst>
        </c:ser>
        <c:ser>
          <c:idx val="8"/>
          <c:order val="4"/>
          <c:tx>
            <c:strRef>
              <c:f>'Backtesting PBL'!$T$7</c:f>
              <c:strCache>
                <c:ptCount val="1"/>
                <c:pt idx="0">
                  <c:v>FY20 theo.</c:v>
                </c:pt>
              </c:strCache>
            </c:strRef>
          </c:tx>
          <c:spPr>
            <a:ln w="28575"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'Backtesting PBL'!$T$8:$T$108</c:f>
              <c:numCache>
                <c:formatCode>General</c:formatCode>
                <c:ptCount val="101"/>
                <c:pt idx="0">
                  <c:v>1.4847874679511484</c:v>
                </c:pt>
                <c:pt idx="1">
                  <c:v>1.6820274353327995</c:v>
                </c:pt>
                <c:pt idx="2">
                  <c:v>1.7267432891445968</c:v>
                </c:pt>
                <c:pt idx="3">
                  <c:v>1.7561545257512565</c:v>
                </c:pt>
                <c:pt idx="4">
                  <c:v>1.7805682946240384</c:v>
                </c:pt>
                <c:pt idx="5">
                  <c:v>1.8057986189426347</c:v>
                </c:pt>
                <c:pt idx="6">
                  <c:v>1.8256119598337244</c:v>
                </c:pt>
                <c:pt idx="7">
                  <c:v>1.8424811085489163</c:v>
                </c:pt>
                <c:pt idx="8">
                  <c:v>1.8594498183815655</c:v>
                </c:pt>
                <c:pt idx="9">
                  <c:v>1.8747438575077591</c:v>
                </c:pt>
                <c:pt idx="10">
                  <c:v>1.8869836166100278</c:v>
                </c:pt>
                <c:pt idx="11">
                  <c:v>1.8996490356098945</c:v>
                </c:pt>
                <c:pt idx="12">
                  <c:v>1.912571555870054</c:v>
                </c:pt>
                <c:pt idx="13">
                  <c:v>1.9222275574738457</c:v>
                </c:pt>
                <c:pt idx="14">
                  <c:v>1.9360258578812748</c:v>
                </c:pt>
                <c:pt idx="15">
                  <c:v>1.9466075016190547</c:v>
                </c:pt>
                <c:pt idx="16">
                  <c:v>1.9590042825931897</c:v>
                </c:pt>
                <c:pt idx="17">
                  <c:v>1.9707106994610064</c:v>
                </c:pt>
                <c:pt idx="18">
                  <c:v>1.9814786344479023</c:v>
                </c:pt>
                <c:pt idx="19">
                  <c:v>1.9922367408084443</c:v>
                </c:pt>
                <c:pt idx="20">
                  <c:v>2.0017590994339272</c:v>
                </c:pt>
                <c:pt idx="21">
                  <c:v>2.0108865018096322</c:v>
                </c:pt>
                <c:pt idx="22">
                  <c:v>2.0195953315081097</c:v>
                </c:pt>
                <c:pt idx="23">
                  <c:v>2.0282395676449578</c:v>
                </c:pt>
                <c:pt idx="24">
                  <c:v>2.0359758736406537</c:v>
                </c:pt>
                <c:pt idx="25">
                  <c:v>2.0453145838498825</c:v>
                </c:pt>
                <c:pt idx="26">
                  <c:v>2.0559180696569852</c:v>
                </c:pt>
                <c:pt idx="27">
                  <c:v>2.0650194845241185</c:v>
                </c:pt>
                <c:pt idx="28">
                  <c:v>2.0730449625094809</c:v>
                </c:pt>
                <c:pt idx="29">
                  <c:v>2.0809309073526592</c:v>
                </c:pt>
                <c:pt idx="30">
                  <c:v>2.0901704641376302</c:v>
                </c:pt>
                <c:pt idx="31">
                  <c:v>2.0977030643618275</c:v>
                </c:pt>
                <c:pt idx="32">
                  <c:v>2.1055866820562357</c:v>
                </c:pt>
                <c:pt idx="33">
                  <c:v>2.1137108970031413</c:v>
                </c:pt>
                <c:pt idx="34">
                  <c:v>2.12277341836357</c:v>
                </c:pt>
                <c:pt idx="35">
                  <c:v>2.1322576092792467</c:v>
                </c:pt>
                <c:pt idx="36">
                  <c:v>2.1420322060413564</c:v>
                </c:pt>
                <c:pt idx="37">
                  <c:v>2.1508035108963601</c:v>
                </c:pt>
                <c:pt idx="38">
                  <c:v>2.1588310520605529</c:v>
                </c:pt>
                <c:pt idx="39">
                  <c:v>2.1675303688732344</c:v>
                </c:pt>
                <c:pt idx="40">
                  <c:v>2.1761872690628956</c:v>
                </c:pt>
                <c:pt idx="41">
                  <c:v>2.1849885038274874</c:v>
                </c:pt>
                <c:pt idx="42">
                  <c:v>2.1943329713072823</c:v>
                </c:pt>
                <c:pt idx="43">
                  <c:v>2.2030877206452129</c:v>
                </c:pt>
                <c:pt idx="44">
                  <c:v>2.2114431646268153</c:v>
                </c:pt>
                <c:pt idx="45">
                  <c:v>2.2195151099858519</c:v>
                </c:pt>
                <c:pt idx="46">
                  <c:v>2.2292630789373615</c:v>
                </c:pt>
                <c:pt idx="47">
                  <c:v>2.2381111069530339</c:v>
                </c:pt>
                <c:pt idx="48">
                  <c:v>2.2477233296371795</c:v>
                </c:pt>
                <c:pt idx="49">
                  <c:v>2.2565568795630191</c:v>
                </c:pt>
                <c:pt idx="50">
                  <c:v>2.2642011751503817</c:v>
                </c:pt>
                <c:pt idx="51">
                  <c:v>2.2712478296618888</c:v>
                </c:pt>
                <c:pt idx="52">
                  <c:v>2.2791685668947919</c:v>
                </c:pt>
                <c:pt idx="53">
                  <c:v>2.2895508974805328</c:v>
                </c:pt>
                <c:pt idx="54">
                  <c:v>2.2981379766202559</c:v>
                </c:pt>
                <c:pt idx="55">
                  <c:v>2.3073693143035356</c:v>
                </c:pt>
                <c:pt idx="56">
                  <c:v>2.3152731586884778</c:v>
                </c:pt>
                <c:pt idx="57">
                  <c:v>2.3254159921159854</c:v>
                </c:pt>
                <c:pt idx="58">
                  <c:v>2.3335533759177114</c:v>
                </c:pt>
                <c:pt idx="59">
                  <c:v>2.3436520950953219</c:v>
                </c:pt>
                <c:pt idx="60">
                  <c:v>2.3531062085909982</c:v>
                </c:pt>
                <c:pt idx="61">
                  <c:v>2.361750192128921</c:v>
                </c:pt>
                <c:pt idx="62">
                  <c:v>2.3716486677815389</c:v>
                </c:pt>
                <c:pt idx="63">
                  <c:v>2.3813335758940561</c:v>
                </c:pt>
                <c:pt idx="64">
                  <c:v>2.3917333236853842</c:v>
                </c:pt>
                <c:pt idx="65">
                  <c:v>2.4011668581962966</c:v>
                </c:pt>
                <c:pt idx="66">
                  <c:v>2.4115563378976002</c:v>
                </c:pt>
                <c:pt idx="67">
                  <c:v>2.4217196428582111</c:v>
                </c:pt>
                <c:pt idx="68">
                  <c:v>2.4333365876300044</c:v>
                </c:pt>
                <c:pt idx="69">
                  <c:v>2.4453787611789495</c:v>
                </c:pt>
                <c:pt idx="70">
                  <c:v>2.4570984735113055</c:v>
                </c:pt>
                <c:pt idx="71">
                  <c:v>2.4677784335709001</c:v>
                </c:pt>
                <c:pt idx="72">
                  <c:v>2.4781091959581696</c:v>
                </c:pt>
                <c:pt idx="73">
                  <c:v>2.4915101984556562</c:v>
                </c:pt>
                <c:pt idx="74">
                  <c:v>2.5025562983328089</c:v>
                </c:pt>
                <c:pt idx="75">
                  <c:v>2.5142322788480431</c:v>
                </c:pt>
                <c:pt idx="76">
                  <c:v>2.5272476623688633</c:v>
                </c:pt>
                <c:pt idx="77">
                  <c:v>2.5402517272459009</c:v>
                </c:pt>
                <c:pt idx="78">
                  <c:v>2.5555896355221153</c:v>
                </c:pt>
                <c:pt idx="79">
                  <c:v>2.570496458640442</c:v>
                </c:pt>
                <c:pt idx="80">
                  <c:v>2.5851920180399386</c:v>
                </c:pt>
                <c:pt idx="81">
                  <c:v>2.6011862631022225</c:v>
                </c:pt>
                <c:pt idx="82">
                  <c:v>2.6184669834759067</c:v>
                </c:pt>
                <c:pt idx="83">
                  <c:v>2.6335490314544208</c:v>
                </c:pt>
                <c:pt idx="84">
                  <c:v>2.6518344326741889</c:v>
                </c:pt>
                <c:pt idx="85">
                  <c:v>2.6715957580630274</c:v>
                </c:pt>
                <c:pt idx="86">
                  <c:v>2.6932793941081212</c:v>
                </c:pt>
                <c:pt idx="87">
                  <c:v>2.7162467217111401</c:v>
                </c:pt>
                <c:pt idx="88">
                  <c:v>2.7380113778605142</c:v>
                </c:pt>
                <c:pt idx="89">
                  <c:v>2.7600520183976034</c:v>
                </c:pt>
                <c:pt idx="90">
                  <c:v>2.7848486107064101</c:v>
                </c:pt>
                <c:pt idx="91">
                  <c:v>2.8137541549724099</c:v>
                </c:pt>
                <c:pt idx="92">
                  <c:v>2.844195929657729</c:v>
                </c:pt>
                <c:pt idx="93">
                  <c:v>2.8734367680316861</c:v>
                </c:pt>
                <c:pt idx="94">
                  <c:v>2.9091554203277488</c:v>
                </c:pt>
                <c:pt idx="95">
                  <c:v>2.9539184284804749</c:v>
                </c:pt>
                <c:pt idx="96">
                  <c:v>3.003890024469996</c:v>
                </c:pt>
                <c:pt idx="97">
                  <c:v>3.0823476845804665</c:v>
                </c:pt>
                <c:pt idx="98">
                  <c:v>3.176987711242401</c:v>
                </c:pt>
                <c:pt idx="99">
                  <c:v>3.3089376581125318</c:v>
                </c:pt>
                <c:pt idx="100">
                  <c:v>3.9922387211943065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0C-4E77-8912-9747544760BC}"/>
            </c:ext>
          </c:extLst>
        </c:ser>
        <c:ser>
          <c:idx val="10"/>
          <c:order val="5"/>
          <c:tx>
            <c:strRef>
              <c:f>'Backtesting PBL'!$S$7</c:f>
              <c:strCache>
                <c:ptCount val="1"/>
                <c:pt idx="0">
                  <c:v>FY19 theo.</c:v>
                </c:pt>
              </c:strCache>
            </c:strRef>
          </c:tx>
          <c:spPr>
            <a:ln w="28575">
              <a:solidFill>
                <a:srgbClr val="D9C1ED"/>
              </a:solidFill>
            </a:ln>
          </c:spPr>
          <c:marker>
            <c:symbol val="none"/>
          </c:marker>
          <c:val>
            <c:numRef>
              <c:f>'Backtesting PBL'!$S$8:$S$108</c:f>
              <c:numCache>
                <c:formatCode>General</c:formatCode>
                <c:ptCount val="101"/>
                <c:pt idx="0">
                  <c:v>1.2545799551646153</c:v>
                </c:pt>
                <c:pt idx="1">
                  <c:v>1.4066574197719168</c:v>
                </c:pt>
                <c:pt idx="2">
                  <c:v>1.4500779849130305</c:v>
                </c:pt>
                <c:pt idx="3">
                  <c:v>1.4791244164381512</c:v>
                </c:pt>
                <c:pt idx="4">
                  <c:v>1.5034364351885934</c:v>
                </c:pt>
                <c:pt idx="5">
                  <c:v>1.5283052222492155</c:v>
                </c:pt>
                <c:pt idx="6">
                  <c:v>1.5458852324186725</c:v>
                </c:pt>
                <c:pt idx="7">
                  <c:v>1.560199057932697</c:v>
                </c:pt>
                <c:pt idx="8">
                  <c:v>1.5753908020628888</c:v>
                </c:pt>
                <c:pt idx="9">
                  <c:v>1.5877362962364541</c:v>
                </c:pt>
                <c:pt idx="10">
                  <c:v>1.6024647063201816</c:v>
                </c:pt>
                <c:pt idx="11">
                  <c:v>1.6140408105585078</c:v>
                </c:pt>
                <c:pt idx="12">
                  <c:v>1.6269417464949447</c:v>
                </c:pt>
                <c:pt idx="13">
                  <c:v>1.6379098347135139</c:v>
                </c:pt>
                <c:pt idx="14">
                  <c:v>1.647432295461386</c:v>
                </c:pt>
                <c:pt idx="15">
                  <c:v>1.6583803791426657</c:v>
                </c:pt>
                <c:pt idx="16">
                  <c:v>1.6694117685644827</c:v>
                </c:pt>
                <c:pt idx="17">
                  <c:v>1.6796650794945864</c:v>
                </c:pt>
                <c:pt idx="18">
                  <c:v>1.6908431304441707</c:v>
                </c:pt>
                <c:pt idx="19">
                  <c:v>1.7021395217767501</c:v>
                </c:pt>
                <c:pt idx="20">
                  <c:v>1.7142624832916706</c:v>
                </c:pt>
                <c:pt idx="21">
                  <c:v>1.7238980405688689</c:v>
                </c:pt>
                <c:pt idx="22">
                  <c:v>1.7332845361921914</c:v>
                </c:pt>
                <c:pt idx="23">
                  <c:v>1.7439910316032456</c:v>
                </c:pt>
                <c:pt idx="24">
                  <c:v>1.7530548091094915</c:v>
                </c:pt>
                <c:pt idx="25">
                  <c:v>1.7617227162162552</c:v>
                </c:pt>
                <c:pt idx="26">
                  <c:v>1.7708514467278855</c:v>
                </c:pt>
                <c:pt idx="27">
                  <c:v>1.7790752730204216</c:v>
                </c:pt>
                <c:pt idx="28">
                  <c:v>1.7897966321921288</c:v>
                </c:pt>
                <c:pt idx="29">
                  <c:v>1.7986145582212114</c:v>
                </c:pt>
                <c:pt idx="30">
                  <c:v>1.8070053203211873</c:v>
                </c:pt>
                <c:pt idx="31">
                  <c:v>1.8160235714309854</c:v>
                </c:pt>
                <c:pt idx="32">
                  <c:v>1.823412606511259</c:v>
                </c:pt>
                <c:pt idx="33">
                  <c:v>1.832353206292016</c:v>
                </c:pt>
                <c:pt idx="34">
                  <c:v>1.8420712063202109</c:v>
                </c:pt>
                <c:pt idx="35">
                  <c:v>1.851805962724532</c:v>
                </c:pt>
                <c:pt idx="36">
                  <c:v>1.8600420225486765</c:v>
                </c:pt>
                <c:pt idx="37">
                  <c:v>1.8685707318647713</c:v>
                </c:pt>
                <c:pt idx="38">
                  <c:v>1.8790866477224413</c:v>
                </c:pt>
                <c:pt idx="39">
                  <c:v>1.8873662010053689</c:v>
                </c:pt>
                <c:pt idx="40">
                  <c:v>1.8962147322551157</c:v>
                </c:pt>
                <c:pt idx="41">
                  <c:v>1.9047655862691026</c:v>
                </c:pt>
                <c:pt idx="42">
                  <c:v>1.9124195212240793</c:v>
                </c:pt>
                <c:pt idx="43">
                  <c:v>1.9214934172795186</c:v>
                </c:pt>
                <c:pt idx="44">
                  <c:v>1.9308530380242646</c:v>
                </c:pt>
                <c:pt idx="45">
                  <c:v>1.9396255672379004</c:v>
                </c:pt>
                <c:pt idx="46">
                  <c:v>1.948161467855887</c:v>
                </c:pt>
                <c:pt idx="47">
                  <c:v>1.9573664150162702</c:v>
                </c:pt>
                <c:pt idx="48">
                  <c:v>1.9661973598189781</c:v>
                </c:pt>
                <c:pt idx="49">
                  <c:v>1.9747482291962863</c:v>
                </c:pt>
                <c:pt idx="50">
                  <c:v>1.9845527574108683</c:v>
                </c:pt>
                <c:pt idx="51">
                  <c:v>1.9945712916857523</c:v>
                </c:pt>
                <c:pt idx="52">
                  <c:v>2.003918090690437</c:v>
                </c:pt>
                <c:pt idx="53">
                  <c:v>2.0125296540077406</c:v>
                </c:pt>
                <c:pt idx="54">
                  <c:v>2.0214203205861376</c:v>
                </c:pt>
                <c:pt idx="55">
                  <c:v>2.0304621882735447</c:v>
                </c:pt>
                <c:pt idx="56">
                  <c:v>2.0387269596466648</c:v>
                </c:pt>
                <c:pt idx="57">
                  <c:v>2.0500748775519577</c:v>
                </c:pt>
                <c:pt idx="58">
                  <c:v>2.0573123005558815</c:v>
                </c:pt>
                <c:pt idx="59">
                  <c:v>2.0671551263685504</c:v>
                </c:pt>
                <c:pt idx="60">
                  <c:v>2.0771060324350707</c:v>
                </c:pt>
                <c:pt idx="61">
                  <c:v>2.088226399805194</c:v>
                </c:pt>
                <c:pt idx="62">
                  <c:v>2.0985270171082098</c:v>
                </c:pt>
                <c:pt idx="63">
                  <c:v>2.1097955894468949</c:v>
                </c:pt>
                <c:pt idx="64">
                  <c:v>2.1179895548473731</c:v>
                </c:pt>
                <c:pt idx="65">
                  <c:v>2.1302783538713954</c:v>
                </c:pt>
                <c:pt idx="66">
                  <c:v>2.1415593990849495</c:v>
                </c:pt>
                <c:pt idx="67">
                  <c:v>2.1506192191817735</c:v>
                </c:pt>
                <c:pt idx="68">
                  <c:v>2.1616461034882897</c:v>
                </c:pt>
                <c:pt idx="69">
                  <c:v>2.1740336604967516</c:v>
                </c:pt>
                <c:pt idx="70">
                  <c:v>2.1879010065720776</c:v>
                </c:pt>
                <c:pt idx="71">
                  <c:v>2.1997983539811732</c:v>
                </c:pt>
                <c:pt idx="72">
                  <c:v>2.2107310523204022</c:v>
                </c:pt>
                <c:pt idx="73">
                  <c:v>2.2220838899506687</c:v>
                </c:pt>
                <c:pt idx="74">
                  <c:v>2.2376815652848272</c:v>
                </c:pt>
                <c:pt idx="75">
                  <c:v>2.248346977747079</c:v>
                </c:pt>
                <c:pt idx="76">
                  <c:v>2.2616217907010734</c:v>
                </c:pt>
                <c:pt idx="77">
                  <c:v>2.2743366814254276</c:v>
                </c:pt>
                <c:pt idx="78">
                  <c:v>2.2900694946504232</c:v>
                </c:pt>
                <c:pt idx="79">
                  <c:v>2.302234607454213</c:v>
                </c:pt>
                <c:pt idx="80">
                  <c:v>2.316044296372282</c:v>
                </c:pt>
                <c:pt idx="81">
                  <c:v>2.3337028499429167</c:v>
                </c:pt>
                <c:pt idx="82">
                  <c:v>2.3478731095817218</c:v>
                </c:pt>
                <c:pt idx="83">
                  <c:v>2.3617404556570478</c:v>
                </c:pt>
                <c:pt idx="84">
                  <c:v>2.3790313315020613</c:v>
                </c:pt>
                <c:pt idx="85">
                  <c:v>2.4024457728170394</c:v>
                </c:pt>
                <c:pt idx="86">
                  <c:v>2.4201026890141848</c:v>
                </c:pt>
                <c:pt idx="87">
                  <c:v>2.4380597744342491</c:v>
                </c:pt>
                <c:pt idx="88">
                  <c:v>2.4623286991574438</c:v>
                </c:pt>
                <c:pt idx="89">
                  <c:v>2.4845779338773086</c:v>
                </c:pt>
                <c:pt idx="90">
                  <c:v>2.5087940410089193</c:v>
                </c:pt>
                <c:pt idx="91">
                  <c:v>2.5343469802083614</c:v>
                </c:pt>
                <c:pt idx="92">
                  <c:v>2.5672887601939274</c:v>
                </c:pt>
                <c:pt idx="93">
                  <c:v>2.6036686557997273</c:v>
                </c:pt>
                <c:pt idx="94">
                  <c:v>2.6360300404358274</c:v>
                </c:pt>
                <c:pt idx="95">
                  <c:v>2.673791464112711</c:v>
                </c:pt>
                <c:pt idx="96">
                  <c:v>2.7219887192378751</c:v>
                </c:pt>
                <c:pt idx="97">
                  <c:v>2.7901223996875482</c:v>
                </c:pt>
                <c:pt idx="98">
                  <c:v>2.8864441728855774</c:v>
                </c:pt>
                <c:pt idx="99">
                  <c:v>3.0284955145326511</c:v>
                </c:pt>
                <c:pt idx="100">
                  <c:v>3.7531379653411281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0C-4E77-8912-9747544760BC}"/>
            </c:ext>
          </c:extLst>
        </c:ser>
        <c:ser>
          <c:idx val="7"/>
          <c:order val="6"/>
          <c:tx>
            <c:strRef>
              <c:f>'Backtesting PBL'!$AF$7</c:f>
              <c:strCache>
                <c:ptCount val="1"/>
                <c:pt idx="0">
                  <c:v>FY24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Pt>
            <c:idx val="61"/>
            <c:marker>
              <c:spPr>
                <a:solidFill>
                  <a:schemeClr val="tx2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80C-4E77-8912-9747544760BC}"/>
              </c:ext>
            </c:extLst>
          </c:dPt>
          <c:dPt>
            <c:idx val="67"/>
            <c:marker>
              <c:spPr>
                <a:solidFill>
                  <a:schemeClr val="tx2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280C-4E77-8912-9747544760BC}"/>
              </c:ext>
            </c:extLst>
          </c:dPt>
          <c:dLbls>
            <c:dLbl>
              <c:idx val="34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34.19th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80C-4E77-8912-9747544760B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52nd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80C-4E77-8912-9747544760B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55th</a:t>
                    </a:r>
                    <a:r>
                      <a:rPr lang="en-US" b="1" baseline="0">
                        <a:solidFill>
                          <a:schemeClr val="tx2"/>
                        </a:solidFill>
                      </a:rPr>
                      <a:t> percentile</a:t>
                    </a:r>
                    <a:endParaRPr lang="en-US" b="1">
                      <a:solidFill>
                        <a:schemeClr val="tx2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80C-4E77-8912-9747544760B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61st 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80C-4E77-8912-9747544760B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67th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80C-4E77-8912-9747544760B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r>
                      <a:rPr lang="en-US"/>
                      <a:t>85th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80C-4E77-8912-974754476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PBL'!$AF$8:$AF$108</c:f>
              <c:numCache>
                <c:formatCode>0.0000</c:formatCode>
                <c:ptCount val="101"/>
                <c:pt idx="86">
                  <c:v>3.9781259059999998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0C-4E77-8912-9747544760BC}"/>
            </c:ext>
          </c:extLst>
        </c:ser>
        <c:ser>
          <c:idx val="6"/>
          <c:order val="7"/>
          <c:tx>
            <c:strRef>
              <c:f>'Backtesting PBL'!$AE$7</c:f>
              <c:strCache>
                <c:ptCount val="1"/>
                <c:pt idx="0">
                  <c:v>FY23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dLbl>
              <c:idx val="51"/>
              <c:layout>
                <c:manualLayout>
                  <c:x val="-6.4063604918166511E-2"/>
                  <c:y val="5.037972222222215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51st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80C-4E77-8912-9747544760B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69.55th</a:t>
                    </a:r>
                    <a:r>
                      <a:rPr lang="en-US" baseline="0"/>
                      <a:t> percentile</a:t>
                    </a:r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80C-4E77-8912-974754476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PBL'!$AE$8:$AE$108</c:f>
              <c:numCache>
                <c:formatCode>0.0000</c:formatCode>
                <c:ptCount val="101"/>
                <c:pt idx="51">
                  <c:v>3.1350399566342602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0C-4E77-8912-9747544760BC}"/>
            </c:ext>
          </c:extLst>
        </c:ser>
        <c:ser>
          <c:idx val="5"/>
          <c:order val="8"/>
          <c:tx>
            <c:strRef>
              <c:f>'Backtesting PBL'!$AD$7</c:f>
              <c:strCache>
                <c:ptCount val="1"/>
                <c:pt idx="0">
                  <c:v>FY22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16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16.48th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80C-4E77-8912-9747544760BC}"/>
                </c:ext>
              </c:extLst>
            </c:dLbl>
            <c:dLbl>
              <c:idx val="68"/>
              <c:layout>
                <c:manualLayout>
                  <c:x val="-7.360932857237916E-2"/>
                  <c:y val="4.487015187001929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68th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80C-4E77-8912-974754476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PBL'!$AD$8:$AD$108</c:f>
              <c:numCache>
                <c:formatCode>0.0000</c:formatCode>
                <c:ptCount val="101"/>
                <c:pt idx="68">
                  <c:v>3.2433942080770599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0C-4E77-8912-9747544760BC}"/>
            </c:ext>
          </c:extLst>
        </c:ser>
        <c:ser>
          <c:idx val="4"/>
          <c:order val="9"/>
          <c:tx>
            <c:strRef>
              <c:f>'Backtesting PBL'!$AC$7</c:f>
              <c:strCache>
                <c:ptCount val="1"/>
                <c:pt idx="0">
                  <c:v>FY21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2.9106311008900699E-2"/>
                  <c:y val="5.60946867588787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2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t>4th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80C-4E77-8912-9747544760BC}"/>
                </c:ext>
              </c:extLst>
            </c:dLbl>
            <c:dLbl>
              <c:idx val="69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68.77th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280C-4E77-8912-974754476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PBL'!$AC$8:$AC$108</c:f>
              <c:numCache>
                <c:formatCode>0.0000</c:formatCode>
                <c:ptCount val="101"/>
                <c:pt idx="4">
                  <c:v>2.42599573484094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0C-4E77-8912-9747544760BC}"/>
            </c:ext>
          </c:extLst>
        </c:ser>
        <c:ser>
          <c:idx val="9"/>
          <c:order val="10"/>
          <c:tx>
            <c:v>FY20 act.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4"/>
              </a:solidFill>
              <a:ln>
                <a:noFill/>
              </a:ln>
            </c:spPr>
          </c:marker>
          <c:dLbls>
            <c:dLbl>
              <c:idx val="73"/>
              <c:layout>
                <c:manualLayout>
                  <c:x val="-4.0232065399770311E-2"/>
                  <c:y val="-4.49261272408561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>
                        <a:solidFill>
                          <a:schemeClr val="accent4">
                            <a:lumMod val="75000"/>
                          </a:schemeClr>
                        </a:solidFill>
                      </a:defRPr>
                    </a:pPr>
                    <a:r>
                      <a:rPr lang="en-US" sz="900" b="1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t>73rd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280C-4E77-8912-974754476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'Backtesting PBL'!$AB$8:$AB$108</c:f>
              <c:numCache>
                <c:formatCode>0.0000</c:formatCode>
                <c:ptCount val="101"/>
                <c:pt idx="73">
                  <c:v>2.4899441434092999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80C-4E77-8912-9747544760BC}"/>
            </c:ext>
          </c:extLst>
        </c:ser>
        <c:ser>
          <c:idx val="11"/>
          <c:order val="11"/>
          <c:tx>
            <c:strRef>
              <c:f>'Backtesting PBL'!$AA$7</c:f>
              <c:strCache>
                <c:ptCount val="1"/>
                <c:pt idx="0">
                  <c:v>FY19 act.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7030A0"/>
              </a:solidFill>
              <a:ln>
                <a:noFill/>
              </a:ln>
            </c:spPr>
          </c:marker>
          <c:dLbls>
            <c:dLbl>
              <c:idx val="7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 b="1">
                        <a:solidFill>
                          <a:srgbClr val="7030A0"/>
                        </a:solidFill>
                      </a:defRPr>
                    </a:pPr>
                    <a:r>
                      <a:rPr lang="en-US" sz="900" b="1">
                        <a:solidFill>
                          <a:srgbClr val="7030A0"/>
                        </a:solidFill>
                      </a:rPr>
                      <a:t>70th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280C-4E77-8912-974754476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'Backtesting PBL'!$AA$8:$AA$108</c:f>
              <c:numCache>
                <c:formatCode>General</c:formatCode>
                <c:ptCount val="101"/>
                <c:pt idx="70" formatCode="0.0000">
                  <c:v>2.18329020983303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80C-4E77-8912-974754476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84784"/>
        <c:axId val="1732385768"/>
      </c:lineChart>
      <c:catAx>
        <c:axId val="173238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5768"/>
        <c:crosses val="autoZero"/>
        <c:auto val="1"/>
        <c:lblAlgn val="ctr"/>
        <c:lblOffset val="100"/>
        <c:noMultiLvlLbl val="0"/>
      </c:catAx>
      <c:valAx>
        <c:axId val="1732385768"/>
        <c:scaling>
          <c:orientation val="minMax"/>
          <c:max val="5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47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01522018136507E-2"/>
          <c:y val="4.1156627925817903E-2"/>
          <c:w val="0.94339980095139298"/>
          <c:h val="0.71596472222222218"/>
        </c:manualLayout>
      </c:layout>
      <c:lineChart>
        <c:grouping val="standard"/>
        <c:varyColors val="0"/>
        <c:ser>
          <c:idx val="12"/>
          <c:order val="0"/>
          <c:tx>
            <c:strRef>
              <c:f>'Backtesting PBL'!$Y$7</c:f>
              <c:strCache>
                <c:ptCount val="1"/>
                <c:pt idx="0">
                  <c:v>FY25 theo.</c:v>
                </c:pt>
              </c:strCache>
            </c:strRef>
          </c:tx>
          <c:spPr>
            <a:ln w="28575"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PBL'!$Y$8:$Y$108</c:f>
              <c:numCache>
                <c:formatCode>General</c:formatCode>
                <c:ptCount val="101"/>
                <c:pt idx="0">
                  <c:v>2.4841044929479255</c:v>
                </c:pt>
                <c:pt idx="1">
                  <c:v>2.7152988164416718</c:v>
                </c:pt>
                <c:pt idx="2">
                  <c:v>2.7783600847206777</c:v>
                </c:pt>
                <c:pt idx="3">
                  <c:v>2.8349487134318481</c:v>
                </c:pt>
                <c:pt idx="4">
                  <c:v>2.8757512747827425</c:v>
                </c:pt>
                <c:pt idx="5">
                  <c:v>2.9096651194912595</c:v>
                </c:pt>
                <c:pt idx="6">
                  <c:v>2.9399474479972936</c:v>
                </c:pt>
                <c:pt idx="7">
                  <c:v>2.9695101165167523</c:v>
                </c:pt>
                <c:pt idx="8">
                  <c:v>2.9938066697918204</c:v>
                </c:pt>
                <c:pt idx="9">
                  <c:v>3.0176670454674879</c:v>
                </c:pt>
                <c:pt idx="10">
                  <c:v>3.037634651608597</c:v>
                </c:pt>
                <c:pt idx="11">
                  <c:v>3.0578302960234223</c:v>
                </c:pt>
                <c:pt idx="12">
                  <c:v>3.0771313057311773</c:v>
                </c:pt>
                <c:pt idx="13">
                  <c:v>3.0933581637816556</c:v>
                </c:pt>
                <c:pt idx="14">
                  <c:v>3.1130475560562774</c:v>
                </c:pt>
                <c:pt idx="15">
                  <c:v>3.1293876877613851</c:v>
                </c:pt>
                <c:pt idx="16">
                  <c:v>3.1438451085939372</c:v>
                </c:pt>
                <c:pt idx="17">
                  <c:v>3.1596266051602901</c:v>
                </c:pt>
                <c:pt idx="18">
                  <c:v>3.1761760426202503</c:v>
                </c:pt>
                <c:pt idx="19">
                  <c:v>3.1907977299508734</c:v>
                </c:pt>
                <c:pt idx="20">
                  <c:v>3.2057567610221458</c:v>
                </c:pt>
                <c:pt idx="21">
                  <c:v>3.2198194169678707</c:v>
                </c:pt>
                <c:pt idx="22">
                  <c:v>3.2336183831348269</c:v>
                </c:pt>
                <c:pt idx="23">
                  <c:v>3.2474670709828097</c:v>
                </c:pt>
                <c:pt idx="24">
                  <c:v>3.2627466871524429</c:v>
                </c:pt>
                <c:pt idx="25">
                  <c:v>3.278084985092923</c:v>
                </c:pt>
                <c:pt idx="26">
                  <c:v>3.2900170385882981</c:v>
                </c:pt>
                <c:pt idx="27">
                  <c:v>3.3037150899545975</c:v>
                </c:pt>
                <c:pt idx="28">
                  <c:v>3.3153714670543359</c:v>
                </c:pt>
                <c:pt idx="29">
                  <c:v>3.327770704084553</c:v>
                </c:pt>
                <c:pt idx="30">
                  <c:v>3.3383464983654521</c:v>
                </c:pt>
                <c:pt idx="31">
                  <c:v>3.3494605856296791</c:v>
                </c:pt>
                <c:pt idx="32">
                  <c:v>3.3603540536175158</c:v>
                </c:pt>
                <c:pt idx="33">
                  <c:v>3.3740026843656117</c:v>
                </c:pt>
                <c:pt idx="34">
                  <c:v>3.3871778617063137</c:v>
                </c:pt>
                <c:pt idx="35">
                  <c:v>3.4012277132523359</c:v>
                </c:pt>
                <c:pt idx="36">
                  <c:v>3.4150510061521029</c:v>
                </c:pt>
                <c:pt idx="37">
                  <c:v>3.4285006610526181</c:v>
                </c:pt>
                <c:pt idx="38">
                  <c:v>3.4384183554300876</c:v>
                </c:pt>
                <c:pt idx="39">
                  <c:v>3.4499731615081983</c:v>
                </c:pt>
                <c:pt idx="40">
                  <c:v>3.4606919968840835</c:v>
                </c:pt>
                <c:pt idx="41">
                  <c:v>3.4721700923113952</c:v>
                </c:pt>
                <c:pt idx="42">
                  <c:v>3.4852369190235089</c:v>
                </c:pt>
                <c:pt idx="43">
                  <c:v>3.4959272539820927</c:v>
                </c:pt>
                <c:pt idx="44">
                  <c:v>3.5074269964970823</c:v>
                </c:pt>
                <c:pt idx="45">
                  <c:v>3.5193642763957924</c:v>
                </c:pt>
                <c:pt idx="46">
                  <c:v>3.531622315831171</c:v>
                </c:pt>
                <c:pt idx="47">
                  <c:v>3.5424721451395924</c:v>
                </c:pt>
                <c:pt idx="48">
                  <c:v>3.5549418131421002</c:v>
                </c:pt>
                <c:pt idx="49">
                  <c:v>3.5675223641271709</c:v>
                </c:pt>
                <c:pt idx="50">
                  <c:v>3.5803779176811688</c:v>
                </c:pt>
                <c:pt idx="51">
                  <c:v>3.5933964806335097</c:v>
                </c:pt>
                <c:pt idx="52">
                  <c:v>3.6047577678719369</c:v>
                </c:pt>
                <c:pt idx="53">
                  <c:v>3.6182149452002741</c:v>
                </c:pt>
                <c:pt idx="54">
                  <c:v>3.6338867710778238</c:v>
                </c:pt>
                <c:pt idx="55">
                  <c:v>3.6494410685056442</c:v>
                </c:pt>
                <c:pt idx="56">
                  <c:v>3.6623728010192664</c:v>
                </c:pt>
                <c:pt idx="57">
                  <c:v>3.6749297774850564</c:v>
                </c:pt>
                <c:pt idx="58">
                  <c:v>3.6879023276095158</c:v>
                </c:pt>
                <c:pt idx="59">
                  <c:v>3.7013062262676231</c:v>
                </c:pt>
                <c:pt idx="60">
                  <c:v>3.7144995654811472</c:v>
                </c:pt>
                <c:pt idx="61">
                  <c:v>3.7286475758427193</c:v>
                </c:pt>
                <c:pt idx="62">
                  <c:v>3.7402898517098104</c:v>
                </c:pt>
                <c:pt idx="63">
                  <c:v>3.7502536109750118</c:v>
                </c:pt>
                <c:pt idx="64">
                  <c:v>3.763994549494297</c:v>
                </c:pt>
                <c:pt idx="65">
                  <c:v>3.7778953810719047</c:v>
                </c:pt>
                <c:pt idx="66">
                  <c:v>3.7912583699184639</c:v>
                </c:pt>
                <c:pt idx="67">
                  <c:v>3.8081522122898401</c:v>
                </c:pt>
                <c:pt idx="68">
                  <c:v>3.8240011805557312</c:v>
                </c:pt>
                <c:pt idx="69">
                  <c:v>3.8407604987279584</c:v>
                </c:pt>
                <c:pt idx="70">
                  <c:v>3.8566822547382333</c:v>
                </c:pt>
                <c:pt idx="71">
                  <c:v>3.8744261827336013</c:v>
                </c:pt>
                <c:pt idx="72">
                  <c:v>3.8924158873636547</c:v>
                </c:pt>
                <c:pt idx="73">
                  <c:v>3.9097340750378056</c:v>
                </c:pt>
                <c:pt idx="74">
                  <c:v>3.926434096491294</c:v>
                </c:pt>
                <c:pt idx="75">
                  <c:v>3.9403585179578404</c:v>
                </c:pt>
                <c:pt idx="76">
                  <c:v>3.9589298211169894</c:v>
                </c:pt>
                <c:pt idx="77">
                  <c:v>3.9818784962215736</c:v>
                </c:pt>
                <c:pt idx="78">
                  <c:v>4.0035783644322862</c:v>
                </c:pt>
                <c:pt idx="79">
                  <c:v>4.0203764757797691</c:v>
                </c:pt>
                <c:pt idx="80">
                  <c:v>4.0398272819549783</c:v>
                </c:pt>
                <c:pt idx="81">
                  <c:v>4.0635162727908067</c:v>
                </c:pt>
                <c:pt idx="82">
                  <c:v>4.0854039479334752</c:v>
                </c:pt>
                <c:pt idx="83">
                  <c:v>4.1067342387532939</c:v>
                </c:pt>
                <c:pt idx="84">
                  <c:v>4.1279265721295486</c:v>
                </c:pt>
                <c:pt idx="85">
                  <c:v>4.1486849984059262</c:v>
                </c:pt>
                <c:pt idx="86">
                  <c:v>4.1771313095430278</c:v>
                </c:pt>
                <c:pt idx="87">
                  <c:v>4.2104790807748564</c:v>
                </c:pt>
                <c:pt idx="88">
                  <c:v>4.2436825545947796</c:v>
                </c:pt>
                <c:pt idx="89">
                  <c:v>4.272697653284399</c:v>
                </c:pt>
                <c:pt idx="90">
                  <c:v>4.3097527947832761</c:v>
                </c:pt>
                <c:pt idx="91">
                  <c:v>4.3417551263238208</c:v>
                </c:pt>
                <c:pt idx="92">
                  <c:v>4.3840803301899607</c:v>
                </c:pt>
                <c:pt idx="93">
                  <c:v>4.4357264833027283</c:v>
                </c:pt>
                <c:pt idx="94">
                  <c:v>4.4875558805554512</c:v>
                </c:pt>
                <c:pt idx="95">
                  <c:v>4.540015297219103</c:v>
                </c:pt>
                <c:pt idx="96">
                  <c:v>4.6070995773811623</c:v>
                </c:pt>
                <c:pt idx="97">
                  <c:v>4.6965296640994136</c:v>
                </c:pt>
                <c:pt idx="98">
                  <c:v>4.8318008983327925</c:v>
                </c:pt>
                <c:pt idx="99">
                  <c:v>5.0046928928692296</c:v>
                </c:pt>
                <c:pt idx="100">
                  <c:v>6.3001098361856487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8-439B-A5C3-02DB6B93A70A}"/>
            </c:ext>
          </c:extLst>
        </c:ser>
        <c:ser>
          <c:idx val="3"/>
          <c:order val="1"/>
          <c:tx>
            <c:strRef>
              <c:f>'Backtesting PBL'!$X$7</c:f>
              <c:strCache>
                <c:ptCount val="1"/>
                <c:pt idx="0">
                  <c:v>FY24 theo.</c:v>
                </c:pt>
              </c:strCache>
            </c:strRef>
          </c:tx>
          <c:spPr>
            <a:ln w="28575" cap="rnd">
              <a:solidFill>
                <a:srgbClr val="99CCFF"/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PBL'!$X$8:$X$108</c:f>
              <c:numCache>
                <c:formatCode>General</c:formatCode>
                <c:ptCount val="101"/>
                <c:pt idx="0">
                  <c:v>2.1283821308769344</c:v>
                </c:pt>
                <c:pt idx="1">
                  <c:v>2.5144420325676951</c:v>
                </c:pt>
                <c:pt idx="2">
                  <c:v>2.5878400770582624</c:v>
                </c:pt>
                <c:pt idx="3">
                  <c:v>2.6426013852028976</c:v>
                </c:pt>
                <c:pt idx="4">
                  <c:v>2.6843032785708951</c:v>
                </c:pt>
                <c:pt idx="5">
                  <c:v>2.7196343593798886</c:v>
                </c:pt>
                <c:pt idx="6">
                  <c:v>2.7461420077223733</c:v>
                </c:pt>
                <c:pt idx="7">
                  <c:v>2.7771732575778119</c:v>
                </c:pt>
                <c:pt idx="8">
                  <c:v>2.8051420949435726</c:v>
                </c:pt>
                <c:pt idx="9">
                  <c:v>2.82364135466573</c:v>
                </c:pt>
                <c:pt idx="10">
                  <c:v>2.8447869936396715</c:v>
                </c:pt>
                <c:pt idx="11">
                  <c:v>2.8661367093602093</c:v>
                </c:pt>
                <c:pt idx="12">
                  <c:v>2.8874610309207278</c:v>
                </c:pt>
                <c:pt idx="13">
                  <c:v>2.9088783270200897</c:v>
                </c:pt>
                <c:pt idx="14">
                  <c:v>2.9274387575284453</c:v>
                </c:pt>
                <c:pt idx="15">
                  <c:v>2.9431835553636394</c:v>
                </c:pt>
                <c:pt idx="16">
                  <c:v>2.9562689437346825</c:v>
                </c:pt>
                <c:pt idx="17">
                  <c:v>2.9719288080996136</c:v>
                </c:pt>
                <c:pt idx="18">
                  <c:v>2.990668881023868</c:v>
                </c:pt>
                <c:pt idx="19">
                  <c:v>3.0039906452852176</c:v>
                </c:pt>
                <c:pt idx="20">
                  <c:v>3.018471376117621</c:v>
                </c:pt>
                <c:pt idx="21">
                  <c:v>3.0323983802914416</c:v>
                </c:pt>
                <c:pt idx="22">
                  <c:v>3.0450246150856026</c:v>
                </c:pt>
                <c:pt idx="23">
                  <c:v>3.0580719881297349</c:v>
                </c:pt>
                <c:pt idx="24">
                  <c:v>3.0724863385306027</c:v>
                </c:pt>
                <c:pt idx="25">
                  <c:v>3.087653522188595</c:v>
                </c:pt>
                <c:pt idx="26">
                  <c:v>3.1015921523847592</c:v>
                </c:pt>
                <c:pt idx="27">
                  <c:v>3.1135615383822657</c:v>
                </c:pt>
                <c:pt idx="28">
                  <c:v>3.1257483949219065</c:v>
                </c:pt>
                <c:pt idx="29">
                  <c:v>3.138726399490618</c:v>
                </c:pt>
                <c:pt idx="30">
                  <c:v>3.1526745938539786</c:v>
                </c:pt>
                <c:pt idx="31">
                  <c:v>3.1647010253655017</c:v>
                </c:pt>
                <c:pt idx="32">
                  <c:v>3.1794570669882778</c:v>
                </c:pt>
                <c:pt idx="33">
                  <c:v>3.1912066750509354</c:v>
                </c:pt>
                <c:pt idx="34">
                  <c:v>3.201442638589679</c:v>
                </c:pt>
                <c:pt idx="35">
                  <c:v>3.2145043725398414</c:v>
                </c:pt>
                <c:pt idx="36">
                  <c:v>3.2271517287152434</c:v>
                </c:pt>
                <c:pt idx="37">
                  <c:v>3.2388090766421684</c:v>
                </c:pt>
                <c:pt idx="38">
                  <c:v>3.2481450917915193</c:v>
                </c:pt>
                <c:pt idx="39">
                  <c:v>3.2621848960338209</c:v>
                </c:pt>
                <c:pt idx="40">
                  <c:v>3.273057141036992</c:v>
                </c:pt>
                <c:pt idx="41">
                  <c:v>3.2853134851685373</c:v>
                </c:pt>
                <c:pt idx="42">
                  <c:v>3.2981544082352308</c:v>
                </c:pt>
                <c:pt idx="43">
                  <c:v>3.3081907213178789</c:v>
                </c:pt>
                <c:pt idx="44">
                  <c:v>3.3194212487500376</c:v>
                </c:pt>
                <c:pt idx="45">
                  <c:v>3.3337509330258843</c:v>
                </c:pt>
                <c:pt idx="46">
                  <c:v>3.3455092106512523</c:v>
                </c:pt>
                <c:pt idx="47">
                  <c:v>3.3569844318503632</c:v>
                </c:pt>
                <c:pt idx="48">
                  <c:v>3.3686161948794706</c:v>
                </c:pt>
                <c:pt idx="49">
                  <c:v>3.3805356382009162</c:v>
                </c:pt>
                <c:pt idx="50">
                  <c:v>3.393172168000592</c:v>
                </c:pt>
                <c:pt idx="51">
                  <c:v>3.4047158045970001</c:v>
                </c:pt>
                <c:pt idx="52">
                  <c:v>3.4178928051651494</c:v>
                </c:pt>
                <c:pt idx="53">
                  <c:v>3.4292939193866259</c:v>
                </c:pt>
                <c:pt idx="54">
                  <c:v>3.4420981514294344</c:v>
                </c:pt>
                <c:pt idx="55">
                  <c:v>3.4551138138199944</c:v>
                </c:pt>
                <c:pt idx="56">
                  <c:v>3.4676187300624917</c:v>
                </c:pt>
                <c:pt idx="57">
                  <c:v>3.481085469849035</c:v>
                </c:pt>
                <c:pt idx="58">
                  <c:v>3.4920742446960591</c:v>
                </c:pt>
                <c:pt idx="59">
                  <c:v>3.5047366290484314</c:v>
                </c:pt>
                <c:pt idx="60">
                  <c:v>3.5182021967961741</c:v>
                </c:pt>
                <c:pt idx="61">
                  <c:v>3.5317071710784336</c:v>
                </c:pt>
                <c:pt idx="62">
                  <c:v>3.5425182899261736</c:v>
                </c:pt>
                <c:pt idx="63">
                  <c:v>3.5552600586810215</c:v>
                </c:pt>
                <c:pt idx="64">
                  <c:v>3.5712652468244466</c:v>
                </c:pt>
                <c:pt idx="65">
                  <c:v>3.5868220147687433</c:v>
                </c:pt>
                <c:pt idx="66">
                  <c:v>3.6003144107731107</c:v>
                </c:pt>
                <c:pt idx="67">
                  <c:v>3.6118747962000106</c:v>
                </c:pt>
                <c:pt idx="68">
                  <c:v>3.6271372280448495</c:v>
                </c:pt>
                <c:pt idx="69">
                  <c:v>3.6437604662647014</c:v>
                </c:pt>
                <c:pt idx="70">
                  <c:v>3.658169577601587</c:v>
                </c:pt>
                <c:pt idx="71">
                  <c:v>3.6737859291925221</c:v>
                </c:pt>
                <c:pt idx="72">
                  <c:v>3.6865263124974943</c:v>
                </c:pt>
                <c:pt idx="73">
                  <c:v>3.7044709532118127</c:v>
                </c:pt>
                <c:pt idx="74">
                  <c:v>3.7208677606251266</c:v>
                </c:pt>
                <c:pt idx="75">
                  <c:v>3.7384913878280717</c:v>
                </c:pt>
                <c:pt idx="76">
                  <c:v>3.7579481338729299</c:v>
                </c:pt>
                <c:pt idx="77">
                  <c:v>3.779116123287539</c:v>
                </c:pt>
                <c:pt idx="78">
                  <c:v>3.7949038770238306</c:v>
                </c:pt>
                <c:pt idx="79">
                  <c:v>3.8117968762341126</c:v>
                </c:pt>
                <c:pt idx="80">
                  <c:v>3.8332824003732253</c:v>
                </c:pt>
                <c:pt idx="81">
                  <c:v>3.8510528967485449</c:v>
                </c:pt>
                <c:pt idx="82">
                  <c:v>3.8726805956356691</c:v>
                </c:pt>
                <c:pt idx="83">
                  <c:v>3.8950536353251715</c:v>
                </c:pt>
                <c:pt idx="84">
                  <c:v>3.9202198788584952</c:v>
                </c:pt>
                <c:pt idx="85">
                  <c:v>3.9416916161414108</c:v>
                </c:pt>
                <c:pt idx="86">
                  <c:v>3.9730068024712537</c:v>
                </c:pt>
                <c:pt idx="87">
                  <c:v>4.0076712479137049</c:v>
                </c:pt>
                <c:pt idx="88">
                  <c:v>4.0414300360188138</c:v>
                </c:pt>
                <c:pt idx="89">
                  <c:v>4.069331104956631</c:v>
                </c:pt>
                <c:pt idx="90">
                  <c:v>4.1057601944604984</c:v>
                </c:pt>
                <c:pt idx="91">
                  <c:v>4.1453056167545999</c:v>
                </c:pt>
                <c:pt idx="92">
                  <c:v>4.1831056688148864</c:v>
                </c:pt>
                <c:pt idx="93">
                  <c:v>4.2193910445070353</c:v>
                </c:pt>
                <c:pt idx="94">
                  <c:v>4.2770687265357008</c:v>
                </c:pt>
                <c:pt idx="95">
                  <c:v>4.3279311212306411</c:v>
                </c:pt>
                <c:pt idx="96">
                  <c:v>4.3985919017382713</c:v>
                </c:pt>
                <c:pt idx="97">
                  <c:v>4.4815586039216404</c:v>
                </c:pt>
                <c:pt idx="98">
                  <c:v>4.5858307425625275</c:v>
                </c:pt>
                <c:pt idx="99">
                  <c:v>4.7587621792180386</c:v>
                </c:pt>
                <c:pt idx="100">
                  <c:v>6.0990249226165218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88-439B-A5C3-02DB6B93A70A}"/>
            </c:ext>
          </c:extLst>
        </c:ser>
        <c:ser>
          <c:idx val="2"/>
          <c:order val="2"/>
          <c:tx>
            <c:strRef>
              <c:f>'Backtesting PBL'!$W$7</c:f>
              <c:strCache>
                <c:ptCount val="1"/>
                <c:pt idx="0">
                  <c:v>FY23 theo.</c:v>
                </c:pt>
              </c:strCache>
            </c:strRef>
          </c:tx>
          <c:spPr>
            <a:ln w="28575" cap="rnd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PBL'!$W$8:$W$108</c:f>
              <c:numCache>
                <c:formatCode>General</c:formatCode>
                <c:ptCount val="101"/>
                <c:pt idx="0">
                  <c:v>1.9730692212375116</c:v>
                </c:pt>
                <c:pt idx="1">
                  <c:v>2.3626883034718671</c:v>
                </c:pt>
                <c:pt idx="2">
                  <c:v>2.4251820400415198</c:v>
                </c:pt>
                <c:pt idx="3">
                  <c:v>2.4601048743621257</c:v>
                </c:pt>
                <c:pt idx="4">
                  <c:v>2.494629755634838</c:v>
                </c:pt>
                <c:pt idx="5">
                  <c:v>2.5176745801202833</c:v>
                </c:pt>
                <c:pt idx="6">
                  <c:v>2.5420278077918015</c:v>
                </c:pt>
                <c:pt idx="7">
                  <c:v>2.5652021959969389</c:v>
                </c:pt>
                <c:pt idx="8">
                  <c:v>2.5882587148958822</c:v>
                </c:pt>
                <c:pt idx="9">
                  <c:v>2.6063869576491165</c:v>
                </c:pt>
                <c:pt idx="10">
                  <c:v>2.6261043791853167</c:v>
                </c:pt>
                <c:pt idx="11">
                  <c:v>2.6462870806970145</c:v>
                </c:pt>
                <c:pt idx="12">
                  <c:v>2.665939164211693</c:v>
                </c:pt>
                <c:pt idx="13">
                  <c:v>2.6830641395423691</c:v>
                </c:pt>
                <c:pt idx="14">
                  <c:v>2.6992634983503443</c:v>
                </c:pt>
                <c:pt idx="15">
                  <c:v>2.7138351286116467</c:v>
                </c:pt>
                <c:pt idx="16">
                  <c:v>2.7268387171676038</c:v>
                </c:pt>
                <c:pt idx="17">
                  <c:v>2.74261739893476</c:v>
                </c:pt>
                <c:pt idx="18">
                  <c:v>2.7555201144864458</c:v>
                </c:pt>
                <c:pt idx="19">
                  <c:v>2.7685579940060476</c:v>
                </c:pt>
                <c:pt idx="20">
                  <c:v>2.7821984601964229</c:v>
                </c:pt>
                <c:pt idx="21">
                  <c:v>2.7943229328495058</c:v>
                </c:pt>
                <c:pt idx="22">
                  <c:v>2.8077484034755007</c:v>
                </c:pt>
                <c:pt idx="23">
                  <c:v>2.8195337174853425</c:v>
                </c:pt>
                <c:pt idx="24">
                  <c:v>2.830523021015269</c:v>
                </c:pt>
                <c:pt idx="25">
                  <c:v>2.8448489682389617</c:v>
                </c:pt>
                <c:pt idx="26">
                  <c:v>2.8593011101071046</c:v>
                </c:pt>
                <c:pt idx="27">
                  <c:v>2.8703082361124999</c:v>
                </c:pt>
                <c:pt idx="28">
                  <c:v>2.8815259102060584</c:v>
                </c:pt>
                <c:pt idx="29">
                  <c:v>2.8932455391860388</c:v>
                </c:pt>
                <c:pt idx="30">
                  <c:v>2.9044355371426307</c:v>
                </c:pt>
                <c:pt idx="31">
                  <c:v>2.9170085263887859</c:v>
                </c:pt>
                <c:pt idx="32">
                  <c:v>2.9298833676671006</c:v>
                </c:pt>
                <c:pt idx="33">
                  <c:v>2.9427230997732376</c:v>
                </c:pt>
                <c:pt idx="34">
                  <c:v>2.9558118068814991</c:v>
                </c:pt>
                <c:pt idx="35">
                  <c:v>2.9655771253094949</c:v>
                </c:pt>
                <c:pt idx="36">
                  <c:v>2.9754857410905999</c:v>
                </c:pt>
                <c:pt idx="37">
                  <c:v>2.986711349999505</c:v>
                </c:pt>
                <c:pt idx="38">
                  <c:v>2.9990715509555708</c:v>
                </c:pt>
                <c:pt idx="39">
                  <c:v>3.0103567015186847</c:v>
                </c:pt>
                <c:pt idx="40">
                  <c:v>3.0215270604341695</c:v>
                </c:pt>
                <c:pt idx="41">
                  <c:v>3.0330279363504711</c:v>
                </c:pt>
                <c:pt idx="42">
                  <c:v>3.0430613525081465</c:v>
                </c:pt>
                <c:pt idx="43">
                  <c:v>3.0535239383899975</c:v>
                </c:pt>
                <c:pt idx="44">
                  <c:v>3.0649828689735035</c:v>
                </c:pt>
                <c:pt idx="45">
                  <c:v>3.0763968047378301</c:v>
                </c:pt>
                <c:pt idx="46">
                  <c:v>3.0870428300806427</c:v>
                </c:pt>
                <c:pt idx="47">
                  <c:v>3.0970364274227675</c:v>
                </c:pt>
                <c:pt idx="48">
                  <c:v>3.1098453102930206</c:v>
                </c:pt>
                <c:pt idx="49">
                  <c:v>3.1211559311306418</c:v>
                </c:pt>
                <c:pt idx="50">
                  <c:v>3.1309048613443902</c:v>
                </c:pt>
                <c:pt idx="51">
                  <c:v>3.1401931607734612</c:v>
                </c:pt>
                <c:pt idx="52">
                  <c:v>3.1507393121023823</c:v>
                </c:pt>
                <c:pt idx="53">
                  <c:v>3.1632906642979042</c:v>
                </c:pt>
                <c:pt idx="54">
                  <c:v>3.1743940810043547</c:v>
                </c:pt>
                <c:pt idx="55">
                  <c:v>3.1830049059349643</c:v>
                </c:pt>
                <c:pt idx="56">
                  <c:v>3.1944071896793607</c:v>
                </c:pt>
                <c:pt idx="57">
                  <c:v>3.2057345783938884</c:v>
                </c:pt>
                <c:pt idx="58">
                  <c:v>3.2188093040693411</c:v>
                </c:pt>
                <c:pt idx="59">
                  <c:v>3.229734345562834</c:v>
                </c:pt>
                <c:pt idx="60">
                  <c:v>3.2413360708212497</c:v>
                </c:pt>
                <c:pt idx="61">
                  <c:v>3.2544883142002545</c:v>
                </c:pt>
                <c:pt idx="62">
                  <c:v>3.2665856629569214</c:v>
                </c:pt>
                <c:pt idx="63">
                  <c:v>3.280423409732502</c:v>
                </c:pt>
                <c:pt idx="64">
                  <c:v>3.2919768485803309</c:v>
                </c:pt>
                <c:pt idx="65">
                  <c:v>3.3050325958061646</c:v>
                </c:pt>
                <c:pt idx="66">
                  <c:v>3.3170119318842319</c:v>
                </c:pt>
                <c:pt idx="67">
                  <c:v>3.3284543966838025</c:v>
                </c:pt>
                <c:pt idx="68">
                  <c:v>3.3417264995794325</c:v>
                </c:pt>
                <c:pt idx="69">
                  <c:v>3.3574853983302719</c:v>
                </c:pt>
                <c:pt idx="70">
                  <c:v>3.373458461460844</c:v>
                </c:pt>
                <c:pt idx="71">
                  <c:v>3.3871266024558793</c:v>
                </c:pt>
                <c:pt idx="72">
                  <c:v>3.4005305277646571</c:v>
                </c:pt>
                <c:pt idx="73">
                  <c:v>3.4124417210669029</c:v>
                </c:pt>
                <c:pt idx="74">
                  <c:v>3.4255276427017267</c:v>
                </c:pt>
                <c:pt idx="75">
                  <c:v>3.4440917441693282</c:v>
                </c:pt>
                <c:pt idx="76">
                  <c:v>3.4647906843686376</c:v>
                </c:pt>
                <c:pt idx="77">
                  <c:v>3.4819657608378547</c:v>
                </c:pt>
                <c:pt idx="78">
                  <c:v>3.4979234690426875</c:v>
                </c:pt>
                <c:pt idx="79">
                  <c:v>3.5167631479988066</c:v>
                </c:pt>
                <c:pt idx="80">
                  <c:v>3.535678659716444</c:v>
                </c:pt>
                <c:pt idx="81">
                  <c:v>3.5550217456117172</c:v>
                </c:pt>
                <c:pt idx="82">
                  <c:v>3.5715393688001065</c:v>
                </c:pt>
                <c:pt idx="83">
                  <c:v>3.5938350325630806</c:v>
                </c:pt>
                <c:pt idx="84">
                  <c:v>3.6133960420297639</c:v>
                </c:pt>
                <c:pt idx="85">
                  <c:v>3.6381776698523853</c:v>
                </c:pt>
                <c:pt idx="86">
                  <c:v>3.6582322739126827</c:v>
                </c:pt>
                <c:pt idx="87">
                  <c:v>3.6869676060644045</c:v>
                </c:pt>
                <c:pt idx="88">
                  <c:v>3.7158242173342972</c:v>
                </c:pt>
                <c:pt idx="89">
                  <c:v>3.7474308955146052</c:v>
                </c:pt>
                <c:pt idx="90">
                  <c:v>3.7759718488560376</c:v>
                </c:pt>
                <c:pt idx="91">
                  <c:v>3.8082911175783045</c:v>
                </c:pt>
                <c:pt idx="92">
                  <c:v>3.8366794225732765</c:v>
                </c:pt>
                <c:pt idx="93">
                  <c:v>3.8764123425232397</c:v>
                </c:pt>
                <c:pt idx="94">
                  <c:v>3.9164039746827393</c:v>
                </c:pt>
                <c:pt idx="95">
                  <c:v>3.9745915521120496</c:v>
                </c:pt>
                <c:pt idx="96">
                  <c:v>4.0413880623699452</c:v>
                </c:pt>
                <c:pt idx="97">
                  <c:v>4.1256664612897014</c:v>
                </c:pt>
                <c:pt idx="98">
                  <c:v>4.2459383527360588</c:v>
                </c:pt>
                <c:pt idx="99">
                  <c:v>4.4058892007265467</c:v>
                </c:pt>
                <c:pt idx="100">
                  <c:v>5.349885689585725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88-439B-A5C3-02DB6B93A70A}"/>
            </c:ext>
          </c:extLst>
        </c:ser>
        <c:ser>
          <c:idx val="1"/>
          <c:order val="3"/>
          <c:tx>
            <c:strRef>
              <c:f>'Backtesting PBL'!$V$7</c:f>
              <c:strCache>
                <c:ptCount val="1"/>
                <c:pt idx="0">
                  <c:v>FY22 theo.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PBL'!$V$8:$V$108</c:f>
              <c:numCache>
                <c:formatCode>General</c:formatCode>
                <c:ptCount val="101"/>
                <c:pt idx="0">
                  <c:v>1.9813453707276425</c:v>
                </c:pt>
                <c:pt idx="1">
                  <c:v>2.2480232761807439</c:v>
                </c:pt>
                <c:pt idx="2">
                  <c:v>2.3141036153362662</c:v>
                </c:pt>
                <c:pt idx="3">
                  <c:v>2.3590382334088407</c:v>
                </c:pt>
                <c:pt idx="4">
                  <c:v>2.3865987580583377</c:v>
                </c:pt>
                <c:pt idx="5">
                  <c:v>2.4189743669232717</c:v>
                </c:pt>
                <c:pt idx="6">
                  <c:v>2.4426288743716924</c:v>
                </c:pt>
                <c:pt idx="7">
                  <c:v>2.4675244464477073</c:v>
                </c:pt>
                <c:pt idx="8">
                  <c:v>2.4883452929529106</c:v>
                </c:pt>
                <c:pt idx="9">
                  <c:v>2.5077558466318739</c:v>
                </c:pt>
                <c:pt idx="10">
                  <c:v>2.5256709537706437</c:v>
                </c:pt>
                <c:pt idx="11">
                  <c:v>2.5447693822727953</c:v>
                </c:pt>
                <c:pt idx="12">
                  <c:v>2.5617133903192371</c:v>
                </c:pt>
                <c:pt idx="13">
                  <c:v>2.5718491750642145</c:v>
                </c:pt>
                <c:pt idx="14">
                  <c:v>2.5883242968689557</c:v>
                </c:pt>
                <c:pt idx="15">
                  <c:v>2.6034913611970762</c:v>
                </c:pt>
                <c:pt idx="16">
                  <c:v>2.6182121456312895</c:v>
                </c:pt>
                <c:pt idx="17">
                  <c:v>2.6356425458048736</c:v>
                </c:pt>
                <c:pt idx="18">
                  <c:v>2.6477432615669581</c:v>
                </c:pt>
                <c:pt idx="19">
                  <c:v>2.661427805908799</c:v>
                </c:pt>
                <c:pt idx="20">
                  <c:v>2.6741326800616489</c:v>
                </c:pt>
                <c:pt idx="21">
                  <c:v>2.6852624478362039</c:v>
                </c:pt>
                <c:pt idx="22">
                  <c:v>2.6968635351027479</c:v>
                </c:pt>
                <c:pt idx="23">
                  <c:v>2.7083802446620129</c:v>
                </c:pt>
                <c:pt idx="24">
                  <c:v>2.7251580107644124</c:v>
                </c:pt>
                <c:pt idx="25">
                  <c:v>2.7343806657780161</c:v>
                </c:pt>
                <c:pt idx="26">
                  <c:v>2.7483181446776297</c:v>
                </c:pt>
                <c:pt idx="27">
                  <c:v>2.7616835646533193</c:v>
                </c:pt>
                <c:pt idx="28">
                  <c:v>2.7748846950482804</c:v>
                </c:pt>
                <c:pt idx="29">
                  <c:v>2.7833695013663995</c:v>
                </c:pt>
                <c:pt idx="30">
                  <c:v>2.7990968925126976</c:v>
                </c:pt>
                <c:pt idx="31">
                  <c:v>2.8090844395952232</c:v>
                </c:pt>
                <c:pt idx="32">
                  <c:v>2.8206775423619064</c:v>
                </c:pt>
                <c:pt idx="33">
                  <c:v>2.8290110694123367</c:v>
                </c:pt>
                <c:pt idx="34">
                  <c:v>2.8436050679054041</c:v>
                </c:pt>
                <c:pt idx="35">
                  <c:v>2.8511498510421389</c:v>
                </c:pt>
                <c:pt idx="36">
                  <c:v>2.8655277770933609</c:v>
                </c:pt>
                <c:pt idx="37">
                  <c:v>2.8740748531082918</c:v>
                </c:pt>
                <c:pt idx="38">
                  <c:v>2.8851462023470282</c:v>
                </c:pt>
                <c:pt idx="39">
                  <c:v>2.8936539205376004</c:v>
                </c:pt>
                <c:pt idx="40">
                  <c:v>2.9075007122182015</c:v>
                </c:pt>
                <c:pt idx="41">
                  <c:v>2.917508773508187</c:v>
                </c:pt>
                <c:pt idx="42">
                  <c:v>2.9272847943942049</c:v>
                </c:pt>
                <c:pt idx="43">
                  <c:v>2.9384306127840714</c:v>
                </c:pt>
                <c:pt idx="44">
                  <c:v>2.9504515606491535</c:v>
                </c:pt>
                <c:pt idx="45">
                  <c:v>2.9606141796364125</c:v>
                </c:pt>
                <c:pt idx="46">
                  <c:v>2.972743509907402</c:v>
                </c:pt>
                <c:pt idx="47">
                  <c:v>2.983852462686805</c:v>
                </c:pt>
                <c:pt idx="48">
                  <c:v>2.9936033711862766</c:v>
                </c:pt>
                <c:pt idx="49">
                  <c:v>3.0048308720006074</c:v>
                </c:pt>
                <c:pt idx="50">
                  <c:v>3.0156532251138426</c:v>
                </c:pt>
                <c:pt idx="51">
                  <c:v>3.0288412243394238</c:v>
                </c:pt>
                <c:pt idx="52">
                  <c:v>3.0373579249944305</c:v>
                </c:pt>
                <c:pt idx="53">
                  <c:v>3.050669787992923</c:v>
                </c:pt>
                <c:pt idx="54">
                  <c:v>3.0600745856538651</c:v>
                </c:pt>
                <c:pt idx="55">
                  <c:v>3.0735351907287467</c:v>
                </c:pt>
                <c:pt idx="56">
                  <c:v>3.084160760797567</c:v>
                </c:pt>
                <c:pt idx="57">
                  <c:v>3.0966794455601625</c:v>
                </c:pt>
                <c:pt idx="58">
                  <c:v>3.1049603077599714</c:v>
                </c:pt>
                <c:pt idx="59">
                  <c:v>3.1212563546160053</c:v>
                </c:pt>
                <c:pt idx="60">
                  <c:v>3.1362725887960878</c:v>
                </c:pt>
                <c:pt idx="61">
                  <c:v>3.1474155546970657</c:v>
                </c:pt>
                <c:pt idx="62">
                  <c:v>3.1622395150296763</c:v>
                </c:pt>
                <c:pt idx="63">
                  <c:v>3.174620990727405</c:v>
                </c:pt>
                <c:pt idx="64">
                  <c:v>3.188171366967834</c:v>
                </c:pt>
                <c:pt idx="65">
                  <c:v>3.2007666450673296</c:v>
                </c:pt>
                <c:pt idx="66">
                  <c:v>3.2139677754622897</c:v>
                </c:pt>
                <c:pt idx="67">
                  <c:v>3.2269326819157285</c:v>
                </c:pt>
                <c:pt idx="68">
                  <c:v>3.2406141927122882</c:v>
                </c:pt>
                <c:pt idx="69">
                  <c:v>3.2529855035017228</c:v>
                </c:pt>
                <c:pt idx="70">
                  <c:v>3.2630800815905374</c:v>
                </c:pt>
                <c:pt idx="71">
                  <c:v>3.2783678596691139</c:v>
                </c:pt>
                <c:pt idx="72">
                  <c:v>3.2902526492360029</c:v>
                </c:pt>
                <c:pt idx="73">
                  <c:v>3.3080610787551206</c:v>
                </c:pt>
                <c:pt idx="74">
                  <c:v>3.3247797369220815</c:v>
                </c:pt>
                <c:pt idx="75">
                  <c:v>3.3402460035281338</c:v>
                </c:pt>
                <c:pt idx="76">
                  <c:v>3.3576717799191198</c:v>
                </c:pt>
                <c:pt idx="77">
                  <c:v>3.3765491700093726</c:v>
                </c:pt>
                <c:pt idx="78">
                  <c:v>3.3979899148457755</c:v>
                </c:pt>
                <c:pt idx="79">
                  <c:v>3.4165992011868975</c:v>
                </c:pt>
                <c:pt idx="80">
                  <c:v>3.4346109575728194</c:v>
                </c:pt>
                <c:pt idx="81">
                  <c:v>3.4522309698336167</c:v>
                </c:pt>
                <c:pt idx="82">
                  <c:v>3.4713394114097422</c:v>
                </c:pt>
                <c:pt idx="83">
                  <c:v>3.4912000324001906</c:v>
                </c:pt>
                <c:pt idx="84">
                  <c:v>3.514568236162289</c:v>
                </c:pt>
                <c:pt idx="85">
                  <c:v>3.5366143134650292</c:v>
                </c:pt>
                <c:pt idx="86">
                  <c:v>3.5593168166100693</c:v>
                </c:pt>
                <c:pt idx="87">
                  <c:v>3.5868268308460318</c:v>
                </c:pt>
                <c:pt idx="88">
                  <c:v>3.6221275934359838</c:v>
                </c:pt>
                <c:pt idx="89">
                  <c:v>3.6560501782416259</c:v>
                </c:pt>
                <c:pt idx="90">
                  <c:v>3.6901373787995704</c:v>
                </c:pt>
                <c:pt idx="91">
                  <c:v>3.7251873458202898</c:v>
                </c:pt>
                <c:pt idx="92">
                  <c:v>3.7607249121378579</c:v>
                </c:pt>
                <c:pt idx="93">
                  <c:v>3.7962020020165115</c:v>
                </c:pt>
                <c:pt idx="94">
                  <c:v>3.8502379485847578</c:v>
                </c:pt>
                <c:pt idx="95">
                  <c:v>3.9074288851128771</c:v>
                </c:pt>
                <c:pt idx="96">
                  <c:v>3.9831697275132387</c:v>
                </c:pt>
                <c:pt idx="97">
                  <c:v>4.0800337867565366</c:v>
                </c:pt>
                <c:pt idx="98">
                  <c:v>4.1899082206427813</c:v>
                </c:pt>
                <c:pt idx="99">
                  <c:v>4.3830365719355893</c:v>
                </c:pt>
                <c:pt idx="100">
                  <c:v>5.3648981107892606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88-439B-A5C3-02DB6B93A70A}"/>
            </c:ext>
          </c:extLst>
        </c:ser>
        <c:ser>
          <c:idx val="0"/>
          <c:order val="4"/>
          <c:tx>
            <c:strRef>
              <c:f>'Backtesting PBL'!$U$7</c:f>
              <c:strCache>
                <c:ptCount val="1"/>
                <c:pt idx="0">
                  <c:v>FY21 theo.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4-2C88-439B-A5C3-02DB6B93A70A}"/>
              </c:ext>
            </c:extLst>
          </c:dPt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PBL'!$U$8:$U$108</c:f>
              <c:numCache>
                <c:formatCode>General</c:formatCode>
                <c:ptCount val="101"/>
                <c:pt idx="0">
                  <c:v>1.9416729916472746</c:v>
                </c:pt>
                <c:pt idx="1">
                  <c:v>2.3060131231805605</c:v>
                </c:pt>
                <c:pt idx="2">
                  <c:v>2.3659037228137114</c:v>
                </c:pt>
                <c:pt idx="3">
                  <c:v>2.4120755192014425</c:v>
                </c:pt>
                <c:pt idx="4">
                  <c:v>2.4466925885580539</c:v>
                </c:pt>
                <c:pt idx="5">
                  <c:v>2.4767433665788237</c:v>
                </c:pt>
                <c:pt idx="6">
                  <c:v>2.4994077216273687</c:v>
                </c:pt>
                <c:pt idx="7">
                  <c:v>2.5200483509466909</c:v>
                </c:pt>
                <c:pt idx="8">
                  <c:v>2.5431643711255068</c:v>
                </c:pt>
                <c:pt idx="9">
                  <c:v>2.5633940163394469</c:v>
                </c:pt>
                <c:pt idx="10">
                  <c:v>2.5833571250012488</c:v>
                </c:pt>
                <c:pt idx="11">
                  <c:v>2.6003008146832975</c:v>
                </c:pt>
                <c:pt idx="12">
                  <c:v>2.617265668587859</c:v>
                </c:pt>
                <c:pt idx="13">
                  <c:v>2.6349763102055825</c:v>
                </c:pt>
                <c:pt idx="14">
                  <c:v>2.651746272704977</c:v>
                </c:pt>
                <c:pt idx="15">
                  <c:v>2.6663735215613684</c:v>
                </c:pt>
                <c:pt idx="16">
                  <c:v>2.6807197163669318</c:v>
                </c:pt>
                <c:pt idx="17">
                  <c:v>2.6951952185267984</c:v>
                </c:pt>
                <c:pt idx="18">
                  <c:v>2.7078212205601644</c:v>
                </c:pt>
                <c:pt idx="19">
                  <c:v>2.7207799151060135</c:v>
                </c:pt>
                <c:pt idx="20">
                  <c:v>2.7327479531236474</c:v>
                </c:pt>
                <c:pt idx="21">
                  <c:v>2.7451043024371318</c:v>
                </c:pt>
                <c:pt idx="22">
                  <c:v>2.7579011364783201</c:v>
                </c:pt>
                <c:pt idx="23">
                  <c:v>2.7689624371441841</c:v>
                </c:pt>
                <c:pt idx="24">
                  <c:v>2.7820898577011741</c:v>
                </c:pt>
                <c:pt idx="25">
                  <c:v>2.7923831840464186</c:v>
                </c:pt>
                <c:pt idx="26">
                  <c:v>2.8044045281579035</c:v>
                </c:pt>
                <c:pt idx="27">
                  <c:v>2.816131224884955</c:v>
                </c:pt>
                <c:pt idx="28">
                  <c:v>2.8268122013683725</c:v>
                </c:pt>
                <c:pt idx="29">
                  <c:v>2.8371837545707375</c:v>
                </c:pt>
                <c:pt idx="30">
                  <c:v>2.8485175732030226</c:v>
                </c:pt>
                <c:pt idx="31">
                  <c:v>2.8599618293110445</c:v>
                </c:pt>
                <c:pt idx="32">
                  <c:v>2.8704870688821678</c:v>
                </c:pt>
                <c:pt idx="33">
                  <c:v>2.8806482013026593</c:v>
                </c:pt>
                <c:pt idx="34">
                  <c:v>2.8902141791338374</c:v>
                </c:pt>
                <c:pt idx="35">
                  <c:v>2.9040093516126588</c:v>
                </c:pt>
                <c:pt idx="36">
                  <c:v>2.9137616181721708</c:v>
                </c:pt>
                <c:pt idx="37">
                  <c:v>2.9243768035572377</c:v>
                </c:pt>
                <c:pt idx="38">
                  <c:v>2.9367775409876744</c:v>
                </c:pt>
                <c:pt idx="39">
                  <c:v>2.9466103634073249</c:v>
                </c:pt>
                <c:pt idx="40">
                  <c:v>2.9578776732165726</c:v>
                </c:pt>
                <c:pt idx="41">
                  <c:v>2.969535723452259</c:v>
                </c:pt>
                <c:pt idx="42">
                  <c:v>2.9812867003601062</c:v>
                </c:pt>
                <c:pt idx="43">
                  <c:v>2.9910901198968576</c:v>
                </c:pt>
                <c:pt idx="44">
                  <c:v>3.001565988133966</c:v>
                </c:pt>
                <c:pt idx="45">
                  <c:v>3.0104844559670556</c:v>
                </c:pt>
                <c:pt idx="46">
                  <c:v>3.0194075637068694</c:v>
                </c:pt>
                <c:pt idx="47">
                  <c:v>3.0306738810967633</c:v>
                </c:pt>
                <c:pt idx="48">
                  <c:v>3.0421616864983365</c:v>
                </c:pt>
                <c:pt idx="49">
                  <c:v>3.0527077746111515</c:v>
                </c:pt>
                <c:pt idx="50">
                  <c:v>3.0613325821258943</c:v>
                </c:pt>
                <c:pt idx="51">
                  <c:v>3.0739007017879487</c:v>
                </c:pt>
                <c:pt idx="52">
                  <c:v>3.0840759019004844</c:v>
                </c:pt>
                <c:pt idx="53">
                  <c:v>3.0972033069769616</c:v>
                </c:pt>
                <c:pt idx="54">
                  <c:v>3.1071164744900099</c:v>
                </c:pt>
                <c:pt idx="55">
                  <c:v>3.118624635334569</c:v>
                </c:pt>
                <c:pt idx="56">
                  <c:v>3.1289113409051605</c:v>
                </c:pt>
                <c:pt idx="57">
                  <c:v>3.1393265231775458</c:v>
                </c:pt>
                <c:pt idx="58">
                  <c:v>3.1523561103175073</c:v>
                </c:pt>
                <c:pt idx="59">
                  <c:v>3.1638407621309459</c:v>
                </c:pt>
                <c:pt idx="60">
                  <c:v>3.1751609980253583</c:v>
                </c:pt>
                <c:pt idx="61">
                  <c:v>3.1877557873243072</c:v>
                </c:pt>
                <c:pt idx="62">
                  <c:v>3.1989818544411257</c:v>
                </c:pt>
                <c:pt idx="63">
                  <c:v>3.2100587910581857</c:v>
                </c:pt>
                <c:pt idx="64">
                  <c:v>3.2214438499595444</c:v>
                </c:pt>
                <c:pt idx="65">
                  <c:v>3.2331926154200219</c:v>
                </c:pt>
                <c:pt idx="66">
                  <c:v>3.2481051317536669</c:v>
                </c:pt>
                <c:pt idx="67">
                  <c:v>3.2620931422754649</c:v>
                </c:pt>
                <c:pt idx="68">
                  <c:v>3.2772630683901016</c:v>
                </c:pt>
                <c:pt idx="69">
                  <c:v>3.2904298913140746</c:v>
                </c:pt>
                <c:pt idx="70">
                  <c:v>3.3044954472107522</c:v>
                </c:pt>
                <c:pt idx="71">
                  <c:v>3.3147866206559606</c:v>
                </c:pt>
                <c:pt idx="72">
                  <c:v>3.330611627190216</c:v>
                </c:pt>
                <c:pt idx="73">
                  <c:v>3.3454939049169612</c:v>
                </c:pt>
                <c:pt idx="74">
                  <c:v>3.359263874149883</c:v>
                </c:pt>
                <c:pt idx="75">
                  <c:v>3.3759182350806278</c:v>
                </c:pt>
                <c:pt idx="76">
                  <c:v>3.3940976628781976</c:v>
                </c:pt>
                <c:pt idx="77">
                  <c:v>3.4107006138012359</c:v>
                </c:pt>
                <c:pt idx="78">
                  <c:v>3.428496137454442</c:v>
                </c:pt>
                <c:pt idx="79">
                  <c:v>3.4445296243215378</c:v>
                </c:pt>
                <c:pt idx="80">
                  <c:v>3.4615984945364544</c:v>
                </c:pt>
                <c:pt idx="81">
                  <c:v>3.4794537320270482</c:v>
                </c:pt>
                <c:pt idx="82">
                  <c:v>3.498728665413017</c:v>
                </c:pt>
                <c:pt idx="83">
                  <c:v>3.5162429937031661</c:v>
                </c:pt>
                <c:pt idx="84">
                  <c:v>3.5358247407609906</c:v>
                </c:pt>
                <c:pt idx="85">
                  <c:v>3.5582476352615231</c:v>
                </c:pt>
                <c:pt idx="86">
                  <c:v>3.5818207517060769</c:v>
                </c:pt>
                <c:pt idx="87">
                  <c:v>3.6121482258789666</c:v>
                </c:pt>
                <c:pt idx="88">
                  <c:v>3.6401873948654324</c:v>
                </c:pt>
                <c:pt idx="89">
                  <c:v>3.6673468593405945</c:v>
                </c:pt>
                <c:pt idx="90">
                  <c:v>3.6984761477465953</c:v>
                </c:pt>
                <c:pt idx="91">
                  <c:v>3.7287289187459707</c:v>
                </c:pt>
                <c:pt idx="92">
                  <c:v>3.7663914779142389</c:v>
                </c:pt>
                <c:pt idx="93">
                  <c:v>3.8058676505056788</c:v>
                </c:pt>
                <c:pt idx="94">
                  <c:v>3.8447555256927783</c:v>
                </c:pt>
                <c:pt idx="95">
                  <c:v>3.8900419866272422</c:v>
                </c:pt>
                <c:pt idx="96">
                  <c:v>3.9499333541507218</c:v>
                </c:pt>
                <c:pt idx="97">
                  <c:v>4.0293703368466316</c:v>
                </c:pt>
                <c:pt idx="98">
                  <c:v>4.1363477218244578</c:v>
                </c:pt>
                <c:pt idx="99">
                  <c:v>4.3100086635543464</c:v>
                </c:pt>
                <c:pt idx="100">
                  <c:v>5.22857565255502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88-439B-A5C3-02DB6B93A70A}"/>
            </c:ext>
          </c:extLst>
        </c:ser>
        <c:ser>
          <c:idx val="8"/>
          <c:order val="5"/>
          <c:tx>
            <c:strRef>
              <c:f>'Backtesting PBL'!$T$7</c:f>
              <c:strCache>
                <c:ptCount val="1"/>
                <c:pt idx="0">
                  <c:v>FY20 theo.</c:v>
                </c:pt>
              </c:strCache>
            </c:strRef>
          </c:tx>
          <c:spPr>
            <a:ln w="28575"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PBL'!$T$8:$T$108</c:f>
              <c:numCache>
                <c:formatCode>General</c:formatCode>
                <c:ptCount val="101"/>
                <c:pt idx="0">
                  <c:v>1.4847874679511484</c:v>
                </c:pt>
                <c:pt idx="1">
                  <c:v>1.6820274353327995</c:v>
                </c:pt>
                <c:pt idx="2">
                  <c:v>1.7267432891445968</c:v>
                </c:pt>
                <c:pt idx="3">
                  <c:v>1.7561545257512565</c:v>
                </c:pt>
                <c:pt idx="4">
                  <c:v>1.7805682946240384</c:v>
                </c:pt>
                <c:pt idx="5">
                  <c:v>1.8057986189426347</c:v>
                </c:pt>
                <c:pt idx="6">
                  <c:v>1.8256119598337244</c:v>
                </c:pt>
                <c:pt idx="7">
                  <c:v>1.8424811085489163</c:v>
                </c:pt>
                <c:pt idx="8">
                  <c:v>1.8594498183815655</c:v>
                </c:pt>
                <c:pt idx="9">
                  <c:v>1.8747438575077591</c:v>
                </c:pt>
                <c:pt idx="10">
                  <c:v>1.8869836166100278</c:v>
                </c:pt>
                <c:pt idx="11">
                  <c:v>1.8996490356098945</c:v>
                </c:pt>
                <c:pt idx="12">
                  <c:v>1.912571555870054</c:v>
                </c:pt>
                <c:pt idx="13">
                  <c:v>1.9222275574738457</c:v>
                </c:pt>
                <c:pt idx="14">
                  <c:v>1.9360258578812748</c:v>
                </c:pt>
                <c:pt idx="15">
                  <c:v>1.9466075016190547</c:v>
                </c:pt>
                <c:pt idx="16">
                  <c:v>1.9590042825931897</c:v>
                </c:pt>
                <c:pt idx="17">
                  <c:v>1.9707106994610064</c:v>
                </c:pt>
                <c:pt idx="18">
                  <c:v>1.9814786344479023</c:v>
                </c:pt>
                <c:pt idx="19">
                  <c:v>1.9922367408084443</c:v>
                </c:pt>
                <c:pt idx="20">
                  <c:v>2.0017590994339272</c:v>
                </c:pt>
                <c:pt idx="21">
                  <c:v>2.0108865018096322</c:v>
                </c:pt>
                <c:pt idx="22">
                  <c:v>2.0195953315081097</c:v>
                </c:pt>
                <c:pt idx="23">
                  <c:v>2.0282395676449578</c:v>
                </c:pt>
                <c:pt idx="24">
                  <c:v>2.0359758736406537</c:v>
                </c:pt>
                <c:pt idx="25">
                  <c:v>2.0453145838498825</c:v>
                </c:pt>
                <c:pt idx="26">
                  <c:v>2.0559180696569852</c:v>
                </c:pt>
                <c:pt idx="27">
                  <c:v>2.0650194845241185</c:v>
                </c:pt>
                <c:pt idx="28">
                  <c:v>2.0730449625094809</c:v>
                </c:pt>
                <c:pt idx="29">
                  <c:v>2.0809309073526592</c:v>
                </c:pt>
                <c:pt idx="30">
                  <c:v>2.0901704641376302</c:v>
                </c:pt>
                <c:pt idx="31">
                  <c:v>2.0977030643618275</c:v>
                </c:pt>
                <c:pt idx="32">
                  <c:v>2.1055866820562357</c:v>
                </c:pt>
                <c:pt idx="33">
                  <c:v>2.1137108970031413</c:v>
                </c:pt>
                <c:pt idx="34">
                  <c:v>2.12277341836357</c:v>
                </c:pt>
                <c:pt idx="35">
                  <c:v>2.1322576092792467</c:v>
                </c:pt>
                <c:pt idx="36">
                  <c:v>2.1420322060413564</c:v>
                </c:pt>
                <c:pt idx="37">
                  <c:v>2.1508035108963601</c:v>
                </c:pt>
                <c:pt idx="38">
                  <c:v>2.1588310520605529</c:v>
                </c:pt>
                <c:pt idx="39">
                  <c:v>2.1675303688732344</c:v>
                </c:pt>
                <c:pt idx="40">
                  <c:v>2.1761872690628956</c:v>
                </c:pt>
                <c:pt idx="41">
                  <c:v>2.1849885038274874</c:v>
                </c:pt>
                <c:pt idx="42">
                  <c:v>2.1943329713072823</c:v>
                </c:pt>
                <c:pt idx="43">
                  <c:v>2.2030877206452129</c:v>
                </c:pt>
                <c:pt idx="44">
                  <c:v>2.2114431646268153</c:v>
                </c:pt>
                <c:pt idx="45">
                  <c:v>2.2195151099858519</c:v>
                </c:pt>
                <c:pt idx="46">
                  <c:v>2.2292630789373615</c:v>
                </c:pt>
                <c:pt idx="47">
                  <c:v>2.2381111069530339</c:v>
                </c:pt>
                <c:pt idx="48">
                  <c:v>2.2477233296371795</c:v>
                </c:pt>
                <c:pt idx="49">
                  <c:v>2.2565568795630191</c:v>
                </c:pt>
                <c:pt idx="50">
                  <c:v>2.2642011751503817</c:v>
                </c:pt>
                <c:pt idx="51">
                  <c:v>2.2712478296618888</c:v>
                </c:pt>
                <c:pt idx="52">
                  <c:v>2.2791685668947919</c:v>
                </c:pt>
                <c:pt idx="53">
                  <c:v>2.2895508974805328</c:v>
                </c:pt>
                <c:pt idx="54">
                  <c:v>2.2981379766202559</c:v>
                </c:pt>
                <c:pt idx="55">
                  <c:v>2.3073693143035356</c:v>
                </c:pt>
                <c:pt idx="56">
                  <c:v>2.3152731586884778</c:v>
                </c:pt>
                <c:pt idx="57">
                  <c:v>2.3254159921159854</c:v>
                </c:pt>
                <c:pt idx="58">
                  <c:v>2.3335533759177114</c:v>
                </c:pt>
                <c:pt idx="59">
                  <c:v>2.3436520950953219</c:v>
                </c:pt>
                <c:pt idx="60">
                  <c:v>2.3531062085909982</c:v>
                </c:pt>
                <c:pt idx="61">
                  <c:v>2.361750192128921</c:v>
                </c:pt>
                <c:pt idx="62">
                  <c:v>2.3716486677815389</c:v>
                </c:pt>
                <c:pt idx="63">
                  <c:v>2.3813335758940561</c:v>
                </c:pt>
                <c:pt idx="64">
                  <c:v>2.3917333236853842</c:v>
                </c:pt>
                <c:pt idx="65">
                  <c:v>2.4011668581962966</c:v>
                </c:pt>
                <c:pt idx="66">
                  <c:v>2.4115563378976002</c:v>
                </c:pt>
                <c:pt idx="67">
                  <c:v>2.4217196428582111</c:v>
                </c:pt>
                <c:pt idx="68">
                  <c:v>2.4333365876300044</c:v>
                </c:pt>
                <c:pt idx="69">
                  <c:v>2.4453787611789495</c:v>
                </c:pt>
                <c:pt idx="70">
                  <c:v>2.4570984735113055</c:v>
                </c:pt>
                <c:pt idx="71">
                  <c:v>2.4677784335709001</c:v>
                </c:pt>
                <c:pt idx="72">
                  <c:v>2.4781091959581696</c:v>
                </c:pt>
                <c:pt idx="73">
                  <c:v>2.4915101984556562</c:v>
                </c:pt>
                <c:pt idx="74">
                  <c:v>2.5025562983328089</c:v>
                </c:pt>
                <c:pt idx="75">
                  <c:v>2.5142322788480431</c:v>
                </c:pt>
                <c:pt idx="76">
                  <c:v>2.5272476623688633</c:v>
                </c:pt>
                <c:pt idx="77">
                  <c:v>2.5402517272459009</c:v>
                </c:pt>
                <c:pt idx="78">
                  <c:v>2.5555896355221153</c:v>
                </c:pt>
                <c:pt idx="79">
                  <c:v>2.570496458640442</c:v>
                </c:pt>
                <c:pt idx="80">
                  <c:v>2.5851920180399386</c:v>
                </c:pt>
                <c:pt idx="81">
                  <c:v>2.6011862631022225</c:v>
                </c:pt>
                <c:pt idx="82">
                  <c:v>2.6184669834759067</c:v>
                </c:pt>
                <c:pt idx="83">
                  <c:v>2.6335490314544208</c:v>
                </c:pt>
                <c:pt idx="84">
                  <c:v>2.6518344326741889</c:v>
                </c:pt>
                <c:pt idx="85">
                  <c:v>2.6715957580630274</c:v>
                </c:pt>
                <c:pt idx="86">
                  <c:v>2.6932793941081212</c:v>
                </c:pt>
                <c:pt idx="87">
                  <c:v>2.7162467217111401</c:v>
                </c:pt>
                <c:pt idx="88">
                  <c:v>2.7380113778605142</c:v>
                </c:pt>
                <c:pt idx="89">
                  <c:v>2.7600520183976034</c:v>
                </c:pt>
                <c:pt idx="90">
                  <c:v>2.7848486107064101</c:v>
                </c:pt>
                <c:pt idx="91">
                  <c:v>2.8137541549724099</c:v>
                </c:pt>
                <c:pt idx="92">
                  <c:v>2.844195929657729</c:v>
                </c:pt>
                <c:pt idx="93">
                  <c:v>2.8734367680316861</c:v>
                </c:pt>
                <c:pt idx="94">
                  <c:v>2.9091554203277488</c:v>
                </c:pt>
                <c:pt idx="95">
                  <c:v>2.9539184284804749</c:v>
                </c:pt>
                <c:pt idx="96">
                  <c:v>3.003890024469996</c:v>
                </c:pt>
                <c:pt idx="97">
                  <c:v>3.0823476845804665</c:v>
                </c:pt>
                <c:pt idx="98">
                  <c:v>3.176987711242401</c:v>
                </c:pt>
                <c:pt idx="99">
                  <c:v>3.3089376581125318</c:v>
                </c:pt>
                <c:pt idx="100">
                  <c:v>3.9922387211943065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88-439B-A5C3-02DB6B93A70A}"/>
            </c:ext>
          </c:extLst>
        </c:ser>
        <c:ser>
          <c:idx val="10"/>
          <c:order val="6"/>
          <c:tx>
            <c:strRef>
              <c:f>'Backtesting PBL'!$S$7</c:f>
              <c:strCache>
                <c:ptCount val="1"/>
                <c:pt idx="0">
                  <c:v>FY19 theo.</c:v>
                </c:pt>
              </c:strCache>
            </c:strRef>
          </c:tx>
          <c:spPr>
            <a:ln w="28575">
              <a:solidFill>
                <a:srgbClr val="D9C1ED"/>
              </a:solidFill>
            </a:ln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PBL'!$S$8:$S$108</c:f>
              <c:numCache>
                <c:formatCode>General</c:formatCode>
                <c:ptCount val="101"/>
                <c:pt idx="0">
                  <c:v>1.2545799551646153</c:v>
                </c:pt>
                <c:pt idx="1">
                  <c:v>1.4066574197719168</c:v>
                </c:pt>
                <c:pt idx="2">
                  <c:v>1.4500779849130305</c:v>
                </c:pt>
                <c:pt idx="3">
                  <c:v>1.4791244164381512</c:v>
                </c:pt>
                <c:pt idx="4">
                  <c:v>1.5034364351885934</c:v>
                </c:pt>
                <c:pt idx="5">
                  <c:v>1.5283052222492155</c:v>
                </c:pt>
                <c:pt idx="6">
                  <c:v>1.5458852324186725</c:v>
                </c:pt>
                <c:pt idx="7">
                  <c:v>1.560199057932697</c:v>
                </c:pt>
                <c:pt idx="8">
                  <c:v>1.5753908020628888</c:v>
                </c:pt>
                <c:pt idx="9">
                  <c:v>1.5877362962364541</c:v>
                </c:pt>
                <c:pt idx="10">
                  <c:v>1.6024647063201816</c:v>
                </c:pt>
                <c:pt idx="11">
                  <c:v>1.6140408105585078</c:v>
                </c:pt>
                <c:pt idx="12">
                  <c:v>1.6269417464949447</c:v>
                </c:pt>
                <c:pt idx="13">
                  <c:v>1.6379098347135139</c:v>
                </c:pt>
                <c:pt idx="14">
                  <c:v>1.647432295461386</c:v>
                </c:pt>
                <c:pt idx="15">
                  <c:v>1.6583803791426657</c:v>
                </c:pt>
                <c:pt idx="16">
                  <c:v>1.6694117685644827</c:v>
                </c:pt>
                <c:pt idx="17">
                  <c:v>1.6796650794945864</c:v>
                </c:pt>
                <c:pt idx="18">
                  <c:v>1.6908431304441707</c:v>
                </c:pt>
                <c:pt idx="19">
                  <c:v>1.7021395217767501</c:v>
                </c:pt>
                <c:pt idx="20">
                  <c:v>1.7142624832916706</c:v>
                </c:pt>
                <c:pt idx="21">
                  <c:v>1.7238980405688689</c:v>
                </c:pt>
                <c:pt idx="22">
                  <c:v>1.7332845361921914</c:v>
                </c:pt>
                <c:pt idx="23">
                  <c:v>1.7439910316032456</c:v>
                </c:pt>
                <c:pt idx="24">
                  <c:v>1.7530548091094915</c:v>
                </c:pt>
                <c:pt idx="25">
                  <c:v>1.7617227162162552</c:v>
                </c:pt>
                <c:pt idx="26">
                  <c:v>1.7708514467278855</c:v>
                </c:pt>
                <c:pt idx="27">
                  <c:v>1.7790752730204216</c:v>
                </c:pt>
                <c:pt idx="28">
                  <c:v>1.7897966321921288</c:v>
                </c:pt>
                <c:pt idx="29">
                  <c:v>1.7986145582212114</c:v>
                </c:pt>
                <c:pt idx="30">
                  <c:v>1.8070053203211873</c:v>
                </c:pt>
                <c:pt idx="31">
                  <c:v>1.8160235714309854</c:v>
                </c:pt>
                <c:pt idx="32">
                  <c:v>1.823412606511259</c:v>
                </c:pt>
                <c:pt idx="33">
                  <c:v>1.832353206292016</c:v>
                </c:pt>
                <c:pt idx="34">
                  <c:v>1.8420712063202109</c:v>
                </c:pt>
                <c:pt idx="35">
                  <c:v>1.851805962724532</c:v>
                </c:pt>
                <c:pt idx="36">
                  <c:v>1.8600420225486765</c:v>
                </c:pt>
                <c:pt idx="37">
                  <c:v>1.8685707318647713</c:v>
                </c:pt>
                <c:pt idx="38">
                  <c:v>1.8790866477224413</c:v>
                </c:pt>
                <c:pt idx="39">
                  <c:v>1.8873662010053689</c:v>
                </c:pt>
                <c:pt idx="40">
                  <c:v>1.8962147322551157</c:v>
                </c:pt>
                <c:pt idx="41">
                  <c:v>1.9047655862691026</c:v>
                </c:pt>
                <c:pt idx="42">
                  <c:v>1.9124195212240793</c:v>
                </c:pt>
                <c:pt idx="43">
                  <c:v>1.9214934172795186</c:v>
                </c:pt>
                <c:pt idx="44">
                  <c:v>1.9308530380242646</c:v>
                </c:pt>
                <c:pt idx="45">
                  <c:v>1.9396255672379004</c:v>
                </c:pt>
                <c:pt idx="46">
                  <c:v>1.948161467855887</c:v>
                </c:pt>
                <c:pt idx="47">
                  <c:v>1.9573664150162702</c:v>
                </c:pt>
                <c:pt idx="48">
                  <c:v>1.9661973598189781</c:v>
                </c:pt>
                <c:pt idx="49">
                  <c:v>1.9747482291962863</c:v>
                </c:pt>
                <c:pt idx="50">
                  <c:v>1.9845527574108683</c:v>
                </c:pt>
                <c:pt idx="51">
                  <c:v>1.9945712916857523</c:v>
                </c:pt>
                <c:pt idx="52">
                  <c:v>2.003918090690437</c:v>
                </c:pt>
                <c:pt idx="53">
                  <c:v>2.0125296540077406</c:v>
                </c:pt>
                <c:pt idx="54">
                  <c:v>2.0214203205861376</c:v>
                </c:pt>
                <c:pt idx="55">
                  <c:v>2.0304621882735447</c:v>
                </c:pt>
                <c:pt idx="56">
                  <c:v>2.0387269596466648</c:v>
                </c:pt>
                <c:pt idx="57">
                  <c:v>2.0500748775519577</c:v>
                </c:pt>
                <c:pt idx="58">
                  <c:v>2.0573123005558815</c:v>
                </c:pt>
                <c:pt idx="59">
                  <c:v>2.0671551263685504</c:v>
                </c:pt>
                <c:pt idx="60">
                  <c:v>2.0771060324350707</c:v>
                </c:pt>
                <c:pt idx="61">
                  <c:v>2.088226399805194</c:v>
                </c:pt>
                <c:pt idx="62">
                  <c:v>2.0985270171082098</c:v>
                </c:pt>
                <c:pt idx="63">
                  <c:v>2.1097955894468949</c:v>
                </c:pt>
                <c:pt idx="64">
                  <c:v>2.1179895548473731</c:v>
                </c:pt>
                <c:pt idx="65">
                  <c:v>2.1302783538713954</c:v>
                </c:pt>
                <c:pt idx="66">
                  <c:v>2.1415593990849495</c:v>
                </c:pt>
                <c:pt idx="67">
                  <c:v>2.1506192191817735</c:v>
                </c:pt>
                <c:pt idx="68">
                  <c:v>2.1616461034882897</c:v>
                </c:pt>
                <c:pt idx="69">
                  <c:v>2.1740336604967516</c:v>
                </c:pt>
                <c:pt idx="70">
                  <c:v>2.1879010065720776</c:v>
                </c:pt>
                <c:pt idx="71">
                  <c:v>2.1997983539811732</c:v>
                </c:pt>
                <c:pt idx="72">
                  <c:v>2.2107310523204022</c:v>
                </c:pt>
                <c:pt idx="73">
                  <c:v>2.2220838899506687</c:v>
                </c:pt>
                <c:pt idx="74">
                  <c:v>2.2376815652848272</c:v>
                </c:pt>
                <c:pt idx="75">
                  <c:v>2.248346977747079</c:v>
                </c:pt>
                <c:pt idx="76">
                  <c:v>2.2616217907010734</c:v>
                </c:pt>
                <c:pt idx="77">
                  <c:v>2.2743366814254276</c:v>
                </c:pt>
                <c:pt idx="78">
                  <c:v>2.2900694946504232</c:v>
                </c:pt>
                <c:pt idx="79">
                  <c:v>2.302234607454213</c:v>
                </c:pt>
                <c:pt idx="80">
                  <c:v>2.316044296372282</c:v>
                </c:pt>
                <c:pt idx="81">
                  <c:v>2.3337028499429167</c:v>
                </c:pt>
                <c:pt idx="82">
                  <c:v>2.3478731095817218</c:v>
                </c:pt>
                <c:pt idx="83">
                  <c:v>2.3617404556570478</c:v>
                </c:pt>
                <c:pt idx="84">
                  <c:v>2.3790313315020613</c:v>
                </c:pt>
                <c:pt idx="85">
                  <c:v>2.4024457728170394</c:v>
                </c:pt>
                <c:pt idx="86">
                  <c:v>2.4201026890141848</c:v>
                </c:pt>
                <c:pt idx="87">
                  <c:v>2.4380597744342491</c:v>
                </c:pt>
                <c:pt idx="88">
                  <c:v>2.4623286991574438</c:v>
                </c:pt>
                <c:pt idx="89">
                  <c:v>2.4845779338773086</c:v>
                </c:pt>
                <c:pt idx="90">
                  <c:v>2.5087940410089193</c:v>
                </c:pt>
                <c:pt idx="91">
                  <c:v>2.5343469802083614</c:v>
                </c:pt>
                <c:pt idx="92">
                  <c:v>2.5672887601939274</c:v>
                </c:pt>
                <c:pt idx="93">
                  <c:v>2.6036686557997273</c:v>
                </c:pt>
                <c:pt idx="94">
                  <c:v>2.6360300404358274</c:v>
                </c:pt>
                <c:pt idx="95">
                  <c:v>2.673791464112711</c:v>
                </c:pt>
                <c:pt idx="96">
                  <c:v>2.7219887192378751</c:v>
                </c:pt>
                <c:pt idx="97">
                  <c:v>2.7901223996875482</c:v>
                </c:pt>
                <c:pt idx="98">
                  <c:v>2.8864441728855774</c:v>
                </c:pt>
                <c:pt idx="99">
                  <c:v>3.0284955145326511</c:v>
                </c:pt>
                <c:pt idx="100">
                  <c:v>3.7531379653411281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88-439B-A5C3-02DB6B93A70A}"/>
            </c:ext>
          </c:extLst>
        </c:ser>
        <c:ser>
          <c:idx val="13"/>
          <c:order val="7"/>
          <c:tx>
            <c:strRef>
              <c:f>'Backtesting PBL'!$AG$7</c:f>
              <c:strCache>
                <c:ptCount val="1"/>
                <c:pt idx="0">
                  <c:v>FY25 act.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6th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C88-439B-A5C3-02DB6B93A70A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PBL'!$AG$8:$AG$108</c:f>
              <c:numCache>
                <c:formatCode>General</c:formatCode>
                <c:ptCount val="101"/>
                <c:pt idx="6">
                  <c:v>2.9319854918675299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88-439B-A5C3-02DB6B93A70A}"/>
            </c:ext>
          </c:extLst>
        </c:ser>
        <c:ser>
          <c:idx val="7"/>
          <c:order val="8"/>
          <c:tx>
            <c:strRef>
              <c:f>'Backtesting PBL'!$AF$7</c:f>
              <c:strCache>
                <c:ptCount val="1"/>
                <c:pt idx="0">
                  <c:v>FY24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0A-2C88-439B-A5C3-02DB6B93A70A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0B-2C88-439B-A5C3-02DB6B93A70A}"/>
              </c:ext>
            </c:extLst>
          </c:dPt>
          <c:dLbls>
            <c:dLbl>
              <c:idx val="34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34.19th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C88-439B-A5C3-02DB6B93A70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52nd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C88-439B-A5C3-02DB6B93A70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55th</a:t>
                    </a:r>
                    <a:r>
                      <a:rPr lang="en-US" b="1" baseline="0">
                        <a:solidFill>
                          <a:schemeClr val="tx2"/>
                        </a:solidFill>
                      </a:rPr>
                      <a:t> percentile</a:t>
                    </a:r>
                    <a:endParaRPr lang="en-US" b="1">
                      <a:solidFill>
                        <a:schemeClr val="tx2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C88-439B-A5C3-02DB6B93A70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61st 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C88-439B-A5C3-02DB6B93A70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67th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C88-439B-A5C3-02DB6B93A70A}"/>
                </c:ext>
              </c:extLst>
            </c:dLbl>
            <c:dLbl>
              <c:idx val="86"/>
              <c:layout>
                <c:manualLayout>
                  <c:x val="-0.12254663204289994"/>
                  <c:y val="-6.700138888888888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0066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0066FF"/>
                        </a:solidFill>
                      </a:rPr>
                      <a:t>85th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C88-439B-A5C3-02DB6B93A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PBL'!$AF$8:$AF$108</c:f>
              <c:numCache>
                <c:formatCode>0.0000</c:formatCode>
                <c:ptCount val="101"/>
                <c:pt idx="86">
                  <c:v>3.9781259059999998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C88-439B-A5C3-02DB6B93A70A}"/>
            </c:ext>
          </c:extLst>
        </c:ser>
        <c:ser>
          <c:idx val="6"/>
          <c:order val="9"/>
          <c:tx>
            <c:strRef>
              <c:f>'Backtesting PBL'!$AE$7</c:f>
              <c:strCache>
                <c:ptCount val="1"/>
                <c:pt idx="0">
                  <c:v>FY23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dLbl>
              <c:idx val="51"/>
              <c:layout>
                <c:manualLayout>
                  <c:x val="-6.4063604918166511E-2"/>
                  <c:y val="5.037972222222215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51st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C88-439B-A5C3-02DB6B93A70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69.55th</a:t>
                    </a:r>
                    <a:r>
                      <a:rPr lang="en-US" baseline="0"/>
                      <a:t> percentile</a:t>
                    </a:r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C88-439B-A5C3-02DB6B93A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PBL'!$AE$8:$AE$108</c:f>
              <c:numCache>
                <c:formatCode>0.0000</c:formatCode>
                <c:ptCount val="101"/>
                <c:pt idx="51">
                  <c:v>3.1350399566342602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C88-439B-A5C3-02DB6B93A70A}"/>
            </c:ext>
          </c:extLst>
        </c:ser>
        <c:ser>
          <c:idx val="5"/>
          <c:order val="10"/>
          <c:tx>
            <c:strRef>
              <c:f>'Backtesting PBL'!$AD$7</c:f>
              <c:strCache>
                <c:ptCount val="1"/>
                <c:pt idx="0">
                  <c:v>FY22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16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16.48th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C88-439B-A5C3-02DB6B93A70A}"/>
                </c:ext>
              </c:extLst>
            </c:dLbl>
            <c:dLbl>
              <c:idx val="68"/>
              <c:layout>
                <c:manualLayout>
                  <c:x val="-7.360932857237916E-2"/>
                  <c:y val="4.487015187001929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68th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2C88-439B-A5C3-02DB6B93A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PBL'!$AD$8:$AD$108</c:f>
              <c:numCache>
                <c:formatCode>0.0000</c:formatCode>
                <c:ptCount val="101"/>
                <c:pt idx="68">
                  <c:v>3.2433942080770599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C88-439B-A5C3-02DB6B93A70A}"/>
            </c:ext>
          </c:extLst>
        </c:ser>
        <c:ser>
          <c:idx val="4"/>
          <c:order val="11"/>
          <c:tx>
            <c:strRef>
              <c:f>'Backtesting PBL'!$AC$7</c:f>
              <c:strCache>
                <c:ptCount val="1"/>
                <c:pt idx="0">
                  <c:v>FY21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2.9106311008900699E-2"/>
                  <c:y val="5.60946867588787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2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t>4th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2C88-439B-A5C3-02DB6B93A70A}"/>
                </c:ext>
              </c:extLst>
            </c:dLbl>
            <c:dLbl>
              <c:idx val="69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68.77th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2C88-439B-A5C3-02DB6B93A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PBL'!$AC$8:$AC$108</c:f>
              <c:numCache>
                <c:formatCode>0.0000</c:formatCode>
                <c:ptCount val="101"/>
                <c:pt idx="4">
                  <c:v>2.42599573484094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C88-439B-A5C3-02DB6B93A70A}"/>
            </c:ext>
          </c:extLst>
        </c:ser>
        <c:ser>
          <c:idx val="9"/>
          <c:order val="12"/>
          <c:tx>
            <c:v>FY20 act.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4"/>
              </a:solidFill>
              <a:ln>
                <a:noFill/>
              </a:ln>
            </c:spPr>
          </c:marker>
          <c:dLbls>
            <c:dLbl>
              <c:idx val="73"/>
              <c:layout>
                <c:manualLayout>
                  <c:x val="-4.0232065399770311E-2"/>
                  <c:y val="-4.49261272408561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>
                        <a:solidFill>
                          <a:schemeClr val="accent4">
                            <a:lumMod val="75000"/>
                          </a:schemeClr>
                        </a:solidFill>
                      </a:defRPr>
                    </a:pPr>
                    <a:r>
                      <a:rPr lang="en-US" sz="900" b="1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t>73rd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2C88-439B-A5C3-02DB6B93A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PBL'!$AB$8:$AB$108</c:f>
              <c:numCache>
                <c:formatCode>0.0000</c:formatCode>
                <c:ptCount val="101"/>
                <c:pt idx="73">
                  <c:v>2.4899441434092999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C88-439B-A5C3-02DB6B93A70A}"/>
            </c:ext>
          </c:extLst>
        </c:ser>
        <c:ser>
          <c:idx val="11"/>
          <c:order val="13"/>
          <c:tx>
            <c:strRef>
              <c:f>'Backtesting PBL'!$AA$7</c:f>
              <c:strCache>
                <c:ptCount val="1"/>
                <c:pt idx="0">
                  <c:v>FY19 act.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7030A0"/>
              </a:solidFill>
              <a:ln>
                <a:noFill/>
              </a:ln>
            </c:spPr>
          </c:marker>
          <c:dLbls>
            <c:dLbl>
              <c:idx val="7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 b="1">
                        <a:solidFill>
                          <a:srgbClr val="7030A0"/>
                        </a:solidFill>
                      </a:defRPr>
                    </a:pPr>
                    <a:r>
                      <a:rPr lang="en-US" sz="900" b="1">
                        <a:solidFill>
                          <a:srgbClr val="7030A0"/>
                        </a:solidFill>
                      </a:rPr>
                      <a:t>70th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C88-439B-A5C3-02DB6B93A7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PBL'!$AA$8:$AA$108</c:f>
              <c:numCache>
                <c:formatCode>General</c:formatCode>
                <c:ptCount val="101"/>
                <c:pt idx="70" formatCode="0.0000">
                  <c:v>2.18329020983303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C88-439B-A5C3-02DB6B93A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84784"/>
        <c:axId val="1732385768"/>
      </c:lineChart>
      <c:catAx>
        <c:axId val="173238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5768"/>
        <c:crosses val="autoZero"/>
        <c:auto val="1"/>
        <c:lblAlgn val="ctr"/>
        <c:lblOffset val="100"/>
        <c:noMultiLvlLbl val="0"/>
      </c:catAx>
      <c:valAx>
        <c:axId val="1732385768"/>
        <c:scaling>
          <c:orientation val="minMax"/>
          <c:max val="5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47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01522018136507E-2"/>
          <c:y val="4.1156627925817903E-2"/>
          <c:w val="0.94339980095139298"/>
          <c:h val="0.71596472222222218"/>
        </c:manualLayout>
      </c:layout>
      <c:lineChart>
        <c:grouping val="standard"/>
        <c:varyColors val="0"/>
        <c:ser>
          <c:idx val="12"/>
          <c:order val="0"/>
          <c:tx>
            <c:strRef>
              <c:f>'Backtesting PBL'!$Z$7</c:f>
              <c:strCache>
                <c:ptCount val="1"/>
                <c:pt idx="0">
                  <c:v>FY26 theo.</c:v>
                </c:pt>
              </c:strCache>
            </c:strRef>
          </c:tx>
          <c:spPr>
            <a:ln w="28575"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PBL'!$Z$8:$Z$108</c:f>
              <c:numCache>
                <c:formatCode>General</c:formatCode>
                <c:ptCount val="101"/>
                <c:pt idx="0">
                  <c:v>2.4242137961136785</c:v>
                </c:pt>
                <c:pt idx="1">
                  <c:v>2.6621959731804816</c:v>
                </c:pt>
                <c:pt idx="2">
                  <c:v>2.720941529805486</c:v>
                </c:pt>
                <c:pt idx="3">
                  <c:v>2.7759947968851244</c:v>
                </c:pt>
                <c:pt idx="4">
                  <c:v>2.8206315383567677</c:v>
                </c:pt>
                <c:pt idx="5">
                  <c:v>2.8530205783069595</c:v>
                </c:pt>
                <c:pt idx="6">
                  <c:v>2.8852632208115772</c:v>
                </c:pt>
                <c:pt idx="7">
                  <c:v>2.9102147231899123</c:v>
                </c:pt>
                <c:pt idx="8">
                  <c:v>2.9330110221649819</c:v>
                </c:pt>
                <c:pt idx="9">
                  <c:v>2.9535301670011287</c:v>
                </c:pt>
                <c:pt idx="10">
                  <c:v>2.9711929445957521</c:v>
                </c:pt>
                <c:pt idx="11">
                  <c:v>2.9893652535332853</c:v>
                </c:pt>
                <c:pt idx="12">
                  <c:v>3.0059336009959741</c:v>
                </c:pt>
                <c:pt idx="13">
                  <c:v>3.0227868303195096</c:v>
                </c:pt>
                <c:pt idx="14">
                  <c:v>3.0395813813778414</c:v>
                </c:pt>
                <c:pt idx="15">
                  <c:v>3.0544303544385918</c:v>
                </c:pt>
                <c:pt idx="16">
                  <c:v>3.0689037033906135</c:v>
                </c:pt>
                <c:pt idx="17">
                  <c:v>3.0842579243920309</c:v>
                </c:pt>
                <c:pt idx="18">
                  <c:v>3.0995885016873594</c:v>
                </c:pt>
                <c:pt idx="19">
                  <c:v>3.1144934380686613</c:v>
                </c:pt>
                <c:pt idx="20">
                  <c:v>3.1281298178618941</c:v>
                </c:pt>
                <c:pt idx="21">
                  <c:v>3.1407536220146839</c:v>
                </c:pt>
                <c:pt idx="22">
                  <c:v>3.1528977796053246</c:v>
                </c:pt>
                <c:pt idx="23">
                  <c:v>3.1644414771439764</c:v>
                </c:pt>
                <c:pt idx="24">
                  <c:v>3.1760582378479607</c:v>
                </c:pt>
                <c:pt idx="25">
                  <c:v>3.18671955351103</c:v>
                </c:pt>
                <c:pt idx="26">
                  <c:v>3.1992696779069263</c:v>
                </c:pt>
                <c:pt idx="27">
                  <c:v>3.2129350708251065</c:v>
                </c:pt>
                <c:pt idx="28">
                  <c:v>3.2246073418326495</c:v>
                </c:pt>
                <c:pt idx="29">
                  <c:v>3.2395533299748518</c:v>
                </c:pt>
                <c:pt idx="30">
                  <c:v>3.2515040162532607</c:v>
                </c:pt>
                <c:pt idx="31">
                  <c:v>3.2609482220360895</c:v>
                </c:pt>
                <c:pt idx="32">
                  <c:v>3.2741337484573951</c:v>
                </c:pt>
                <c:pt idx="33">
                  <c:v>3.2851853796192607</c:v>
                </c:pt>
                <c:pt idx="34">
                  <c:v>3.2972033827862806</c:v>
                </c:pt>
                <c:pt idx="35">
                  <c:v>3.3112835206635109</c:v>
                </c:pt>
                <c:pt idx="36">
                  <c:v>3.3222412658691378</c:v>
                </c:pt>
                <c:pt idx="37">
                  <c:v>3.3331939407795939</c:v>
                </c:pt>
                <c:pt idx="38">
                  <c:v>3.3454234161654819</c:v>
                </c:pt>
                <c:pt idx="39">
                  <c:v>3.3543298056389226</c:v>
                </c:pt>
                <c:pt idx="40">
                  <c:v>3.3645706574281338</c:v>
                </c:pt>
                <c:pt idx="41">
                  <c:v>3.3760115187624495</c:v>
                </c:pt>
                <c:pt idx="42">
                  <c:v>3.3886695780340812</c:v>
                </c:pt>
                <c:pt idx="43">
                  <c:v>3.4016895422895868</c:v>
                </c:pt>
                <c:pt idx="44">
                  <c:v>3.413330243456369</c:v>
                </c:pt>
                <c:pt idx="45">
                  <c:v>3.4246631913497678</c:v>
                </c:pt>
                <c:pt idx="46">
                  <c:v>3.4352121003970804</c:v>
                </c:pt>
                <c:pt idx="47">
                  <c:v>3.4488029954949426</c:v>
                </c:pt>
                <c:pt idx="48">
                  <c:v>3.4611547197864341</c:v>
                </c:pt>
                <c:pt idx="49">
                  <c:v>3.4718339288470283</c:v>
                </c:pt>
                <c:pt idx="50">
                  <c:v>3.48439827442748</c:v>
                </c:pt>
                <c:pt idx="51">
                  <c:v>3.4958813203946364</c:v>
                </c:pt>
                <c:pt idx="52">
                  <c:v>3.5079296586070785</c:v>
                </c:pt>
                <c:pt idx="53">
                  <c:v>3.5189913369206711</c:v>
                </c:pt>
                <c:pt idx="54">
                  <c:v>3.528463779318689</c:v>
                </c:pt>
                <c:pt idx="55">
                  <c:v>3.5393478634098772</c:v>
                </c:pt>
                <c:pt idx="56">
                  <c:v>3.553449201606834</c:v>
                </c:pt>
                <c:pt idx="57">
                  <c:v>3.5681287334755649</c:v>
                </c:pt>
                <c:pt idx="58">
                  <c:v>3.5811317508461102</c:v>
                </c:pt>
                <c:pt idx="59">
                  <c:v>3.5939472312950556</c:v>
                </c:pt>
                <c:pt idx="60">
                  <c:v>3.6071886768369321</c:v>
                </c:pt>
                <c:pt idx="61">
                  <c:v>3.6181106734860546</c:v>
                </c:pt>
                <c:pt idx="62">
                  <c:v>3.6313272311844775</c:v>
                </c:pt>
                <c:pt idx="63">
                  <c:v>3.6449733543771945</c:v>
                </c:pt>
                <c:pt idx="64">
                  <c:v>3.6592666496477939</c:v>
                </c:pt>
                <c:pt idx="65">
                  <c:v>3.6747356873859203</c:v>
                </c:pt>
                <c:pt idx="66">
                  <c:v>3.6893781443447629</c:v>
                </c:pt>
                <c:pt idx="67">
                  <c:v>3.7047306064683823</c:v>
                </c:pt>
                <c:pt idx="68">
                  <c:v>3.7185662513656772</c:v>
                </c:pt>
                <c:pt idx="69">
                  <c:v>3.7340947269519349</c:v>
                </c:pt>
                <c:pt idx="70">
                  <c:v>3.7520457258005129</c:v>
                </c:pt>
                <c:pt idx="71">
                  <c:v>3.7696497503297617</c:v>
                </c:pt>
                <c:pt idx="72">
                  <c:v>3.7847316794667876</c:v>
                </c:pt>
                <c:pt idx="73">
                  <c:v>3.7980534503434145</c:v>
                </c:pt>
                <c:pt idx="74">
                  <c:v>3.8139075278539032</c:v>
                </c:pt>
                <c:pt idx="75">
                  <c:v>3.8374048004917594</c:v>
                </c:pt>
                <c:pt idx="76">
                  <c:v>3.8523475522179349</c:v>
                </c:pt>
                <c:pt idx="77">
                  <c:v>3.8737231274976698</c:v>
                </c:pt>
                <c:pt idx="78">
                  <c:v>3.8900582228351777</c:v>
                </c:pt>
                <c:pt idx="79">
                  <c:v>3.9095429971585336</c:v>
                </c:pt>
                <c:pt idx="80">
                  <c:v>3.9272881207802914</c:v>
                </c:pt>
                <c:pt idx="81">
                  <c:v>3.9489120952784789</c:v>
                </c:pt>
                <c:pt idx="82">
                  <c:v>3.9725797834301253</c:v>
                </c:pt>
                <c:pt idx="83">
                  <c:v>3.9992346395250395</c:v>
                </c:pt>
                <c:pt idx="84">
                  <c:v>4.0204259392563895</c:v>
                </c:pt>
                <c:pt idx="85">
                  <c:v>4.0446609855283375</c:v>
                </c:pt>
                <c:pt idx="86">
                  <c:v>4.0713656233080995</c:v>
                </c:pt>
                <c:pt idx="87">
                  <c:v>4.0950261632057314</c:v>
                </c:pt>
                <c:pt idx="88">
                  <c:v>4.1235429236389374</c:v>
                </c:pt>
                <c:pt idx="89">
                  <c:v>4.1610555193757044</c:v>
                </c:pt>
                <c:pt idx="90">
                  <c:v>4.1899856562009097</c:v>
                </c:pt>
                <c:pt idx="91">
                  <c:v>4.2261883735591397</c:v>
                </c:pt>
                <c:pt idx="92">
                  <c:v>4.2661858965788735</c:v>
                </c:pt>
                <c:pt idx="93">
                  <c:v>4.3193069573597933</c:v>
                </c:pt>
                <c:pt idx="94">
                  <c:v>4.3781679966368019</c:v>
                </c:pt>
                <c:pt idx="95">
                  <c:v>4.4410805409039691</c:v>
                </c:pt>
                <c:pt idx="96">
                  <c:v>4.5026510207532393</c:v>
                </c:pt>
                <c:pt idx="97">
                  <c:v>4.6012340193156342</c:v>
                </c:pt>
                <c:pt idx="98">
                  <c:v>4.7201763671165891</c:v>
                </c:pt>
                <c:pt idx="99">
                  <c:v>4.9409209308153912</c:v>
                </c:pt>
                <c:pt idx="100">
                  <c:v>6.8005584203158387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9-4555-809A-5FC4390F1239}"/>
            </c:ext>
          </c:extLst>
        </c:ser>
        <c:ser>
          <c:idx val="3"/>
          <c:order val="1"/>
          <c:tx>
            <c:strRef>
              <c:f>'Backtesting PBL'!$Y$7</c:f>
              <c:strCache>
                <c:ptCount val="1"/>
                <c:pt idx="0">
                  <c:v>FY25 theo.</c:v>
                </c:pt>
              </c:strCache>
            </c:strRef>
          </c:tx>
          <c:spPr>
            <a:ln w="28575" cap="rnd">
              <a:solidFill>
                <a:srgbClr val="99CCFF"/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PBL'!$Y$8:$Y$108</c:f>
              <c:numCache>
                <c:formatCode>General</c:formatCode>
                <c:ptCount val="101"/>
                <c:pt idx="0">
                  <c:v>2.4841044929479255</c:v>
                </c:pt>
                <c:pt idx="1">
                  <c:v>2.7152988164416718</c:v>
                </c:pt>
                <c:pt idx="2">
                  <c:v>2.7783600847206777</c:v>
                </c:pt>
                <c:pt idx="3">
                  <c:v>2.8349487134318481</c:v>
                </c:pt>
                <c:pt idx="4">
                  <c:v>2.8757512747827425</c:v>
                </c:pt>
                <c:pt idx="5">
                  <c:v>2.9096651194912595</c:v>
                </c:pt>
                <c:pt idx="6">
                  <c:v>2.9399474479972936</c:v>
                </c:pt>
                <c:pt idx="7">
                  <c:v>2.9695101165167523</c:v>
                </c:pt>
                <c:pt idx="8">
                  <c:v>2.9938066697918204</c:v>
                </c:pt>
                <c:pt idx="9">
                  <c:v>3.0176670454674879</c:v>
                </c:pt>
                <c:pt idx="10">
                  <c:v>3.037634651608597</c:v>
                </c:pt>
                <c:pt idx="11">
                  <c:v>3.0578302960234223</c:v>
                </c:pt>
                <c:pt idx="12">
                  <c:v>3.0771313057311773</c:v>
                </c:pt>
                <c:pt idx="13">
                  <c:v>3.0933581637816556</c:v>
                </c:pt>
                <c:pt idx="14">
                  <c:v>3.1130475560562774</c:v>
                </c:pt>
                <c:pt idx="15">
                  <c:v>3.1293876877613851</c:v>
                </c:pt>
                <c:pt idx="16">
                  <c:v>3.1438451085939372</c:v>
                </c:pt>
                <c:pt idx="17">
                  <c:v>3.1596266051602901</c:v>
                </c:pt>
                <c:pt idx="18">
                  <c:v>3.1761760426202503</c:v>
                </c:pt>
                <c:pt idx="19">
                  <c:v>3.1907977299508734</c:v>
                </c:pt>
                <c:pt idx="20">
                  <c:v>3.2057567610221458</c:v>
                </c:pt>
                <c:pt idx="21">
                  <c:v>3.2198194169678707</c:v>
                </c:pt>
                <c:pt idx="22">
                  <c:v>3.2336183831348269</c:v>
                </c:pt>
                <c:pt idx="23">
                  <c:v>3.2474670709828097</c:v>
                </c:pt>
                <c:pt idx="24">
                  <c:v>3.2627466871524429</c:v>
                </c:pt>
                <c:pt idx="25">
                  <c:v>3.278084985092923</c:v>
                </c:pt>
                <c:pt idx="26">
                  <c:v>3.2900170385882981</c:v>
                </c:pt>
                <c:pt idx="27">
                  <c:v>3.3037150899545975</c:v>
                </c:pt>
                <c:pt idx="28">
                  <c:v>3.3153714670543359</c:v>
                </c:pt>
                <c:pt idx="29">
                  <c:v>3.327770704084553</c:v>
                </c:pt>
                <c:pt idx="30">
                  <c:v>3.3383464983654521</c:v>
                </c:pt>
                <c:pt idx="31">
                  <c:v>3.3494605856296791</c:v>
                </c:pt>
                <c:pt idx="32">
                  <c:v>3.3603540536175158</c:v>
                </c:pt>
                <c:pt idx="33">
                  <c:v>3.3740026843656117</c:v>
                </c:pt>
                <c:pt idx="34">
                  <c:v>3.3871778617063137</c:v>
                </c:pt>
                <c:pt idx="35">
                  <c:v>3.4012277132523359</c:v>
                </c:pt>
                <c:pt idx="36">
                  <c:v>3.4150510061521029</c:v>
                </c:pt>
                <c:pt idx="37">
                  <c:v>3.4285006610526181</c:v>
                </c:pt>
                <c:pt idx="38">
                  <c:v>3.4384183554300876</c:v>
                </c:pt>
                <c:pt idx="39">
                  <c:v>3.4499731615081983</c:v>
                </c:pt>
                <c:pt idx="40">
                  <c:v>3.4606919968840835</c:v>
                </c:pt>
                <c:pt idx="41">
                  <c:v>3.4721700923113952</c:v>
                </c:pt>
                <c:pt idx="42">
                  <c:v>3.4852369190235089</c:v>
                </c:pt>
                <c:pt idx="43">
                  <c:v>3.4959272539820927</c:v>
                </c:pt>
                <c:pt idx="44">
                  <c:v>3.5074269964970823</c:v>
                </c:pt>
                <c:pt idx="45">
                  <c:v>3.5193642763957924</c:v>
                </c:pt>
                <c:pt idx="46">
                  <c:v>3.531622315831171</c:v>
                </c:pt>
                <c:pt idx="47">
                  <c:v>3.5424721451395924</c:v>
                </c:pt>
                <c:pt idx="48">
                  <c:v>3.5549418131421002</c:v>
                </c:pt>
                <c:pt idx="49">
                  <c:v>3.5675223641271709</c:v>
                </c:pt>
                <c:pt idx="50">
                  <c:v>3.5803779176811688</c:v>
                </c:pt>
                <c:pt idx="51">
                  <c:v>3.5933964806335097</c:v>
                </c:pt>
                <c:pt idx="52">
                  <c:v>3.6047577678719369</c:v>
                </c:pt>
                <c:pt idx="53">
                  <c:v>3.6182149452002741</c:v>
                </c:pt>
                <c:pt idx="54">
                  <c:v>3.6338867710778238</c:v>
                </c:pt>
                <c:pt idx="55">
                  <c:v>3.6494410685056442</c:v>
                </c:pt>
                <c:pt idx="56">
                  <c:v>3.6623728010192664</c:v>
                </c:pt>
                <c:pt idx="57">
                  <c:v>3.6749297774850564</c:v>
                </c:pt>
                <c:pt idx="58">
                  <c:v>3.6879023276095158</c:v>
                </c:pt>
                <c:pt idx="59">
                  <c:v>3.7013062262676231</c:v>
                </c:pt>
                <c:pt idx="60">
                  <c:v>3.7144995654811472</c:v>
                </c:pt>
                <c:pt idx="61">
                  <c:v>3.7286475758427193</c:v>
                </c:pt>
                <c:pt idx="62">
                  <c:v>3.7402898517098104</c:v>
                </c:pt>
                <c:pt idx="63">
                  <c:v>3.7502536109750118</c:v>
                </c:pt>
                <c:pt idx="64">
                  <c:v>3.763994549494297</c:v>
                </c:pt>
                <c:pt idx="65">
                  <c:v>3.7778953810719047</c:v>
                </c:pt>
                <c:pt idx="66">
                  <c:v>3.7912583699184639</c:v>
                </c:pt>
                <c:pt idx="67">
                  <c:v>3.8081522122898401</c:v>
                </c:pt>
                <c:pt idx="68">
                  <c:v>3.8240011805557312</c:v>
                </c:pt>
                <c:pt idx="69">
                  <c:v>3.8407604987279584</c:v>
                </c:pt>
                <c:pt idx="70">
                  <c:v>3.8566822547382333</c:v>
                </c:pt>
                <c:pt idx="71">
                  <c:v>3.8744261827336013</c:v>
                </c:pt>
                <c:pt idx="72">
                  <c:v>3.8924158873636547</c:v>
                </c:pt>
                <c:pt idx="73">
                  <c:v>3.9097340750378056</c:v>
                </c:pt>
                <c:pt idx="74">
                  <c:v>3.926434096491294</c:v>
                </c:pt>
                <c:pt idx="75">
                  <c:v>3.9403585179578404</c:v>
                </c:pt>
                <c:pt idx="76">
                  <c:v>3.9589298211169894</c:v>
                </c:pt>
                <c:pt idx="77">
                  <c:v>3.9818784962215736</c:v>
                </c:pt>
                <c:pt idx="78">
                  <c:v>4.0035783644322862</c:v>
                </c:pt>
                <c:pt idx="79">
                  <c:v>4.0203764757797691</c:v>
                </c:pt>
                <c:pt idx="80">
                  <c:v>4.0398272819549783</c:v>
                </c:pt>
                <c:pt idx="81">
                  <c:v>4.0635162727908067</c:v>
                </c:pt>
                <c:pt idx="82">
                  <c:v>4.0854039479334752</c:v>
                </c:pt>
                <c:pt idx="83">
                  <c:v>4.1067342387532939</c:v>
                </c:pt>
                <c:pt idx="84">
                  <c:v>4.1279265721295486</c:v>
                </c:pt>
                <c:pt idx="85">
                  <c:v>4.1486849984059262</c:v>
                </c:pt>
                <c:pt idx="86">
                  <c:v>4.1771313095430278</c:v>
                </c:pt>
                <c:pt idx="87">
                  <c:v>4.2104790807748564</c:v>
                </c:pt>
                <c:pt idx="88">
                  <c:v>4.2436825545947796</c:v>
                </c:pt>
                <c:pt idx="89">
                  <c:v>4.272697653284399</c:v>
                </c:pt>
                <c:pt idx="90">
                  <c:v>4.3097527947832761</c:v>
                </c:pt>
                <c:pt idx="91">
                  <c:v>4.3417551263238208</c:v>
                </c:pt>
                <c:pt idx="92">
                  <c:v>4.3840803301899607</c:v>
                </c:pt>
                <c:pt idx="93">
                  <c:v>4.4357264833027283</c:v>
                </c:pt>
                <c:pt idx="94">
                  <c:v>4.4875558805554512</c:v>
                </c:pt>
                <c:pt idx="95">
                  <c:v>4.540015297219103</c:v>
                </c:pt>
                <c:pt idx="96">
                  <c:v>4.6070995773811623</c:v>
                </c:pt>
                <c:pt idx="97">
                  <c:v>4.6965296640994136</c:v>
                </c:pt>
                <c:pt idx="98">
                  <c:v>4.8318008983327925</c:v>
                </c:pt>
                <c:pt idx="99">
                  <c:v>5.0046928928692296</c:v>
                </c:pt>
                <c:pt idx="100">
                  <c:v>6.3001098361856487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79-4555-809A-5FC4390F1239}"/>
            </c:ext>
          </c:extLst>
        </c:ser>
        <c:ser>
          <c:idx val="2"/>
          <c:order val="2"/>
          <c:tx>
            <c:strRef>
              <c:f>'Backtesting PBL'!$X$7</c:f>
              <c:strCache>
                <c:ptCount val="1"/>
                <c:pt idx="0">
                  <c:v>FY24 theo.</c:v>
                </c:pt>
              </c:strCache>
            </c:strRef>
          </c:tx>
          <c:spPr>
            <a:ln w="28575" cap="rnd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PBL'!$X$8:$X$108</c:f>
              <c:numCache>
                <c:formatCode>General</c:formatCode>
                <c:ptCount val="101"/>
                <c:pt idx="0">
                  <c:v>2.1283821308769344</c:v>
                </c:pt>
                <c:pt idx="1">
                  <c:v>2.5144420325676951</c:v>
                </c:pt>
                <c:pt idx="2">
                  <c:v>2.5878400770582624</c:v>
                </c:pt>
                <c:pt idx="3">
                  <c:v>2.6426013852028976</c:v>
                </c:pt>
                <c:pt idx="4">
                  <c:v>2.6843032785708951</c:v>
                </c:pt>
                <c:pt idx="5">
                  <c:v>2.7196343593798886</c:v>
                </c:pt>
                <c:pt idx="6">
                  <c:v>2.7461420077223733</c:v>
                </c:pt>
                <c:pt idx="7">
                  <c:v>2.7771732575778119</c:v>
                </c:pt>
                <c:pt idx="8">
                  <c:v>2.8051420949435726</c:v>
                </c:pt>
                <c:pt idx="9">
                  <c:v>2.82364135466573</c:v>
                </c:pt>
                <c:pt idx="10">
                  <c:v>2.8447869936396715</c:v>
                </c:pt>
                <c:pt idx="11">
                  <c:v>2.8661367093602093</c:v>
                </c:pt>
                <c:pt idx="12">
                  <c:v>2.8874610309207278</c:v>
                </c:pt>
                <c:pt idx="13">
                  <c:v>2.9088783270200897</c:v>
                </c:pt>
                <c:pt idx="14">
                  <c:v>2.9274387575284453</c:v>
                </c:pt>
                <c:pt idx="15">
                  <c:v>2.9431835553636394</c:v>
                </c:pt>
                <c:pt idx="16">
                  <c:v>2.9562689437346825</c:v>
                </c:pt>
                <c:pt idx="17">
                  <c:v>2.9719288080996136</c:v>
                </c:pt>
                <c:pt idx="18">
                  <c:v>2.990668881023868</c:v>
                </c:pt>
                <c:pt idx="19">
                  <c:v>3.0039906452852176</c:v>
                </c:pt>
                <c:pt idx="20">
                  <c:v>3.018471376117621</c:v>
                </c:pt>
                <c:pt idx="21">
                  <c:v>3.0323983802914416</c:v>
                </c:pt>
                <c:pt idx="22">
                  <c:v>3.0450246150856026</c:v>
                </c:pt>
                <c:pt idx="23">
                  <c:v>3.0580719881297349</c:v>
                </c:pt>
                <c:pt idx="24">
                  <c:v>3.0724863385306027</c:v>
                </c:pt>
                <c:pt idx="25">
                  <c:v>3.087653522188595</c:v>
                </c:pt>
                <c:pt idx="26">
                  <c:v>3.1015921523847592</c:v>
                </c:pt>
                <c:pt idx="27">
                  <c:v>3.1135615383822657</c:v>
                </c:pt>
                <c:pt idx="28">
                  <c:v>3.1257483949219065</c:v>
                </c:pt>
                <c:pt idx="29">
                  <c:v>3.138726399490618</c:v>
                </c:pt>
                <c:pt idx="30">
                  <c:v>3.1526745938539786</c:v>
                </c:pt>
                <c:pt idx="31">
                  <c:v>3.1647010253655017</c:v>
                </c:pt>
                <c:pt idx="32">
                  <c:v>3.1794570669882778</c:v>
                </c:pt>
                <c:pt idx="33">
                  <c:v>3.1912066750509354</c:v>
                </c:pt>
                <c:pt idx="34">
                  <c:v>3.201442638589679</c:v>
                </c:pt>
                <c:pt idx="35">
                  <c:v>3.2145043725398414</c:v>
                </c:pt>
                <c:pt idx="36">
                  <c:v>3.2271517287152434</c:v>
                </c:pt>
                <c:pt idx="37">
                  <c:v>3.2388090766421684</c:v>
                </c:pt>
                <c:pt idx="38">
                  <c:v>3.2481450917915193</c:v>
                </c:pt>
                <c:pt idx="39">
                  <c:v>3.2621848960338209</c:v>
                </c:pt>
                <c:pt idx="40">
                  <c:v>3.273057141036992</c:v>
                </c:pt>
                <c:pt idx="41">
                  <c:v>3.2853134851685373</c:v>
                </c:pt>
                <c:pt idx="42">
                  <c:v>3.2981544082352308</c:v>
                </c:pt>
                <c:pt idx="43">
                  <c:v>3.3081907213178789</c:v>
                </c:pt>
                <c:pt idx="44">
                  <c:v>3.3194212487500376</c:v>
                </c:pt>
                <c:pt idx="45">
                  <c:v>3.3337509330258843</c:v>
                </c:pt>
                <c:pt idx="46">
                  <c:v>3.3455092106512523</c:v>
                </c:pt>
                <c:pt idx="47">
                  <c:v>3.3569844318503632</c:v>
                </c:pt>
                <c:pt idx="48">
                  <c:v>3.3686161948794706</c:v>
                </c:pt>
                <c:pt idx="49">
                  <c:v>3.3805356382009162</c:v>
                </c:pt>
                <c:pt idx="50">
                  <c:v>3.393172168000592</c:v>
                </c:pt>
                <c:pt idx="51">
                  <c:v>3.4047158045970001</c:v>
                </c:pt>
                <c:pt idx="52">
                  <c:v>3.4178928051651494</c:v>
                </c:pt>
                <c:pt idx="53">
                  <c:v>3.4292939193866259</c:v>
                </c:pt>
                <c:pt idx="54">
                  <c:v>3.4420981514294344</c:v>
                </c:pt>
                <c:pt idx="55">
                  <c:v>3.4551138138199944</c:v>
                </c:pt>
                <c:pt idx="56">
                  <c:v>3.4676187300624917</c:v>
                </c:pt>
                <c:pt idx="57">
                  <c:v>3.481085469849035</c:v>
                </c:pt>
                <c:pt idx="58">
                  <c:v>3.4920742446960591</c:v>
                </c:pt>
                <c:pt idx="59">
                  <c:v>3.5047366290484314</c:v>
                </c:pt>
                <c:pt idx="60">
                  <c:v>3.5182021967961741</c:v>
                </c:pt>
                <c:pt idx="61">
                  <c:v>3.5317071710784336</c:v>
                </c:pt>
                <c:pt idx="62">
                  <c:v>3.5425182899261736</c:v>
                </c:pt>
                <c:pt idx="63">
                  <c:v>3.5552600586810215</c:v>
                </c:pt>
                <c:pt idx="64">
                  <c:v>3.5712652468244466</c:v>
                </c:pt>
                <c:pt idx="65">
                  <c:v>3.5868220147687433</c:v>
                </c:pt>
                <c:pt idx="66">
                  <c:v>3.6003144107731107</c:v>
                </c:pt>
                <c:pt idx="67">
                  <c:v>3.6118747962000106</c:v>
                </c:pt>
                <c:pt idx="68">
                  <c:v>3.6271372280448495</c:v>
                </c:pt>
                <c:pt idx="69">
                  <c:v>3.6437604662647014</c:v>
                </c:pt>
                <c:pt idx="70">
                  <c:v>3.658169577601587</c:v>
                </c:pt>
                <c:pt idx="71">
                  <c:v>3.6737859291925221</c:v>
                </c:pt>
                <c:pt idx="72">
                  <c:v>3.6865263124974943</c:v>
                </c:pt>
                <c:pt idx="73">
                  <c:v>3.7044709532118127</c:v>
                </c:pt>
                <c:pt idx="74">
                  <c:v>3.7208677606251266</c:v>
                </c:pt>
                <c:pt idx="75">
                  <c:v>3.7384913878280717</c:v>
                </c:pt>
                <c:pt idx="76">
                  <c:v>3.7579481338729299</c:v>
                </c:pt>
                <c:pt idx="77">
                  <c:v>3.779116123287539</c:v>
                </c:pt>
                <c:pt idx="78">
                  <c:v>3.7949038770238306</c:v>
                </c:pt>
                <c:pt idx="79">
                  <c:v>3.8117968762341126</c:v>
                </c:pt>
                <c:pt idx="80">
                  <c:v>3.8332824003732253</c:v>
                </c:pt>
                <c:pt idx="81">
                  <c:v>3.8510528967485449</c:v>
                </c:pt>
                <c:pt idx="82">
                  <c:v>3.8726805956356691</c:v>
                </c:pt>
                <c:pt idx="83">
                  <c:v>3.8950536353251715</c:v>
                </c:pt>
                <c:pt idx="84">
                  <c:v>3.9202198788584952</c:v>
                </c:pt>
                <c:pt idx="85">
                  <c:v>3.9416916161414108</c:v>
                </c:pt>
                <c:pt idx="86">
                  <c:v>3.9730068024712537</c:v>
                </c:pt>
                <c:pt idx="87">
                  <c:v>4.0076712479137049</c:v>
                </c:pt>
                <c:pt idx="88">
                  <c:v>4.0414300360188138</c:v>
                </c:pt>
                <c:pt idx="89">
                  <c:v>4.069331104956631</c:v>
                </c:pt>
                <c:pt idx="90">
                  <c:v>4.1057601944604984</c:v>
                </c:pt>
                <c:pt idx="91">
                  <c:v>4.1453056167545999</c:v>
                </c:pt>
                <c:pt idx="92">
                  <c:v>4.1831056688148864</c:v>
                </c:pt>
                <c:pt idx="93">
                  <c:v>4.2193910445070353</c:v>
                </c:pt>
                <c:pt idx="94">
                  <c:v>4.2770687265357008</c:v>
                </c:pt>
                <c:pt idx="95">
                  <c:v>4.3279311212306411</c:v>
                </c:pt>
                <c:pt idx="96">
                  <c:v>4.3985919017382713</c:v>
                </c:pt>
                <c:pt idx="97">
                  <c:v>4.4815586039216404</c:v>
                </c:pt>
                <c:pt idx="98">
                  <c:v>4.5858307425625275</c:v>
                </c:pt>
                <c:pt idx="99">
                  <c:v>4.7587621792180386</c:v>
                </c:pt>
                <c:pt idx="100">
                  <c:v>6.0990249226165218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79-4555-809A-5FC4390F1239}"/>
            </c:ext>
          </c:extLst>
        </c:ser>
        <c:ser>
          <c:idx val="1"/>
          <c:order val="3"/>
          <c:tx>
            <c:strRef>
              <c:f>'Backtesting PBL'!$W$7</c:f>
              <c:strCache>
                <c:ptCount val="1"/>
                <c:pt idx="0">
                  <c:v>FY23 theo.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PBL'!$W$8:$W$108</c:f>
              <c:numCache>
                <c:formatCode>General</c:formatCode>
                <c:ptCount val="101"/>
                <c:pt idx="0">
                  <c:v>1.9730692212375116</c:v>
                </c:pt>
                <c:pt idx="1">
                  <c:v>2.3626883034718671</c:v>
                </c:pt>
                <c:pt idx="2">
                  <c:v>2.4251820400415198</c:v>
                </c:pt>
                <c:pt idx="3">
                  <c:v>2.4601048743621257</c:v>
                </c:pt>
                <c:pt idx="4">
                  <c:v>2.494629755634838</c:v>
                </c:pt>
                <c:pt idx="5">
                  <c:v>2.5176745801202833</c:v>
                </c:pt>
                <c:pt idx="6">
                  <c:v>2.5420278077918015</c:v>
                </c:pt>
                <c:pt idx="7">
                  <c:v>2.5652021959969389</c:v>
                </c:pt>
                <c:pt idx="8">
                  <c:v>2.5882587148958822</c:v>
                </c:pt>
                <c:pt idx="9">
                  <c:v>2.6063869576491165</c:v>
                </c:pt>
                <c:pt idx="10">
                  <c:v>2.6261043791853167</c:v>
                </c:pt>
                <c:pt idx="11">
                  <c:v>2.6462870806970145</c:v>
                </c:pt>
                <c:pt idx="12">
                  <c:v>2.665939164211693</c:v>
                </c:pt>
                <c:pt idx="13">
                  <c:v>2.6830641395423691</c:v>
                </c:pt>
                <c:pt idx="14">
                  <c:v>2.6992634983503443</c:v>
                </c:pt>
                <c:pt idx="15">
                  <c:v>2.7138351286116467</c:v>
                </c:pt>
                <c:pt idx="16">
                  <c:v>2.7268387171676038</c:v>
                </c:pt>
                <c:pt idx="17">
                  <c:v>2.74261739893476</c:v>
                </c:pt>
                <c:pt idx="18">
                  <c:v>2.7555201144864458</c:v>
                </c:pt>
                <c:pt idx="19">
                  <c:v>2.7685579940060476</c:v>
                </c:pt>
                <c:pt idx="20">
                  <c:v>2.7821984601964229</c:v>
                </c:pt>
                <c:pt idx="21">
                  <c:v>2.7943229328495058</c:v>
                </c:pt>
                <c:pt idx="22">
                  <c:v>2.8077484034755007</c:v>
                </c:pt>
                <c:pt idx="23">
                  <c:v>2.8195337174853425</c:v>
                </c:pt>
                <c:pt idx="24">
                  <c:v>2.830523021015269</c:v>
                </c:pt>
                <c:pt idx="25">
                  <c:v>2.8448489682389617</c:v>
                </c:pt>
                <c:pt idx="26">
                  <c:v>2.8593011101071046</c:v>
                </c:pt>
                <c:pt idx="27">
                  <c:v>2.8703082361124999</c:v>
                </c:pt>
                <c:pt idx="28">
                  <c:v>2.8815259102060584</c:v>
                </c:pt>
                <c:pt idx="29">
                  <c:v>2.8932455391860388</c:v>
                </c:pt>
                <c:pt idx="30">
                  <c:v>2.9044355371426307</c:v>
                </c:pt>
                <c:pt idx="31">
                  <c:v>2.9170085263887859</c:v>
                </c:pt>
                <c:pt idx="32">
                  <c:v>2.9298833676671006</c:v>
                </c:pt>
                <c:pt idx="33">
                  <c:v>2.9427230997732376</c:v>
                </c:pt>
                <c:pt idx="34">
                  <c:v>2.9558118068814991</c:v>
                </c:pt>
                <c:pt idx="35">
                  <c:v>2.9655771253094949</c:v>
                </c:pt>
                <c:pt idx="36">
                  <c:v>2.9754857410905999</c:v>
                </c:pt>
                <c:pt idx="37">
                  <c:v>2.986711349999505</c:v>
                </c:pt>
                <c:pt idx="38">
                  <c:v>2.9990715509555708</c:v>
                </c:pt>
                <c:pt idx="39">
                  <c:v>3.0103567015186847</c:v>
                </c:pt>
                <c:pt idx="40">
                  <c:v>3.0215270604341695</c:v>
                </c:pt>
                <c:pt idx="41">
                  <c:v>3.0330279363504711</c:v>
                </c:pt>
                <c:pt idx="42">
                  <c:v>3.0430613525081465</c:v>
                </c:pt>
                <c:pt idx="43">
                  <c:v>3.0535239383899975</c:v>
                </c:pt>
                <c:pt idx="44">
                  <c:v>3.0649828689735035</c:v>
                </c:pt>
                <c:pt idx="45">
                  <c:v>3.0763968047378301</c:v>
                </c:pt>
                <c:pt idx="46">
                  <c:v>3.0870428300806427</c:v>
                </c:pt>
                <c:pt idx="47">
                  <c:v>3.0970364274227675</c:v>
                </c:pt>
                <c:pt idx="48">
                  <c:v>3.1098453102930206</c:v>
                </c:pt>
                <c:pt idx="49">
                  <c:v>3.1211559311306418</c:v>
                </c:pt>
                <c:pt idx="50">
                  <c:v>3.1309048613443902</c:v>
                </c:pt>
                <c:pt idx="51">
                  <c:v>3.1401931607734612</c:v>
                </c:pt>
                <c:pt idx="52">
                  <c:v>3.1507393121023823</c:v>
                </c:pt>
                <c:pt idx="53">
                  <c:v>3.1632906642979042</c:v>
                </c:pt>
                <c:pt idx="54">
                  <c:v>3.1743940810043547</c:v>
                </c:pt>
                <c:pt idx="55">
                  <c:v>3.1830049059349643</c:v>
                </c:pt>
                <c:pt idx="56">
                  <c:v>3.1944071896793607</c:v>
                </c:pt>
                <c:pt idx="57">
                  <c:v>3.2057345783938884</c:v>
                </c:pt>
                <c:pt idx="58">
                  <c:v>3.2188093040693411</c:v>
                </c:pt>
                <c:pt idx="59">
                  <c:v>3.229734345562834</c:v>
                </c:pt>
                <c:pt idx="60">
                  <c:v>3.2413360708212497</c:v>
                </c:pt>
                <c:pt idx="61">
                  <c:v>3.2544883142002545</c:v>
                </c:pt>
                <c:pt idx="62">
                  <c:v>3.2665856629569214</c:v>
                </c:pt>
                <c:pt idx="63">
                  <c:v>3.280423409732502</c:v>
                </c:pt>
                <c:pt idx="64">
                  <c:v>3.2919768485803309</c:v>
                </c:pt>
                <c:pt idx="65">
                  <c:v>3.3050325958061646</c:v>
                </c:pt>
                <c:pt idx="66">
                  <c:v>3.3170119318842319</c:v>
                </c:pt>
                <c:pt idx="67">
                  <c:v>3.3284543966838025</c:v>
                </c:pt>
                <c:pt idx="68">
                  <c:v>3.3417264995794325</c:v>
                </c:pt>
                <c:pt idx="69">
                  <c:v>3.3574853983302719</c:v>
                </c:pt>
                <c:pt idx="70">
                  <c:v>3.373458461460844</c:v>
                </c:pt>
                <c:pt idx="71">
                  <c:v>3.3871266024558793</c:v>
                </c:pt>
                <c:pt idx="72">
                  <c:v>3.4005305277646571</c:v>
                </c:pt>
                <c:pt idx="73">
                  <c:v>3.4124417210669029</c:v>
                </c:pt>
                <c:pt idx="74">
                  <c:v>3.4255276427017267</c:v>
                </c:pt>
                <c:pt idx="75">
                  <c:v>3.4440917441693282</c:v>
                </c:pt>
                <c:pt idx="76">
                  <c:v>3.4647906843686376</c:v>
                </c:pt>
                <c:pt idx="77">
                  <c:v>3.4819657608378547</c:v>
                </c:pt>
                <c:pt idx="78">
                  <c:v>3.4979234690426875</c:v>
                </c:pt>
                <c:pt idx="79">
                  <c:v>3.5167631479988066</c:v>
                </c:pt>
                <c:pt idx="80">
                  <c:v>3.535678659716444</c:v>
                </c:pt>
                <c:pt idx="81">
                  <c:v>3.5550217456117172</c:v>
                </c:pt>
                <c:pt idx="82">
                  <c:v>3.5715393688001065</c:v>
                </c:pt>
                <c:pt idx="83">
                  <c:v>3.5938350325630806</c:v>
                </c:pt>
                <c:pt idx="84">
                  <c:v>3.6133960420297639</c:v>
                </c:pt>
                <c:pt idx="85">
                  <c:v>3.6381776698523853</c:v>
                </c:pt>
                <c:pt idx="86">
                  <c:v>3.6582322739126827</c:v>
                </c:pt>
                <c:pt idx="87">
                  <c:v>3.6869676060644045</c:v>
                </c:pt>
                <c:pt idx="88">
                  <c:v>3.7158242173342972</c:v>
                </c:pt>
                <c:pt idx="89">
                  <c:v>3.7474308955146052</c:v>
                </c:pt>
                <c:pt idx="90">
                  <c:v>3.7759718488560376</c:v>
                </c:pt>
                <c:pt idx="91">
                  <c:v>3.8082911175783045</c:v>
                </c:pt>
                <c:pt idx="92">
                  <c:v>3.8366794225732765</c:v>
                </c:pt>
                <c:pt idx="93">
                  <c:v>3.8764123425232397</c:v>
                </c:pt>
                <c:pt idx="94">
                  <c:v>3.9164039746827393</c:v>
                </c:pt>
                <c:pt idx="95">
                  <c:v>3.9745915521120496</c:v>
                </c:pt>
                <c:pt idx="96">
                  <c:v>4.0413880623699452</c:v>
                </c:pt>
                <c:pt idx="97">
                  <c:v>4.1256664612897014</c:v>
                </c:pt>
                <c:pt idx="98">
                  <c:v>4.2459383527360588</c:v>
                </c:pt>
                <c:pt idx="99">
                  <c:v>4.4058892007265467</c:v>
                </c:pt>
                <c:pt idx="100">
                  <c:v>5.349885689585725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79-4555-809A-5FC4390F1239}"/>
            </c:ext>
          </c:extLst>
        </c:ser>
        <c:ser>
          <c:idx val="0"/>
          <c:order val="4"/>
          <c:tx>
            <c:strRef>
              <c:f>'Backtesting PBL'!$V$7</c:f>
              <c:strCache>
                <c:ptCount val="1"/>
                <c:pt idx="0">
                  <c:v>FY22 theo.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4-E879-4555-809A-5FC4390F1239}"/>
              </c:ext>
            </c:extLst>
          </c:dPt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PBL'!$V$8:$V$108</c:f>
              <c:numCache>
                <c:formatCode>General</c:formatCode>
                <c:ptCount val="101"/>
                <c:pt idx="0">
                  <c:v>1.9813453707276425</c:v>
                </c:pt>
                <c:pt idx="1">
                  <c:v>2.2480232761807439</c:v>
                </c:pt>
                <c:pt idx="2">
                  <c:v>2.3141036153362662</c:v>
                </c:pt>
                <c:pt idx="3">
                  <c:v>2.3590382334088407</c:v>
                </c:pt>
                <c:pt idx="4">
                  <c:v>2.3865987580583377</c:v>
                </c:pt>
                <c:pt idx="5">
                  <c:v>2.4189743669232717</c:v>
                </c:pt>
                <c:pt idx="6">
                  <c:v>2.4426288743716924</c:v>
                </c:pt>
                <c:pt idx="7">
                  <c:v>2.4675244464477073</c:v>
                </c:pt>
                <c:pt idx="8">
                  <c:v>2.4883452929529106</c:v>
                </c:pt>
                <c:pt idx="9">
                  <c:v>2.5077558466318739</c:v>
                </c:pt>
                <c:pt idx="10">
                  <c:v>2.5256709537706437</c:v>
                </c:pt>
                <c:pt idx="11">
                  <c:v>2.5447693822727953</c:v>
                </c:pt>
                <c:pt idx="12">
                  <c:v>2.5617133903192371</c:v>
                </c:pt>
                <c:pt idx="13">
                  <c:v>2.5718491750642145</c:v>
                </c:pt>
                <c:pt idx="14">
                  <c:v>2.5883242968689557</c:v>
                </c:pt>
                <c:pt idx="15">
                  <c:v>2.6034913611970762</c:v>
                </c:pt>
                <c:pt idx="16">
                  <c:v>2.6182121456312895</c:v>
                </c:pt>
                <c:pt idx="17">
                  <c:v>2.6356425458048736</c:v>
                </c:pt>
                <c:pt idx="18">
                  <c:v>2.6477432615669581</c:v>
                </c:pt>
                <c:pt idx="19">
                  <c:v>2.661427805908799</c:v>
                </c:pt>
                <c:pt idx="20">
                  <c:v>2.6741326800616489</c:v>
                </c:pt>
                <c:pt idx="21">
                  <c:v>2.6852624478362039</c:v>
                </c:pt>
                <c:pt idx="22">
                  <c:v>2.6968635351027479</c:v>
                </c:pt>
                <c:pt idx="23">
                  <c:v>2.7083802446620129</c:v>
                </c:pt>
                <c:pt idx="24">
                  <c:v>2.7251580107644124</c:v>
                </c:pt>
                <c:pt idx="25">
                  <c:v>2.7343806657780161</c:v>
                </c:pt>
                <c:pt idx="26">
                  <c:v>2.7483181446776297</c:v>
                </c:pt>
                <c:pt idx="27">
                  <c:v>2.7616835646533193</c:v>
                </c:pt>
                <c:pt idx="28">
                  <c:v>2.7748846950482804</c:v>
                </c:pt>
                <c:pt idx="29">
                  <c:v>2.7833695013663995</c:v>
                </c:pt>
                <c:pt idx="30">
                  <c:v>2.7990968925126976</c:v>
                </c:pt>
                <c:pt idx="31">
                  <c:v>2.8090844395952232</c:v>
                </c:pt>
                <c:pt idx="32">
                  <c:v>2.8206775423619064</c:v>
                </c:pt>
                <c:pt idx="33">
                  <c:v>2.8290110694123367</c:v>
                </c:pt>
                <c:pt idx="34">
                  <c:v>2.8436050679054041</c:v>
                </c:pt>
                <c:pt idx="35">
                  <c:v>2.8511498510421389</c:v>
                </c:pt>
                <c:pt idx="36">
                  <c:v>2.8655277770933609</c:v>
                </c:pt>
                <c:pt idx="37">
                  <c:v>2.8740748531082918</c:v>
                </c:pt>
                <c:pt idx="38">
                  <c:v>2.8851462023470282</c:v>
                </c:pt>
                <c:pt idx="39">
                  <c:v>2.8936539205376004</c:v>
                </c:pt>
                <c:pt idx="40">
                  <c:v>2.9075007122182015</c:v>
                </c:pt>
                <c:pt idx="41">
                  <c:v>2.917508773508187</c:v>
                </c:pt>
                <c:pt idx="42">
                  <c:v>2.9272847943942049</c:v>
                </c:pt>
                <c:pt idx="43">
                  <c:v>2.9384306127840714</c:v>
                </c:pt>
                <c:pt idx="44">
                  <c:v>2.9504515606491535</c:v>
                </c:pt>
                <c:pt idx="45">
                  <c:v>2.9606141796364125</c:v>
                </c:pt>
                <c:pt idx="46">
                  <c:v>2.972743509907402</c:v>
                </c:pt>
                <c:pt idx="47">
                  <c:v>2.983852462686805</c:v>
                </c:pt>
                <c:pt idx="48">
                  <c:v>2.9936033711862766</c:v>
                </c:pt>
                <c:pt idx="49">
                  <c:v>3.0048308720006074</c:v>
                </c:pt>
                <c:pt idx="50">
                  <c:v>3.0156532251138426</c:v>
                </c:pt>
                <c:pt idx="51">
                  <c:v>3.0288412243394238</c:v>
                </c:pt>
                <c:pt idx="52">
                  <c:v>3.0373579249944305</c:v>
                </c:pt>
                <c:pt idx="53">
                  <c:v>3.050669787992923</c:v>
                </c:pt>
                <c:pt idx="54">
                  <c:v>3.0600745856538651</c:v>
                </c:pt>
                <c:pt idx="55">
                  <c:v>3.0735351907287467</c:v>
                </c:pt>
                <c:pt idx="56">
                  <c:v>3.084160760797567</c:v>
                </c:pt>
                <c:pt idx="57">
                  <c:v>3.0966794455601625</c:v>
                </c:pt>
                <c:pt idx="58">
                  <c:v>3.1049603077599714</c:v>
                </c:pt>
                <c:pt idx="59">
                  <c:v>3.1212563546160053</c:v>
                </c:pt>
                <c:pt idx="60">
                  <c:v>3.1362725887960878</c:v>
                </c:pt>
                <c:pt idx="61">
                  <c:v>3.1474155546970657</c:v>
                </c:pt>
                <c:pt idx="62">
                  <c:v>3.1622395150296763</c:v>
                </c:pt>
                <c:pt idx="63">
                  <c:v>3.174620990727405</c:v>
                </c:pt>
                <c:pt idx="64">
                  <c:v>3.188171366967834</c:v>
                </c:pt>
                <c:pt idx="65">
                  <c:v>3.2007666450673296</c:v>
                </c:pt>
                <c:pt idx="66">
                  <c:v>3.2139677754622897</c:v>
                </c:pt>
                <c:pt idx="67">
                  <c:v>3.2269326819157285</c:v>
                </c:pt>
                <c:pt idx="68">
                  <c:v>3.2406141927122882</c:v>
                </c:pt>
                <c:pt idx="69">
                  <c:v>3.2529855035017228</c:v>
                </c:pt>
                <c:pt idx="70">
                  <c:v>3.2630800815905374</c:v>
                </c:pt>
                <c:pt idx="71">
                  <c:v>3.2783678596691139</c:v>
                </c:pt>
                <c:pt idx="72">
                  <c:v>3.2902526492360029</c:v>
                </c:pt>
                <c:pt idx="73">
                  <c:v>3.3080610787551206</c:v>
                </c:pt>
                <c:pt idx="74">
                  <c:v>3.3247797369220815</c:v>
                </c:pt>
                <c:pt idx="75">
                  <c:v>3.3402460035281338</c:v>
                </c:pt>
                <c:pt idx="76">
                  <c:v>3.3576717799191198</c:v>
                </c:pt>
                <c:pt idx="77">
                  <c:v>3.3765491700093726</c:v>
                </c:pt>
                <c:pt idx="78">
                  <c:v>3.3979899148457755</c:v>
                </c:pt>
                <c:pt idx="79">
                  <c:v>3.4165992011868975</c:v>
                </c:pt>
                <c:pt idx="80">
                  <c:v>3.4346109575728194</c:v>
                </c:pt>
                <c:pt idx="81">
                  <c:v>3.4522309698336167</c:v>
                </c:pt>
                <c:pt idx="82">
                  <c:v>3.4713394114097422</c:v>
                </c:pt>
                <c:pt idx="83">
                  <c:v>3.4912000324001906</c:v>
                </c:pt>
                <c:pt idx="84">
                  <c:v>3.514568236162289</c:v>
                </c:pt>
                <c:pt idx="85">
                  <c:v>3.5366143134650292</c:v>
                </c:pt>
                <c:pt idx="86">
                  <c:v>3.5593168166100693</c:v>
                </c:pt>
                <c:pt idx="87">
                  <c:v>3.5868268308460318</c:v>
                </c:pt>
                <c:pt idx="88">
                  <c:v>3.6221275934359838</c:v>
                </c:pt>
                <c:pt idx="89">
                  <c:v>3.6560501782416259</c:v>
                </c:pt>
                <c:pt idx="90">
                  <c:v>3.6901373787995704</c:v>
                </c:pt>
                <c:pt idx="91">
                  <c:v>3.7251873458202898</c:v>
                </c:pt>
                <c:pt idx="92">
                  <c:v>3.7607249121378579</c:v>
                </c:pt>
                <c:pt idx="93">
                  <c:v>3.7962020020165115</c:v>
                </c:pt>
                <c:pt idx="94">
                  <c:v>3.8502379485847578</c:v>
                </c:pt>
                <c:pt idx="95">
                  <c:v>3.9074288851128771</c:v>
                </c:pt>
                <c:pt idx="96">
                  <c:v>3.9831697275132387</c:v>
                </c:pt>
                <c:pt idx="97">
                  <c:v>4.0800337867565366</c:v>
                </c:pt>
                <c:pt idx="98">
                  <c:v>4.1899082206427813</c:v>
                </c:pt>
                <c:pt idx="99">
                  <c:v>4.3830365719355893</c:v>
                </c:pt>
                <c:pt idx="100">
                  <c:v>5.3648981107892606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79-4555-809A-5FC4390F1239}"/>
            </c:ext>
          </c:extLst>
        </c:ser>
        <c:ser>
          <c:idx val="8"/>
          <c:order val="5"/>
          <c:tx>
            <c:strRef>
              <c:f>'Backtesting PBL'!$U$7</c:f>
              <c:strCache>
                <c:ptCount val="1"/>
                <c:pt idx="0">
                  <c:v>FY21 theo.</c:v>
                </c:pt>
              </c:strCache>
            </c:strRef>
          </c:tx>
          <c:spPr>
            <a:ln w="28575"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PBL'!$U$8:$U$108</c:f>
              <c:numCache>
                <c:formatCode>General</c:formatCode>
                <c:ptCount val="101"/>
                <c:pt idx="0">
                  <c:v>1.9416729916472746</c:v>
                </c:pt>
                <c:pt idx="1">
                  <c:v>2.3060131231805605</c:v>
                </c:pt>
                <c:pt idx="2">
                  <c:v>2.3659037228137114</c:v>
                </c:pt>
                <c:pt idx="3">
                  <c:v>2.4120755192014425</c:v>
                </c:pt>
                <c:pt idx="4">
                  <c:v>2.4466925885580539</c:v>
                </c:pt>
                <c:pt idx="5">
                  <c:v>2.4767433665788237</c:v>
                </c:pt>
                <c:pt idx="6">
                  <c:v>2.4994077216273687</c:v>
                </c:pt>
                <c:pt idx="7">
                  <c:v>2.5200483509466909</c:v>
                </c:pt>
                <c:pt idx="8">
                  <c:v>2.5431643711255068</c:v>
                </c:pt>
                <c:pt idx="9">
                  <c:v>2.5633940163394469</c:v>
                </c:pt>
                <c:pt idx="10">
                  <c:v>2.5833571250012488</c:v>
                </c:pt>
                <c:pt idx="11">
                  <c:v>2.6003008146832975</c:v>
                </c:pt>
                <c:pt idx="12">
                  <c:v>2.617265668587859</c:v>
                </c:pt>
                <c:pt idx="13">
                  <c:v>2.6349763102055825</c:v>
                </c:pt>
                <c:pt idx="14">
                  <c:v>2.651746272704977</c:v>
                </c:pt>
                <c:pt idx="15">
                  <c:v>2.6663735215613684</c:v>
                </c:pt>
                <c:pt idx="16">
                  <c:v>2.6807197163669318</c:v>
                </c:pt>
                <c:pt idx="17">
                  <c:v>2.6951952185267984</c:v>
                </c:pt>
                <c:pt idx="18">
                  <c:v>2.7078212205601644</c:v>
                </c:pt>
                <c:pt idx="19">
                  <c:v>2.7207799151060135</c:v>
                </c:pt>
                <c:pt idx="20">
                  <c:v>2.7327479531236474</c:v>
                </c:pt>
                <c:pt idx="21">
                  <c:v>2.7451043024371318</c:v>
                </c:pt>
                <c:pt idx="22">
                  <c:v>2.7579011364783201</c:v>
                </c:pt>
                <c:pt idx="23">
                  <c:v>2.7689624371441841</c:v>
                </c:pt>
                <c:pt idx="24">
                  <c:v>2.7820898577011741</c:v>
                </c:pt>
                <c:pt idx="25">
                  <c:v>2.7923831840464186</c:v>
                </c:pt>
                <c:pt idx="26">
                  <c:v>2.8044045281579035</c:v>
                </c:pt>
                <c:pt idx="27">
                  <c:v>2.816131224884955</c:v>
                </c:pt>
                <c:pt idx="28">
                  <c:v>2.8268122013683725</c:v>
                </c:pt>
                <c:pt idx="29">
                  <c:v>2.8371837545707375</c:v>
                </c:pt>
                <c:pt idx="30">
                  <c:v>2.8485175732030226</c:v>
                </c:pt>
                <c:pt idx="31">
                  <c:v>2.8599618293110445</c:v>
                </c:pt>
                <c:pt idx="32">
                  <c:v>2.8704870688821678</c:v>
                </c:pt>
                <c:pt idx="33">
                  <c:v>2.8806482013026593</c:v>
                </c:pt>
                <c:pt idx="34">
                  <c:v>2.8902141791338374</c:v>
                </c:pt>
                <c:pt idx="35">
                  <c:v>2.9040093516126588</c:v>
                </c:pt>
                <c:pt idx="36">
                  <c:v>2.9137616181721708</c:v>
                </c:pt>
                <c:pt idx="37">
                  <c:v>2.9243768035572377</c:v>
                </c:pt>
                <c:pt idx="38">
                  <c:v>2.9367775409876744</c:v>
                </c:pt>
                <c:pt idx="39">
                  <c:v>2.9466103634073249</c:v>
                </c:pt>
                <c:pt idx="40">
                  <c:v>2.9578776732165726</c:v>
                </c:pt>
                <c:pt idx="41">
                  <c:v>2.969535723452259</c:v>
                </c:pt>
                <c:pt idx="42">
                  <c:v>2.9812867003601062</c:v>
                </c:pt>
                <c:pt idx="43">
                  <c:v>2.9910901198968576</c:v>
                </c:pt>
                <c:pt idx="44">
                  <c:v>3.001565988133966</c:v>
                </c:pt>
                <c:pt idx="45">
                  <c:v>3.0104844559670556</c:v>
                </c:pt>
                <c:pt idx="46">
                  <c:v>3.0194075637068694</c:v>
                </c:pt>
                <c:pt idx="47">
                  <c:v>3.0306738810967633</c:v>
                </c:pt>
                <c:pt idx="48">
                  <c:v>3.0421616864983365</c:v>
                </c:pt>
                <c:pt idx="49">
                  <c:v>3.0527077746111515</c:v>
                </c:pt>
                <c:pt idx="50">
                  <c:v>3.0613325821258943</c:v>
                </c:pt>
                <c:pt idx="51">
                  <c:v>3.0739007017879487</c:v>
                </c:pt>
                <c:pt idx="52">
                  <c:v>3.0840759019004844</c:v>
                </c:pt>
                <c:pt idx="53">
                  <c:v>3.0972033069769616</c:v>
                </c:pt>
                <c:pt idx="54">
                  <c:v>3.1071164744900099</c:v>
                </c:pt>
                <c:pt idx="55">
                  <c:v>3.118624635334569</c:v>
                </c:pt>
                <c:pt idx="56">
                  <c:v>3.1289113409051605</c:v>
                </c:pt>
                <c:pt idx="57">
                  <c:v>3.1393265231775458</c:v>
                </c:pt>
                <c:pt idx="58">
                  <c:v>3.1523561103175073</c:v>
                </c:pt>
                <c:pt idx="59">
                  <c:v>3.1638407621309459</c:v>
                </c:pt>
                <c:pt idx="60">
                  <c:v>3.1751609980253583</c:v>
                </c:pt>
                <c:pt idx="61">
                  <c:v>3.1877557873243072</c:v>
                </c:pt>
                <c:pt idx="62">
                  <c:v>3.1989818544411257</c:v>
                </c:pt>
                <c:pt idx="63">
                  <c:v>3.2100587910581857</c:v>
                </c:pt>
                <c:pt idx="64">
                  <c:v>3.2214438499595444</c:v>
                </c:pt>
                <c:pt idx="65">
                  <c:v>3.2331926154200219</c:v>
                </c:pt>
                <c:pt idx="66">
                  <c:v>3.2481051317536669</c:v>
                </c:pt>
                <c:pt idx="67">
                  <c:v>3.2620931422754649</c:v>
                </c:pt>
                <c:pt idx="68">
                  <c:v>3.2772630683901016</c:v>
                </c:pt>
                <c:pt idx="69">
                  <c:v>3.2904298913140746</c:v>
                </c:pt>
                <c:pt idx="70">
                  <c:v>3.3044954472107522</c:v>
                </c:pt>
                <c:pt idx="71">
                  <c:v>3.3147866206559606</c:v>
                </c:pt>
                <c:pt idx="72">
                  <c:v>3.330611627190216</c:v>
                </c:pt>
                <c:pt idx="73">
                  <c:v>3.3454939049169612</c:v>
                </c:pt>
                <c:pt idx="74">
                  <c:v>3.359263874149883</c:v>
                </c:pt>
                <c:pt idx="75">
                  <c:v>3.3759182350806278</c:v>
                </c:pt>
                <c:pt idx="76">
                  <c:v>3.3940976628781976</c:v>
                </c:pt>
                <c:pt idx="77">
                  <c:v>3.4107006138012359</c:v>
                </c:pt>
                <c:pt idx="78">
                  <c:v>3.428496137454442</c:v>
                </c:pt>
                <c:pt idx="79">
                  <c:v>3.4445296243215378</c:v>
                </c:pt>
                <c:pt idx="80">
                  <c:v>3.4615984945364544</c:v>
                </c:pt>
                <c:pt idx="81">
                  <c:v>3.4794537320270482</c:v>
                </c:pt>
                <c:pt idx="82">
                  <c:v>3.498728665413017</c:v>
                </c:pt>
                <c:pt idx="83">
                  <c:v>3.5162429937031661</c:v>
                </c:pt>
                <c:pt idx="84">
                  <c:v>3.5358247407609906</c:v>
                </c:pt>
                <c:pt idx="85">
                  <c:v>3.5582476352615231</c:v>
                </c:pt>
                <c:pt idx="86">
                  <c:v>3.5818207517060769</c:v>
                </c:pt>
                <c:pt idx="87">
                  <c:v>3.6121482258789666</c:v>
                </c:pt>
                <c:pt idx="88">
                  <c:v>3.6401873948654324</c:v>
                </c:pt>
                <c:pt idx="89">
                  <c:v>3.6673468593405945</c:v>
                </c:pt>
                <c:pt idx="90">
                  <c:v>3.6984761477465953</c:v>
                </c:pt>
                <c:pt idx="91">
                  <c:v>3.7287289187459707</c:v>
                </c:pt>
                <c:pt idx="92">
                  <c:v>3.7663914779142389</c:v>
                </c:pt>
                <c:pt idx="93">
                  <c:v>3.8058676505056788</c:v>
                </c:pt>
                <c:pt idx="94">
                  <c:v>3.8447555256927783</c:v>
                </c:pt>
                <c:pt idx="95">
                  <c:v>3.8900419866272422</c:v>
                </c:pt>
                <c:pt idx="96">
                  <c:v>3.9499333541507218</c:v>
                </c:pt>
                <c:pt idx="97">
                  <c:v>4.0293703368466316</c:v>
                </c:pt>
                <c:pt idx="98">
                  <c:v>4.1363477218244578</c:v>
                </c:pt>
                <c:pt idx="99">
                  <c:v>4.3100086635543464</c:v>
                </c:pt>
                <c:pt idx="100">
                  <c:v>5.22857565255502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79-4555-809A-5FC4390F1239}"/>
            </c:ext>
          </c:extLst>
        </c:ser>
        <c:ser>
          <c:idx val="10"/>
          <c:order val="6"/>
          <c:tx>
            <c:strRef>
              <c:f>'Backtesting PBL'!$T$7</c:f>
              <c:strCache>
                <c:ptCount val="1"/>
                <c:pt idx="0">
                  <c:v>FY20 theo.</c:v>
                </c:pt>
              </c:strCache>
            </c:strRef>
          </c:tx>
          <c:spPr>
            <a:ln w="28575">
              <a:solidFill>
                <a:srgbClr val="D9C1ED"/>
              </a:solidFill>
            </a:ln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PBL'!$T$8:$T$108</c:f>
              <c:numCache>
                <c:formatCode>General</c:formatCode>
                <c:ptCount val="101"/>
                <c:pt idx="0">
                  <c:v>1.4847874679511484</c:v>
                </c:pt>
                <c:pt idx="1">
                  <c:v>1.6820274353327995</c:v>
                </c:pt>
                <c:pt idx="2">
                  <c:v>1.7267432891445968</c:v>
                </c:pt>
                <c:pt idx="3">
                  <c:v>1.7561545257512565</c:v>
                </c:pt>
                <c:pt idx="4">
                  <c:v>1.7805682946240384</c:v>
                </c:pt>
                <c:pt idx="5">
                  <c:v>1.8057986189426347</c:v>
                </c:pt>
                <c:pt idx="6">
                  <c:v>1.8256119598337244</c:v>
                </c:pt>
                <c:pt idx="7">
                  <c:v>1.8424811085489163</c:v>
                </c:pt>
                <c:pt idx="8">
                  <c:v>1.8594498183815655</c:v>
                </c:pt>
                <c:pt idx="9">
                  <c:v>1.8747438575077591</c:v>
                </c:pt>
                <c:pt idx="10">
                  <c:v>1.8869836166100278</c:v>
                </c:pt>
                <c:pt idx="11">
                  <c:v>1.8996490356098945</c:v>
                </c:pt>
                <c:pt idx="12">
                  <c:v>1.912571555870054</c:v>
                </c:pt>
                <c:pt idx="13">
                  <c:v>1.9222275574738457</c:v>
                </c:pt>
                <c:pt idx="14">
                  <c:v>1.9360258578812748</c:v>
                </c:pt>
                <c:pt idx="15">
                  <c:v>1.9466075016190547</c:v>
                </c:pt>
                <c:pt idx="16">
                  <c:v>1.9590042825931897</c:v>
                </c:pt>
                <c:pt idx="17">
                  <c:v>1.9707106994610064</c:v>
                </c:pt>
                <c:pt idx="18">
                  <c:v>1.9814786344479023</c:v>
                </c:pt>
                <c:pt idx="19">
                  <c:v>1.9922367408084443</c:v>
                </c:pt>
                <c:pt idx="20">
                  <c:v>2.0017590994339272</c:v>
                </c:pt>
                <c:pt idx="21">
                  <c:v>2.0108865018096322</c:v>
                </c:pt>
                <c:pt idx="22">
                  <c:v>2.0195953315081097</c:v>
                </c:pt>
                <c:pt idx="23">
                  <c:v>2.0282395676449578</c:v>
                </c:pt>
                <c:pt idx="24">
                  <c:v>2.0359758736406537</c:v>
                </c:pt>
                <c:pt idx="25">
                  <c:v>2.0453145838498825</c:v>
                </c:pt>
                <c:pt idx="26">
                  <c:v>2.0559180696569852</c:v>
                </c:pt>
                <c:pt idx="27">
                  <c:v>2.0650194845241185</c:v>
                </c:pt>
                <c:pt idx="28">
                  <c:v>2.0730449625094809</c:v>
                </c:pt>
                <c:pt idx="29">
                  <c:v>2.0809309073526592</c:v>
                </c:pt>
                <c:pt idx="30">
                  <c:v>2.0901704641376302</c:v>
                </c:pt>
                <c:pt idx="31">
                  <c:v>2.0977030643618275</c:v>
                </c:pt>
                <c:pt idx="32">
                  <c:v>2.1055866820562357</c:v>
                </c:pt>
                <c:pt idx="33">
                  <c:v>2.1137108970031413</c:v>
                </c:pt>
                <c:pt idx="34">
                  <c:v>2.12277341836357</c:v>
                </c:pt>
                <c:pt idx="35">
                  <c:v>2.1322576092792467</c:v>
                </c:pt>
                <c:pt idx="36">
                  <c:v>2.1420322060413564</c:v>
                </c:pt>
                <c:pt idx="37">
                  <c:v>2.1508035108963601</c:v>
                </c:pt>
                <c:pt idx="38">
                  <c:v>2.1588310520605529</c:v>
                </c:pt>
                <c:pt idx="39">
                  <c:v>2.1675303688732344</c:v>
                </c:pt>
                <c:pt idx="40">
                  <c:v>2.1761872690628956</c:v>
                </c:pt>
                <c:pt idx="41">
                  <c:v>2.1849885038274874</c:v>
                </c:pt>
                <c:pt idx="42">
                  <c:v>2.1943329713072823</c:v>
                </c:pt>
                <c:pt idx="43">
                  <c:v>2.2030877206452129</c:v>
                </c:pt>
                <c:pt idx="44">
                  <c:v>2.2114431646268153</c:v>
                </c:pt>
                <c:pt idx="45">
                  <c:v>2.2195151099858519</c:v>
                </c:pt>
                <c:pt idx="46">
                  <c:v>2.2292630789373615</c:v>
                </c:pt>
                <c:pt idx="47">
                  <c:v>2.2381111069530339</c:v>
                </c:pt>
                <c:pt idx="48">
                  <c:v>2.2477233296371795</c:v>
                </c:pt>
                <c:pt idx="49">
                  <c:v>2.2565568795630191</c:v>
                </c:pt>
                <c:pt idx="50">
                  <c:v>2.2642011751503817</c:v>
                </c:pt>
                <c:pt idx="51">
                  <c:v>2.2712478296618888</c:v>
                </c:pt>
                <c:pt idx="52">
                  <c:v>2.2791685668947919</c:v>
                </c:pt>
                <c:pt idx="53">
                  <c:v>2.2895508974805328</c:v>
                </c:pt>
                <c:pt idx="54">
                  <c:v>2.2981379766202559</c:v>
                </c:pt>
                <c:pt idx="55">
                  <c:v>2.3073693143035356</c:v>
                </c:pt>
                <c:pt idx="56">
                  <c:v>2.3152731586884778</c:v>
                </c:pt>
                <c:pt idx="57">
                  <c:v>2.3254159921159854</c:v>
                </c:pt>
                <c:pt idx="58">
                  <c:v>2.3335533759177114</c:v>
                </c:pt>
                <c:pt idx="59">
                  <c:v>2.3436520950953219</c:v>
                </c:pt>
                <c:pt idx="60">
                  <c:v>2.3531062085909982</c:v>
                </c:pt>
                <c:pt idx="61">
                  <c:v>2.361750192128921</c:v>
                </c:pt>
                <c:pt idx="62">
                  <c:v>2.3716486677815389</c:v>
                </c:pt>
                <c:pt idx="63">
                  <c:v>2.3813335758940561</c:v>
                </c:pt>
                <c:pt idx="64">
                  <c:v>2.3917333236853842</c:v>
                </c:pt>
                <c:pt idx="65">
                  <c:v>2.4011668581962966</c:v>
                </c:pt>
                <c:pt idx="66">
                  <c:v>2.4115563378976002</c:v>
                </c:pt>
                <c:pt idx="67">
                  <c:v>2.4217196428582111</c:v>
                </c:pt>
                <c:pt idx="68">
                  <c:v>2.4333365876300044</c:v>
                </c:pt>
                <c:pt idx="69">
                  <c:v>2.4453787611789495</c:v>
                </c:pt>
                <c:pt idx="70">
                  <c:v>2.4570984735113055</c:v>
                </c:pt>
                <c:pt idx="71">
                  <c:v>2.4677784335709001</c:v>
                </c:pt>
                <c:pt idx="72">
                  <c:v>2.4781091959581696</c:v>
                </c:pt>
                <c:pt idx="73">
                  <c:v>2.4915101984556562</c:v>
                </c:pt>
                <c:pt idx="74">
                  <c:v>2.5025562983328089</c:v>
                </c:pt>
                <c:pt idx="75">
                  <c:v>2.5142322788480431</c:v>
                </c:pt>
                <c:pt idx="76">
                  <c:v>2.5272476623688633</c:v>
                </c:pt>
                <c:pt idx="77">
                  <c:v>2.5402517272459009</c:v>
                </c:pt>
                <c:pt idx="78">
                  <c:v>2.5555896355221153</c:v>
                </c:pt>
                <c:pt idx="79">
                  <c:v>2.570496458640442</c:v>
                </c:pt>
                <c:pt idx="80">
                  <c:v>2.5851920180399386</c:v>
                </c:pt>
                <c:pt idx="81">
                  <c:v>2.6011862631022225</c:v>
                </c:pt>
                <c:pt idx="82">
                  <c:v>2.6184669834759067</c:v>
                </c:pt>
                <c:pt idx="83">
                  <c:v>2.6335490314544208</c:v>
                </c:pt>
                <c:pt idx="84">
                  <c:v>2.6518344326741889</c:v>
                </c:pt>
                <c:pt idx="85">
                  <c:v>2.6715957580630274</c:v>
                </c:pt>
                <c:pt idx="86">
                  <c:v>2.6932793941081212</c:v>
                </c:pt>
                <c:pt idx="87">
                  <c:v>2.7162467217111401</c:v>
                </c:pt>
                <c:pt idx="88">
                  <c:v>2.7380113778605142</c:v>
                </c:pt>
                <c:pt idx="89">
                  <c:v>2.7600520183976034</c:v>
                </c:pt>
                <c:pt idx="90">
                  <c:v>2.7848486107064101</c:v>
                </c:pt>
                <c:pt idx="91">
                  <c:v>2.8137541549724099</c:v>
                </c:pt>
                <c:pt idx="92">
                  <c:v>2.844195929657729</c:v>
                </c:pt>
                <c:pt idx="93">
                  <c:v>2.8734367680316861</c:v>
                </c:pt>
                <c:pt idx="94">
                  <c:v>2.9091554203277488</c:v>
                </c:pt>
                <c:pt idx="95">
                  <c:v>2.9539184284804749</c:v>
                </c:pt>
                <c:pt idx="96">
                  <c:v>3.003890024469996</c:v>
                </c:pt>
                <c:pt idx="97">
                  <c:v>3.0823476845804665</c:v>
                </c:pt>
                <c:pt idx="98">
                  <c:v>3.176987711242401</c:v>
                </c:pt>
                <c:pt idx="99">
                  <c:v>3.3089376581125318</c:v>
                </c:pt>
                <c:pt idx="100">
                  <c:v>3.9922387211943065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79-4555-809A-5FC4390F1239}"/>
            </c:ext>
          </c:extLst>
        </c:ser>
        <c:ser>
          <c:idx val="13"/>
          <c:order val="7"/>
          <c:tx>
            <c:strRef>
              <c:f>'Backtesting PBL'!$S$7</c:f>
              <c:strCache>
                <c:ptCount val="1"/>
                <c:pt idx="0">
                  <c:v>FY19 theo.</c:v>
                </c:pt>
              </c:strCache>
            </c:strRef>
          </c:tx>
          <c:spPr>
            <a:ln>
              <a:solidFill>
                <a:schemeClr val="accent6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PBL'!$S$8:$S$108</c:f>
              <c:numCache>
                <c:formatCode>General</c:formatCode>
                <c:ptCount val="101"/>
                <c:pt idx="0">
                  <c:v>1.2545799551646153</c:v>
                </c:pt>
                <c:pt idx="1">
                  <c:v>1.4066574197719168</c:v>
                </c:pt>
                <c:pt idx="2">
                  <c:v>1.4500779849130305</c:v>
                </c:pt>
                <c:pt idx="3">
                  <c:v>1.4791244164381512</c:v>
                </c:pt>
                <c:pt idx="4">
                  <c:v>1.5034364351885934</c:v>
                </c:pt>
                <c:pt idx="5">
                  <c:v>1.5283052222492155</c:v>
                </c:pt>
                <c:pt idx="6">
                  <c:v>1.5458852324186725</c:v>
                </c:pt>
                <c:pt idx="7">
                  <c:v>1.560199057932697</c:v>
                </c:pt>
                <c:pt idx="8">
                  <c:v>1.5753908020628888</c:v>
                </c:pt>
                <c:pt idx="9">
                  <c:v>1.5877362962364541</c:v>
                </c:pt>
                <c:pt idx="10">
                  <c:v>1.6024647063201816</c:v>
                </c:pt>
                <c:pt idx="11">
                  <c:v>1.6140408105585078</c:v>
                </c:pt>
                <c:pt idx="12">
                  <c:v>1.6269417464949447</c:v>
                </c:pt>
                <c:pt idx="13">
                  <c:v>1.6379098347135139</c:v>
                </c:pt>
                <c:pt idx="14">
                  <c:v>1.647432295461386</c:v>
                </c:pt>
                <c:pt idx="15">
                  <c:v>1.6583803791426657</c:v>
                </c:pt>
                <c:pt idx="16">
                  <c:v>1.6694117685644827</c:v>
                </c:pt>
                <c:pt idx="17">
                  <c:v>1.6796650794945864</c:v>
                </c:pt>
                <c:pt idx="18">
                  <c:v>1.6908431304441707</c:v>
                </c:pt>
                <c:pt idx="19">
                  <c:v>1.7021395217767501</c:v>
                </c:pt>
                <c:pt idx="20">
                  <c:v>1.7142624832916706</c:v>
                </c:pt>
                <c:pt idx="21">
                  <c:v>1.7238980405688689</c:v>
                </c:pt>
                <c:pt idx="22">
                  <c:v>1.7332845361921914</c:v>
                </c:pt>
                <c:pt idx="23">
                  <c:v>1.7439910316032456</c:v>
                </c:pt>
                <c:pt idx="24">
                  <c:v>1.7530548091094915</c:v>
                </c:pt>
                <c:pt idx="25">
                  <c:v>1.7617227162162552</c:v>
                </c:pt>
                <c:pt idx="26">
                  <c:v>1.7708514467278855</c:v>
                </c:pt>
                <c:pt idx="27">
                  <c:v>1.7790752730204216</c:v>
                </c:pt>
                <c:pt idx="28">
                  <c:v>1.7897966321921288</c:v>
                </c:pt>
                <c:pt idx="29">
                  <c:v>1.7986145582212114</c:v>
                </c:pt>
                <c:pt idx="30">
                  <c:v>1.8070053203211873</c:v>
                </c:pt>
                <c:pt idx="31">
                  <c:v>1.8160235714309854</c:v>
                </c:pt>
                <c:pt idx="32">
                  <c:v>1.823412606511259</c:v>
                </c:pt>
                <c:pt idx="33">
                  <c:v>1.832353206292016</c:v>
                </c:pt>
                <c:pt idx="34">
                  <c:v>1.8420712063202109</c:v>
                </c:pt>
                <c:pt idx="35">
                  <c:v>1.851805962724532</c:v>
                </c:pt>
                <c:pt idx="36">
                  <c:v>1.8600420225486765</c:v>
                </c:pt>
                <c:pt idx="37">
                  <c:v>1.8685707318647713</c:v>
                </c:pt>
                <c:pt idx="38">
                  <c:v>1.8790866477224413</c:v>
                </c:pt>
                <c:pt idx="39">
                  <c:v>1.8873662010053689</c:v>
                </c:pt>
                <c:pt idx="40">
                  <c:v>1.8962147322551157</c:v>
                </c:pt>
                <c:pt idx="41">
                  <c:v>1.9047655862691026</c:v>
                </c:pt>
                <c:pt idx="42">
                  <c:v>1.9124195212240793</c:v>
                </c:pt>
                <c:pt idx="43">
                  <c:v>1.9214934172795186</c:v>
                </c:pt>
                <c:pt idx="44">
                  <c:v>1.9308530380242646</c:v>
                </c:pt>
                <c:pt idx="45">
                  <c:v>1.9396255672379004</c:v>
                </c:pt>
                <c:pt idx="46">
                  <c:v>1.948161467855887</c:v>
                </c:pt>
                <c:pt idx="47">
                  <c:v>1.9573664150162702</c:v>
                </c:pt>
                <c:pt idx="48">
                  <c:v>1.9661973598189781</c:v>
                </c:pt>
                <c:pt idx="49">
                  <c:v>1.9747482291962863</c:v>
                </c:pt>
                <c:pt idx="50">
                  <c:v>1.9845527574108683</c:v>
                </c:pt>
                <c:pt idx="51">
                  <c:v>1.9945712916857523</c:v>
                </c:pt>
                <c:pt idx="52">
                  <c:v>2.003918090690437</c:v>
                </c:pt>
                <c:pt idx="53">
                  <c:v>2.0125296540077406</c:v>
                </c:pt>
                <c:pt idx="54">
                  <c:v>2.0214203205861376</c:v>
                </c:pt>
                <c:pt idx="55">
                  <c:v>2.0304621882735447</c:v>
                </c:pt>
                <c:pt idx="56">
                  <c:v>2.0387269596466648</c:v>
                </c:pt>
                <c:pt idx="57">
                  <c:v>2.0500748775519577</c:v>
                </c:pt>
                <c:pt idx="58">
                  <c:v>2.0573123005558815</c:v>
                </c:pt>
                <c:pt idx="59">
                  <c:v>2.0671551263685504</c:v>
                </c:pt>
                <c:pt idx="60">
                  <c:v>2.0771060324350707</c:v>
                </c:pt>
                <c:pt idx="61">
                  <c:v>2.088226399805194</c:v>
                </c:pt>
                <c:pt idx="62">
                  <c:v>2.0985270171082098</c:v>
                </c:pt>
                <c:pt idx="63">
                  <c:v>2.1097955894468949</c:v>
                </c:pt>
                <c:pt idx="64">
                  <c:v>2.1179895548473731</c:v>
                </c:pt>
                <c:pt idx="65">
                  <c:v>2.1302783538713954</c:v>
                </c:pt>
                <c:pt idx="66">
                  <c:v>2.1415593990849495</c:v>
                </c:pt>
                <c:pt idx="67">
                  <c:v>2.1506192191817735</c:v>
                </c:pt>
                <c:pt idx="68">
                  <c:v>2.1616461034882897</c:v>
                </c:pt>
                <c:pt idx="69">
                  <c:v>2.1740336604967516</c:v>
                </c:pt>
                <c:pt idx="70">
                  <c:v>2.1879010065720776</c:v>
                </c:pt>
                <c:pt idx="71">
                  <c:v>2.1997983539811732</c:v>
                </c:pt>
                <c:pt idx="72">
                  <c:v>2.2107310523204022</c:v>
                </c:pt>
                <c:pt idx="73">
                  <c:v>2.2220838899506687</c:v>
                </c:pt>
                <c:pt idx="74">
                  <c:v>2.2376815652848272</c:v>
                </c:pt>
                <c:pt idx="75">
                  <c:v>2.248346977747079</c:v>
                </c:pt>
                <c:pt idx="76">
                  <c:v>2.2616217907010734</c:v>
                </c:pt>
                <c:pt idx="77">
                  <c:v>2.2743366814254276</c:v>
                </c:pt>
                <c:pt idx="78">
                  <c:v>2.2900694946504232</c:v>
                </c:pt>
                <c:pt idx="79">
                  <c:v>2.302234607454213</c:v>
                </c:pt>
                <c:pt idx="80">
                  <c:v>2.316044296372282</c:v>
                </c:pt>
                <c:pt idx="81">
                  <c:v>2.3337028499429167</c:v>
                </c:pt>
                <c:pt idx="82">
                  <c:v>2.3478731095817218</c:v>
                </c:pt>
                <c:pt idx="83">
                  <c:v>2.3617404556570478</c:v>
                </c:pt>
                <c:pt idx="84">
                  <c:v>2.3790313315020613</c:v>
                </c:pt>
                <c:pt idx="85">
                  <c:v>2.4024457728170394</c:v>
                </c:pt>
                <c:pt idx="86">
                  <c:v>2.4201026890141848</c:v>
                </c:pt>
                <c:pt idx="87">
                  <c:v>2.4380597744342491</c:v>
                </c:pt>
                <c:pt idx="88">
                  <c:v>2.4623286991574438</c:v>
                </c:pt>
                <c:pt idx="89">
                  <c:v>2.4845779338773086</c:v>
                </c:pt>
                <c:pt idx="90">
                  <c:v>2.5087940410089193</c:v>
                </c:pt>
                <c:pt idx="91">
                  <c:v>2.5343469802083614</c:v>
                </c:pt>
                <c:pt idx="92">
                  <c:v>2.5672887601939274</c:v>
                </c:pt>
                <c:pt idx="93">
                  <c:v>2.6036686557997273</c:v>
                </c:pt>
                <c:pt idx="94">
                  <c:v>2.6360300404358274</c:v>
                </c:pt>
                <c:pt idx="95">
                  <c:v>2.673791464112711</c:v>
                </c:pt>
                <c:pt idx="96">
                  <c:v>2.7219887192378751</c:v>
                </c:pt>
                <c:pt idx="97">
                  <c:v>2.7901223996875482</c:v>
                </c:pt>
                <c:pt idx="98">
                  <c:v>2.8864441728855774</c:v>
                </c:pt>
                <c:pt idx="99">
                  <c:v>3.0284955145326511</c:v>
                </c:pt>
                <c:pt idx="100">
                  <c:v>3.7531379653411281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79-4555-809A-5FC4390F1239}"/>
            </c:ext>
          </c:extLst>
        </c:ser>
        <c:ser>
          <c:idx val="7"/>
          <c:order val="8"/>
          <c:tx>
            <c:strRef>
              <c:f>'Backtesting PBL'!$AH$7</c:f>
              <c:strCache>
                <c:ptCount val="1"/>
                <c:pt idx="0">
                  <c:v>FY26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09-E879-4555-809A-5FC4390F1239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0A-E879-4555-809A-5FC4390F1239}"/>
              </c:ext>
            </c:extLst>
          </c:dPt>
          <c:dLbls>
            <c:dLbl>
              <c:idx val="12"/>
              <c:layout>
                <c:manualLayout>
                  <c:x val="-7.4200925925925948E-2"/>
                  <c:y val="-9.14047222222222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879-4555-809A-5FC4390F1239}"/>
                </c:ext>
              </c:extLst>
            </c:dLbl>
            <c:dLbl>
              <c:idx val="13"/>
              <c:layout>
                <c:manualLayout>
                  <c:x val="-7.420092592592592E-2"/>
                  <c:y val="-8.78769444444445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E879-4555-809A-5FC4390F1239}"/>
                </c:ext>
              </c:extLst>
            </c:dLbl>
            <c:dLbl>
              <c:idx val="31"/>
              <c:layout>
                <c:manualLayout>
                  <c:x val="-6.0480423280423343E-2"/>
                  <c:y val="0.102331944444444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E879-4555-809A-5FC4390F1239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34.19th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E879-4555-809A-5FC4390F1239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52nd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E879-4555-809A-5FC4390F1239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55th</a:t>
                    </a:r>
                    <a:r>
                      <a:rPr lang="en-US" b="1" baseline="0">
                        <a:solidFill>
                          <a:schemeClr val="tx2"/>
                        </a:solidFill>
                      </a:rPr>
                      <a:t> percentile</a:t>
                    </a:r>
                    <a:endParaRPr lang="en-US" b="1">
                      <a:solidFill>
                        <a:schemeClr val="tx2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E879-4555-809A-5FC4390F123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61st 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879-4555-809A-5FC4390F123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67th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879-4555-809A-5FC4390F1239}"/>
                </c:ext>
              </c:extLst>
            </c:dLbl>
            <c:dLbl>
              <c:idx val="86"/>
              <c:layout>
                <c:manualLayout>
                  <c:x val="-0.12254663204289994"/>
                  <c:y val="-6.700138888888888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85th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E879-4555-809A-5FC4390F1239}"/>
                </c:ext>
              </c:extLst>
            </c:dLbl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b="1">
                    <a:solidFill>
                      <a:schemeClr val="tx2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PBL'!$AH$8:$AH$108</c:f>
              <c:numCache>
                <c:formatCode>General</c:formatCode>
                <c:ptCount val="101"/>
                <c:pt idx="12">
                  <c:v>3.00390919527565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879-4555-809A-5FC4390F1239}"/>
            </c:ext>
          </c:extLst>
        </c:ser>
        <c:ser>
          <c:idx val="6"/>
          <c:order val="9"/>
          <c:tx>
            <c:strRef>
              <c:f>'Backtesting PBL'!$AG$7</c:f>
              <c:strCache>
                <c:ptCount val="1"/>
                <c:pt idx="0">
                  <c:v>FY25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99CC"/>
              </a:solidFill>
              <a:ln w="9525">
                <a:noFill/>
              </a:ln>
              <a:effectLst/>
            </c:spPr>
          </c:marker>
          <c:dLbls>
            <c:dLbl>
              <c:idx val="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99CC"/>
                        </a:solidFill>
                      </a:rPr>
                      <a:t>6th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E879-4555-809A-5FC4390F1239}"/>
                </c:ext>
              </c:extLst>
            </c:dLbl>
            <c:dLbl>
              <c:idx val="51"/>
              <c:layout>
                <c:manualLayout>
                  <c:x val="-6.4063604918166511E-2"/>
                  <c:y val="5.037972222222215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51st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E879-4555-809A-5FC4390F123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69.55th</a:t>
                    </a:r>
                    <a:r>
                      <a:rPr lang="en-US" baseline="0"/>
                      <a:t> percentile</a:t>
                    </a:r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E879-4555-809A-5FC4390F1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PBL'!$AG$8:$AG$108</c:f>
              <c:numCache>
                <c:formatCode>General</c:formatCode>
                <c:ptCount val="101"/>
                <c:pt idx="6">
                  <c:v>2.9319854918675299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879-4555-809A-5FC4390F1239}"/>
            </c:ext>
          </c:extLst>
        </c:ser>
        <c:ser>
          <c:idx val="5"/>
          <c:order val="10"/>
          <c:tx>
            <c:strRef>
              <c:f>'Backtesting PBL'!$AF$7</c:f>
              <c:strCache>
                <c:ptCount val="1"/>
                <c:pt idx="0">
                  <c:v>FY24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dLbl>
              <c:idx val="16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16.48th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E879-4555-809A-5FC4390F1239}"/>
                </c:ext>
              </c:extLst>
            </c:dLbl>
            <c:dLbl>
              <c:idx val="68"/>
              <c:layout>
                <c:manualLayout>
                  <c:x val="-7.360932857237916E-2"/>
                  <c:y val="4.48701518700192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68th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E879-4555-809A-5FC4390F1239}"/>
                </c:ext>
              </c:extLst>
            </c:dLbl>
            <c:dLbl>
              <c:idx val="86"/>
              <c:layout>
                <c:manualLayout>
                  <c:x val="-7.4637698412698419E-2"/>
                  <c:y val="-8.816805555555556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bg2"/>
                        </a:solidFill>
                      </a:rPr>
                      <a:t>85th</a:t>
                    </a:r>
                    <a:r>
                      <a:rPr lang="en-US" b="1" baseline="0">
                        <a:solidFill>
                          <a:schemeClr val="bg2"/>
                        </a:solidFill>
                      </a:rPr>
                      <a:t> percentile</a:t>
                    </a:r>
                    <a:endParaRPr lang="en-US" b="1">
                      <a:solidFill>
                        <a:schemeClr val="bg2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879-4555-809A-5FC4390F1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b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PBL'!$AF$8:$AF$108</c:f>
              <c:numCache>
                <c:formatCode>0.0000</c:formatCode>
                <c:ptCount val="101"/>
                <c:pt idx="86">
                  <c:v>3.9781259059999998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879-4555-809A-5FC4390F1239}"/>
            </c:ext>
          </c:extLst>
        </c:ser>
        <c:ser>
          <c:idx val="4"/>
          <c:order val="11"/>
          <c:tx>
            <c:strRef>
              <c:f>'Backtesting PBL'!$AE$7</c:f>
              <c:strCache>
                <c:ptCount val="1"/>
                <c:pt idx="0">
                  <c:v>FY23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2.9106311008900699E-2"/>
                  <c:y val="5.60946867588787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879-4555-809A-5FC4390F1239}"/>
                </c:ext>
              </c:extLst>
            </c:dLbl>
            <c:dLbl>
              <c:idx val="51"/>
              <c:layout>
                <c:manualLayout>
                  <c:x val="-6.4734788359788353E-2"/>
                  <c:y val="5.2943055555555493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1"/>
                        </a:solidFill>
                      </a:rPr>
                      <a:t>51st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E879-4555-809A-5FC4390F1239}"/>
                </c:ext>
              </c:extLst>
            </c:dLbl>
            <c:dLbl>
              <c:idx val="69"/>
              <c:tx>
                <c:rich>
                  <a:bodyPr rot="0" vert="horz"/>
                  <a:lstStyle/>
                  <a:p>
                    <a:pPr algn="ctr" rtl="0">
                      <a:defRPr b="1"/>
                    </a:pPr>
                    <a:r>
                      <a:rPr lang="en-US" b="1"/>
                      <a:t>68.77th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879-4555-809A-5FC4390F1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PBL'!$AE$8:$AE$108</c:f>
              <c:numCache>
                <c:formatCode>0.0000</c:formatCode>
                <c:ptCount val="101"/>
                <c:pt idx="51">
                  <c:v>3.1350399566342602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879-4555-809A-5FC4390F1239}"/>
            </c:ext>
          </c:extLst>
        </c:ser>
        <c:ser>
          <c:idx val="9"/>
          <c:order val="12"/>
          <c:tx>
            <c:strRef>
              <c:f>'Backtesting PBL'!$AD$7</c:f>
              <c:strCache>
                <c:ptCount val="1"/>
                <c:pt idx="0">
                  <c:v>FY22 act.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2"/>
              </a:solidFill>
              <a:ln>
                <a:noFill/>
              </a:ln>
            </c:spPr>
          </c:marker>
          <c:dLbls>
            <c:dLbl>
              <c:idx val="6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2"/>
                        </a:solidFill>
                      </a:rPr>
                      <a:t>68th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879-4555-809A-5FC4390F1239}"/>
                </c:ext>
              </c:extLst>
            </c:dLbl>
            <c:dLbl>
              <c:idx val="73"/>
              <c:layout>
                <c:manualLayout>
                  <c:x val="-4.0232065399770311E-2"/>
                  <c:y val="-4.4926127240856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73rd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E879-4555-809A-5FC4390F12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PBL'!$AD$8:$AD$108</c:f>
              <c:numCache>
                <c:formatCode>0.0000</c:formatCode>
                <c:ptCount val="101"/>
                <c:pt idx="68">
                  <c:v>3.2433942080770599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879-4555-809A-5FC4390F1239}"/>
            </c:ext>
          </c:extLst>
        </c:ser>
        <c:ser>
          <c:idx val="11"/>
          <c:order val="13"/>
          <c:tx>
            <c:strRef>
              <c:f>'Backtesting PBL'!$AC$7</c:f>
              <c:strCache>
                <c:ptCount val="1"/>
                <c:pt idx="0">
                  <c:v>FY21 act.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4"/>
              </a:solidFill>
              <a:ln>
                <a:noFill/>
              </a:ln>
            </c:spPr>
          </c:marker>
          <c:dLbls>
            <c:dLbl>
              <c:idx val="4"/>
              <c:layout>
                <c:manualLayout>
                  <c:x val="-3.7209656084656081E-2"/>
                  <c:y val="5.289027777777777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4"/>
                        </a:solidFill>
                      </a:rPr>
                      <a:t>4th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E879-4555-809A-5FC4390F1239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70th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879-4555-809A-5FC4390F1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PBL'!$AC$8:$AC$108</c:f>
              <c:numCache>
                <c:formatCode>0.0000</c:formatCode>
                <c:ptCount val="101"/>
                <c:pt idx="4">
                  <c:v>2.42599573484094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879-4555-809A-5FC4390F1239}"/>
            </c:ext>
          </c:extLst>
        </c:ser>
        <c:ser>
          <c:idx val="14"/>
          <c:order val="14"/>
          <c:tx>
            <c:v>FY20 act.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7030A0"/>
              </a:solidFill>
              <a:ln>
                <a:noFill/>
              </a:ln>
            </c:spPr>
          </c:marker>
          <c:dLbls>
            <c:dLbl>
              <c:idx val="73"/>
              <c:tx>
                <c:rich>
                  <a:bodyPr/>
                  <a:lstStyle/>
                  <a:p>
                    <a:r>
                      <a:rPr lang="en-US" b="1"/>
                      <a:t>73rd</a:t>
                    </a:r>
                    <a:r>
                      <a:rPr lang="en-US" b="1" baseline="0"/>
                      <a:t> percentile</a:t>
                    </a:r>
                    <a:endParaRPr lang="en-US" b="1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E879-4555-809A-5FC4390F1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7030A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PBL'!$AB$8:$AB$108</c:f>
              <c:numCache>
                <c:formatCode>0.0000</c:formatCode>
                <c:ptCount val="101"/>
                <c:pt idx="73">
                  <c:v>2.4899441434092999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879-4555-809A-5FC4390F1239}"/>
            </c:ext>
          </c:extLst>
        </c:ser>
        <c:ser>
          <c:idx val="15"/>
          <c:order val="15"/>
          <c:tx>
            <c:strRef>
              <c:f>'Backtesting PBL'!$AA$7</c:f>
              <c:strCache>
                <c:ptCount val="1"/>
                <c:pt idx="0">
                  <c:v>FY19 act.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chemeClr val="accent6"/>
              </a:solidFill>
              <a:ln>
                <a:noFill/>
              </a:ln>
            </c:spPr>
          </c:marker>
          <c:dLbls>
            <c:dLbl>
              <c:idx val="70"/>
              <c:tx>
                <c:rich>
                  <a:bodyPr/>
                  <a:lstStyle/>
                  <a:p>
                    <a:r>
                      <a:rPr lang="en-US" b="1"/>
                      <a:t>70th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E879-4555-809A-5FC4390F12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'Backtesting PBL'!$R$8:$R$108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PBL'!$AA$8:$AA$108</c:f>
              <c:numCache>
                <c:formatCode>General</c:formatCode>
                <c:ptCount val="101"/>
                <c:pt idx="70" formatCode="0.0000">
                  <c:v>2.18329020983303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879-4555-809A-5FC4390F1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84784"/>
        <c:axId val="1732385768"/>
      </c:lineChart>
      <c:catAx>
        <c:axId val="173238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900"/>
            </a:pPr>
            <a:endParaRPr lang="en-US"/>
          </a:p>
        </c:txPr>
        <c:crossAx val="1732385768"/>
        <c:crosses val="autoZero"/>
        <c:auto val="0"/>
        <c:lblAlgn val="ctr"/>
        <c:lblOffset val="100"/>
        <c:noMultiLvlLbl val="0"/>
      </c:catAx>
      <c:valAx>
        <c:axId val="1732385768"/>
        <c:scaling>
          <c:orientation val="minMax"/>
          <c:max val="5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323847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01522018136507E-2"/>
          <c:y val="4.1156627925817903E-2"/>
          <c:w val="0.94339980095139298"/>
          <c:h val="0.63129818669259208"/>
        </c:manualLayout>
      </c:layout>
      <c:lineChart>
        <c:grouping val="standard"/>
        <c:varyColors val="0"/>
        <c:ser>
          <c:idx val="3"/>
          <c:order val="0"/>
          <c:tx>
            <c:strRef>
              <c:f>'Backtesting OZL'!$X$5</c:f>
              <c:strCache>
                <c:ptCount val="1"/>
                <c:pt idx="0">
                  <c:v>FY24 theo.</c:v>
                </c:pt>
              </c:strCache>
            </c:strRef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OZL'!$X$6:$X$106</c:f>
              <c:numCache>
                <c:formatCode>General</c:formatCode>
                <c:ptCount val="101"/>
                <c:pt idx="0">
                  <c:v>0.91963004962152162</c:v>
                </c:pt>
                <c:pt idx="1">
                  <c:v>1.0242402159327912</c:v>
                </c:pt>
                <c:pt idx="2">
                  <c:v>1.049230850558045</c:v>
                </c:pt>
                <c:pt idx="3">
                  <c:v>1.0679302331469362</c:v>
                </c:pt>
                <c:pt idx="4">
                  <c:v>1.0787485366570926</c:v>
                </c:pt>
                <c:pt idx="5">
                  <c:v>1.0886815488751787</c:v>
                </c:pt>
                <c:pt idx="6">
                  <c:v>1.0992899970371597</c:v>
                </c:pt>
                <c:pt idx="7">
                  <c:v>1.1077422266107864</c:v>
                </c:pt>
                <c:pt idx="8">
                  <c:v>1.1163502826746523</c:v>
                </c:pt>
                <c:pt idx="9">
                  <c:v>1.1238018729623305</c:v>
                </c:pt>
                <c:pt idx="10">
                  <c:v>1.132190656883042</c:v>
                </c:pt>
                <c:pt idx="11">
                  <c:v>1.1384332627845404</c:v>
                </c:pt>
                <c:pt idx="12">
                  <c:v>1.1457071395094158</c:v>
                </c:pt>
                <c:pt idx="13">
                  <c:v>1.1523348512563087</c:v>
                </c:pt>
                <c:pt idx="14">
                  <c:v>1.1583844493757531</c:v>
                </c:pt>
                <c:pt idx="15">
                  <c:v>1.1639744912733554</c:v>
                </c:pt>
                <c:pt idx="16">
                  <c:v>1.169004249075233</c:v>
                </c:pt>
                <c:pt idx="17">
                  <c:v>1.1757748530084056</c:v>
                </c:pt>
                <c:pt idx="18">
                  <c:v>1.1808753592622416</c:v>
                </c:pt>
                <c:pt idx="19">
                  <c:v>1.1860229477406896</c:v>
                </c:pt>
                <c:pt idx="20">
                  <c:v>1.1911791061729498</c:v>
                </c:pt>
                <c:pt idx="21">
                  <c:v>1.195826898472389</c:v>
                </c:pt>
                <c:pt idx="22">
                  <c:v>1.2017529442375643</c:v>
                </c:pt>
                <c:pt idx="23">
                  <c:v>1.2068005998890439</c:v>
                </c:pt>
                <c:pt idx="24">
                  <c:v>1.211726225148809</c:v>
                </c:pt>
                <c:pt idx="25">
                  <c:v>1.2161657568807738</c:v>
                </c:pt>
                <c:pt idx="26">
                  <c:v>1.2206881259076556</c:v>
                </c:pt>
                <c:pt idx="27">
                  <c:v>1.2252443693474799</c:v>
                </c:pt>
                <c:pt idx="28">
                  <c:v>1.229641589077703</c:v>
                </c:pt>
                <c:pt idx="29">
                  <c:v>1.2339584299012425</c:v>
                </c:pt>
                <c:pt idx="30">
                  <c:v>1.2384630367106733</c:v>
                </c:pt>
                <c:pt idx="31">
                  <c:v>1.2437196192935989</c:v>
                </c:pt>
                <c:pt idx="32">
                  <c:v>1.248856529230157</c:v>
                </c:pt>
                <c:pt idx="33">
                  <c:v>1.2521305527165008</c:v>
                </c:pt>
                <c:pt idx="34">
                  <c:v>1.2564591609720919</c:v>
                </c:pt>
                <c:pt idx="35">
                  <c:v>1.2605096835004388</c:v>
                </c:pt>
                <c:pt idx="36">
                  <c:v>1.2645882276828033</c:v>
                </c:pt>
                <c:pt idx="37">
                  <c:v>1.2686916465672489</c:v>
                </c:pt>
                <c:pt idx="38">
                  <c:v>1.2733085671775068</c:v>
                </c:pt>
                <c:pt idx="39">
                  <c:v>1.2772494567861525</c:v>
                </c:pt>
                <c:pt idx="40">
                  <c:v>1.2817594796222262</c:v>
                </c:pt>
                <c:pt idx="41">
                  <c:v>1.2866666393022694</c:v>
                </c:pt>
                <c:pt idx="42">
                  <c:v>1.2909361896578675</c:v>
                </c:pt>
                <c:pt idx="43">
                  <c:v>1.2955315951193664</c:v>
                </c:pt>
                <c:pt idx="44">
                  <c:v>1.3006790259202208</c:v>
                </c:pt>
                <c:pt idx="45">
                  <c:v>1.3049134855825237</c:v>
                </c:pt>
                <c:pt idx="46">
                  <c:v>1.3101916956552651</c:v>
                </c:pt>
                <c:pt idx="47">
                  <c:v>1.315012346503567</c:v>
                </c:pt>
                <c:pt idx="48">
                  <c:v>1.319295329445664</c:v>
                </c:pt>
                <c:pt idx="49">
                  <c:v>1.3229236105630608</c:v>
                </c:pt>
                <c:pt idx="50">
                  <c:v>1.3274793587351943</c:v>
                </c:pt>
                <c:pt idx="51">
                  <c:v>1.3326165834328909</c:v>
                </c:pt>
                <c:pt idx="52">
                  <c:v>1.3373051914099161</c:v>
                </c:pt>
                <c:pt idx="53">
                  <c:v>1.3420799587468795</c:v>
                </c:pt>
                <c:pt idx="54">
                  <c:v>1.3477837879721759</c:v>
                </c:pt>
                <c:pt idx="55">
                  <c:v>1.3529238947423294</c:v>
                </c:pt>
                <c:pt idx="56">
                  <c:v>1.3577379564388987</c:v>
                </c:pt>
                <c:pt idx="57">
                  <c:v>1.3631606336557585</c:v>
                </c:pt>
                <c:pt idx="58">
                  <c:v>1.3680672731742731</c:v>
                </c:pt>
                <c:pt idx="59">
                  <c:v>1.3725187183532088</c:v>
                </c:pt>
                <c:pt idx="60">
                  <c:v>1.3780960643021842</c:v>
                </c:pt>
                <c:pt idx="61">
                  <c:v>1.3834495791183392</c:v>
                </c:pt>
                <c:pt idx="62">
                  <c:v>1.3890523108610275</c:v>
                </c:pt>
                <c:pt idx="63">
                  <c:v>1.3942549838656868</c:v>
                </c:pt>
                <c:pt idx="64">
                  <c:v>1.3996005495776576</c:v>
                </c:pt>
                <c:pt idx="65">
                  <c:v>1.4065400817423435</c:v>
                </c:pt>
                <c:pt idx="66">
                  <c:v>1.4121176934332107</c:v>
                </c:pt>
                <c:pt idx="67">
                  <c:v>1.4168162514917484</c:v>
                </c:pt>
                <c:pt idx="68">
                  <c:v>1.4238464064030725</c:v>
                </c:pt>
                <c:pt idx="69">
                  <c:v>1.429780200918819</c:v>
                </c:pt>
                <c:pt idx="70">
                  <c:v>1.4353722615666906</c:v>
                </c:pt>
                <c:pt idx="71">
                  <c:v>1.4412162475555748</c:v>
                </c:pt>
                <c:pt idx="72">
                  <c:v>1.4473776264827685</c:v>
                </c:pt>
                <c:pt idx="73">
                  <c:v>1.4536971355826744</c:v>
                </c:pt>
                <c:pt idx="74">
                  <c:v>1.4597105707014277</c:v>
                </c:pt>
                <c:pt idx="75">
                  <c:v>1.4665687306384698</c:v>
                </c:pt>
                <c:pt idx="76">
                  <c:v>1.4757793488614199</c:v>
                </c:pt>
                <c:pt idx="77">
                  <c:v>1.4821579044497786</c:v>
                </c:pt>
                <c:pt idx="78">
                  <c:v>1.4902789471933424</c:v>
                </c:pt>
                <c:pt idx="79">
                  <c:v>1.4989277221582458</c:v>
                </c:pt>
                <c:pt idx="80">
                  <c:v>1.5075338500549977</c:v>
                </c:pt>
                <c:pt idx="81">
                  <c:v>1.5155279554125518</c:v>
                </c:pt>
                <c:pt idx="82">
                  <c:v>1.5246925109634706</c:v>
                </c:pt>
                <c:pt idx="83">
                  <c:v>1.5335796432969784</c:v>
                </c:pt>
                <c:pt idx="84">
                  <c:v>1.5432503629676559</c:v>
                </c:pt>
                <c:pt idx="85">
                  <c:v>1.5550341808834891</c:v>
                </c:pt>
                <c:pt idx="86">
                  <c:v>1.5670670575533181</c:v>
                </c:pt>
                <c:pt idx="87">
                  <c:v>1.577269221556022</c:v>
                </c:pt>
                <c:pt idx="88">
                  <c:v>1.590371363291931</c:v>
                </c:pt>
                <c:pt idx="89">
                  <c:v>1.6020865854267861</c:v>
                </c:pt>
                <c:pt idx="90">
                  <c:v>1.6167547665228488</c:v>
                </c:pt>
                <c:pt idx="91">
                  <c:v>1.6303767508802662</c:v>
                </c:pt>
                <c:pt idx="92">
                  <c:v>1.6475550255981155</c:v>
                </c:pt>
                <c:pt idx="93">
                  <c:v>1.6645484092257672</c:v>
                </c:pt>
                <c:pt idx="94">
                  <c:v>1.6835301206802027</c:v>
                </c:pt>
                <c:pt idx="95">
                  <c:v>1.7074560362444295</c:v>
                </c:pt>
                <c:pt idx="96">
                  <c:v>1.7386615320678271</c:v>
                </c:pt>
                <c:pt idx="97">
                  <c:v>1.7743422601645338</c:v>
                </c:pt>
                <c:pt idx="98">
                  <c:v>1.8200855746231435</c:v>
                </c:pt>
                <c:pt idx="99">
                  <c:v>1.9083352343062223</c:v>
                </c:pt>
                <c:pt idx="100">
                  <c:v>2.3913858455880384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3-438C-941E-34108C40375A}"/>
            </c:ext>
          </c:extLst>
        </c:ser>
        <c:ser>
          <c:idx val="2"/>
          <c:order val="1"/>
          <c:tx>
            <c:strRef>
              <c:f>'Backtesting OZL'!$W$5</c:f>
              <c:strCache>
                <c:ptCount val="1"/>
                <c:pt idx="0">
                  <c:v>FY23 theo.</c:v>
                </c:pt>
              </c:strCache>
            </c:strRef>
          </c:tx>
          <c:spPr>
            <a:ln w="28575" cap="rnd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OZL'!$W$6:$W$106</c:f>
              <c:numCache>
                <c:formatCode>General</c:formatCode>
                <c:ptCount val="101"/>
                <c:pt idx="0">
                  <c:v>0.85598854086274645</c:v>
                </c:pt>
                <c:pt idx="1">
                  <c:v>1.0486969840889431</c:v>
                </c:pt>
                <c:pt idx="2">
                  <c:v>1.0802653312689234</c:v>
                </c:pt>
                <c:pt idx="3">
                  <c:v>1.1032987327806081</c:v>
                </c:pt>
                <c:pt idx="4">
                  <c:v>1.125077902781646</c:v>
                </c:pt>
                <c:pt idx="5">
                  <c:v>1.1372665098722889</c:v>
                </c:pt>
                <c:pt idx="6">
                  <c:v>1.1502801260450566</c:v>
                </c:pt>
                <c:pt idx="7">
                  <c:v>1.1619913930543886</c:v>
                </c:pt>
                <c:pt idx="8">
                  <c:v>1.171354727534468</c:v>
                </c:pt>
                <c:pt idx="9">
                  <c:v>1.1801947785623792</c:v>
                </c:pt>
                <c:pt idx="10">
                  <c:v>1.1900552301966842</c:v>
                </c:pt>
                <c:pt idx="11">
                  <c:v>1.1975980963588218</c:v>
                </c:pt>
                <c:pt idx="12">
                  <c:v>1.204683186414955</c:v>
                </c:pt>
                <c:pt idx="13">
                  <c:v>1.2119497107857533</c:v>
                </c:pt>
                <c:pt idx="14">
                  <c:v>1.2195003297179561</c:v>
                </c:pt>
                <c:pt idx="15">
                  <c:v>1.2270834063640781</c:v>
                </c:pt>
                <c:pt idx="16">
                  <c:v>1.2343312884520166</c:v>
                </c:pt>
                <c:pt idx="17">
                  <c:v>1.2417978719907234</c:v>
                </c:pt>
                <c:pt idx="18">
                  <c:v>1.2486432408450439</c:v>
                </c:pt>
                <c:pt idx="19">
                  <c:v>1.2538405640477637</c:v>
                </c:pt>
                <c:pt idx="20">
                  <c:v>1.2611571235609773</c:v>
                </c:pt>
                <c:pt idx="21">
                  <c:v>1.2666464352031859</c:v>
                </c:pt>
                <c:pt idx="22">
                  <c:v>1.2731748339067892</c:v>
                </c:pt>
                <c:pt idx="23">
                  <c:v>1.2783039934098701</c:v>
                </c:pt>
                <c:pt idx="24">
                  <c:v>1.2841618179961956</c:v>
                </c:pt>
                <c:pt idx="25">
                  <c:v>1.2886404091411288</c:v>
                </c:pt>
                <c:pt idx="26">
                  <c:v>1.2931935723436181</c:v>
                </c:pt>
                <c:pt idx="27">
                  <c:v>1.2974691459539978</c:v>
                </c:pt>
                <c:pt idx="28">
                  <c:v>1.3035052776455698</c:v>
                </c:pt>
                <c:pt idx="29">
                  <c:v>1.3096058376057997</c:v>
                </c:pt>
                <c:pt idx="30">
                  <c:v>1.3135743876877275</c:v>
                </c:pt>
                <c:pt idx="31">
                  <c:v>1.3181727312093003</c:v>
                </c:pt>
                <c:pt idx="32">
                  <c:v>1.3245530469539686</c:v>
                </c:pt>
                <c:pt idx="33">
                  <c:v>1.3300318332689927</c:v>
                </c:pt>
                <c:pt idx="34">
                  <c:v>1.335523181306586</c:v>
                </c:pt>
                <c:pt idx="35">
                  <c:v>1.3395257634022919</c:v>
                </c:pt>
                <c:pt idx="36">
                  <c:v>1.3468599171717037</c:v>
                </c:pt>
                <c:pt idx="37">
                  <c:v>1.3523682306161722</c:v>
                </c:pt>
                <c:pt idx="38">
                  <c:v>1.3577741633196292</c:v>
                </c:pt>
                <c:pt idx="39">
                  <c:v>1.3624775756733822</c:v>
                </c:pt>
                <c:pt idx="40">
                  <c:v>1.369718680713458</c:v>
                </c:pt>
                <c:pt idx="41">
                  <c:v>1.3746594476442684</c:v>
                </c:pt>
                <c:pt idx="42">
                  <c:v>1.3800202000286415</c:v>
                </c:pt>
                <c:pt idx="43">
                  <c:v>1.3847091301492194</c:v>
                </c:pt>
                <c:pt idx="44">
                  <c:v>1.3902650860431025</c:v>
                </c:pt>
                <c:pt idx="45">
                  <c:v>1.3964776456099068</c:v>
                </c:pt>
                <c:pt idx="46">
                  <c:v>1.4002343679358176</c:v>
                </c:pt>
                <c:pt idx="47">
                  <c:v>1.4070197747145212</c:v>
                </c:pt>
                <c:pt idx="48">
                  <c:v>1.4137878606921401</c:v>
                </c:pt>
                <c:pt idx="49">
                  <c:v>1.4188854751709794</c:v>
                </c:pt>
                <c:pt idx="50">
                  <c:v>1.4228277733580978</c:v>
                </c:pt>
                <c:pt idx="51">
                  <c:v>1.4291977060149978</c:v>
                </c:pt>
                <c:pt idx="52">
                  <c:v>1.4360790777202357</c:v>
                </c:pt>
                <c:pt idx="53">
                  <c:v>1.4401723148535717</c:v>
                </c:pt>
                <c:pt idx="54">
                  <c:v>1.4447313866578726</c:v>
                </c:pt>
                <c:pt idx="55">
                  <c:v>1.4511743700273396</c:v>
                </c:pt>
                <c:pt idx="56">
                  <c:v>1.4579378432149233</c:v>
                </c:pt>
                <c:pt idx="57">
                  <c:v>1.461410513827446</c:v>
                </c:pt>
                <c:pt idx="58">
                  <c:v>1.4676676900489427</c:v>
                </c:pt>
                <c:pt idx="59">
                  <c:v>1.4733479295013874</c:v>
                </c:pt>
                <c:pt idx="60">
                  <c:v>1.4789268860647449</c:v>
                </c:pt>
                <c:pt idx="61">
                  <c:v>1.4835798542204715</c:v>
                </c:pt>
                <c:pt idx="62">
                  <c:v>1.4915739238082775</c:v>
                </c:pt>
                <c:pt idx="63">
                  <c:v>1.4990997258637762</c:v>
                </c:pt>
                <c:pt idx="64">
                  <c:v>1.5049422344348764</c:v>
                </c:pt>
                <c:pt idx="65">
                  <c:v>1.5111653382052674</c:v>
                </c:pt>
                <c:pt idx="66">
                  <c:v>1.518658913828294</c:v>
                </c:pt>
                <c:pt idx="67">
                  <c:v>1.5245774503396643</c:v>
                </c:pt>
                <c:pt idx="68">
                  <c:v>1.5312607712527428</c:v>
                </c:pt>
                <c:pt idx="69">
                  <c:v>1.5401187031893362</c:v>
                </c:pt>
                <c:pt idx="70">
                  <c:v>1.547221424838003</c:v>
                </c:pt>
                <c:pt idx="71">
                  <c:v>1.5541612002034753</c:v>
                </c:pt>
                <c:pt idx="72">
                  <c:v>1.5618009928062893</c:v>
                </c:pt>
                <c:pt idx="73">
                  <c:v>1.5673737113299606</c:v>
                </c:pt>
                <c:pt idx="74">
                  <c:v>1.575683004523067</c:v>
                </c:pt>
                <c:pt idx="75">
                  <c:v>1.5837902326855544</c:v>
                </c:pt>
                <c:pt idx="76">
                  <c:v>1.5910308859224394</c:v>
                </c:pt>
                <c:pt idx="77">
                  <c:v>1.5994759861229915</c:v>
                </c:pt>
                <c:pt idx="78">
                  <c:v>1.6088032767905494</c:v>
                </c:pt>
                <c:pt idx="79">
                  <c:v>1.6196295863216121</c:v>
                </c:pt>
                <c:pt idx="80">
                  <c:v>1.630972883682076</c:v>
                </c:pt>
                <c:pt idx="81">
                  <c:v>1.6397542272066838</c:v>
                </c:pt>
                <c:pt idx="82">
                  <c:v>1.652503854636026</c:v>
                </c:pt>
                <c:pt idx="83">
                  <c:v>1.6654351594583696</c:v>
                </c:pt>
                <c:pt idx="84">
                  <c:v>1.6772386246271753</c:v>
                </c:pt>
                <c:pt idx="85">
                  <c:v>1.6880915563453438</c:v>
                </c:pt>
                <c:pt idx="86">
                  <c:v>1.7005753639745849</c:v>
                </c:pt>
                <c:pt idx="87">
                  <c:v>1.7108487157347789</c:v>
                </c:pt>
                <c:pt idx="88">
                  <c:v>1.7253926503464068</c:v>
                </c:pt>
                <c:pt idx="89">
                  <c:v>1.7368325833721014</c:v>
                </c:pt>
                <c:pt idx="90">
                  <c:v>1.7528027429745754</c:v>
                </c:pt>
                <c:pt idx="91">
                  <c:v>1.7722349347609823</c:v>
                </c:pt>
                <c:pt idx="92">
                  <c:v>1.7892026328853858</c:v>
                </c:pt>
                <c:pt idx="93">
                  <c:v>1.8106173818739388</c:v>
                </c:pt>
                <c:pt idx="94">
                  <c:v>1.8361087723737537</c:v>
                </c:pt>
                <c:pt idx="95">
                  <c:v>1.8684988592785829</c:v>
                </c:pt>
                <c:pt idx="96">
                  <c:v>1.9081449764046885</c:v>
                </c:pt>
                <c:pt idx="97">
                  <c:v>1.9461949179640894</c:v>
                </c:pt>
                <c:pt idx="98">
                  <c:v>2.0083991797274612</c:v>
                </c:pt>
                <c:pt idx="99">
                  <c:v>2.122462483939592</c:v>
                </c:pt>
                <c:pt idx="100">
                  <c:v>2.7009951455136227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3-438C-941E-34108C40375A}"/>
            </c:ext>
          </c:extLst>
        </c:ser>
        <c:ser>
          <c:idx val="1"/>
          <c:order val="2"/>
          <c:tx>
            <c:strRef>
              <c:f>'Backtesting OZL'!$V$5</c:f>
              <c:strCache>
                <c:ptCount val="1"/>
                <c:pt idx="0">
                  <c:v>FY22 theo.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OZL'!$V$6:$V$106</c:f>
              <c:numCache>
                <c:formatCode>General</c:formatCode>
                <c:ptCount val="101"/>
                <c:pt idx="0">
                  <c:v>0.84020092224006537</c:v>
                </c:pt>
                <c:pt idx="1">
                  <c:v>0.96307992122753894</c:v>
                </c:pt>
                <c:pt idx="2">
                  <c:v>0.98911910421807347</c:v>
                </c:pt>
                <c:pt idx="3">
                  <c:v>1.00729071441586</c:v>
                </c:pt>
                <c:pt idx="4">
                  <c:v>1.0199375384462712</c:v>
                </c:pt>
                <c:pt idx="5">
                  <c:v>1.0308915697559984</c:v>
                </c:pt>
                <c:pt idx="6">
                  <c:v>1.0409334662678584</c:v>
                </c:pt>
                <c:pt idx="7">
                  <c:v>1.0493361050775969</c:v>
                </c:pt>
                <c:pt idx="8">
                  <c:v>1.0565109446180805</c:v>
                </c:pt>
                <c:pt idx="9">
                  <c:v>1.0640716887206085</c:v>
                </c:pt>
                <c:pt idx="10">
                  <c:v>1.0704482944389699</c:v>
                </c:pt>
                <c:pt idx="11">
                  <c:v>1.0757659606192682</c:v>
                </c:pt>
                <c:pt idx="12">
                  <c:v>1.0831860131475268</c:v>
                </c:pt>
                <c:pt idx="13">
                  <c:v>1.0893318134656158</c:v>
                </c:pt>
                <c:pt idx="14">
                  <c:v>1.0942020657192633</c:v>
                </c:pt>
                <c:pt idx="15">
                  <c:v>1.0992491366721133</c:v>
                </c:pt>
                <c:pt idx="16">
                  <c:v>1.1034554481744561</c:v>
                </c:pt>
                <c:pt idx="17">
                  <c:v>1.1082508079082114</c:v>
                </c:pt>
                <c:pt idx="18">
                  <c:v>1.1134945691348601</c:v>
                </c:pt>
                <c:pt idx="19">
                  <c:v>1.1174743277563921</c:v>
                </c:pt>
                <c:pt idx="20">
                  <c:v>1.1222195793916849</c:v>
                </c:pt>
                <c:pt idx="21">
                  <c:v>1.1267789511611508</c:v>
                </c:pt>
                <c:pt idx="22">
                  <c:v>1.1314992528385917</c:v>
                </c:pt>
                <c:pt idx="23">
                  <c:v>1.1361352824164686</c:v>
                </c:pt>
                <c:pt idx="24">
                  <c:v>1.1401750321009774</c:v>
                </c:pt>
                <c:pt idx="25">
                  <c:v>1.1441446644674687</c:v>
                </c:pt>
                <c:pt idx="26">
                  <c:v>1.14791492431052</c:v>
                </c:pt>
                <c:pt idx="27">
                  <c:v>1.151692976066448</c:v>
                </c:pt>
                <c:pt idx="28">
                  <c:v>1.1553424543172328</c:v>
                </c:pt>
                <c:pt idx="29">
                  <c:v>1.1593118850915605</c:v>
                </c:pt>
                <c:pt idx="30">
                  <c:v>1.1634598933447939</c:v>
                </c:pt>
                <c:pt idx="31">
                  <c:v>1.1667661796124127</c:v>
                </c:pt>
                <c:pt idx="32">
                  <c:v>1.1702176063075178</c:v>
                </c:pt>
                <c:pt idx="33">
                  <c:v>1.1743711761980806</c:v>
                </c:pt>
                <c:pt idx="34">
                  <c:v>1.1783078256677604</c:v>
                </c:pt>
                <c:pt idx="35">
                  <c:v>1.1821279287556512</c:v>
                </c:pt>
                <c:pt idx="36">
                  <c:v>1.1858398695432872</c:v>
                </c:pt>
                <c:pt idx="37">
                  <c:v>1.1898278554524027</c:v>
                </c:pt>
                <c:pt idx="38">
                  <c:v>1.1940213467080159</c:v>
                </c:pt>
                <c:pt idx="39">
                  <c:v>1.1978336295282181</c:v>
                </c:pt>
                <c:pt idx="40">
                  <c:v>1.2017812140722102</c:v>
                </c:pt>
                <c:pt idx="41">
                  <c:v>1.2051396979890774</c:v>
                </c:pt>
                <c:pt idx="42">
                  <c:v>1.2087821048077696</c:v>
                </c:pt>
                <c:pt idx="43">
                  <c:v>1.2126640000586397</c:v>
                </c:pt>
                <c:pt idx="44">
                  <c:v>1.2166877822574209</c:v>
                </c:pt>
                <c:pt idx="45">
                  <c:v>1.220347604717124</c:v>
                </c:pt>
                <c:pt idx="46">
                  <c:v>1.2239191832235048</c:v>
                </c:pt>
                <c:pt idx="47">
                  <c:v>1.2276568384916042</c:v>
                </c:pt>
                <c:pt idx="48">
                  <c:v>1.2319176417105866</c:v>
                </c:pt>
                <c:pt idx="49">
                  <c:v>1.2362716680236487</c:v>
                </c:pt>
                <c:pt idx="50">
                  <c:v>1.2398247855893638</c:v>
                </c:pt>
                <c:pt idx="51">
                  <c:v>1.2436157144972442</c:v>
                </c:pt>
                <c:pt idx="52">
                  <c:v>1.2477492146793552</c:v>
                </c:pt>
                <c:pt idx="53">
                  <c:v>1.2520678950512383</c:v>
                </c:pt>
                <c:pt idx="54">
                  <c:v>1.2559191042412228</c:v>
                </c:pt>
                <c:pt idx="55">
                  <c:v>1.259479955330747</c:v>
                </c:pt>
                <c:pt idx="56">
                  <c:v>1.2646156346842723</c:v>
                </c:pt>
                <c:pt idx="57">
                  <c:v>1.2685108810241086</c:v>
                </c:pt>
                <c:pt idx="58">
                  <c:v>1.2731456424610359</c:v>
                </c:pt>
                <c:pt idx="59">
                  <c:v>1.2782909189230132</c:v>
                </c:pt>
                <c:pt idx="60">
                  <c:v>1.2831186577031422</c:v>
                </c:pt>
                <c:pt idx="61">
                  <c:v>1.2882469951079543</c:v>
                </c:pt>
                <c:pt idx="62">
                  <c:v>1.2920689837851318</c:v>
                </c:pt>
                <c:pt idx="63">
                  <c:v>1.2971905650013573</c:v>
                </c:pt>
                <c:pt idx="64">
                  <c:v>1.3015357090147042</c:v>
                </c:pt>
                <c:pt idx="65">
                  <c:v>1.3059972831188953</c:v>
                </c:pt>
                <c:pt idx="66">
                  <c:v>1.3109414800972099</c:v>
                </c:pt>
                <c:pt idx="67">
                  <c:v>1.3166204337111118</c:v>
                </c:pt>
                <c:pt idx="68">
                  <c:v>1.3219693644335477</c:v>
                </c:pt>
                <c:pt idx="69">
                  <c:v>1.3275191577059144</c:v>
                </c:pt>
                <c:pt idx="70">
                  <c:v>1.3331747425387508</c:v>
                </c:pt>
                <c:pt idx="71">
                  <c:v>1.3384657635416537</c:v>
                </c:pt>
                <c:pt idx="72">
                  <c:v>1.3443188479676584</c:v>
                </c:pt>
                <c:pt idx="73">
                  <c:v>1.3499934938498808</c:v>
                </c:pt>
                <c:pt idx="74">
                  <c:v>1.3557592479345038</c:v>
                </c:pt>
                <c:pt idx="75">
                  <c:v>1.3615887069443906</c:v>
                </c:pt>
                <c:pt idx="76">
                  <c:v>1.3669590168472918</c:v>
                </c:pt>
                <c:pt idx="77">
                  <c:v>1.3730591114030331</c:v>
                </c:pt>
                <c:pt idx="78">
                  <c:v>1.3790586542735965</c:v>
                </c:pt>
                <c:pt idx="79">
                  <c:v>1.3863424427402304</c:v>
                </c:pt>
                <c:pt idx="80">
                  <c:v>1.3933817428582511</c:v>
                </c:pt>
                <c:pt idx="81">
                  <c:v>1.4014472121087975</c:v>
                </c:pt>
                <c:pt idx="82">
                  <c:v>1.4091807829743974</c:v>
                </c:pt>
                <c:pt idx="83">
                  <c:v>1.4168643949410162</c:v>
                </c:pt>
                <c:pt idx="84">
                  <c:v>1.4255105179239234</c:v>
                </c:pt>
                <c:pt idx="85">
                  <c:v>1.4352440672144502</c:v>
                </c:pt>
                <c:pt idx="86">
                  <c:v>1.445234052711226</c:v>
                </c:pt>
                <c:pt idx="87">
                  <c:v>1.4546565721987335</c:v>
                </c:pt>
                <c:pt idx="88">
                  <c:v>1.4661748981205394</c:v>
                </c:pt>
                <c:pt idx="89">
                  <c:v>1.4767289394501959</c:v>
                </c:pt>
                <c:pt idx="90">
                  <c:v>1.4897542852858139</c:v>
                </c:pt>
                <c:pt idx="91">
                  <c:v>1.5037189118152723</c:v>
                </c:pt>
                <c:pt idx="92">
                  <c:v>1.5166523994973409</c:v>
                </c:pt>
                <c:pt idx="93">
                  <c:v>1.5353070067249543</c:v>
                </c:pt>
                <c:pt idx="94">
                  <c:v>1.5580246434491485</c:v>
                </c:pt>
                <c:pt idx="95">
                  <c:v>1.580430925253931</c:v>
                </c:pt>
                <c:pt idx="96">
                  <c:v>1.6061381149908645</c:v>
                </c:pt>
                <c:pt idx="97">
                  <c:v>1.6356102914105184</c:v>
                </c:pt>
                <c:pt idx="98">
                  <c:v>1.6813850452822907</c:v>
                </c:pt>
                <c:pt idx="99">
                  <c:v>1.7537707952672481</c:v>
                </c:pt>
                <c:pt idx="100">
                  <c:v>2.2718412243593828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83-438C-941E-34108C40375A}"/>
            </c:ext>
          </c:extLst>
        </c:ser>
        <c:ser>
          <c:idx val="0"/>
          <c:order val="3"/>
          <c:tx>
            <c:strRef>
              <c:f>'Backtesting OZL'!$U$5</c:f>
              <c:strCache>
                <c:ptCount val="1"/>
                <c:pt idx="0">
                  <c:v>FY21 theo.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1883-438C-941E-34108C40375A}"/>
              </c:ext>
            </c:extLst>
          </c:dPt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OZL'!$U$6:$U$106</c:f>
              <c:numCache>
                <c:formatCode>General</c:formatCode>
                <c:ptCount val="101"/>
                <c:pt idx="0">
                  <c:v>0.90871792822762854</c:v>
                </c:pt>
                <c:pt idx="1">
                  <c:v>1.002327563622444</c:v>
                </c:pt>
                <c:pt idx="2">
                  <c:v>1.0281010586672783</c:v>
                </c:pt>
                <c:pt idx="3">
                  <c:v>1.041535677123743</c:v>
                </c:pt>
                <c:pt idx="4">
                  <c:v>1.0531427039246357</c:v>
                </c:pt>
                <c:pt idx="5">
                  <c:v>1.0633498923909515</c:v>
                </c:pt>
                <c:pt idx="6">
                  <c:v>1.0715459968549692</c:v>
                </c:pt>
                <c:pt idx="7">
                  <c:v>1.0802357741089565</c:v>
                </c:pt>
                <c:pt idx="8">
                  <c:v>1.0869695628313993</c:v>
                </c:pt>
                <c:pt idx="9">
                  <c:v>1.092949144236647</c:v>
                </c:pt>
                <c:pt idx="10">
                  <c:v>1.0992623918436912</c:v>
                </c:pt>
                <c:pt idx="11">
                  <c:v>1.1046007719948943</c:v>
                </c:pt>
                <c:pt idx="12">
                  <c:v>1.1099845670827793</c:v>
                </c:pt>
                <c:pt idx="13">
                  <c:v>1.114237885412205</c:v>
                </c:pt>
                <c:pt idx="14">
                  <c:v>1.1189003031895117</c:v>
                </c:pt>
                <c:pt idx="15">
                  <c:v>1.1235006685890268</c:v>
                </c:pt>
                <c:pt idx="16">
                  <c:v>1.128820217023726</c:v>
                </c:pt>
                <c:pt idx="17">
                  <c:v>1.1332727622825831</c:v>
                </c:pt>
                <c:pt idx="18">
                  <c:v>1.1377767486247852</c:v>
                </c:pt>
                <c:pt idx="19">
                  <c:v>1.1418104430790326</c:v>
                </c:pt>
                <c:pt idx="20">
                  <c:v>1.1459007298876787</c:v>
                </c:pt>
                <c:pt idx="21">
                  <c:v>1.1503332479800097</c:v>
                </c:pt>
                <c:pt idx="22">
                  <c:v>1.1537517628200553</c:v>
                </c:pt>
                <c:pt idx="23">
                  <c:v>1.1574189295230632</c:v>
                </c:pt>
                <c:pt idx="24">
                  <c:v>1.1612880515623067</c:v>
                </c:pt>
                <c:pt idx="25">
                  <c:v>1.1649699044925577</c:v>
                </c:pt>
                <c:pt idx="26">
                  <c:v>1.1686415146362303</c:v>
                </c:pt>
                <c:pt idx="27">
                  <c:v>1.1725299450588811</c:v>
                </c:pt>
                <c:pt idx="28">
                  <c:v>1.176663760678994</c:v>
                </c:pt>
                <c:pt idx="29">
                  <c:v>1.1801775117965529</c:v>
                </c:pt>
                <c:pt idx="30">
                  <c:v>1.1836793626157591</c:v>
                </c:pt>
                <c:pt idx="31">
                  <c:v>1.1868065890671511</c:v>
                </c:pt>
                <c:pt idx="32">
                  <c:v>1.1902967372872346</c:v>
                </c:pt>
                <c:pt idx="33">
                  <c:v>1.1932042516325254</c:v>
                </c:pt>
                <c:pt idx="34">
                  <c:v>1.1965709912666993</c:v>
                </c:pt>
                <c:pt idx="35">
                  <c:v>1.200022447351434</c:v>
                </c:pt>
                <c:pt idx="36">
                  <c:v>1.2032421379196756</c:v>
                </c:pt>
                <c:pt idx="37">
                  <c:v>1.2072056246870724</c:v>
                </c:pt>
                <c:pt idx="38">
                  <c:v>1.2108680723914322</c:v>
                </c:pt>
                <c:pt idx="39">
                  <c:v>1.2145073411205503</c:v>
                </c:pt>
                <c:pt idx="40">
                  <c:v>1.2177613363588575</c:v>
                </c:pt>
                <c:pt idx="41">
                  <c:v>1.2208748890621242</c:v>
                </c:pt>
                <c:pt idx="42">
                  <c:v>1.2252007952454322</c:v>
                </c:pt>
                <c:pt idx="43">
                  <c:v>1.2290297293982682</c:v>
                </c:pt>
                <c:pt idx="44">
                  <c:v>1.2324965017114851</c:v>
                </c:pt>
                <c:pt idx="45">
                  <c:v>1.2362442520621559</c:v>
                </c:pt>
                <c:pt idx="46">
                  <c:v>1.2399249174560854</c:v>
                </c:pt>
                <c:pt idx="47">
                  <c:v>1.2434332548444935</c:v>
                </c:pt>
                <c:pt idx="48">
                  <c:v>1.2469598308213343</c:v>
                </c:pt>
                <c:pt idx="49">
                  <c:v>1.2503350286719768</c:v>
                </c:pt>
                <c:pt idx="50">
                  <c:v>1.2539492219818413</c:v>
                </c:pt>
                <c:pt idx="51">
                  <c:v>1.2578040527834959</c:v>
                </c:pt>
                <c:pt idx="52">
                  <c:v>1.262157975836824</c:v>
                </c:pt>
                <c:pt idx="53">
                  <c:v>1.2663166585224992</c:v>
                </c:pt>
                <c:pt idx="54">
                  <c:v>1.2701777280608413</c:v>
                </c:pt>
                <c:pt idx="55">
                  <c:v>1.2737831695324506</c:v>
                </c:pt>
                <c:pt idx="56">
                  <c:v>1.2774249814554002</c:v>
                </c:pt>
                <c:pt idx="57">
                  <c:v>1.281318727113415</c:v>
                </c:pt>
                <c:pt idx="58">
                  <c:v>1.2851402109817096</c:v>
                </c:pt>
                <c:pt idx="59">
                  <c:v>1.2889654014325709</c:v>
                </c:pt>
                <c:pt idx="60">
                  <c:v>1.2927950455003208</c:v>
                </c:pt>
                <c:pt idx="61">
                  <c:v>1.2968604703798026</c:v>
                </c:pt>
                <c:pt idx="62">
                  <c:v>1.3004463997045284</c:v>
                </c:pt>
                <c:pt idx="63">
                  <c:v>1.3049861460608569</c:v>
                </c:pt>
                <c:pt idx="64">
                  <c:v>1.3083904609237542</c:v>
                </c:pt>
                <c:pt idx="65">
                  <c:v>1.312186608794597</c:v>
                </c:pt>
                <c:pt idx="66">
                  <c:v>1.3168319987851855</c:v>
                </c:pt>
                <c:pt idx="67">
                  <c:v>1.3224095508367764</c:v>
                </c:pt>
                <c:pt idx="68">
                  <c:v>1.3275180905717789</c:v>
                </c:pt>
                <c:pt idx="69">
                  <c:v>1.3317573356345558</c:v>
                </c:pt>
                <c:pt idx="70">
                  <c:v>1.3367088572876205</c:v>
                </c:pt>
                <c:pt idx="71">
                  <c:v>1.3418930630858048</c:v>
                </c:pt>
                <c:pt idx="72">
                  <c:v>1.3460576630620495</c:v>
                </c:pt>
                <c:pt idx="73">
                  <c:v>1.3507600432210847</c:v>
                </c:pt>
                <c:pt idx="74">
                  <c:v>1.3559285455860912</c:v>
                </c:pt>
                <c:pt idx="75">
                  <c:v>1.3623549024118429</c:v>
                </c:pt>
                <c:pt idx="76">
                  <c:v>1.3679115075039336</c:v>
                </c:pt>
                <c:pt idx="77">
                  <c:v>1.3741240228538287</c:v>
                </c:pt>
                <c:pt idx="78">
                  <c:v>1.3802131056509899</c:v>
                </c:pt>
                <c:pt idx="79">
                  <c:v>1.3864562452443752</c:v>
                </c:pt>
                <c:pt idx="80">
                  <c:v>1.3924812261639288</c:v>
                </c:pt>
                <c:pt idx="81">
                  <c:v>1.3989781937523103</c:v>
                </c:pt>
                <c:pt idx="82">
                  <c:v>1.4078367873098665</c:v>
                </c:pt>
                <c:pt idx="83">
                  <c:v>1.4157965710723526</c:v>
                </c:pt>
                <c:pt idx="84">
                  <c:v>1.4227471974303718</c:v>
                </c:pt>
                <c:pt idx="85">
                  <c:v>1.4316635732926799</c:v>
                </c:pt>
                <c:pt idx="86">
                  <c:v>1.4400694485312433</c:v>
                </c:pt>
                <c:pt idx="87">
                  <c:v>1.4488016173716833</c:v>
                </c:pt>
                <c:pt idx="88">
                  <c:v>1.458323461974163</c:v>
                </c:pt>
                <c:pt idx="89">
                  <c:v>1.4685548377395408</c:v>
                </c:pt>
                <c:pt idx="90">
                  <c:v>1.4796590516902683</c:v>
                </c:pt>
                <c:pt idx="91">
                  <c:v>1.4899898909363194</c:v>
                </c:pt>
                <c:pt idx="92">
                  <c:v>1.5026629146401353</c:v>
                </c:pt>
                <c:pt idx="93">
                  <c:v>1.5156853116845705</c:v>
                </c:pt>
                <c:pt idx="94">
                  <c:v>1.5317511094078329</c:v>
                </c:pt>
                <c:pt idx="95">
                  <c:v>1.5481905537225693</c:v>
                </c:pt>
                <c:pt idx="96">
                  <c:v>1.5669626052330263</c:v>
                </c:pt>
                <c:pt idx="97">
                  <c:v>1.5926897248469993</c:v>
                </c:pt>
                <c:pt idx="98">
                  <c:v>1.637164217240354</c:v>
                </c:pt>
                <c:pt idx="99">
                  <c:v>1.698698668260801</c:v>
                </c:pt>
                <c:pt idx="100">
                  <c:v>2.0878127217335138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83-438C-941E-34108C40375A}"/>
            </c:ext>
          </c:extLst>
        </c:ser>
        <c:ser>
          <c:idx val="8"/>
          <c:order val="4"/>
          <c:tx>
            <c:strRef>
              <c:f>'Backtesting OZL'!$T$5</c:f>
              <c:strCache>
                <c:ptCount val="1"/>
                <c:pt idx="0">
                  <c:v>FY20 theo.</c:v>
                </c:pt>
              </c:strCache>
            </c:strRef>
          </c:tx>
          <c:spPr>
            <a:ln w="28575"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none"/>
          </c:marker>
          <c:val>
            <c:numRef>
              <c:f>'Backtesting OZL'!$T$6:$T$106</c:f>
              <c:numCache>
                <c:formatCode>General</c:formatCode>
                <c:ptCount val="101"/>
                <c:pt idx="0">
                  <c:v>0.81911729531132949</c:v>
                </c:pt>
                <c:pt idx="1">
                  <c:v>0.90141022293764284</c:v>
                </c:pt>
                <c:pt idx="2">
                  <c:v>0.92012027212924852</c:v>
                </c:pt>
                <c:pt idx="3">
                  <c:v>0.93152652444441131</c:v>
                </c:pt>
                <c:pt idx="4">
                  <c:v>0.94113375795653953</c:v>
                </c:pt>
                <c:pt idx="5">
                  <c:v>0.94985301723903193</c:v>
                </c:pt>
                <c:pt idx="6">
                  <c:v>0.95854010498947317</c:v>
                </c:pt>
                <c:pt idx="7">
                  <c:v>0.96452854707313906</c:v>
                </c:pt>
                <c:pt idx="8">
                  <c:v>0.97219109710707907</c:v>
                </c:pt>
                <c:pt idx="9">
                  <c:v>0.97826911771942993</c:v>
                </c:pt>
                <c:pt idx="10">
                  <c:v>0.9838210938188009</c:v>
                </c:pt>
                <c:pt idx="11">
                  <c:v>0.98917353745651204</c:v>
                </c:pt>
                <c:pt idx="12">
                  <c:v>0.99325476450561567</c:v>
                </c:pt>
                <c:pt idx="13">
                  <c:v>0.99807432388011674</c:v>
                </c:pt>
                <c:pt idx="14">
                  <c:v>1.0025841797032917</c:v>
                </c:pt>
                <c:pt idx="15">
                  <c:v>1.0072119493779794</c:v>
                </c:pt>
                <c:pt idx="16">
                  <c:v>1.0114556889026454</c:v>
                </c:pt>
                <c:pt idx="17">
                  <c:v>1.0159655123498437</c:v>
                </c:pt>
                <c:pt idx="18">
                  <c:v>1.0198012897724731</c:v>
                </c:pt>
                <c:pt idx="19">
                  <c:v>1.0241153601732322</c:v>
                </c:pt>
                <c:pt idx="20">
                  <c:v>1.0278409785246818</c:v>
                </c:pt>
                <c:pt idx="21">
                  <c:v>1.032052701666305</c:v>
                </c:pt>
                <c:pt idx="22">
                  <c:v>1.0364042637092072</c:v>
                </c:pt>
                <c:pt idx="23">
                  <c:v>1.0399594462453305</c:v>
                </c:pt>
                <c:pt idx="24">
                  <c:v>1.043945444703867</c:v>
                </c:pt>
                <c:pt idx="25">
                  <c:v>1.0472711099422358</c:v>
                </c:pt>
                <c:pt idx="26">
                  <c:v>1.0509967282936847</c:v>
                </c:pt>
                <c:pt idx="27">
                  <c:v>1.0541624168138066</c:v>
                </c:pt>
                <c:pt idx="28">
                  <c:v>1.0575632199149632</c:v>
                </c:pt>
                <c:pt idx="29">
                  <c:v>1.0616181392964703</c:v>
                </c:pt>
                <c:pt idx="30">
                  <c:v>1.0647795948046495</c:v>
                </c:pt>
                <c:pt idx="31">
                  <c:v>1.0677402699252705</c:v>
                </c:pt>
                <c:pt idx="32">
                  <c:v>1.0713811949559002</c:v>
                </c:pt>
                <c:pt idx="33">
                  <c:v>1.0748584399940542</c:v>
                </c:pt>
                <c:pt idx="34">
                  <c:v>1.0775569693495515</c:v>
                </c:pt>
                <c:pt idx="35">
                  <c:v>1.0806142328752342</c:v>
                </c:pt>
                <c:pt idx="36">
                  <c:v>1.0834645541465768</c:v>
                </c:pt>
                <c:pt idx="37">
                  <c:v>1.0871789047896798</c:v>
                </c:pt>
                <c:pt idx="38">
                  <c:v>1.0900047381002584</c:v>
                </c:pt>
                <c:pt idx="39">
                  <c:v>1.093602274109323</c:v>
                </c:pt>
                <c:pt idx="40">
                  <c:v>1.0971158564995525</c:v>
                </c:pt>
                <c:pt idx="41">
                  <c:v>1.1005798568072822</c:v>
                </c:pt>
                <c:pt idx="42">
                  <c:v>1.1038699548626283</c:v>
                </c:pt>
                <c:pt idx="43">
                  <c:v>1.1066466097112877</c:v>
                </c:pt>
                <c:pt idx="44">
                  <c:v>1.1096090775840435</c:v>
                </c:pt>
                <c:pt idx="45">
                  <c:v>1.1130163578496435</c:v>
                </c:pt>
                <c:pt idx="46">
                  <c:v>1.115894755203056</c:v>
                </c:pt>
                <c:pt idx="47">
                  <c:v>1.1190943784619947</c:v>
                </c:pt>
                <c:pt idx="48">
                  <c:v>1.1217723218005926</c:v>
                </c:pt>
                <c:pt idx="49">
                  <c:v>1.1256496023749267</c:v>
                </c:pt>
                <c:pt idx="50">
                  <c:v>1.1283372442841972</c:v>
                </c:pt>
                <c:pt idx="51">
                  <c:v>1.1317388906956238</c:v>
                </c:pt>
                <c:pt idx="52">
                  <c:v>1.135166070826348</c:v>
                </c:pt>
                <c:pt idx="53">
                  <c:v>1.1383330295579217</c:v>
                </c:pt>
                <c:pt idx="54">
                  <c:v>1.1422501282309978</c:v>
                </c:pt>
                <c:pt idx="55">
                  <c:v>1.1468461320847365</c:v>
                </c:pt>
                <c:pt idx="56">
                  <c:v>1.1511953279088858</c:v>
                </c:pt>
                <c:pt idx="57">
                  <c:v>1.1542733071444278</c:v>
                </c:pt>
                <c:pt idx="58">
                  <c:v>1.1577618195301642</c:v>
                </c:pt>
                <c:pt idx="59">
                  <c:v>1.1615943457585229</c:v>
                </c:pt>
                <c:pt idx="60">
                  <c:v>1.1652499350260956</c:v>
                </c:pt>
                <c:pt idx="61">
                  <c:v>1.1687991015785184</c:v>
                </c:pt>
                <c:pt idx="62">
                  <c:v>1.173165280295529</c:v>
                </c:pt>
                <c:pt idx="63">
                  <c:v>1.1768363422500638</c:v>
                </c:pt>
                <c:pt idx="64">
                  <c:v>1.1807847069878949</c:v>
                </c:pt>
                <c:pt idx="65">
                  <c:v>1.1847379316315994</c:v>
                </c:pt>
                <c:pt idx="66">
                  <c:v>1.189214310452855</c:v>
                </c:pt>
                <c:pt idx="67">
                  <c:v>1.19234803354923</c:v>
                </c:pt>
                <c:pt idx="68">
                  <c:v>1.1958566973649847</c:v>
                </c:pt>
                <c:pt idx="69">
                  <c:v>1.2004740998307892</c:v>
                </c:pt>
                <c:pt idx="70">
                  <c:v>1.2054024891168675</c:v>
                </c:pt>
                <c:pt idx="71">
                  <c:v>1.2105272417807296</c:v>
                </c:pt>
                <c:pt idx="72">
                  <c:v>1.2150405980907191</c:v>
                </c:pt>
                <c:pt idx="73">
                  <c:v>1.2195850103673369</c:v>
                </c:pt>
                <c:pt idx="74">
                  <c:v>1.2236355495092208</c:v>
                </c:pt>
                <c:pt idx="75">
                  <c:v>1.2281370278435166</c:v>
                </c:pt>
                <c:pt idx="76">
                  <c:v>1.2329938530078801</c:v>
                </c:pt>
                <c:pt idx="77">
                  <c:v>1.2385943328924416</c:v>
                </c:pt>
                <c:pt idx="78">
                  <c:v>1.2442067823428813</c:v>
                </c:pt>
                <c:pt idx="79">
                  <c:v>1.2501566780579223</c:v>
                </c:pt>
                <c:pt idx="80">
                  <c:v>1.2549802776336798</c:v>
                </c:pt>
                <c:pt idx="81">
                  <c:v>1.2604551883627813</c:v>
                </c:pt>
                <c:pt idx="82">
                  <c:v>1.2670837053950781</c:v>
                </c:pt>
                <c:pt idx="83">
                  <c:v>1.2738178524336334</c:v>
                </c:pt>
                <c:pt idx="84">
                  <c:v>1.2799295921902891</c:v>
                </c:pt>
                <c:pt idx="85">
                  <c:v>1.2878221446425093</c:v>
                </c:pt>
                <c:pt idx="86">
                  <c:v>1.2971805786616615</c:v>
                </c:pt>
                <c:pt idx="87">
                  <c:v>1.3047000521533583</c:v>
                </c:pt>
                <c:pt idx="88">
                  <c:v>1.3125159292923649</c:v>
                </c:pt>
                <c:pt idx="89">
                  <c:v>1.3226908410316323</c:v>
                </c:pt>
                <c:pt idx="90">
                  <c:v>1.332976855573009</c:v>
                </c:pt>
                <c:pt idx="91">
                  <c:v>1.3447378859549666</c:v>
                </c:pt>
                <c:pt idx="92">
                  <c:v>1.3590551974198264</c:v>
                </c:pt>
                <c:pt idx="93">
                  <c:v>1.3714983846555937</c:v>
                </c:pt>
                <c:pt idx="94">
                  <c:v>1.3886491266284524</c:v>
                </c:pt>
                <c:pt idx="95">
                  <c:v>1.4059507549812771</c:v>
                </c:pt>
                <c:pt idx="96">
                  <c:v>1.4272875611684301</c:v>
                </c:pt>
                <c:pt idx="97">
                  <c:v>1.4529746279743212</c:v>
                </c:pt>
                <c:pt idx="98">
                  <c:v>1.499788860551146</c:v>
                </c:pt>
                <c:pt idx="99">
                  <c:v>1.5581503492166773</c:v>
                </c:pt>
                <c:pt idx="100">
                  <c:v>2.0433625708805656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83-438C-941E-34108C40375A}"/>
            </c:ext>
          </c:extLst>
        </c:ser>
        <c:ser>
          <c:idx val="10"/>
          <c:order val="5"/>
          <c:tx>
            <c:v>FY19 theo.</c:v>
          </c:tx>
          <c:spPr>
            <a:ln w="28575">
              <a:solidFill>
                <a:srgbClr val="D9C1ED"/>
              </a:solidFill>
            </a:ln>
          </c:spPr>
          <c:marker>
            <c:symbol val="none"/>
          </c:marker>
          <c:val>
            <c:numRef>
              <c:f>'Backtesting OZL'!$S$6:$S$106</c:f>
              <c:numCache>
                <c:formatCode>General</c:formatCode>
                <c:ptCount val="101"/>
                <c:pt idx="0">
                  <c:v>0.76122758502391852</c:v>
                </c:pt>
                <c:pt idx="1">
                  <c:v>0.84138348805423491</c:v>
                </c:pt>
                <c:pt idx="2">
                  <c:v>0.86022634290965416</c:v>
                </c:pt>
                <c:pt idx="3">
                  <c:v>0.8760917001742341</c:v>
                </c:pt>
                <c:pt idx="4">
                  <c:v>0.88553068196613183</c:v>
                </c:pt>
                <c:pt idx="5">
                  <c:v>0.8928912745406965</c:v>
                </c:pt>
                <c:pt idx="6">
                  <c:v>0.90136989589033167</c:v>
                </c:pt>
                <c:pt idx="7">
                  <c:v>0.90725996062523184</c:v>
                </c:pt>
                <c:pt idx="8">
                  <c:v>0.91379026552609877</c:v>
                </c:pt>
                <c:pt idx="9">
                  <c:v>0.92060101376462489</c:v>
                </c:pt>
                <c:pt idx="10">
                  <c:v>0.92551870231371447</c:v>
                </c:pt>
                <c:pt idx="11">
                  <c:v>0.9312319244855205</c:v>
                </c:pt>
                <c:pt idx="12">
                  <c:v>0.93587021166926188</c:v>
                </c:pt>
                <c:pt idx="13">
                  <c:v>0.94117438538241349</c:v>
                </c:pt>
                <c:pt idx="14">
                  <c:v>0.94560281459996132</c:v>
                </c:pt>
                <c:pt idx="15">
                  <c:v>0.95028395745406002</c:v>
                </c:pt>
                <c:pt idx="16">
                  <c:v>0.95418952093609766</c:v>
                </c:pt>
                <c:pt idx="17">
                  <c:v>0.95852160907022688</c:v>
                </c:pt>
                <c:pt idx="18">
                  <c:v>0.96350064448416495</c:v>
                </c:pt>
                <c:pt idx="19">
                  <c:v>0.96717203246549743</c:v>
                </c:pt>
                <c:pt idx="20">
                  <c:v>0.97161538172377937</c:v>
                </c:pt>
                <c:pt idx="21">
                  <c:v>0.97590663209824691</c:v>
                </c:pt>
                <c:pt idx="22">
                  <c:v>0.97916668820277153</c:v>
                </c:pt>
                <c:pt idx="23">
                  <c:v>0.98282049410478545</c:v>
                </c:pt>
                <c:pt idx="24">
                  <c:v>0.98652716302510679</c:v>
                </c:pt>
                <c:pt idx="25">
                  <c:v>0.98975000851185824</c:v>
                </c:pt>
                <c:pt idx="26">
                  <c:v>0.99306479808054116</c:v>
                </c:pt>
                <c:pt idx="27">
                  <c:v>0.99632199976985059</c:v>
                </c:pt>
                <c:pt idx="28">
                  <c:v>0.99987496528374631</c:v>
                </c:pt>
                <c:pt idx="29">
                  <c:v>1.0033257352926983</c:v>
                </c:pt>
                <c:pt idx="30">
                  <c:v>1.0072608176349109</c:v>
                </c:pt>
                <c:pt idx="31">
                  <c:v>1.010979237276634</c:v>
                </c:pt>
                <c:pt idx="32">
                  <c:v>1.0142911724301018</c:v>
                </c:pt>
                <c:pt idx="33">
                  <c:v>1.0178441379439973</c:v>
                </c:pt>
                <c:pt idx="34">
                  <c:v>1.0207778135870069</c:v>
                </c:pt>
                <c:pt idx="35">
                  <c:v>1.0240340123736731</c:v>
                </c:pt>
                <c:pt idx="36">
                  <c:v>1.0270974498006633</c:v>
                </c:pt>
                <c:pt idx="37">
                  <c:v>1.0306799524087631</c:v>
                </c:pt>
                <c:pt idx="38">
                  <c:v>1.034281710789144</c:v>
                </c:pt>
                <c:pt idx="39">
                  <c:v>1.0374544309049358</c:v>
                </c:pt>
                <c:pt idx="40">
                  <c:v>1.0407621030911187</c:v>
                </c:pt>
                <c:pt idx="41">
                  <c:v>1.0439140043465294</c:v>
                </c:pt>
                <c:pt idx="42">
                  <c:v>1.0474639401719237</c:v>
                </c:pt>
                <c:pt idx="43">
                  <c:v>1.0505697298524717</c:v>
                </c:pt>
                <c:pt idx="44">
                  <c:v>1.0529686221713279</c:v>
                </c:pt>
                <c:pt idx="45">
                  <c:v>1.0555201809860204</c:v>
                </c:pt>
                <c:pt idx="46">
                  <c:v>1.0580211760275966</c:v>
                </c:pt>
                <c:pt idx="47">
                  <c:v>1.0617084452380432</c:v>
                </c:pt>
                <c:pt idx="48">
                  <c:v>1.0646320980895327</c:v>
                </c:pt>
                <c:pt idx="49">
                  <c:v>1.0675387982965399</c:v>
                </c:pt>
                <c:pt idx="50">
                  <c:v>1.0708472322958082</c:v>
                </c:pt>
                <c:pt idx="51">
                  <c:v>1.0745005126311078</c:v>
                </c:pt>
                <c:pt idx="52">
                  <c:v>1.0777286258748917</c:v>
                </c:pt>
                <c:pt idx="53">
                  <c:v>1.0813937722048239</c:v>
                </c:pt>
                <c:pt idx="54">
                  <c:v>1.0848101507408905</c:v>
                </c:pt>
                <c:pt idx="55">
                  <c:v>1.0890840545888305</c:v>
                </c:pt>
                <c:pt idx="56">
                  <c:v>1.0923441106933554</c:v>
                </c:pt>
                <c:pt idx="57">
                  <c:v>1.0952426775251114</c:v>
                </c:pt>
                <c:pt idx="58">
                  <c:v>1.0988624302611092</c:v>
                </c:pt>
                <c:pt idx="59">
                  <c:v>1.1032790712405571</c:v>
                </c:pt>
                <c:pt idx="60">
                  <c:v>1.106635897918655</c:v>
                </c:pt>
                <c:pt idx="61">
                  <c:v>1.1103132833536065</c:v>
                </c:pt>
                <c:pt idx="62">
                  <c:v>1.1132469589966159</c:v>
                </c:pt>
                <c:pt idx="63">
                  <c:v>1.1168281919774867</c:v>
                </c:pt>
                <c:pt idx="64">
                  <c:v>1.1204382401254944</c:v>
                </c:pt>
                <c:pt idx="65">
                  <c:v>1.1240785074545263</c:v>
                </c:pt>
                <c:pt idx="66">
                  <c:v>1.1283704047598357</c:v>
                </c:pt>
                <c:pt idx="67">
                  <c:v>1.132772884963529</c:v>
                </c:pt>
                <c:pt idx="68">
                  <c:v>1.1371663308429401</c:v>
                </c:pt>
                <c:pt idx="69">
                  <c:v>1.142125832427469</c:v>
                </c:pt>
                <c:pt idx="70">
                  <c:v>1.1456709315256748</c:v>
                </c:pt>
                <c:pt idx="71">
                  <c:v>1.1503977943168888</c:v>
                </c:pt>
                <c:pt idx="72">
                  <c:v>1.1552182635032926</c:v>
                </c:pt>
                <c:pt idx="73">
                  <c:v>1.1601359469996901</c:v>
                </c:pt>
                <c:pt idx="74">
                  <c:v>1.1639661441665052</c:v>
                </c:pt>
                <c:pt idx="75">
                  <c:v>1.16844541374809</c:v>
                </c:pt>
                <c:pt idx="76">
                  <c:v>1.1736437569022578</c:v>
                </c:pt>
                <c:pt idx="77">
                  <c:v>1.1790016411837472</c:v>
                </c:pt>
                <c:pt idx="78">
                  <c:v>1.184284528767849</c:v>
                </c:pt>
                <c:pt idx="79">
                  <c:v>1.1892357794861013</c:v>
                </c:pt>
                <c:pt idx="80">
                  <c:v>1.1957786932403676</c:v>
                </c:pt>
                <c:pt idx="81">
                  <c:v>1.2018715845997834</c:v>
                </c:pt>
                <c:pt idx="82">
                  <c:v>1.2082742644120896</c:v>
                </c:pt>
                <c:pt idx="83">
                  <c:v>1.2142870966619546</c:v>
                </c:pt>
                <c:pt idx="84">
                  <c:v>1.2208151250867967</c:v>
                </c:pt>
                <c:pt idx="85">
                  <c:v>1.2272680047557947</c:v>
                </c:pt>
                <c:pt idx="86">
                  <c:v>1.2337388331866745</c:v>
                </c:pt>
                <c:pt idx="87">
                  <c:v>1.2423313165403187</c:v>
                </c:pt>
                <c:pt idx="88">
                  <c:v>1.2505717956079538</c:v>
                </c:pt>
                <c:pt idx="89">
                  <c:v>1.2603608541697204</c:v>
                </c:pt>
                <c:pt idx="90">
                  <c:v>1.2728681207484538</c:v>
                </c:pt>
                <c:pt idx="91">
                  <c:v>1.2829890629384162</c:v>
                </c:pt>
                <c:pt idx="92">
                  <c:v>1.2956285930179989</c:v>
                </c:pt>
                <c:pt idx="93">
                  <c:v>1.3083991605405729</c:v>
                </c:pt>
                <c:pt idx="94">
                  <c:v>1.325089849177725</c:v>
                </c:pt>
                <c:pt idx="95">
                  <c:v>1.3429860184145188</c:v>
                </c:pt>
                <c:pt idx="96">
                  <c:v>1.3630453164496037</c:v>
                </c:pt>
                <c:pt idx="97">
                  <c:v>1.3890287455302281</c:v>
                </c:pt>
                <c:pt idx="98">
                  <c:v>1.4293525153291864</c:v>
                </c:pt>
                <c:pt idx="99">
                  <c:v>1.4847032874662909</c:v>
                </c:pt>
                <c:pt idx="100">
                  <c:v>1.8661642172237043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83-438C-941E-34108C40375A}"/>
            </c:ext>
          </c:extLst>
        </c:ser>
        <c:ser>
          <c:idx val="7"/>
          <c:order val="6"/>
          <c:tx>
            <c:strRef>
              <c:f>'Backtesting OZL'!$AF$5</c:f>
              <c:strCache>
                <c:ptCount val="1"/>
                <c:pt idx="0">
                  <c:v>FY24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Lbls>
            <c:dLbl>
              <c:idx val="34"/>
              <c:layout>
                <c:manualLayout>
                  <c:x val="-7.4990476190476191E-2"/>
                  <c:y val="-0.10580694444444444"/>
                </c:manualLayout>
              </c:layout>
              <c:tx>
                <c:rich>
                  <a:bodyPr/>
                  <a:lstStyle/>
                  <a:p>
                    <a:r>
                      <a:rPr lang="en-US" sz="900" b="1" i="0" u="none" strike="noStrike" kern="1200" baseline="0">
                        <a:solidFill>
                          <a:schemeClr val="tx2"/>
                        </a:solidFill>
                      </a:rPr>
                      <a:t>34th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883-438C-941E-34108C40375A}"/>
                </c:ext>
              </c:extLst>
            </c:dLbl>
            <c:dLbl>
              <c:idx val="39"/>
              <c:layout>
                <c:manualLayout>
                  <c:x val="-6.2232848573221748E-2"/>
                  <c:y val="-7.854375653659757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39th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883-438C-941E-34108C40375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55th</a:t>
                    </a:r>
                    <a:r>
                      <a:rPr lang="en-US" b="1" baseline="0">
                        <a:solidFill>
                          <a:schemeClr val="tx2"/>
                        </a:solidFill>
                      </a:rPr>
                      <a:t> percentile</a:t>
                    </a:r>
                    <a:endParaRPr lang="en-US" b="1">
                      <a:solidFill>
                        <a:schemeClr val="tx2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883-438C-941E-34108C40375A}"/>
                </c:ext>
              </c:extLst>
            </c:dLbl>
            <c:dLbl>
              <c:idx val="79"/>
              <c:layout>
                <c:manualLayout>
                  <c:x val="-5.8800529100529103E-2"/>
                  <c:y val="-0.1269736111111111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79th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1883-438C-941E-34108C403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OZL'!$AF$6:$AF$106</c:f>
              <c:numCache>
                <c:formatCode>0.0000</c:formatCode>
                <c:ptCount val="101"/>
                <c:pt idx="79" formatCode="General">
                  <c:v>1.49860095482463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883-438C-941E-34108C40375A}"/>
            </c:ext>
          </c:extLst>
        </c:ser>
        <c:ser>
          <c:idx val="6"/>
          <c:order val="7"/>
          <c:tx>
            <c:strRef>
              <c:f>'Backtesting OZL'!$AE$5</c:f>
              <c:strCache>
                <c:ptCount val="1"/>
                <c:pt idx="0">
                  <c:v>FY23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5.3455298077443217E-2"/>
                  <c:y val="-4.861166349963917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3rd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1883-438C-941E-34108C40375A}"/>
                </c:ext>
              </c:extLst>
            </c:dLbl>
            <c:dLbl>
              <c:idx val="51"/>
              <c:layout>
                <c:manualLayout>
                  <c:x val="-5.8987777036837399E-2"/>
                  <c:y val="-4.4870151870019331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51st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1883-438C-941E-34108C40375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69.55th</a:t>
                    </a:r>
                    <a:r>
                      <a:rPr lang="en-US" baseline="0"/>
                      <a:t> percentile</a:t>
                    </a:r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1883-438C-941E-34108C403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OZL'!$AE$6:$AE$106</c:f>
              <c:numCache>
                <c:formatCode>0.0000</c:formatCode>
                <c:ptCount val="101"/>
                <c:pt idx="3">
                  <c:v>1.1117000978259892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883-438C-941E-34108C40375A}"/>
            </c:ext>
          </c:extLst>
        </c:ser>
        <c:ser>
          <c:idx val="5"/>
          <c:order val="8"/>
          <c:tx>
            <c:strRef>
              <c:f>'Backtesting OZL'!$AD$5</c:f>
              <c:strCache>
                <c:ptCount val="1"/>
                <c:pt idx="0">
                  <c:v>FY22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16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16.48th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1883-438C-941E-34108C40375A}"/>
                </c:ext>
              </c:extLst>
            </c:dLbl>
            <c:dLbl>
              <c:idx val="21"/>
              <c:layout>
                <c:manualLayout>
                  <c:x val="-5.1302029914529937E-2"/>
                  <c:y val="-0.1087511574074074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1"/>
                        </a:solidFill>
                      </a:rPr>
                      <a:t>21st</a:t>
                    </a:r>
                    <a:r>
                      <a:rPr lang="en-US" b="1" baseline="0">
                        <a:solidFill>
                          <a:schemeClr val="accent1"/>
                        </a:solidFill>
                      </a:rPr>
                      <a:t> percentile</a:t>
                    </a:r>
                    <a:endParaRPr lang="en-US" b="1">
                      <a:solidFill>
                        <a:schemeClr val="accent1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1883-438C-941E-34108C40375A}"/>
                </c:ext>
              </c:extLst>
            </c:dLbl>
            <c:dLbl>
              <c:idx val="6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68th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1883-438C-941E-34108C403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OZL'!$AD$6:$AD$106</c:f>
              <c:numCache>
                <c:formatCode>0.0000</c:formatCode>
                <c:ptCount val="101"/>
                <c:pt idx="21">
                  <c:v>1.1270059433473452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83-438C-941E-34108C40375A}"/>
            </c:ext>
          </c:extLst>
        </c:ser>
        <c:ser>
          <c:idx val="4"/>
          <c:order val="9"/>
          <c:tx>
            <c:strRef>
              <c:f>'Backtesting OZL'!$AC$5</c:f>
              <c:strCache>
                <c:ptCount val="1"/>
                <c:pt idx="0">
                  <c:v>FY21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2.9106311008900699E-2"/>
                  <c:y val="5.609468675887872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2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>
                        <a:solidFill>
                          <a:schemeClr val="accent2">
                            <a:lumMod val="75000"/>
                          </a:schemeClr>
                        </a:solidFill>
                      </a:rPr>
                      <a:t>4th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1883-438C-941E-34108C40375A}"/>
                </c:ext>
              </c:extLst>
            </c:dLbl>
            <c:dLbl>
              <c:idx val="11"/>
              <c:layout>
                <c:manualLayout>
                  <c:x val="-5.9930122354096844E-2"/>
                  <c:y val="-0.1047343379439362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accent2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11th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1883-438C-941E-34108C40375A}"/>
                </c:ext>
              </c:extLst>
            </c:dLbl>
            <c:dLbl>
              <c:idx val="69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68.77th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1883-438C-941E-34108C403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OZL'!$AC$6:$AC$106</c:f>
              <c:numCache>
                <c:formatCode>0.0000</c:formatCode>
                <c:ptCount val="101"/>
                <c:pt idx="11">
                  <c:v>1.1051196780486729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883-438C-941E-34108C40375A}"/>
            </c:ext>
          </c:extLst>
        </c:ser>
        <c:ser>
          <c:idx val="9"/>
          <c:order val="10"/>
          <c:tx>
            <c:v>FY20 act.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4"/>
              </a:solidFill>
              <a:ln>
                <a:noFill/>
              </a:ln>
            </c:spPr>
          </c:marker>
          <c:dLbls>
            <c:dLbl>
              <c:idx val="26"/>
              <c:layout>
                <c:manualLayout>
                  <c:x val="-4.6410566714075147E-2"/>
                  <c:y val="7.859973190743434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 b="1">
                        <a:solidFill>
                          <a:schemeClr val="accent4"/>
                        </a:solidFill>
                      </a:defRPr>
                    </a:pPr>
                    <a:r>
                      <a:rPr lang="en-US" b="1">
                        <a:solidFill>
                          <a:schemeClr val="accent4"/>
                        </a:solidFill>
                      </a:rPr>
                      <a:t>26th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1883-438C-941E-34108C40375A}"/>
                </c:ext>
              </c:extLst>
            </c:dLbl>
            <c:dLbl>
              <c:idx val="7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>
                        <a:solidFill>
                          <a:schemeClr val="accent4">
                            <a:lumMod val="75000"/>
                          </a:schemeClr>
                        </a:solidFill>
                      </a:defRPr>
                    </a:pPr>
                    <a:r>
                      <a:rPr lang="en-US" sz="900" b="1">
                        <a:solidFill>
                          <a:schemeClr val="accent4">
                            <a:lumMod val="75000"/>
                          </a:schemeClr>
                        </a:solidFill>
                      </a:rPr>
                      <a:t>73rd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1883-438C-941E-34108C403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'Backtesting OZL'!$AB$6:$AB$106</c:f>
              <c:numCache>
                <c:formatCode>0.0000</c:formatCode>
                <c:ptCount val="101"/>
                <c:pt idx="26">
                  <c:v>1.0516497803292035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883-438C-941E-34108C40375A}"/>
            </c:ext>
          </c:extLst>
        </c:ser>
        <c:ser>
          <c:idx val="11"/>
          <c:order val="11"/>
          <c:tx>
            <c:v>FY19 act.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7030A0"/>
              </a:solidFill>
              <a:ln>
                <a:noFill/>
              </a:ln>
            </c:spPr>
          </c:marker>
          <c:dLbls>
            <c:dLbl>
              <c:idx val="97"/>
              <c:layout>
                <c:manualLayout>
                  <c:x val="-6.2000433713416117E-3"/>
                  <c:y val="7.480224490697777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 b="1">
                        <a:solidFill>
                          <a:srgbClr val="7030A0"/>
                        </a:solidFill>
                      </a:defRPr>
                    </a:pPr>
                    <a:r>
                      <a:rPr lang="en-US" sz="900" b="1">
                        <a:solidFill>
                          <a:srgbClr val="7030A0"/>
                        </a:solidFill>
                      </a:rPr>
                      <a:t>97th percentile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1883-438C-941E-34108C4037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'Backtesting OZL'!$AA$6:$AA$106</c:f>
              <c:numCache>
                <c:formatCode>General</c:formatCode>
                <c:ptCount val="101"/>
                <c:pt idx="97" formatCode="0.0000">
                  <c:v>1.38338484573525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83-438C-941E-34108C403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84784"/>
        <c:axId val="1732385768"/>
      </c:lineChart>
      <c:catAx>
        <c:axId val="173238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5768"/>
        <c:crosses val="autoZero"/>
        <c:auto val="1"/>
        <c:lblAlgn val="ctr"/>
        <c:lblOffset val="100"/>
        <c:noMultiLvlLbl val="0"/>
      </c:catAx>
      <c:valAx>
        <c:axId val="1732385768"/>
        <c:scaling>
          <c:orientation val="minMax"/>
          <c:max val="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3847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01522018136507E-2"/>
          <c:y val="4.1156627925817903E-2"/>
          <c:w val="0.94339980095139298"/>
          <c:h val="0.71596472222222218"/>
        </c:manualLayout>
      </c:layout>
      <c:lineChart>
        <c:grouping val="standard"/>
        <c:varyColors val="0"/>
        <c:ser>
          <c:idx val="12"/>
          <c:order val="0"/>
          <c:tx>
            <c:strRef>
              <c:f>'Backtesting OZL'!$Z$5</c:f>
              <c:strCache>
                <c:ptCount val="1"/>
                <c:pt idx="0">
                  <c:v>FY26 theo.</c:v>
                </c:pt>
              </c:strCache>
            </c:strRef>
          </c:tx>
          <c:spPr>
            <a:ln w="28575"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OZL'!$Z$6:$Z$106</c:f>
              <c:numCache>
                <c:formatCode>General</c:formatCode>
                <c:ptCount val="101"/>
                <c:pt idx="0">
                  <c:v>1.0011984975836856</c:v>
                </c:pt>
                <c:pt idx="1">
                  <c:v>1.1514136252195992</c:v>
                </c:pt>
                <c:pt idx="2">
                  <c:v>1.180151941609159</c:v>
                </c:pt>
                <c:pt idx="3">
                  <c:v>1.1965377937259516</c:v>
                </c:pt>
                <c:pt idx="4">
                  <c:v>1.2073144005109606</c:v>
                </c:pt>
                <c:pt idx="5">
                  <c:v>1.2178486743611516</c:v>
                </c:pt>
                <c:pt idx="6">
                  <c:v>1.2274916098289888</c:v>
                </c:pt>
                <c:pt idx="7">
                  <c:v>1.2384068739485592</c:v>
                </c:pt>
                <c:pt idx="8">
                  <c:v>1.2469504688852897</c:v>
                </c:pt>
                <c:pt idx="9">
                  <c:v>1.2536447451095352</c:v>
                </c:pt>
                <c:pt idx="10">
                  <c:v>1.2596938977005236</c:v>
                </c:pt>
                <c:pt idx="11">
                  <c:v>1.2657722171336401</c:v>
                </c:pt>
                <c:pt idx="12">
                  <c:v>1.2734719331893358</c:v>
                </c:pt>
                <c:pt idx="13">
                  <c:v>1.2792343798192338</c:v>
                </c:pt>
                <c:pt idx="14">
                  <c:v>1.2849403317216244</c:v>
                </c:pt>
                <c:pt idx="15">
                  <c:v>1.2907600303599516</c:v>
                </c:pt>
                <c:pt idx="16">
                  <c:v>1.2957664223421579</c:v>
                </c:pt>
                <c:pt idx="17">
                  <c:v>1.3010269983873046</c:v>
                </c:pt>
                <c:pt idx="18">
                  <c:v>1.3061157793770433</c:v>
                </c:pt>
                <c:pt idx="19">
                  <c:v>1.3131479556776406</c:v>
                </c:pt>
                <c:pt idx="20">
                  <c:v>1.3168034383486078</c:v>
                </c:pt>
                <c:pt idx="21">
                  <c:v>1.3233996900502423</c:v>
                </c:pt>
                <c:pt idx="22">
                  <c:v>1.3273433602817335</c:v>
                </c:pt>
                <c:pt idx="23">
                  <c:v>1.3320246288235567</c:v>
                </c:pt>
                <c:pt idx="24">
                  <c:v>1.3364404277956741</c:v>
                </c:pt>
                <c:pt idx="25">
                  <c:v>1.3413923370078695</c:v>
                </c:pt>
                <c:pt idx="26">
                  <c:v>1.3463162399087998</c:v>
                </c:pt>
                <c:pt idx="27">
                  <c:v>1.3508230498300355</c:v>
                </c:pt>
                <c:pt idx="28">
                  <c:v>1.3556988831895056</c:v>
                </c:pt>
                <c:pt idx="29">
                  <c:v>1.3601633293512017</c:v>
                </c:pt>
                <c:pt idx="30">
                  <c:v>1.3649980612292092</c:v>
                </c:pt>
                <c:pt idx="31">
                  <c:v>1.3677730810816242</c:v>
                </c:pt>
                <c:pt idx="32">
                  <c:v>1.3724281254465582</c:v>
                </c:pt>
                <c:pt idx="33">
                  <c:v>1.3773264539217873</c:v>
                </c:pt>
                <c:pt idx="34">
                  <c:v>1.3820088308840972</c:v>
                </c:pt>
                <c:pt idx="35">
                  <c:v>1.3870814005960899</c:v>
                </c:pt>
                <c:pt idx="36">
                  <c:v>1.3915741306663774</c:v>
                </c:pt>
                <c:pt idx="37">
                  <c:v>1.3964439980667791</c:v>
                </c:pt>
                <c:pt idx="38">
                  <c:v>1.4011737699545415</c:v>
                </c:pt>
                <c:pt idx="39">
                  <c:v>1.4056084049525246</c:v>
                </c:pt>
                <c:pt idx="40">
                  <c:v>1.4088775298191538</c:v>
                </c:pt>
                <c:pt idx="41">
                  <c:v>1.4135384038583325</c:v>
                </c:pt>
                <c:pt idx="42">
                  <c:v>1.4185685114354281</c:v>
                </c:pt>
                <c:pt idx="43">
                  <c:v>1.4231863557784485</c:v>
                </c:pt>
                <c:pt idx="44">
                  <c:v>1.4278406707244591</c:v>
                </c:pt>
                <c:pt idx="45">
                  <c:v>1.4330870632837509</c:v>
                </c:pt>
                <c:pt idx="46">
                  <c:v>1.4379136468903364</c:v>
                </c:pt>
                <c:pt idx="47">
                  <c:v>1.4429051337468646</c:v>
                </c:pt>
                <c:pt idx="48">
                  <c:v>1.4481707189959623</c:v>
                </c:pt>
                <c:pt idx="49">
                  <c:v>1.4531888598692237</c:v>
                </c:pt>
                <c:pt idx="50">
                  <c:v>1.4583236000833484</c:v>
                </c:pt>
                <c:pt idx="51">
                  <c:v>1.4634527292273019</c:v>
                </c:pt>
                <c:pt idx="52">
                  <c:v>1.4681390302504802</c:v>
                </c:pt>
                <c:pt idx="53">
                  <c:v>1.4732219612980364</c:v>
                </c:pt>
                <c:pt idx="54">
                  <c:v>1.4783000900863041</c:v>
                </c:pt>
                <c:pt idx="55">
                  <c:v>1.482821302261657</c:v>
                </c:pt>
                <c:pt idx="56">
                  <c:v>1.4885559917958291</c:v>
                </c:pt>
                <c:pt idx="57">
                  <c:v>1.4929865361873118</c:v>
                </c:pt>
                <c:pt idx="58">
                  <c:v>1.4980765039041346</c:v>
                </c:pt>
                <c:pt idx="59">
                  <c:v>1.5027979276444328</c:v>
                </c:pt>
                <c:pt idx="60">
                  <c:v>1.5081832067120609</c:v>
                </c:pt>
                <c:pt idx="61">
                  <c:v>1.5136619385848431</c:v>
                </c:pt>
                <c:pt idx="62">
                  <c:v>1.5197732475615628</c:v>
                </c:pt>
                <c:pt idx="63">
                  <c:v>1.5252503661168373</c:v>
                </c:pt>
                <c:pt idx="64">
                  <c:v>1.5305355307192683</c:v>
                </c:pt>
                <c:pt idx="65">
                  <c:v>1.5365200602835121</c:v>
                </c:pt>
                <c:pt idx="66">
                  <c:v>1.5418727041530296</c:v>
                </c:pt>
                <c:pt idx="67">
                  <c:v>1.5492238271677361</c:v>
                </c:pt>
                <c:pt idx="68">
                  <c:v>1.5544754281042061</c:v>
                </c:pt>
                <c:pt idx="69">
                  <c:v>1.5599516839692609</c:v>
                </c:pt>
                <c:pt idx="70">
                  <c:v>1.5660716465819247</c:v>
                </c:pt>
                <c:pt idx="71">
                  <c:v>1.5727602761301744</c:v>
                </c:pt>
                <c:pt idx="72">
                  <c:v>1.5805481034214537</c:v>
                </c:pt>
                <c:pt idx="73">
                  <c:v>1.5869280027844523</c:v>
                </c:pt>
                <c:pt idx="74">
                  <c:v>1.5958481146560268</c:v>
                </c:pt>
                <c:pt idx="75">
                  <c:v>1.6024382646640167</c:v>
                </c:pt>
                <c:pt idx="76">
                  <c:v>1.6115710566865371</c:v>
                </c:pt>
                <c:pt idx="77">
                  <c:v>1.6186910603390878</c:v>
                </c:pt>
                <c:pt idx="78">
                  <c:v>1.6260112448173634</c:v>
                </c:pt>
                <c:pt idx="79">
                  <c:v>1.6328563985657965</c:v>
                </c:pt>
                <c:pt idx="80">
                  <c:v>1.6428631279602222</c:v>
                </c:pt>
                <c:pt idx="81">
                  <c:v>1.6519924973252853</c:v>
                </c:pt>
                <c:pt idx="82">
                  <c:v>1.6608687291946163</c:v>
                </c:pt>
                <c:pt idx="83">
                  <c:v>1.672554608700124</c:v>
                </c:pt>
                <c:pt idx="84">
                  <c:v>1.6815837057087779</c:v>
                </c:pt>
                <c:pt idx="85">
                  <c:v>1.6935031137736312</c:v>
                </c:pt>
                <c:pt idx="86">
                  <c:v>1.7041645469774789</c:v>
                </c:pt>
                <c:pt idx="87">
                  <c:v>1.7182854063785369</c:v>
                </c:pt>
                <c:pt idx="88">
                  <c:v>1.7315121423865512</c:v>
                </c:pt>
                <c:pt idx="89">
                  <c:v>1.7468235547296522</c:v>
                </c:pt>
                <c:pt idx="90">
                  <c:v>1.7648919078083305</c:v>
                </c:pt>
                <c:pt idx="91">
                  <c:v>1.780239827132601</c:v>
                </c:pt>
                <c:pt idx="92">
                  <c:v>1.7953855937910499</c:v>
                </c:pt>
                <c:pt idx="93">
                  <c:v>1.8170683881243894</c:v>
                </c:pt>
                <c:pt idx="94">
                  <c:v>1.8410286921042094</c:v>
                </c:pt>
                <c:pt idx="95">
                  <c:v>1.8673010564018764</c:v>
                </c:pt>
                <c:pt idx="96">
                  <c:v>1.8994116210165279</c:v>
                </c:pt>
                <c:pt idx="97">
                  <c:v>1.9390483488929078</c:v>
                </c:pt>
                <c:pt idx="98">
                  <c:v>1.9908971726172831</c:v>
                </c:pt>
                <c:pt idx="99">
                  <c:v>2.0846051195237529</c:v>
                </c:pt>
                <c:pt idx="100">
                  <c:v>2.5667461952235517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A3-4FFE-AA96-1F31D36B343F}"/>
            </c:ext>
          </c:extLst>
        </c:ser>
        <c:ser>
          <c:idx val="3"/>
          <c:order val="1"/>
          <c:tx>
            <c:strRef>
              <c:f>'Backtesting OZL'!$Y$5</c:f>
              <c:strCache>
                <c:ptCount val="1"/>
                <c:pt idx="0">
                  <c:v>FY25 theo.</c:v>
                </c:pt>
              </c:strCache>
            </c:strRef>
          </c:tx>
          <c:spPr>
            <a:ln w="28575" cap="rnd">
              <a:solidFill>
                <a:srgbClr val="99CCFF"/>
              </a:solidFill>
              <a:round/>
            </a:ln>
            <a:effectLst/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OZL'!$Y$6:$Y$106</c:f>
              <c:numCache>
                <c:formatCode>General</c:formatCode>
                <c:ptCount val="101"/>
                <c:pt idx="0">
                  <c:v>1.0550964077824969</c:v>
                </c:pt>
                <c:pt idx="1">
                  <c:v>1.1450425609759176</c:v>
                </c:pt>
                <c:pt idx="2">
                  <c:v>1.1759987312720401</c:v>
                </c:pt>
                <c:pt idx="3">
                  <c:v>1.1955049015890804</c:v>
                </c:pt>
                <c:pt idx="4">
                  <c:v>1.2086069841514848</c:v>
                </c:pt>
                <c:pt idx="5">
                  <c:v>1.2233591734201912</c:v>
                </c:pt>
                <c:pt idx="6">
                  <c:v>1.2362816896314486</c:v>
                </c:pt>
                <c:pt idx="7">
                  <c:v>1.2473311785300683</c:v>
                </c:pt>
                <c:pt idx="8">
                  <c:v>1.2581322962786943</c:v>
                </c:pt>
                <c:pt idx="9">
                  <c:v>1.2662281078012081</c:v>
                </c:pt>
                <c:pt idx="10">
                  <c:v>1.2745039917663457</c:v>
                </c:pt>
                <c:pt idx="11">
                  <c:v>1.2831470383395445</c:v>
                </c:pt>
                <c:pt idx="12">
                  <c:v>1.2904621276492751</c:v>
                </c:pt>
                <c:pt idx="13">
                  <c:v>1.2970163390426561</c:v>
                </c:pt>
                <c:pt idx="14">
                  <c:v>1.3043978952420161</c:v>
                </c:pt>
                <c:pt idx="15">
                  <c:v>1.3104753352168881</c:v>
                </c:pt>
                <c:pt idx="16">
                  <c:v>1.3164612040467303</c:v>
                </c:pt>
                <c:pt idx="17">
                  <c:v>1.3228745956858301</c:v>
                </c:pt>
                <c:pt idx="18">
                  <c:v>1.3290198028146334</c:v>
                </c:pt>
                <c:pt idx="19">
                  <c:v>1.3350540989201309</c:v>
                </c:pt>
                <c:pt idx="20">
                  <c:v>1.3413354478138457</c:v>
                </c:pt>
                <c:pt idx="21">
                  <c:v>1.3466772723333089</c:v>
                </c:pt>
                <c:pt idx="22">
                  <c:v>1.3538946334021846</c:v>
                </c:pt>
                <c:pt idx="23">
                  <c:v>1.358860260979829</c:v>
                </c:pt>
                <c:pt idx="24">
                  <c:v>1.3646931732611938</c:v>
                </c:pt>
                <c:pt idx="25">
                  <c:v>1.3689351173019808</c:v>
                </c:pt>
                <c:pt idx="26">
                  <c:v>1.3744230844760845</c:v>
                </c:pt>
                <c:pt idx="27">
                  <c:v>1.3789846066197899</c:v>
                </c:pt>
                <c:pt idx="28">
                  <c:v>1.3844157518695812</c:v>
                </c:pt>
                <c:pt idx="29">
                  <c:v>1.3896086477305925</c:v>
                </c:pt>
                <c:pt idx="30">
                  <c:v>1.3948895484088095</c:v>
                </c:pt>
                <c:pt idx="31">
                  <c:v>1.3999306673876579</c:v>
                </c:pt>
                <c:pt idx="32">
                  <c:v>1.4050697373002072</c:v>
                </c:pt>
                <c:pt idx="33">
                  <c:v>1.409353631454846</c:v>
                </c:pt>
                <c:pt idx="34">
                  <c:v>1.415770878268624</c:v>
                </c:pt>
                <c:pt idx="35">
                  <c:v>1.4201875708763205</c:v>
                </c:pt>
                <c:pt idx="36">
                  <c:v>1.4255205755383871</c:v>
                </c:pt>
                <c:pt idx="37">
                  <c:v>1.4308674033043134</c:v>
                </c:pt>
                <c:pt idx="38">
                  <c:v>1.4355722669480613</c:v>
                </c:pt>
                <c:pt idx="39">
                  <c:v>1.4411943749501772</c:v>
                </c:pt>
                <c:pt idx="40">
                  <c:v>1.4463028752825913</c:v>
                </c:pt>
                <c:pt idx="41">
                  <c:v>1.4512374320380006</c:v>
                </c:pt>
                <c:pt idx="42">
                  <c:v>1.4568228698860481</c:v>
                </c:pt>
                <c:pt idx="43">
                  <c:v>1.4637342217284306</c:v>
                </c:pt>
                <c:pt idx="44">
                  <c:v>1.4693756580928437</c:v>
                </c:pt>
                <c:pt idx="45">
                  <c:v>1.4741547255443126</c:v>
                </c:pt>
                <c:pt idx="46">
                  <c:v>1.4787942763766024</c:v>
                </c:pt>
                <c:pt idx="47">
                  <c:v>1.4833536968463481</c:v>
                </c:pt>
                <c:pt idx="48">
                  <c:v>1.4888827310641184</c:v>
                </c:pt>
                <c:pt idx="49">
                  <c:v>1.49504809214696</c:v>
                </c:pt>
                <c:pt idx="50">
                  <c:v>1.4998106502385151</c:v>
                </c:pt>
                <c:pt idx="51">
                  <c:v>1.5041884657899571</c:v>
                </c:pt>
                <c:pt idx="52">
                  <c:v>1.5098867199048955</c:v>
                </c:pt>
                <c:pt idx="53">
                  <c:v>1.5148578123893237</c:v>
                </c:pt>
                <c:pt idx="54">
                  <c:v>1.5194129263726728</c:v>
                </c:pt>
                <c:pt idx="55">
                  <c:v>1.5245497597873108</c:v>
                </c:pt>
                <c:pt idx="56">
                  <c:v>1.5305452419106236</c:v>
                </c:pt>
                <c:pt idx="57">
                  <c:v>1.5365608968067326</c:v>
                </c:pt>
                <c:pt idx="58">
                  <c:v>1.5416021522333525</c:v>
                </c:pt>
                <c:pt idx="59">
                  <c:v>1.5471340841744683</c:v>
                </c:pt>
                <c:pt idx="60">
                  <c:v>1.5521752031533163</c:v>
                </c:pt>
                <c:pt idx="61">
                  <c:v>1.558409706441831</c:v>
                </c:pt>
                <c:pt idx="62">
                  <c:v>1.5638367744417305</c:v>
                </c:pt>
                <c:pt idx="63">
                  <c:v>1.5690655184387907</c:v>
                </c:pt>
                <c:pt idx="64">
                  <c:v>1.5757286213095665</c:v>
                </c:pt>
                <c:pt idx="65">
                  <c:v>1.5818552910905672</c:v>
                </c:pt>
                <c:pt idx="66">
                  <c:v>1.5879192207152115</c:v>
                </c:pt>
                <c:pt idx="67">
                  <c:v>1.5953109033673223</c:v>
                </c:pt>
                <c:pt idx="68">
                  <c:v>1.6013512485226851</c:v>
                </c:pt>
                <c:pt idx="69">
                  <c:v>1.6089303381054854</c:v>
                </c:pt>
                <c:pt idx="70">
                  <c:v>1.6156735353429361</c:v>
                </c:pt>
                <c:pt idx="71">
                  <c:v>1.622608547631053</c:v>
                </c:pt>
                <c:pt idx="72">
                  <c:v>1.6300266907669694</c:v>
                </c:pt>
                <c:pt idx="73">
                  <c:v>1.6358965117779534</c:v>
                </c:pt>
                <c:pt idx="74">
                  <c:v>1.6448816333522074</c:v>
                </c:pt>
                <c:pt idx="75">
                  <c:v>1.6521276007721779</c:v>
                </c:pt>
                <c:pt idx="76">
                  <c:v>1.6599014946173214</c:v>
                </c:pt>
                <c:pt idx="77">
                  <c:v>1.6708357267384704</c:v>
                </c:pt>
                <c:pt idx="78">
                  <c:v>1.6790777354767914</c:v>
                </c:pt>
                <c:pt idx="79">
                  <c:v>1.6873905406881493</c:v>
                </c:pt>
                <c:pt idx="80">
                  <c:v>1.6957105573260214</c:v>
                </c:pt>
                <c:pt idx="81">
                  <c:v>1.7049501496493129</c:v>
                </c:pt>
                <c:pt idx="82">
                  <c:v>1.714790050287506</c:v>
                </c:pt>
                <c:pt idx="83">
                  <c:v>1.7242470600828781</c:v>
                </c:pt>
                <c:pt idx="84">
                  <c:v>1.7340415429652842</c:v>
                </c:pt>
                <c:pt idx="85">
                  <c:v>1.7441164135954601</c:v>
                </c:pt>
                <c:pt idx="86">
                  <c:v>1.7549190577059171</c:v>
                </c:pt>
                <c:pt idx="87">
                  <c:v>1.7656150337478342</c:v>
                </c:pt>
                <c:pt idx="88">
                  <c:v>1.7807556971534486</c:v>
                </c:pt>
                <c:pt idx="89">
                  <c:v>1.7966842830957972</c:v>
                </c:pt>
                <c:pt idx="90">
                  <c:v>1.8149123754581551</c:v>
                </c:pt>
                <c:pt idx="91">
                  <c:v>1.8333638297527792</c:v>
                </c:pt>
                <c:pt idx="92">
                  <c:v>1.8498592355533616</c:v>
                </c:pt>
                <c:pt idx="93">
                  <c:v>1.8691344331069064</c:v>
                </c:pt>
                <c:pt idx="94">
                  <c:v>1.8880029332055963</c:v>
                </c:pt>
                <c:pt idx="95">
                  <c:v>1.9124344772663535</c:v>
                </c:pt>
                <c:pt idx="96">
                  <c:v>1.9435432590150545</c:v>
                </c:pt>
                <c:pt idx="97">
                  <c:v>1.9872848914423327</c:v>
                </c:pt>
                <c:pt idx="98">
                  <c:v>2.043500046814307</c:v>
                </c:pt>
                <c:pt idx="99">
                  <c:v>2.1264409476438297</c:v>
                </c:pt>
                <c:pt idx="100">
                  <c:v>2.5654120188348766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A3-4FFE-AA96-1F31D36B343F}"/>
            </c:ext>
          </c:extLst>
        </c:ser>
        <c:ser>
          <c:idx val="2"/>
          <c:order val="2"/>
          <c:tx>
            <c:strRef>
              <c:f>'Backtesting OZL'!$X$5</c:f>
              <c:strCache>
                <c:ptCount val="1"/>
                <c:pt idx="0">
                  <c:v>FY24 theo.</c:v>
                </c:pt>
              </c:strCache>
            </c:strRef>
          </c:tx>
          <c:spPr>
            <a:ln w="28575" cap="rnd">
              <a:solidFill>
                <a:schemeClr val="bg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OZL'!$X$6:$X$106</c:f>
              <c:numCache>
                <c:formatCode>General</c:formatCode>
                <c:ptCount val="101"/>
                <c:pt idx="0">
                  <c:v>0.91963004962152162</c:v>
                </c:pt>
                <c:pt idx="1">
                  <c:v>1.0242402159327912</c:v>
                </c:pt>
                <c:pt idx="2">
                  <c:v>1.049230850558045</c:v>
                </c:pt>
                <c:pt idx="3">
                  <c:v>1.0679302331469362</c:v>
                </c:pt>
                <c:pt idx="4">
                  <c:v>1.0787485366570926</c:v>
                </c:pt>
                <c:pt idx="5">
                  <c:v>1.0886815488751787</c:v>
                </c:pt>
                <c:pt idx="6">
                  <c:v>1.0992899970371597</c:v>
                </c:pt>
                <c:pt idx="7">
                  <c:v>1.1077422266107864</c:v>
                </c:pt>
                <c:pt idx="8">
                  <c:v>1.1163502826746523</c:v>
                </c:pt>
                <c:pt idx="9">
                  <c:v>1.1238018729623305</c:v>
                </c:pt>
                <c:pt idx="10">
                  <c:v>1.132190656883042</c:v>
                </c:pt>
                <c:pt idx="11">
                  <c:v>1.1384332627845404</c:v>
                </c:pt>
                <c:pt idx="12">
                  <c:v>1.1457071395094158</c:v>
                </c:pt>
                <c:pt idx="13">
                  <c:v>1.1523348512563087</c:v>
                </c:pt>
                <c:pt idx="14">
                  <c:v>1.1583844493757531</c:v>
                </c:pt>
                <c:pt idx="15">
                  <c:v>1.1639744912733554</c:v>
                </c:pt>
                <c:pt idx="16">
                  <c:v>1.169004249075233</c:v>
                </c:pt>
                <c:pt idx="17">
                  <c:v>1.1757748530084056</c:v>
                </c:pt>
                <c:pt idx="18">
                  <c:v>1.1808753592622416</c:v>
                </c:pt>
                <c:pt idx="19">
                  <c:v>1.1860229477406896</c:v>
                </c:pt>
                <c:pt idx="20">
                  <c:v>1.1911791061729498</c:v>
                </c:pt>
                <c:pt idx="21">
                  <c:v>1.195826898472389</c:v>
                </c:pt>
                <c:pt idx="22">
                  <c:v>1.2017529442375643</c:v>
                </c:pt>
                <c:pt idx="23">
                  <c:v>1.2068005998890439</c:v>
                </c:pt>
                <c:pt idx="24">
                  <c:v>1.211726225148809</c:v>
                </c:pt>
                <c:pt idx="25">
                  <c:v>1.2161657568807738</c:v>
                </c:pt>
                <c:pt idx="26">
                  <c:v>1.2206881259076556</c:v>
                </c:pt>
                <c:pt idx="27">
                  <c:v>1.2252443693474799</c:v>
                </c:pt>
                <c:pt idx="28">
                  <c:v>1.229641589077703</c:v>
                </c:pt>
                <c:pt idx="29">
                  <c:v>1.2339584299012425</c:v>
                </c:pt>
                <c:pt idx="30">
                  <c:v>1.2384630367106733</c:v>
                </c:pt>
                <c:pt idx="31">
                  <c:v>1.2437196192935989</c:v>
                </c:pt>
                <c:pt idx="32">
                  <c:v>1.248856529230157</c:v>
                </c:pt>
                <c:pt idx="33">
                  <c:v>1.2521305527165008</c:v>
                </c:pt>
                <c:pt idx="34">
                  <c:v>1.2564591609720919</c:v>
                </c:pt>
                <c:pt idx="35">
                  <c:v>1.2605096835004388</c:v>
                </c:pt>
                <c:pt idx="36">
                  <c:v>1.2645882276828033</c:v>
                </c:pt>
                <c:pt idx="37">
                  <c:v>1.2686916465672489</c:v>
                </c:pt>
                <c:pt idx="38">
                  <c:v>1.2733085671775068</c:v>
                </c:pt>
                <c:pt idx="39">
                  <c:v>1.2772494567861525</c:v>
                </c:pt>
                <c:pt idx="40">
                  <c:v>1.2817594796222262</c:v>
                </c:pt>
                <c:pt idx="41">
                  <c:v>1.2866666393022694</c:v>
                </c:pt>
                <c:pt idx="42">
                  <c:v>1.2909361896578675</c:v>
                </c:pt>
                <c:pt idx="43">
                  <c:v>1.2955315951193664</c:v>
                </c:pt>
                <c:pt idx="44">
                  <c:v>1.3006790259202208</c:v>
                </c:pt>
                <c:pt idx="45">
                  <c:v>1.3049134855825237</c:v>
                </c:pt>
                <c:pt idx="46">
                  <c:v>1.3101916956552651</c:v>
                </c:pt>
                <c:pt idx="47">
                  <c:v>1.315012346503567</c:v>
                </c:pt>
                <c:pt idx="48">
                  <c:v>1.319295329445664</c:v>
                </c:pt>
                <c:pt idx="49">
                  <c:v>1.3229236105630608</c:v>
                </c:pt>
                <c:pt idx="50">
                  <c:v>1.3274793587351943</c:v>
                </c:pt>
                <c:pt idx="51">
                  <c:v>1.3326165834328909</c:v>
                </c:pt>
                <c:pt idx="52">
                  <c:v>1.3373051914099161</c:v>
                </c:pt>
                <c:pt idx="53">
                  <c:v>1.3420799587468795</c:v>
                </c:pt>
                <c:pt idx="54">
                  <c:v>1.3477837879721759</c:v>
                </c:pt>
                <c:pt idx="55">
                  <c:v>1.3529238947423294</c:v>
                </c:pt>
                <c:pt idx="56">
                  <c:v>1.3577379564388987</c:v>
                </c:pt>
                <c:pt idx="57">
                  <c:v>1.3631606336557585</c:v>
                </c:pt>
                <c:pt idx="58">
                  <c:v>1.3680672731742731</c:v>
                </c:pt>
                <c:pt idx="59">
                  <c:v>1.3725187183532088</c:v>
                </c:pt>
                <c:pt idx="60">
                  <c:v>1.3780960643021842</c:v>
                </c:pt>
                <c:pt idx="61">
                  <c:v>1.3834495791183392</c:v>
                </c:pt>
                <c:pt idx="62">
                  <c:v>1.3890523108610275</c:v>
                </c:pt>
                <c:pt idx="63">
                  <c:v>1.3942549838656868</c:v>
                </c:pt>
                <c:pt idx="64">
                  <c:v>1.3996005495776576</c:v>
                </c:pt>
                <c:pt idx="65">
                  <c:v>1.4065400817423435</c:v>
                </c:pt>
                <c:pt idx="66">
                  <c:v>1.4121176934332107</c:v>
                </c:pt>
                <c:pt idx="67">
                  <c:v>1.4168162514917484</c:v>
                </c:pt>
                <c:pt idx="68">
                  <c:v>1.4238464064030725</c:v>
                </c:pt>
                <c:pt idx="69">
                  <c:v>1.429780200918819</c:v>
                </c:pt>
                <c:pt idx="70">
                  <c:v>1.4353722615666906</c:v>
                </c:pt>
                <c:pt idx="71">
                  <c:v>1.4412162475555748</c:v>
                </c:pt>
                <c:pt idx="72">
                  <c:v>1.4473776264827685</c:v>
                </c:pt>
                <c:pt idx="73">
                  <c:v>1.4536971355826744</c:v>
                </c:pt>
                <c:pt idx="74">
                  <c:v>1.4597105707014277</c:v>
                </c:pt>
                <c:pt idx="75">
                  <c:v>1.4665687306384698</c:v>
                </c:pt>
                <c:pt idx="76">
                  <c:v>1.4757793488614199</c:v>
                </c:pt>
                <c:pt idx="77">
                  <c:v>1.4821579044497786</c:v>
                </c:pt>
                <c:pt idx="78">
                  <c:v>1.4902789471933424</c:v>
                </c:pt>
                <c:pt idx="79">
                  <c:v>1.4989277221582458</c:v>
                </c:pt>
                <c:pt idx="80">
                  <c:v>1.5075338500549977</c:v>
                </c:pt>
                <c:pt idx="81">
                  <c:v>1.5155279554125518</c:v>
                </c:pt>
                <c:pt idx="82">
                  <c:v>1.5246925109634706</c:v>
                </c:pt>
                <c:pt idx="83">
                  <c:v>1.5335796432969784</c:v>
                </c:pt>
                <c:pt idx="84">
                  <c:v>1.5432503629676559</c:v>
                </c:pt>
                <c:pt idx="85">
                  <c:v>1.5550341808834891</c:v>
                </c:pt>
                <c:pt idx="86">
                  <c:v>1.5670670575533181</c:v>
                </c:pt>
                <c:pt idx="87">
                  <c:v>1.577269221556022</c:v>
                </c:pt>
                <c:pt idx="88">
                  <c:v>1.590371363291931</c:v>
                </c:pt>
                <c:pt idx="89">
                  <c:v>1.6020865854267861</c:v>
                </c:pt>
                <c:pt idx="90">
                  <c:v>1.6167547665228488</c:v>
                </c:pt>
                <c:pt idx="91">
                  <c:v>1.6303767508802662</c:v>
                </c:pt>
                <c:pt idx="92">
                  <c:v>1.6475550255981155</c:v>
                </c:pt>
                <c:pt idx="93">
                  <c:v>1.6645484092257672</c:v>
                </c:pt>
                <c:pt idx="94">
                  <c:v>1.6835301206802027</c:v>
                </c:pt>
                <c:pt idx="95">
                  <c:v>1.7074560362444295</c:v>
                </c:pt>
                <c:pt idx="96">
                  <c:v>1.7386615320678271</c:v>
                </c:pt>
                <c:pt idx="97">
                  <c:v>1.7743422601645338</c:v>
                </c:pt>
                <c:pt idx="98">
                  <c:v>1.8200855746231435</c:v>
                </c:pt>
                <c:pt idx="99">
                  <c:v>1.9083352343062223</c:v>
                </c:pt>
                <c:pt idx="100">
                  <c:v>2.3913858455880384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A3-4FFE-AA96-1F31D36B343F}"/>
            </c:ext>
          </c:extLst>
        </c:ser>
        <c:ser>
          <c:idx val="1"/>
          <c:order val="3"/>
          <c:tx>
            <c:strRef>
              <c:f>'Backtesting OZL'!$W$5</c:f>
              <c:strCache>
                <c:ptCount val="1"/>
                <c:pt idx="0">
                  <c:v>FY23 theo.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OZL'!$W$6:$W$106</c:f>
              <c:numCache>
                <c:formatCode>General</c:formatCode>
                <c:ptCount val="101"/>
                <c:pt idx="0">
                  <c:v>0.85598854086274645</c:v>
                </c:pt>
                <c:pt idx="1">
                  <c:v>1.0486969840889431</c:v>
                </c:pt>
                <c:pt idx="2">
                  <c:v>1.0802653312689234</c:v>
                </c:pt>
                <c:pt idx="3">
                  <c:v>1.1032987327806081</c:v>
                </c:pt>
                <c:pt idx="4">
                  <c:v>1.125077902781646</c:v>
                </c:pt>
                <c:pt idx="5">
                  <c:v>1.1372665098722889</c:v>
                </c:pt>
                <c:pt idx="6">
                  <c:v>1.1502801260450566</c:v>
                </c:pt>
                <c:pt idx="7">
                  <c:v>1.1619913930543886</c:v>
                </c:pt>
                <c:pt idx="8">
                  <c:v>1.171354727534468</c:v>
                </c:pt>
                <c:pt idx="9">
                  <c:v>1.1801947785623792</c:v>
                </c:pt>
                <c:pt idx="10">
                  <c:v>1.1900552301966842</c:v>
                </c:pt>
                <c:pt idx="11">
                  <c:v>1.1975980963588218</c:v>
                </c:pt>
                <c:pt idx="12">
                  <c:v>1.204683186414955</c:v>
                </c:pt>
                <c:pt idx="13">
                  <c:v>1.2119497107857533</c:v>
                </c:pt>
                <c:pt idx="14">
                  <c:v>1.2195003297179561</c:v>
                </c:pt>
                <c:pt idx="15">
                  <c:v>1.2270834063640781</c:v>
                </c:pt>
                <c:pt idx="16">
                  <c:v>1.2343312884520166</c:v>
                </c:pt>
                <c:pt idx="17">
                  <c:v>1.2417978719907234</c:v>
                </c:pt>
                <c:pt idx="18">
                  <c:v>1.2486432408450439</c:v>
                </c:pt>
                <c:pt idx="19">
                  <c:v>1.2538405640477637</c:v>
                </c:pt>
                <c:pt idx="20">
                  <c:v>1.2611571235609773</c:v>
                </c:pt>
                <c:pt idx="21">
                  <c:v>1.2666464352031859</c:v>
                </c:pt>
                <c:pt idx="22">
                  <c:v>1.2731748339067892</c:v>
                </c:pt>
                <c:pt idx="23">
                  <c:v>1.2783039934098701</c:v>
                </c:pt>
                <c:pt idx="24">
                  <c:v>1.2841618179961956</c:v>
                </c:pt>
                <c:pt idx="25">
                  <c:v>1.2886404091411288</c:v>
                </c:pt>
                <c:pt idx="26">
                  <c:v>1.2931935723436181</c:v>
                </c:pt>
                <c:pt idx="27">
                  <c:v>1.2974691459539978</c:v>
                </c:pt>
                <c:pt idx="28">
                  <c:v>1.3035052776455698</c:v>
                </c:pt>
                <c:pt idx="29">
                  <c:v>1.3096058376057997</c:v>
                </c:pt>
                <c:pt idx="30">
                  <c:v>1.3135743876877275</c:v>
                </c:pt>
                <c:pt idx="31">
                  <c:v>1.3181727312093003</c:v>
                </c:pt>
                <c:pt idx="32">
                  <c:v>1.3245530469539686</c:v>
                </c:pt>
                <c:pt idx="33">
                  <c:v>1.3300318332689927</c:v>
                </c:pt>
                <c:pt idx="34">
                  <c:v>1.335523181306586</c:v>
                </c:pt>
                <c:pt idx="35">
                  <c:v>1.3395257634022919</c:v>
                </c:pt>
                <c:pt idx="36">
                  <c:v>1.3468599171717037</c:v>
                </c:pt>
                <c:pt idx="37">
                  <c:v>1.3523682306161722</c:v>
                </c:pt>
                <c:pt idx="38">
                  <c:v>1.3577741633196292</c:v>
                </c:pt>
                <c:pt idx="39">
                  <c:v>1.3624775756733822</c:v>
                </c:pt>
                <c:pt idx="40">
                  <c:v>1.369718680713458</c:v>
                </c:pt>
                <c:pt idx="41">
                  <c:v>1.3746594476442684</c:v>
                </c:pt>
                <c:pt idx="42">
                  <c:v>1.3800202000286415</c:v>
                </c:pt>
                <c:pt idx="43">
                  <c:v>1.3847091301492194</c:v>
                </c:pt>
                <c:pt idx="44">
                  <c:v>1.3902650860431025</c:v>
                </c:pt>
                <c:pt idx="45">
                  <c:v>1.3964776456099068</c:v>
                </c:pt>
                <c:pt idx="46">
                  <c:v>1.4002343679358176</c:v>
                </c:pt>
                <c:pt idx="47">
                  <c:v>1.4070197747145212</c:v>
                </c:pt>
                <c:pt idx="48">
                  <c:v>1.4137878606921401</c:v>
                </c:pt>
                <c:pt idx="49">
                  <c:v>1.4188854751709794</c:v>
                </c:pt>
                <c:pt idx="50">
                  <c:v>1.4228277733580978</c:v>
                </c:pt>
                <c:pt idx="51">
                  <c:v>1.4291977060149978</c:v>
                </c:pt>
                <c:pt idx="52">
                  <c:v>1.4360790777202357</c:v>
                </c:pt>
                <c:pt idx="53">
                  <c:v>1.4401723148535717</c:v>
                </c:pt>
                <c:pt idx="54">
                  <c:v>1.4447313866578726</c:v>
                </c:pt>
                <c:pt idx="55">
                  <c:v>1.4511743700273396</c:v>
                </c:pt>
                <c:pt idx="56">
                  <c:v>1.4579378432149233</c:v>
                </c:pt>
                <c:pt idx="57">
                  <c:v>1.461410513827446</c:v>
                </c:pt>
                <c:pt idx="58">
                  <c:v>1.4676676900489427</c:v>
                </c:pt>
                <c:pt idx="59">
                  <c:v>1.4733479295013874</c:v>
                </c:pt>
                <c:pt idx="60">
                  <c:v>1.4789268860647449</c:v>
                </c:pt>
                <c:pt idx="61">
                  <c:v>1.4835798542204715</c:v>
                </c:pt>
                <c:pt idx="62">
                  <c:v>1.4915739238082775</c:v>
                </c:pt>
                <c:pt idx="63">
                  <c:v>1.4990997258637762</c:v>
                </c:pt>
                <c:pt idx="64">
                  <c:v>1.5049422344348764</c:v>
                </c:pt>
                <c:pt idx="65">
                  <c:v>1.5111653382052674</c:v>
                </c:pt>
                <c:pt idx="66">
                  <c:v>1.518658913828294</c:v>
                </c:pt>
                <c:pt idx="67">
                  <c:v>1.5245774503396643</c:v>
                </c:pt>
                <c:pt idx="68">
                  <c:v>1.5312607712527428</c:v>
                </c:pt>
                <c:pt idx="69">
                  <c:v>1.5401187031893362</c:v>
                </c:pt>
                <c:pt idx="70">
                  <c:v>1.547221424838003</c:v>
                </c:pt>
                <c:pt idx="71">
                  <c:v>1.5541612002034753</c:v>
                </c:pt>
                <c:pt idx="72">
                  <c:v>1.5618009928062893</c:v>
                </c:pt>
                <c:pt idx="73">
                  <c:v>1.5673737113299606</c:v>
                </c:pt>
                <c:pt idx="74">
                  <c:v>1.575683004523067</c:v>
                </c:pt>
                <c:pt idx="75">
                  <c:v>1.5837902326855544</c:v>
                </c:pt>
                <c:pt idx="76">
                  <c:v>1.5910308859224394</c:v>
                </c:pt>
                <c:pt idx="77">
                  <c:v>1.5994759861229915</c:v>
                </c:pt>
                <c:pt idx="78">
                  <c:v>1.6088032767905494</c:v>
                </c:pt>
                <c:pt idx="79">
                  <c:v>1.6196295863216121</c:v>
                </c:pt>
                <c:pt idx="80">
                  <c:v>1.630972883682076</c:v>
                </c:pt>
                <c:pt idx="81">
                  <c:v>1.6397542272066838</c:v>
                </c:pt>
                <c:pt idx="82">
                  <c:v>1.652503854636026</c:v>
                </c:pt>
                <c:pt idx="83">
                  <c:v>1.6654351594583696</c:v>
                </c:pt>
                <c:pt idx="84">
                  <c:v>1.6772386246271753</c:v>
                </c:pt>
                <c:pt idx="85">
                  <c:v>1.6880915563453438</c:v>
                </c:pt>
                <c:pt idx="86">
                  <c:v>1.7005753639745849</c:v>
                </c:pt>
                <c:pt idx="87">
                  <c:v>1.7108487157347789</c:v>
                </c:pt>
                <c:pt idx="88">
                  <c:v>1.7253926503464068</c:v>
                </c:pt>
                <c:pt idx="89">
                  <c:v>1.7368325833721014</c:v>
                </c:pt>
                <c:pt idx="90">
                  <c:v>1.7528027429745754</c:v>
                </c:pt>
                <c:pt idx="91">
                  <c:v>1.7722349347609823</c:v>
                </c:pt>
                <c:pt idx="92">
                  <c:v>1.7892026328853858</c:v>
                </c:pt>
                <c:pt idx="93">
                  <c:v>1.8106173818739388</c:v>
                </c:pt>
                <c:pt idx="94">
                  <c:v>1.8361087723737537</c:v>
                </c:pt>
                <c:pt idx="95">
                  <c:v>1.8684988592785829</c:v>
                </c:pt>
                <c:pt idx="96">
                  <c:v>1.9081449764046885</c:v>
                </c:pt>
                <c:pt idx="97">
                  <c:v>1.9461949179640894</c:v>
                </c:pt>
                <c:pt idx="98">
                  <c:v>2.0083991797274612</c:v>
                </c:pt>
                <c:pt idx="99">
                  <c:v>2.122462483939592</c:v>
                </c:pt>
                <c:pt idx="100">
                  <c:v>2.7009951455136227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A3-4FFE-AA96-1F31D36B343F}"/>
            </c:ext>
          </c:extLst>
        </c:ser>
        <c:ser>
          <c:idx val="0"/>
          <c:order val="4"/>
          <c:tx>
            <c:strRef>
              <c:f>'Backtesting OZL'!$V$5</c:f>
              <c:strCache>
                <c:ptCount val="1"/>
                <c:pt idx="0">
                  <c:v>FY22 theo.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D-31A3-4FFE-AA96-1F31D36B343F}"/>
              </c:ext>
            </c:extLst>
          </c:dPt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OZL'!$V$6:$V$106</c:f>
              <c:numCache>
                <c:formatCode>General</c:formatCode>
                <c:ptCount val="101"/>
                <c:pt idx="0">
                  <c:v>0.84020092224006537</c:v>
                </c:pt>
                <c:pt idx="1">
                  <c:v>0.96307992122753894</c:v>
                </c:pt>
                <c:pt idx="2">
                  <c:v>0.98911910421807347</c:v>
                </c:pt>
                <c:pt idx="3">
                  <c:v>1.00729071441586</c:v>
                </c:pt>
                <c:pt idx="4">
                  <c:v>1.0199375384462712</c:v>
                </c:pt>
                <c:pt idx="5">
                  <c:v>1.0308915697559984</c:v>
                </c:pt>
                <c:pt idx="6">
                  <c:v>1.0409334662678584</c:v>
                </c:pt>
                <c:pt idx="7">
                  <c:v>1.0493361050775969</c:v>
                </c:pt>
                <c:pt idx="8">
                  <c:v>1.0565109446180805</c:v>
                </c:pt>
                <c:pt idx="9">
                  <c:v>1.0640716887206085</c:v>
                </c:pt>
                <c:pt idx="10">
                  <c:v>1.0704482944389699</c:v>
                </c:pt>
                <c:pt idx="11">
                  <c:v>1.0757659606192682</c:v>
                </c:pt>
                <c:pt idx="12">
                  <c:v>1.0831860131475268</c:v>
                </c:pt>
                <c:pt idx="13">
                  <c:v>1.0893318134656158</c:v>
                </c:pt>
                <c:pt idx="14">
                  <c:v>1.0942020657192633</c:v>
                </c:pt>
                <c:pt idx="15">
                  <c:v>1.0992491366721133</c:v>
                </c:pt>
                <c:pt idx="16">
                  <c:v>1.1034554481744561</c:v>
                </c:pt>
                <c:pt idx="17">
                  <c:v>1.1082508079082114</c:v>
                </c:pt>
                <c:pt idx="18">
                  <c:v>1.1134945691348601</c:v>
                </c:pt>
                <c:pt idx="19">
                  <c:v>1.1174743277563921</c:v>
                </c:pt>
                <c:pt idx="20">
                  <c:v>1.1222195793916849</c:v>
                </c:pt>
                <c:pt idx="21">
                  <c:v>1.1267789511611508</c:v>
                </c:pt>
                <c:pt idx="22">
                  <c:v>1.1314992528385917</c:v>
                </c:pt>
                <c:pt idx="23">
                  <c:v>1.1361352824164686</c:v>
                </c:pt>
                <c:pt idx="24">
                  <c:v>1.1401750321009774</c:v>
                </c:pt>
                <c:pt idx="25">
                  <c:v>1.1441446644674687</c:v>
                </c:pt>
                <c:pt idx="26">
                  <c:v>1.14791492431052</c:v>
                </c:pt>
                <c:pt idx="27">
                  <c:v>1.151692976066448</c:v>
                </c:pt>
                <c:pt idx="28">
                  <c:v>1.1553424543172328</c:v>
                </c:pt>
                <c:pt idx="29">
                  <c:v>1.1593118850915605</c:v>
                </c:pt>
                <c:pt idx="30">
                  <c:v>1.1634598933447939</c:v>
                </c:pt>
                <c:pt idx="31">
                  <c:v>1.1667661796124127</c:v>
                </c:pt>
                <c:pt idx="32">
                  <c:v>1.1702176063075178</c:v>
                </c:pt>
                <c:pt idx="33">
                  <c:v>1.1743711761980806</c:v>
                </c:pt>
                <c:pt idx="34">
                  <c:v>1.1783078256677604</c:v>
                </c:pt>
                <c:pt idx="35">
                  <c:v>1.1821279287556512</c:v>
                </c:pt>
                <c:pt idx="36">
                  <c:v>1.1858398695432872</c:v>
                </c:pt>
                <c:pt idx="37">
                  <c:v>1.1898278554524027</c:v>
                </c:pt>
                <c:pt idx="38">
                  <c:v>1.1940213467080159</c:v>
                </c:pt>
                <c:pt idx="39">
                  <c:v>1.1978336295282181</c:v>
                </c:pt>
                <c:pt idx="40">
                  <c:v>1.2017812140722102</c:v>
                </c:pt>
                <c:pt idx="41">
                  <c:v>1.2051396979890774</c:v>
                </c:pt>
                <c:pt idx="42">
                  <c:v>1.2087821048077696</c:v>
                </c:pt>
                <c:pt idx="43">
                  <c:v>1.2126640000586397</c:v>
                </c:pt>
                <c:pt idx="44">
                  <c:v>1.2166877822574209</c:v>
                </c:pt>
                <c:pt idx="45">
                  <c:v>1.220347604717124</c:v>
                </c:pt>
                <c:pt idx="46">
                  <c:v>1.2239191832235048</c:v>
                </c:pt>
                <c:pt idx="47">
                  <c:v>1.2276568384916042</c:v>
                </c:pt>
                <c:pt idx="48">
                  <c:v>1.2319176417105866</c:v>
                </c:pt>
                <c:pt idx="49">
                  <c:v>1.2362716680236487</c:v>
                </c:pt>
                <c:pt idx="50">
                  <c:v>1.2398247855893638</c:v>
                </c:pt>
                <c:pt idx="51">
                  <c:v>1.2436157144972442</c:v>
                </c:pt>
                <c:pt idx="52">
                  <c:v>1.2477492146793552</c:v>
                </c:pt>
                <c:pt idx="53">
                  <c:v>1.2520678950512383</c:v>
                </c:pt>
                <c:pt idx="54">
                  <c:v>1.2559191042412228</c:v>
                </c:pt>
                <c:pt idx="55">
                  <c:v>1.259479955330747</c:v>
                </c:pt>
                <c:pt idx="56">
                  <c:v>1.2646156346842723</c:v>
                </c:pt>
                <c:pt idx="57">
                  <c:v>1.2685108810241086</c:v>
                </c:pt>
                <c:pt idx="58">
                  <c:v>1.2731456424610359</c:v>
                </c:pt>
                <c:pt idx="59">
                  <c:v>1.2782909189230132</c:v>
                </c:pt>
                <c:pt idx="60">
                  <c:v>1.2831186577031422</c:v>
                </c:pt>
                <c:pt idx="61">
                  <c:v>1.2882469951079543</c:v>
                </c:pt>
                <c:pt idx="62">
                  <c:v>1.2920689837851318</c:v>
                </c:pt>
                <c:pt idx="63">
                  <c:v>1.2971905650013573</c:v>
                </c:pt>
                <c:pt idx="64">
                  <c:v>1.3015357090147042</c:v>
                </c:pt>
                <c:pt idx="65">
                  <c:v>1.3059972831188953</c:v>
                </c:pt>
                <c:pt idx="66">
                  <c:v>1.3109414800972099</c:v>
                </c:pt>
                <c:pt idx="67">
                  <c:v>1.3166204337111118</c:v>
                </c:pt>
                <c:pt idx="68">
                  <c:v>1.3219693644335477</c:v>
                </c:pt>
                <c:pt idx="69">
                  <c:v>1.3275191577059144</c:v>
                </c:pt>
                <c:pt idx="70">
                  <c:v>1.3331747425387508</c:v>
                </c:pt>
                <c:pt idx="71">
                  <c:v>1.3384657635416537</c:v>
                </c:pt>
                <c:pt idx="72">
                  <c:v>1.3443188479676584</c:v>
                </c:pt>
                <c:pt idx="73">
                  <c:v>1.3499934938498808</c:v>
                </c:pt>
                <c:pt idx="74">
                  <c:v>1.3557592479345038</c:v>
                </c:pt>
                <c:pt idx="75">
                  <c:v>1.3615887069443906</c:v>
                </c:pt>
                <c:pt idx="76">
                  <c:v>1.3669590168472918</c:v>
                </c:pt>
                <c:pt idx="77">
                  <c:v>1.3730591114030331</c:v>
                </c:pt>
                <c:pt idx="78">
                  <c:v>1.3790586542735965</c:v>
                </c:pt>
                <c:pt idx="79">
                  <c:v>1.3863424427402304</c:v>
                </c:pt>
                <c:pt idx="80">
                  <c:v>1.3933817428582511</c:v>
                </c:pt>
                <c:pt idx="81">
                  <c:v>1.4014472121087975</c:v>
                </c:pt>
                <c:pt idx="82">
                  <c:v>1.4091807829743974</c:v>
                </c:pt>
                <c:pt idx="83">
                  <c:v>1.4168643949410162</c:v>
                </c:pt>
                <c:pt idx="84">
                  <c:v>1.4255105179239234</c:v>
                </c:pt>
                <c:pt idx="85">
                  <c:v>1.4352440672144502</c:v>
                </c:pt>
                <c:pt idx="86">
                  <c:v>1.445234052711226</c:v>
                </c:pt>
                <c:pt idx="87">
                  <c:v>1.4546565721987335</c:v>
                </c:pt>
                <c:pt idx="88">
                  <c:v>1.4661748981205394</c:v>
                </c:pt>
                <c:pt idx="89">
                  <c:v>1.4767289394501959</c:v>
                </c:pt>
                <c:pt idx="90">
                  <c:v>1.4897542852858139</c:v>
                </c:pt>
                <c:pt idx="91">
                  <c:v>1.5037189118152723</c:v>
                </c:pt>
                <c:pt idx="92">
                  <c:v>1.5166523994973409</c:v>
                </c:pt>
                <c:pt idx="93">
                  <c:v>1.5353070067249543</c:v>
                </c:pt>
                <c:pt idx="94">
                  <c:v>1.5580246434491485</c:v>
                </c:pt>
                <c:pt idx="95">
                  <c:v>1.580430925253931</c:v>
                </c:pt>
                <c:pt idx="96">
                  <c:v>1.6061381149908645</c:v>
                </c:pt>
                <c:pt idx="97">
                  <c:v>1.6356102914105184</c:v>
                </c:pt>
                <c:pt idx="98">
                  <c:v>1.6813850452822907</c:v>
                </c:pt>
                <c:pt idx="99">
                  <c:v>1.7537707952672481</c:v>
                </c:pt>
                <c:pt idx="100">
                  <c:v>2.2718412243593828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A3-4FFE-AA96-1F31D36B343F}"/>
            </c:ext>
          </c:extLst>
        </c:ser>
        <c:ser>
          <c:idx val="8"/>
          <c:order val="5"/>
          <c:tx>
            <c:strRef>
              <c:f>'Backtesting OZL'!$U$5</c:f>
              <c:strCache>
                <c:ptCount val="1"/>
                <c:pt idx="0">
                  <c:v>FY21 theo.</c:v>
                </c:pt>
              </c:strCache>
            </c:strRef>
          </c:tx>
          <c:spPr>
            <a:ln w="28575">
              <a:solidFill>
                <a:schemeClr val="accent4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OZL'!$U$6:$U$106</c:f>
              <c:numCache>
                <c:formatCode>General</c:formatCode>
                <c:ptCount val="101"/>
                <c:pt idx="0">
                  <c:v>0.90871792822762854</c:v>
                </c:pt>
                <c:pt idx="1">
                  <c:v>1.002327563622444</c:v>
                </c:pt>
                <c:pt idx="2">
                  <c:v>1.0281010586672783</c:v>
                </c:pt>
                <c:pt idx="3">
                  <c:v>1.041535677123743</c:v>
                </c:pt>
                <c:pt idx="4">
                  <c:v>1.0531427039246357</c:v>
                </c:pt>
                <c:pt idx="5">
                  <c:v>1.0633498923909515</c:v>
                </c:pt>
                <c:pt idx="6">
                  <c:v>1.0715459968549692</c:v>
                </c:pt>
                <c:pt idx="7">
                  <c:v>1.0802357741089565</c:v>
                </c:pt>
                <c:pt idx="8">
                  <c:v>1.0869695628313993</c:v>
                </c:pt>
                <c:pt idx="9">
                  <c:v>1.092949144236647</c:v>
                </c:pt>
                <c:pt idx="10">
                  <c:v>1.0992623918436912</c:v>
                </c:pt>
                <c:pt idx="11">
                  <c:v>1.1046007719948943</c:v>
                </c:pt>
                <c:pt idx="12">
                  <c:v>1.1099845670827793</c:v>
                </c:pt>
                <c:pt idx="13">
                  <c:v>1.114237885412205</c:v>
                </c:pt>
                <c:pt idx="14">
                  <c:v>1.1189003031895117</c:v>
                </c:pt>
                <c:pt idx="15">
                  <c:v>1.1235006685890268</c:v>
                </c:pt>
                <c:pt idx="16">
                  <c:v>1.128820217023726</c:v>
                </c:pt>
                <c:pt idx="17">
                  <c:v>1.1332727622825831</c:v>
                </c:pt>
                <c:pt idx="18">
                  <c:v>1.1377767486247852</c:v>
                </c:pt>
                <c:pt idx="19">
                  <c:v>1.1418104430790326</c:v>
                </c:pt>
                <c:pt idx="20">
                  <c:v>1.1459007298876787</c:v>
                </c:pt>
                <c:pt idx="21">
                  <c:v>1.1503332479800097</c:v>
                </c:pt>
                <c:pt idx="22">
                  <c:v>1.1537517628200553</c:v>
                </c:pt>
                <c:pt idx="23">
                  <c:v>1.1574189295230632</c:v>
                </c:pt>
                <c:pt idx="24">
                  <c:v>1.1612880515623067</c:v>
                </c:pt>
                <c:pt idx="25">
                  <c:v>1.1649699044925577</c:v>
                </c:pt>
                <c:pt idx="26">
                  <c:v>1.1686415146362303</c:v>
                </c:pt>
                <c:pt idx="27">
                  <c:v>1.1725299450588811</c:v>
                </c:pt>
                <c:pt idx="28">
                  <c:v>1.176663760678994</c:v>
                </c:pt>
                <c:pt idx="29">
                  <c:v>1.1801775117965529</c:v>
                </c:pt>
                <c:pt idx="30">
                  <c:v>1.1836793626157591</c:v>
                </c:pt>
                <c:pt idx="31">
                  <c:v>1.1868065890671511</c:v>
                </c:pt>
                <c:pt idx="32">
                  <c:v>1.1902967372872346</c:v>
                </c:pt>
                <c:pt idx="33">
                  <c:v>1.1932042516325254</c:v>
                </c:pt>
                <c:pt idx="34">
                  <c:v>1.1965709912666993</c:v>
                </c:pt>
                <c:pt idx="35">
                  <c:v>1.200022447351434</c:v>
                </c:pt>
                <c:pt idx="36">
                  <c:v>1.2032421379196756</c:v>
                </c:pt>
                <c:pt idx="37">
                  <c:v>1.2072056246870724</c:v>
                </c:pt>
                <c:pt idx="38">
                  <c:v>1.2108680723914322</c:v>
                </c:pt>
                <c:pt idx="39">
                  <c:v>1.2145073411205503</c:v>
                </c:pt>
                <c:pt idx="40">
                  <c:v>1.2177613363588575</c:v>
                </c:pt>
                <c:pt idx="41">
                  <c:v>1.2208748890621242</c:v>
                </c:pt>
                <c:pt idx="42">
                  <c:v>1.2252007952454322</c:v>
                </c:pt>
                <c:pt idx="43">
                  <c:v>1.2290297293982682</c:v>
                </c:pt>
                <c:pt idx="44">
                  <c:v>1.2324965017114851</c:v>
                </c:pt>
                <c:pt idx="45">
                  <c:v>1.2362442520621559</c:v>
                </c:pt>
                <c:pt idx="46">
                  <c:v>1.2399249174560854</c:v>
                </c:pt>
                <c:pt idx="47">
                  <c:v>1.2434332548444935</c:v>
                </c:pt>
                <c:pt idx="48">
                  <c:v>1.2469598308213343</c:v>
                </c:pt>
                <c:pt idx="49">
                  <c:v>1.2503350286719768</c:v>
                </c:pt>
                <c:pt idx="50">
                  <c:v>1.2539492219818413</c:v>
                </c:pt>
                <c:pt idx="51">
                  <c:v>1.2578040527834959</c:v>
                </c:pt>
                <c:pt idx="52">
                  <c:v>1.262157975836824</c:v>
                </c:pt>
                <c:pt idx="53">
                  <c:v>1.2663166585224992</c:v>
                </c:pt>
                <c:pt idx="54">
                  <c:v>1.2701777280608413</c:v>
                </c:pt>
                <c:pt idx="55">
                  <c:v>1.2737831695324506</c:v>
                </c:pt>
                <c:pt idx="56">
                  <c:v>1.2774249814554002</c:v>
                </c:pt>
                <c:pt idx="57">
                  <c:v>1.281318727113415</c:v>
                </c:pt>
                <c:pt idx="58">
                  <c:v>1.2851402109817096</c:v>
                </c:pt>
                <c:pt idx="59">
                  <c:v>1.2889654014325709</c:v>
                </c:pt>
                <c:pt idx="60">
                  <c:v>1.2927950455003208</c:v>
                </c:pt>
                <c:pt idx="61">
                  <c:v>1.2968604703798026</c:v>
                </c:pt>
                <c:pt idx="62">
                  <c:v>1.3004463997045284</c:v>
                </c:pt>
                <c:pt idx="63">
                  <c:v>1.3049861460608569</c:v>
                </c:pt>
                <c:pt idx="64">
                  <c:v>1.3083904609237542</c:v>
                </c:pt>
                <c:pt idx="65">
                  <c:v>1.312186608794597</c:v>
                </c:pt>
                <c:pt idx="66">
                  <c:v>1.3168319987851855</c:v>
                </c:pt>
                <c:pt idx="67">
                  <c:v>1.3224095508367764</c:v>
                </c:pt>
                <c:pt idx="68">
                  <c:v>1.3275180905717789</c:v>
                </c:pt>
                <c:pt idx="69">
                  <c:v>1.3317573356345558</c:v>
                </c:pt>
                <c:pt idx="70">
                  <c:v>1.3367088572876205</c:v>
                </c:pt>
                <c:pt idx="71">
                  <c:v>1.3418930630858048</c:v>
                </c:pt>
                <c:pt idx="72">
                  <c:v>1.3460576630620495</c:v>
                </c:pt>
                <c:pt idx="73">
                  <c:v>1.3507600432210847</c:v>
                </c:pt>
                <c:pt idx="74">
                  <c:v>1.3559285455860912</c:v>
                </c:pt>
                <c:pt idx="75">
                  <c:v>1.3623549024118429</c:v>
                </c:pt>
                <c:pt idx="76">
                  <c:v>1.3679115075039336</c:v>
                </c:pt>
                <c:pt idx="77">
                  <c:v>1.3741240228538287</c:v>
                </c:pt>
                <c:pt idx="78">
                  <c:v>1.3802131056509899</c:v>
                </c:pt>
                <c:pt idx="79">
                  <c:v>1.3864562452443752</c:v>
                </c:pt>
                <c:pt idx="80">
                  <c:v>1.3924812261639288</c:v>
                </c:pt>
                <c:pt idx="81">
                  <c:v>1.3989781937523103</c:v>
                </c:pt>
                <c:pt idx="82">
                  <c:v>1.4078367873098665</c:v>
                </c:pt>
                <c:pt idx="83">
                  <c:v>1.4157965710723526</c:v>
                </c:pt>
                <c:pt idx="84">
                  <c:v>1.4227471974303718</c:v>
                </c:pt>
                <c:pt idx="85">
                  <c:v>1.4316635732926799</c:v>
                </c:pt>
                <c:pt idx="86">
                  <c:v>1.4400694485312433</c:v>
                </c:pt>
                <c:pt idx="87">
                  <c:v>1.4488016173716833</c:v>
                </c:pt>
                <c:pt idx="88">
                  <c:v>1.458323461974163</c:v>
                </c:pt>
                <c:pt idx="89">
                  <c:v>1.4685548377395408</c:v>
                </c:pt>
                <c:pt idx="90">
                  <c:v>1.4796590516902683</c:v>
                </c:pt>
                <c:pt idx="91">
                  <c:v>1.4899898909363194</c:v>
                </c:pt>
                <c:pt idx="92">
                  <c:v>1.5026629146401353</c:v>
                </c:pt>
                <c:pt idx="93">
                  <c:v>1.5156853116845705</c:v>
                </c:pt>
                <c:pt idx="94">
                  <c:v>1.5317511094078329</c:v>
                </c:pt>
                <c:pt idx="95">
                  <c:v>1.5481905537225693</c:v>
                </c:pt>
                <c:pt idx="96">
                  <c:v>1.5669626052330263</c:v>
                </c:pt>
                <c:pt idx="97">
                  <c:v>1.5926897248469993</c:v>
                </c:pt>
                <c:pt idx="98">
                  <c:v>1.637164217240354</c:v>
                </c:pt>
                <c:pt idx="99">
                  <c:v>1.698698668260801</c:v>
                </c:pt>
                <c:pt idx="100">
                  <c:v>2.0878127217335138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A3-4FFE-AA96-1F31D36B343F}"/>
            </c:ext>
          </c:extLst>
        </c:ser>
        <c:ser>
          <c:idx val="10"/>
          <c:order val="6"/>
          <c:tx>
            <c:strRef>
              <c:f>'Backtesting OZL'!$T$5</c:f>
              <c:strCache>
                <c:ptCount val="1"/>
                <c:pt idx="0">
                  <c:v>FY20 theo.</c:v>
                </c:pt>
              </c:strCache>
            </c:strRef>
          </c:tx>
          <c:spPr>
            <a:ln w="28575">
              <a:solidFill>
                <a:srgbClr val="D9C1ED"/>
              </a:solidFill>
            </a:ln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OZL'!$T$6:$T$106</c:f>
              <c:numCache>
                <c:formatCode>General</c:formatCode>
                <c:ptCount val="101"/>
                <c:pt idx="0">
                  <c:v>0.81911729531132949</c:v>
                </c:pt>
                <c:pt idx="1">
                  <c:v>0.90141022293764284</c:v>
                </c:pt>
                <c:pt idx="2">
                  <c:v>0.92012027212924852</c:v>
                </c:pt>
                <c:pt idx="3">
                  <c:v>0.93152652444441131</c:v>
                </c:pt>
                <c:pt idx="4">
                  <c:v>0.94113375795653953</c:v>
                </c:pt>
                <c:pt idx="5">
                  <c:v>0.94985301723903193</c:v>
                </c:pt>
                <c:pt idx="6">
                  <c:v>0.95854010498947317</c:v>
                </c:pt>
                <c:pt idx="7">
                  <c:v>0.96452854707313906</c:v>
                </c:pt>
                <c:pt idx="8">
                  <c:v>0.97219109710707907</c:v>
                </c:pt>
                <c:pt idx="9">
                  <c:v>0.97826911771942993</c:v>
                </c:pt>
                <c:pt idx="10">
                  <c:v>0.9838210938188009</c:v>
                </c:pt>
                <c:pt idx="11">
                  <c:v>0.98917353745651204</c:v>
                </c:pt>
                <c:pt idx="12">
                  <c:v>0.99325476450561567</c:v>
                </c:pt>
                <c:pt idx="13">
                  <c:v>0.99807432388011674</c:v>
                </c:pt>
                <c:pt idx="14">
                  <c:v>1.0025841797032917</c:v>
                </c:pt>
                <c:pt idx="15">
                  <c:v>1.0072119493779794</c:v>
                </c:pt>
                <c:pt idx="16">
                  <c:v>1.0114556889026454</c:v>
                </c:pt>
                <c:pt idx="17">
                  <c:v>1.0159655123498437</c:v>
                </c:pt>
                <c:pt idx="18">
                  <c:v>1.0198012897724731</c:v>
                </c:pt>
                <c:pt idx="19">
                  <c:v>1.0241153601732322</c:v>
                </c:pt>
                <c:pt idx="20">
                  <c:v>1.0278409785246818</c:v>
                </c:pt>
                <c:pt idx="21">
                  <c:v>1.032052701666305</c:v>
                </c:pt>
                <c:pt idx="22">
                  <c:v>1.0364042637092072</c:v>
                </c:pt>
                <c:pt idx="23">
                  <c:v>1.0399594462453305</c:v>
                </c:pt>
                <c:pt idx="24">
                  <c:v>1.043945444703867</c:v>
                </c:pt>
                <c:pt idx="25">
                  <c:v>1.0472711099422358</c:v>
                </c:pt>
                <c:pt idx="26">
                  <c:v>1.0509967282936847</c:v>
                </c:pt>
                <c:pt idx="27">
                  <c:v>1.0541624168138066</c:v>
                </c:pt>
                <c:pt idx="28">
                  <c:v>1.0575632199149632</c:v>
                </c:pt>
                <c:pt idx="29">
                  <c:v>1.0616181392964703</c:v>
                </c:pt>
                <c:pt idx="30">
                  <c:v>1.0647795948046495</c:v>
                </c:pt>
                <c:pt idx="31">
                  <c:v>1.0677402699252705</c:v>
                </c:pt>
                <c:pt idx="32">
                  <c:v>1.0713811949559002</c:v>
                </c:pt>
                <c:pt idx="33">
                  <c:v>1.0748584399940542</c:v>
                </c:pt>
                <c:pt idx="34">
                  <c:v>1.0775569693495515</c:v>
                </c:pt>
                <c:pt idx="35">
                  <c:v>1.0806142328752342</c:v>
                </c:pt>
                <c:pt idx="36">
                  <c:v>1.0834645541465768</c:v>
                </c:pt>
                <c:pt idx="37">
                  <c:v>1.0871789047896798</c:v>
                </c:pt>
                <c:pt idx="38">
                  <c:v>1.0900047381002584</c:v>
                </c:pt>
                <c:pt idx="39">
                  <c:v>1.093602274109323</c:v>
                </c:pt>
                <c:pt idx="40">
                  <c:v>1.0971158564995525</c:v>
                </c:pt>
                <c:pt idx="41">
                  <c:v>1.1005798568072822</c:v>
                </c:pt>
                <c:pt idx="42">
                  <c:v>1.1038699548626283</c:v>
                </c:pt>
                <c:pt idx="43">
                  <c:v>1.1066466097112877</c:v>
                </c:pt>
                <c:pt idx="44">
                  <c:v>1.1096090775840435</c:v>
                </c:pt>
                <c:pt idx="45">
                  <c:v>1.1130163578496435</c:v>
                </c:pt>
                <c:pt idx="46">
                  <c:v>1.115894755203056</c:v>
                </c:pt>
                <c:pt idx="47">
                  <c:v>1.1190943784619947</c:v>
                </c:pt>
                <c:pt idx="48">
                  <c:v>1.1217723218005926</c:v>
                </c:pt>
                <c:pt idx="49">
                  <c:v>1.1256496023749267</c:v>
                </c:pt>
                <c:pt idx="50">
                  <c:v>1.1283372442841972</c:v>
                </c:pt>
                <c:pt idx="51">
                  <c:v>1.1317388906956238</c:v>
                </c:pt>
                <c:pt idx="52">
                  <c:v>1.135166070826348</c:v>
                </c:pt>
                <c:pt idx="53">
                  <c:v>1.1383330295579217</c:v>
                </c:pt>
                <c:pt idx="54">
                  <c:v>1.1422501282309978</c:v>
                </c:pt>
                <c:pt idx="55">
                  <c:v>1.1468461320847365</c:v>
                </c:pt>
                <c:pt idx="56">
                  <c:v>1.1511953279088858</c:v>
                </c:pt>
                <c:pt idx="57">
                  <c:v>1.1542733071444278</c:v>
                </c:pt>
                <c:pt idx="58">
                  <c:v>1.1577618195301642</c:v>
                </c:pt>
                <c:pt idx="59">
                  <c:v>1.1615943457585229</c:v>
                </c:pt>
                <c:pt idx="60">
                  <c:v>1.1652499350260956</c:v>
                </c:pt>
                <c:pt idx="61">
                  <c:v>1.1687991015785184</c:v>
                </c:pt>
                <c:pt idx="62">
                  <c:v>1.173165280295529</c:v>
                </c:pt>
                <c:pt idx="63">
                  <c:v>1.1768363422500638</c:v>
                </c:pt>
                <c:pt idx="64">
                  <c:v>1.1807847069878949</c:v>
                </c:pt>
                <c:pt idx="65">
                  <c:v>1.1847379316315994</c:v>
                </c:pt>
                <c:pt idx="66">
                  <c:v>1.189214310452855</c:v>
                </c:pt>
                <c:pt idx="67">
                  <c:v>1.19234803354923</c:v>
                </c:pt>
                <c:pt idx="68">
                  <c:v>1.1958566973649847</c:v>
                </c:pt>
                <c:pt idx="69">
                  <c:v>1.2004740998307892</c:v>
                </c:pt>
                <c:pt idx="70">
                  <c:v>1.2054024891168675</c:v>
                </c:pt>
                <c:pt idx="71">
                  <c:v>1.2105272417807296</c:v>
                </c:pt>
                <c:pt idx="72">
                  <c:v>1.2150405980907191</c:v>
                </c:pt>
                <c:pt idx="73">
                  <c:v>1.2195850103673369</c:v>
                </c:pt>
                <c:pt idx="74">
                  <c:v>1.2236355495092208</c:v>
                </c:pt>
                <c:pt idx="75">
                  <c:v>1.2281370278435166</c:v>
                </c:pt>
                <c:pt idx="76">
                  <c:v>1.2329938530078801</c:v>
                </c:pt>
                <c:pt idx="77">
                  <c:v>1.2385943328924416</c:v>
                </c:pt>
                <c:pt idx="78">
                  <c:v>1.2442067823428813</c:v>
                </c:pt>
                <c:pt idx="79">
                  <c:v>1.2501566780579223</c:v>
                </c:pt>
                <c:pt idx="80">
                  <c:v>1.2549802776336798</c:v>
                </c:pt>
                <c:pt idx="81">
                  <c:v>1.2604551883627813</c:v>
                </c:pt>
                <c:pt idx="82">
                  <c:v>1.2670837053950781</c:v>
                </c:pt>
                <c:pt idx="83">
                  <c:v>1.2738178524336334</c:v>
                </c:pt>
                <c:pt idx="84">
                  <c:v>1.2799295921902891</c:v>
                </c:pt>
                <c:pt idx="85">
                  <c:v>1.2878221446425093</c:v>
                </c:pt>
                <c:pt idx="86">
                  <c:v>1.2971805786616615</c:v>
                </c:pt>
                <c:pt idx="87">
                  <c:v>1.3047000521533583</c:v>
                </c:pt>
                <c:pt idx="88">
                  <c:v>1.3125159292923649</c:v>
                </c:pt>
                <c:pt idx="89">
                  <c:v>1.3226908410316323</c:v>
                </c:pt>
                <c:pt idx="90">
                  <c:v>1.332976855573009</c:v>
                </c:pt>
                <c:pt idx="91">
                  <c:v>1.3447378859549666</c:v>
                </c:pt>
                <c:pt idx="92">
                  <c:v>1.3590551974198264</c:v>
                </c:pt>
                <c:pt idx="93">
                  <c:v>1.3714983846555937</c:v>
                </c:pt>
                <c:pt idx="94">
                  <c:v>1.3886491266284524</c:v>
                </c:pt>
                <c:pt idx="95">
                  <c:v>1.4059507549812771</c:v>
                </c:pt>
                <c:pt idx="96">
                  <c:v>1.4272875611684301</c:v>
                </c:pt>
                <c:pt idx="97">
                  <c:v>1.4529746279743212</c:v>
                </c:pt>
                <c:pt idx="98">
                  <c:v>1.499788860551146</c:v>
                </c:pt>
                <c:pt idx="99">
                  <c:v>1.5581503492166773</c:v>
                </c:pt>
                <c:pt idx="100">
                  <c:v>2.0433625708805656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A3-4FFE-AA96-1F31D36B343F}"/>
            </c:ext>
          </c:extLst>
        </c:ser>
        <c:ser>
          <c:idx val="13"/>
          <c:order val="7"/>
          <c:tx>
            <c:v>FY19 theo.</c:v>
          </c:tx>
          <c:spPr>
            <a:ln>
              <a:solidFill>
                <a:schemeClr val="accent6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OZL'!$S$6:$S$106</c:f>
              <c:numCache>
                <c:formatCode>General</c:formatCode>
                <c:ptCount val="101"/>
                <c:pt idx="0">
                  <c:v>0.76122758502391852</c:v>
                </c:pt>
                <c:pt idx="1">
                  <c:v>0.84138348805423491</c:v>
                </c:pt>
                <c:pt idx="2">
                  <c:v>0.86022634290965416</c:v>
                </c:pt>
                <c:pt idx="3">
                  <c:v>0.8760917001742341</c:v>
                </c:pt>
                <c:pt idx="4">
                  <c:v>0.88553068196613183</c:v>
                </c:pt>
                <c:pt idx="5">
                  <c:v>0.8928912745406965</c:v>
                </c:pt>
                <c:pt idx="6">
                  <c:v>0.90136989589033167</c:v>
                </c:pt>
                <c:pt idx="7">
                  <c:v>0.90725996062523184</c:v>
                </c:pt>
                <c:pt idx="8">
                  <c:v>0.91379026552609877</c:v>
                </c:pt>
                <c:pt idx="9">
                  <c:v>0.92060101376462489</c:v>
                </c:pt>
                <c:pt idx="10">
                  <c:v>0.92551870231371447</c:v>
                </c:pt>
                <c:pt idx="11">
                  <c:v>0.9312319244855205</c:v>
                </c:pt>
                <c:pt idx="12">
                  <c:v>0.93587021166926188</c:v>
                </c:pt>
                <c:pt idx="13">
                  <c:v>0.94117438538241349</c:v>
                </c:pt>
                <c:pt idx="14">
                  <c:v>0.94560281459996132</c:v>
                </c:pt>
                <c:pt idx="15">
                  <c:v>0.95028395745406002</c:v>
                </c:pt>
                <c:pt idx="16">
                  <c:v>0.95418952093609766</c:v>
                </c:pt>
                <c:pt idx="17">
                  <c:v>0.95852160907022688</c:v>
                </c:pt>
                <c:pt idx="18">
                  <c:v>0.96350064448416495</c:v>
                </c:pt>
                <c:pt idx="19">
                  <c:v>0.96717203246549743</c:v>
                </c:pt>
                <c:pt idx="20">
                  <c:v>0.97161538172377937</c:v>
                </c:pt>
                <c:pt idx="21">
                  <c:v>0.97590663209824691</c:v>
                </c:pt>
                <c:pt idx="22">
                  <c:v>0.97916668820277153</c:v>
                </c:pt>
                <c:pt idx="23">
                  <c:v>0.98282049410478545</c:v>
                </c:pt>
                <c:pt idx="24">
                  <c:v>0.98652716302510679</c:v>
                </c:pt>
                <c:pt idx="25">
                  <c:v>0.98975000851185824</c:v>
                </c:pt>
                <c:pt idx="26">
                  <c:v>0.99306479808054116</c:v>
                </c:pt>
                <c:pt idx="27">
                  <c:v>0.99632199976985059</c:v>
                </c:pt>
                <c:pt idx="28">
                  <c:v>0.99987496528374631</c:v>
                </c:pt>
                <c:pt idx="29">
                  <c:v>1.0033257352926983</c:v>
                </c:pt>
                <c:pt idx="30">
                  <c:v>1.0072608176349109</c:v>
                </c:pt>
                <c:pt idx="31">
                  <c:v>1.010979237276634</c:v>
                </c:pt>
                <c:pt idx="32">
                  <c:v>1.0142911724301018</c:v>
                </c:pt>
                <c:pt idx="33">
                  <c:v>1.0178441379439973</c:v>
                </c:pt>
                <c:pt idx="34">
                  <c:v>1.0207778135870069</c:v>
                </c:pt>
                <c:pt idx="35">
                  <c:v>1.0240340123736731</c:v>
                </c:pt>
                <c:pt idx="36">
                  <c:v>1.0270974498006633</c:v>
                </c:pt>
                <c:pt idx="37">
                  <c:v>1.0306799524087631</c:v>
                </c:pt>
                <c:pt idx="38">
                  <c:v>1.034281710789144</c:v>
                </c:pt>
                <c:pt idx="39">
                  <c:v>1.0374544309049358</c:v>
                </c:pt>
                <c:pt idx="40">
                  <c:v>1.0407621030911187</c:v>
                </c:pt>
                <c:pt idx="41">
                  <c:v>1.0439140043465294</c:v>
                </c:pt>
                <c:pt idx="42">
                  <c:v>1.0474639401719237</c:v>
                </c:pt>
                <c:pt idx="43">
                  <c:v>1.0505697298524717</c:v>
                </c:pt>
                <c:pt idx="44">
                  <c:v>1.0529686221713279</c:v>
                </c:pt>
                <c:pt idx="45">
                  <c:v>1.0555201809860204</c:v>
                </c:pt>
                <c:pt idx="46">
                  <c:v>1.0580211760275966</c:v>
                </c:pt>
                <c:pt idx="47">
                  <c:v>1.0617084452380432</c:v>
                </c:pt>
                <c:pt idx="48">
                  <c:v>1.0646320980895327</c:v>
                </c:pt>
                <c:pt idx="49">
                  <c:v>1.0675387982965399</c:v>
                </c:pt>
                <c:pt idx="50">
                  <c:v>1.0708472322958082</c:v>
                </c:pt>
                <c:pt idx="51">
                  <c:v>1.0745005126311078</c:v>
                </c:pt>
                <c:pt idx="52">
                  <c:v>1.0777286258748917</c:v>
                </c:pt>
                <c:pt idx="53">
                  <c:v>1.0813937722048239</c:v>
                </c:pt>
                <c:pt idx="54">
                  <c:v>1.0848101507408905</c:v>
                </c:pt>
                <c:pt idx="55">
                  <c:v>1.0890840545888305</c:v>
                </c:pt>
                <c:pt idx="56">
                  <c:v>1.0923441106933554</c:v>
                </c:pt>
                <c:pt idx="57">
                  <c:v>1.0952426775251114</c:v>
                </c:pt>
                <c:pt idx="58">
                  <c:v>1.0988624302611092</c:v>
                </c:pt>
                <c:pt idx="59">
                  <c:v>1.1032790712405571</c:v>
                </c:pt>
                <c:pt idx="60">
                  <c:v>1.106635897918655</c:v>
                </c:pt>
                <c:pt idx="61">
                  <c:v>1.1103132833536065</c:v>
                </c:pt>
                <c:pt idx="62">
                  <c:v>1.1132469589966159</c:v>
                </c:pt>
                <c:pt idx="63">
                  <c:v>1.1168281919774867</c:v>
                </c:pt>
                <c:pt idx="64">
                  <c:v>1.1204382401254944</c:v>
                </c:pt>
                <c:pt idx="65">
                  <c:v>1.1240785074545263</c:v>
                </c:pt>
                <c:pt idx="66">
                  <c:v>1.1283704047598357</c:v>
                </c:pt>
                <c:pt idx="67">
                  <c:v>1.132772884963529</c:v>
                </c:pt>
                <c:pt idx="68">
                  <c:v>1.1371663308429401</c:v>
                </c:pt>
                <c:pt idx="69">
                  <c:v>1.142125832427469</c:v>
                </c:pt>
                <c:pt idx="70">
                  <c:v>1.1456709315256748</c:v>
                </c:pt>
                <c:pt idx="71">
                  <c:v>1.1503977943168888</c:v>
                </c:pt>
                <c:pt idx="72">
                  <c:v>1.1552182635032926</c:v>
                </c:pt>
                <c:pt idx="73">
                  <c:v>1.1601359469996901</c:v>
                </c:pt>
                <c:pt idx="74">
                  <c:v>1.1639661441665052</c:v>
                </c:pt>
                <c:pt idx="75">
                  <c:v>1.16844541374809</c:v>
                </c:pt>
                <c:pt idx="76">
                  <c:v>1.1736437569022578</c:v>
                </c:pt>
                <c:pt idx="77">
                  <c:v>1.1790016411837472</c:v>
                </c:pt>
                <c:pt idx="78">
                  <c:v>1.184284528767849</c:v>
                </c:pt>
                <c:pt idx="79">
                  <c:v>1.1892357794861013</c:v>
                </c:pt>
                <c:pt idx="80">
                  <c:v>1.1957786932403676</c:v>
                </c:pt>
                <c:pt idx="81">
                  <c:v>1.2018715845997834</c:v>
                </c:pt>
                <c:pt idx="82">
                  <c:v>1.2082742644120896</c:v>
                </c:pt>
                <c:pt idx="83">
                  <c:v>1.2142870966619546</c:v>
                </c:pt>
                <c:pt idx="84">
                  <c:v>1.2208151250867967</c:v>
                </c:pt>
                <c:pt idx="85">
                  <c:v>1.2272680047557947</c:v>
                </c:pt>
                <c:pt idx="86">
                  <c:v>1.2337388331866745</c:v>
                </c:pt>
                <c:pt idx="87">
                  <c:v>1.2423313165403187</c:v>
                </c:pt>
                <c:pt idx="88">
                  <c:v>1.2505717956079538</c:v>
                </c:pt>
                <c:pt idx="89">
                  <c:v>1.2603608541697204</c:v>
                </c:pt>
                <c:pt idx="90">
                  <c:v>1.2728681207484538</c:v>
                </c:pt>
                <c:pt idx="91">
                  <c:v>1.2829890629384162</c:v>
                </c:pt>
                <c:pt idx="92">
                  <c:v>1.2956285930179989</c:v>
                </c:pt>
                <c:pt idx="93">
                  <c:v>1.3083991605405729</c:v>
                </c:pt>
                <c:pt idx="94">
                  <c:v>1.325089849177725</c:v>
                </c:pt>
                <c:pt idx="95">
                  <c:v>1.3429860184145188</c:v>
                </c:pt>
                <c:pt idx="96">
                  <c:v>1.3630453164496037</c:v>
                </c:pt>
                <c:pt idx="97">
                  <c:v>1.3890287455302281</c:v>
                </c:pt>
                <c:pt idx="98">
                  <c:v>1.4293525153291864</c:v>
                </c:pt>
                <c:pt idx="99">
                  <c:v>1.4847032874662909</c:v>
                </c:pt>
                <c:pt idx="100">
                  <c:v>1.8661642172237043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1A3-4FFE-AA96-1F31D36B343F}"/>
            </c:ext>
          </c:extLst>
        </c:ser>
        <c:ser>
          <c:idx val="7"/>
          <c:order val="8"/>
          <c:tx>
            <c:strRef>
              <c:f>'Backtesting OZL'!$AH$5</c:f>
              <c:strCache>
                <c:ptCount val="1"/>
                <c:pt idx="0">
                  <c:v>FY26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16-31A3-4FFE-AA96-1F31D36B343F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17-31A3-4FFE-AA96-1F31D36B343F}"/>
              </c:ext>
            </c:extLst>
          </c:dPt>
          <c:dLbls>
            <c:dLbl>
              <c:idx val="2"/>
              <c:layout>
                <c:manualLayout>
                  <c:x val="-4.2005886243386241E-2"/>
                  <c:y val="-8.67922222222222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2nd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8898148148148"/>
                      <c:h val="5.36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40-31A3-4FFE-AA96-1F31D36B343F}"/>
                </c:ext>
              </c:extLst>
            </c:dLbl>
            <c:dLbl>
              <c:idx val="12"/>
              <c:layout>
                <c:manualLayout>
                  <c:x val="-7.4200925925925948E-2"/>
                  <c:y val="-9.14047222222222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12th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31A3-4FFE-AA96-1F31D36B343F}"/>
                </c:ext>
              </c:extLst>
            </c:dLbl>
            <c:dLbl>
              <c:idx val="13"/>
              <c:layout>
                <c:manualLayout>
                  <c:x val="-7.420092592592592E-2"/>
                  <c:y val="-8.78769444444445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31A3-4FFE-AA96-1F31D36B343F}"/>
                </c:ext>
              </c:extLst>
            </c:dLbl>
            <c:dLbl>
              <c:idx val="31"/>
              <c:layout>
                <c:manualLayout>
                  <c:x val="-6.0480423280423343E-2"/>
                  <c:y val="0.102331944444444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31A3-4FFE-AA96-1F31D36B343F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34.19th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31A3-4FFE-AA96-1F31D36B343F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52nd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31A3-4FFE-AA96-1F31D36B343F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55th</a:t>
                    </a:r>
                    <a:r>
                      <a:rPr lang="en-US" b="1" baseline="0">
                        <a:solidFill>
                          <a:schemeClr val="tx2"/>
                        </a:solidFill>
                      </a:rPr>
                      <a:t> percentile</a:t>
                    </a:r>
                    <a:endParaRPr lang="en-US" b="1">
                      <a:solidFill>
                        <a:schemeClr val="tx2"/>
                      </a:solidFill>
                    </a:endParaRP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31A3-4FFE-AA96-1F31D36B343F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2"/>
                        </a:solidFill>
                      </a:rPr>
                      <a:t>61st 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31A3-4FFE-AA96-1F31D36B343F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67th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31A3-4FFE-AA96-1F31D36B343F}"/>
                </c:ext>
              </c:extLst>
            </c:dLbl>
            <c:dLbl>
              <c:idx val="86"/>
              <c:layout>
                <c:manualLayout>
                  <c:x val="-0.12254663204289994"/>
                  <c:y val="-6.700138888888888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85th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31A3-4FFE-AA96-1F31D36B343F}"/>
                </c:ext>
              </c:extLst>
            </c:dLbl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b="1">
                    <a:solidFill>
                      <a:schemeClr val="tx2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OZL'!$AH$6:$AH$106</c:f>
              <c:numCache>
                <c:formatCode>General</c:formatCode>
                <c:ptCount val="101"/>
                <c:pt idx="2">
                  <c:v>1.1718493048960801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1A3-4FFE-AA96-1F31D36B343F}"/>
            </c:ext>
          </c:extLst>
        </c:ser>
        <c:ser>
          <c:idx val="6"/>
          <c:order val="9"/>
          <c:tx>
            <c:strRef>
              <c:f>'Backtesting OZL'!$AG$5</c:f>
              <c:strCache>
                <c:ptCount val="1"/>
                <c:pt idx="0">
                  <c:v>FY25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99CC"/>
              </a:solidFill>
              <a:ln w="9525">
                <a:noFill/>
              </a:ln>
              <a:effectLst/>
            </c:spPr>
          </c:marker>
          <c:dLbls>
            <c:dLbl>
              <c:idx val="6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99CC"/>
                        </a:solidFill>
                      </a:rPr>
                      <a:t>6th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31A3-4FFE-AA96-1F31D36B343F}"/>
                </c:ext>
              </c:extLst>
            </c:dLbl>
            <c:dLbl>
              <c:idx val="51"/>
              <c:layout>
                <c:manualLayout>
                  <c:x val="-6.4063604918166511E-2"/>
                  <c:y val="5.037972222222215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tx1">
                            <a:lumMod val="50000"/>
                            <a:lumOff val="50000"/>
                          </a:schemeClr>
                        </a:solidFill>
                      </a:rPr>
                      <a:t>51st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31A3-4FFE-AA96-1F31D36B343F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69.55th</a:t>
                    </a:r>
                    <a:r>
                      <a:rPr lang="en-US" baseline="0"/>
                      <a:t> percentile</a:t>
                    </a:r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31A3-4FFE-AA96-1F31D36B343F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r>
                      <a:rPr lang="en-US"/>
                      <a:t>82nd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31A3-4FFE-AA96-1F31D36B343F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B0F0"/>
                </a:solidFill>
              </a:ln>
              <a:effectLst/>
            </c:spPr>
            <c:txPr>
              <a:bodyPr rot="0" vert="horz"/>
              <a:lstStyle/>
              <a:p>
                <a:pPr>
                  <a:defRPr b="1">
                    <a:solidFill>
                      <a:srgbClr val="00B0F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OZL'!$AG$6:$AG$106</c:f>
              <c:numCache>
                <c:formatCode>0.0000</c:formatCode>
                <c:ptCount val="101"/>
                <c:pt idx="83" formatCode="General">
                  <c:v>1.72205616848195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1A3-4FFE-AA96-1F31D36B343F}"/>
            </c:ext>
          </c:extLst>
        </c:ser>
        <c:ser>
          <c:idx val="5"/>
          <c:order val="10"/>
          <c:tx>
            <c:strRef>
              <c:f>'Backtesting OZL'!$AF$5</c:f>
              <c:strCache>
                <c:ptCount val="1"/>
                <c:pt idx="0">
                  <c:v>FY24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dLbls>
            <c:dLbl>
              <c:idx val="16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/>
                        </a:solidFill>
                      </a:rPr>
                      <a:t>16.48th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31A3-4FFE-AA96-1F31D36B343F}"/>
                </c:ext>
              </c:extLst>
            </c:dLbl>
            <c:dLbl>
              <c:idx val="68"/>
              <c:layout>
                <c:manualLayout>
                  <c:x val="-7.360932857237916E-2"/>
                  <c:y val="4.487015187001929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68th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31A3-4FFE-AA96-1F31D36B343F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r>
                      <a:rPr lang="en-US"/>
                      <a:t>79th percentile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31A3-4FFE-AA96-1F31D36B343F}"/>
                </c:ext>
              </c:extLst>
            </c:dLbl>
            <c:dLbl>
              <c:idx val="86"/>
              <c:layout>
                <c:manualLayout>
                  <c:x val="-7.4637698412698419E-2"/>
                  <c:y val="-8.816805555555556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bg2"/>
                        </a:solidFill>
                      </a:rPr>
                      <a:t>85th</a:t>
                    </a:r>
                    <a:r>
                      <a:rPr lang="en-US" b="1" baseline="0">
                        <a:solidFill>
                          <a:schemeClr val="bg2"/>
                        </a:solidFill>
                      </a:rPr>
                      <a:t> percentile</a:t>
                    </a:r>
                    <a:endParaRPr lang="en-US" b="1">
                      <a:solidFill>
                        <a:schemeClr val="bg2"/>
                      </a:solidFill>
                    </a:endParaRP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31A3-4FFE-AA96-1F31D36B343F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2"/>
                </a:solidFill>
              </a:ln>
              <a:effectLst/>
            </c:spPr>
            <c:txPr>
              <a:bodyPr rot="0" vert="horz"/>
              <a:lstStyle/>
              <a:p>
                <a:pPr>
                  <a:defRPr b="1">
                    <a:solidFill>
                      <a:schemeClr val="bg2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OZL'!$AF$6:$AF$106</c:f>
              <c:numCache>
                <c:formatCode>0.0000</c:formatCode>
                <c:ptCount val="101"/>
                <c:pt idx="79" formatCode="General">
                  <c:v>1.49860095482463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31A3-4FFE-AA96-1F31D36B343F}"/>
            </c:ext>
          </c:extLst>
        </c:ser>
        <c:ser>
          <c:idx val="4"/>
          <c:order val="11"/>
          <c:tx>
            <c:strRef>
              <c:f>'Backtesting OZL'!$AE$5</c:f>
              <c:strCache>
                <c:ptCount val="1"/>
                <c:pt idx="0">
                  <c:v>FY23 act.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5.3924603174603174E-2"/>
                  <c:y val="0.13970888888888888"/>
                </c:manualLayout>
              </c:layout>
              <c:tx>
                <c:rich>
                  <a:bodyPr rot="0" vert="horz"/>
                  <a:lstStyle/>
                  <a:p>
                    <a:pPr>
                      <a:defRPr b="1">
                        <a:solidFill>
                          <a:schemeClr val="accent1"/>
                        </a:solidFill>
                      </a:defRPr>
                    </a:pPr>
                    <a:r>
                      <a:rPr lang="en-US" b="1">
                        <a:solidFill>
                          <a:schemeClr val="accent1"/>
                        </a:solidFill>
                      </a:rPr>
                      <a:t>3rd percentile</a:t>
                    </a:r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/>
                  </a:solidFill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31A3-4FFE-AA96-1F31D36B343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4th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31A3-4FFE-AA96-1F31D36B343F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1"/>
                        </a:solidFill>
                      </a:rPr>
                      <a:t>51st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31A3-4FFE-AA96-1F31D36B343F}"/>
                </c:ext>
              </c:extLst>
            </c:dLbl>
            <c:dLbl>
              <c:idx val="69"/>
              <c:tx>
                <c:rich>
                  <a:bodyPr rot="0" vert="horz"/>
                  <a:lstStyle/>
                  <a:p>
                    <a:pPr algn="ctr" rtl="0">
                      <a:defRPr b="1"/>
                    </a:pPr>
                    <a:r>
                      <a:rPr lang="en-US" b="1"/>
                      <a:t>68.77th percentile</a:t>
                    </a:r>
                  </a:p>
                </c:rich>
              </c:tx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31A3-4FFE-AA96-1F31D36B343F}"/>
                </c:ext>
              </c:extLst>
            </c:dLbl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vert="horz"/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OZL'!$AE$6:$AE$106</c:f>
              <c:numCache>
                <c:formatCode>0.0000</c:formatCode>
                <c:ptCount val="101"/>
                <c:pt idx="3">
                  <c:v>1.1117000978259892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1A3-4FFE-AA96-1F31D36B343F}"/>
            </c:ext>
          </c:extLst>
        </c:ser>
        <c:ser>
          <c:idx val="9"/>
          <c:order val="12"/>
          <c:tx>
            <c:strRef>
              <c:f>'Backtesting OZL'!$AD$5</c:f>
              <c:strCache>
                <c:ptCount val="1"/>
                <c:pt idx="0">
                  <c:v>FY22 act.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2"/>
              </a:solidFill>
              <a:ln>
                <a:noFill/>
              </a:ln>
            </c:spPr>
          </c:marker>
          <c:dLbls>
            <c:dLbl>
              <c:idx val="21"/>
              <c:layout>
                <c:manualLayout>
                  <c:x val="-6.6145899470899466E-2"/>
                  <c:y val="-5.43188888888888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1">
                        <a:solidFill>
                          <a:schemeClr val="accent2"/>
                        </a:solidFill>
                      </a:defRPr>
                    </a:pPr>
                    <a:r>
                      <a:rPr lang="en-US" b="1">
                        <a:solidFill>
                          <a:schemeClr val="accent2"/>
                        </a:solidFill>
                      </a:rPr>
                      <a:t>21st percentile</a:t>
                    </a:r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2"/>
                  </a:solidFill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31A3-4FFE-AA96-1F31D36B343F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2"/>
                        </a:solidFill>
                      </a:rPr>
                      <a:t>68th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31A3-4FFE-AA96-1F31D36B343F}"/>
                </c:ext>
              </c:extLst>
            </c:dLbl>
            <c:dLbl>
              <c:idx val="73"/>
              <c:layout>
                <c:manualLayout>
                  <c:x val="-4.0232065399770311E-2"/>
                  <c:y val="-4.4926127240856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73rd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31A3-4FFE-AA96-1F31D36B343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OZL'!$AD$6:$AD$106</c:f>
              <c:numCache>
                <c:formatCode>0.0000</c:formatCode>
                <c:ptCount val="101"/>
                <c:pt idx="21">
                  <c:v>1.1270059433473452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1A3-4FFE-AA96-1F31D36B343F}"/>
            </c:ext>
          </c:extLst>
        </c:ser>
        <c:ser>
          <c:idx val="11"/>
          <c:order val="13"/>
          <c:tx>
            <c:strRef>
              <c:f>'Backtesting OZL'!$AC$5</c:f>
              <c:strCache>
                <c:ptCount val="1"/>
                <c:pt idx="0">
                  <c:v>FY21 act.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4"/>
              </a:solidFill>
              <a:ln>
                <a:noFill/>
              </a:ln>
            </c:spPr>
          </c:marker>
          <c:dLbls>
            <c:dLbl>
              <c:idx val="4"/>
              <c:layout>
                <c:manualLayout>
                  <c:x val="-3.7209656084656081E-2"/>
                  <c:y val="5.2890277777777779E-2"/>
                </c:manualLayout>
              </c:layout>
              <c:tx>
                <c:rich>
                  <a:bodyPr/>
                  <a:lstStyle/>
                  <a:p>
                    <a:r>
                      <a:rPr lang="en-US" b="1">
                        <a:solidFill>
                          <a:schemeClr val="accent4"/>
                        </a:solidFill>
                      </a:rPr>
                      <a:t>4th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31A3-4FFE-AA96-1F31D36B343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11th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31A3-4FFE-AA96-1F31D36B343F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70th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31A3-4FFE-AA96-1F31D36B343F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4"/>
                </a:solidFill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accent4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OZL'!$AC$6:$AC$106</c:f>
              <c:numCache>
                <c:formatCode>0.0000</c:formatCode>
                <c:ptCount val="101"/>
                <c:pt idx="11">
                  <c:v>1.1051196780486729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1A3-4FFE-AA96-1F31D36B343F}"/>
            </c:ext>
          </c:extLst>
        </c:ser>
        <c:ser>
          <c:idx val="14"/>
          <c:order val="14"/>
          <c:tx>
            <c:v>FY20 act.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7030A0"/>
              </a:solidFill>
              <a:ln>
                <a:noFill/>
              </a:ln>
            </c:spPr>
          </c:marker>
          <c:dLbls>
            <c:dLbl>
              <c:idx val="26"/>
              <c:layout>
                <c:manualLayout>
                  <c:x val="-6.6507010582010612E-2"/>
                  <c:y val="8.3264444444444446E-2"/>
                </c:manualLayout>
              </c:layout>
              <c:tx>
                <c:rich>
                  <a:bodyPr/>
                  <a:lstStyle/>
                  <a:p>
                    <a:pPr>
                      <a:defRPr b="1">
                        <a:solidFill>
                          <a:srgbClr val="7030A0"/>
                        </a:solidFill>
                      </a:defRPr>
                    </a:pPr>
                    <a:r>
                      <a:rPr lang="en-US" b="1"/>
                      <a:t>26th percentile</a:t>
                    </a:r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rgbClr val="7030A0"/>
                  </a:solidFill>
                </a:ln>
                <a:effectLst/>
              </c:sp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31A3-4FFE-AA96-1F31D36B343F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r>
                      <a:rPr lang="en-US" b="1"/>
                      <a:t>73rd</a:t>
                    </a:r>
                    <a:r>
                      <a:rPr lang="en-US" b="1" baseline="0"/>
                      <a:t> percentile</a:t>
                    </a:r>
                    <a:endParaRPr lang="en-US" b="1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31A3-4FFE-AA96-1F31D36B343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7030A0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OZL'!$AB$6:$AB$106</c:f>
              <c:numCache>
                <c:formatCode>0.0000</c:formatCode>
                <c:ptCount val="101"/>
                <c:pt idx="26">
                  <c:v>1.0516497803292035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31A3-4FFE-AA96-1F31D36B343F}"/>
            </c:ext>
          </c:extLst>
        </c:ser>
        <c:ser>
          <c:idx val="15"/>
          <c:order val="15"/>
          <c:tx>
            <c:v>FY19 act.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chemeClr val="accent6"/>
              </a:solidFill>
              <a:ln>
                <a:noFill/>
              </a:ln>
            </c:spPr>
          </c:marker>
          <c:dLbls>
            <c:dLbl>
              <c:idx val="70"/>
              <c:tx>
                <c:rich>
                  <a:bodyPr/>
                  <a:lstStyle/>
                  <a:p>
                    <a:r>
                      <a:rPr lang="en-US" b="1"/>
                      <a:t>70th percentile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31A3-4FFE-AA96-1F31D36B343F}"/>
                </c:ext>
              </c:extLst>
            </c:dLbl>
            <c:dLbl>
              <c:idx val="97"/>
              <c:layout>
                <c:manualLayout>
                  <c:x val="-8.3994708994708997E-3"/>
                  <c:y val="0.1079588888888888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97th percentile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31A3-4FFE-AA96-1F31D36B343F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6"/>
                </a:solidFill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accent6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'Backtesting OZL'!$R$6:$R$106</c:f>
              <c:strCache>
                <c:ptCount val="101"/>
                <c:pt idx="0">
                  <c:v>Min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0.10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0.20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0.30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0.40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0.50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0.60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0.70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0.80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Max</c:v>
                </c:pt>
              </c:strCache>
            </c:strRef>
          </c:cat>
          <c:val>
            <c:numRef>
              <c:f>'Backtesting OZL'!$AA$6:$AA$106</c:f>
              <c:numCache>
                <c:formatCode>General</c:formatCode>
                <c:ptCount val="101"/>
                <c:pt idx="97" formatCode="0.0000">
                  <c:v>1.38338484573525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1A3-4FFE-AA96-1F31D36B3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84784"/>
        <c:axId val="1732385768"/>
      </c:lineChart>
      <c:catAx>
        <c:axId val="173238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900"/>
            </a:pPr>
            <a:endParaRPr lang="en-US"/>
          </a:p>
        </c:txPr>
        <c:crossAx val="1732385768"/>
        <c:crosses val="autoZero"/>
        <c:auto val="0"/>
        <c:lblAlgn val="ctr"/>
        <c:lblOffset val="100"/>
        <c:noMultiLvlLbl val="0"/>
      </c:catAx>
      <c:valAx>
        <c:axId val="1732385768"/>
        <c:scaling>
          <c:orientation val="minMax"/>
          <c:max val="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3238478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307579</xdr:colOff>
      <xdr:row>26</xdr:row>
      <xdr:rowOff>165032</xdr:rowOff>
    </xdr:from>
    <xdr:to>
      <xdr:col>15</xdr:col>
      <xdr:colOff>126206</xdr:colOff>
      <xdr:row>44</xdr:row>
      <xdr:rowOff>130382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BE196-1C02-4C53-8EBC-F9CA4EA4A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</xdr:row>
      <xdr:rowOff>0</xdr:rowOff>
    </xdr:from>
    <xdr:to>
      <xdr:col>14</xdr:col>
      <xdr:colOff>244800</xdr:colOff>
      <xdr:row>23</xdr:row>
      <xdr:rowOff>171000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4A395-D811-4DE1-A975-538B2ECE4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14</xdr:col>
      <xdr:colOff>298588</xdr:colOff>
      <xdr:row>65</xdr:row>
      <xdr:rowOff>171000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D0E5D6-B117-410C-8751-CA10CED45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69</xdr:row>
      <xdr:rowOff>0</xdr:rowOff>
    </xdr:from>
    <xdr:to>
      <xdr:col>14</xdr:col>
      <xdr:colOff>298588</xdr:colOff>
      <xdr:row>87</xdr:row>
      <xdr:rowOff>171000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7D9345-B5A2-430C-87C2-28E2C5509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561975</xdr:colOff>
      <xdr:row>5</xdr:row>
      <xdr:rowOff>123825</xdr:rowOff>
    </xdr:from>
    <xdr:to>
      <xdr:col>14</xdr:col>
      <xdr:colOff>197175</xdr:colOff>
      <xdr:row>24</xdr:row>
      <xdr:rowOff>104325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EFD64-E9DB-4FCE-B17B-83C61C19D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25</xdr:row>
      <xdr:rowOff>28575</xdr:rowOff>
    </xdr:from>
    <xdr:to>
      <xdr:col>14</xdr:col>
      <xdr:colOff>492450</xdr:colOff>
      <xdr:row>44</xdr:row>
      <xdr:rowOff>9075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EB0E0-19A6-4D0A-8601-CB96896E8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EAP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0C5F-5C10-4BEF-B574-05A229031598}">
  <sheetPr>
    <tabColor rgb="FF92D050"/>
  </sheetPr>
  <dimension ref="P2:BA108"/>
  <sheetViews>
    <sheetView showGridLines="0" tabSelected="1" topLeftCell="D1" zoomScale="85" zoomScaleNormal="85" workbookViewId="0">
      <selection activeCell="Z29" sqref="Z29"/>
    </sheetView>
  </sheetViews>
  <sheetFormatPr defaultRowHeight="15" x14ac:dyDescent="0.25"/>
  <cols>
    <col min="1" max="16384" width="9.140625" style="1"/>
  </cols>
  <sheetData>
    <row r="2" spans="18:53" x14ac:dyDescent="0.25">
      <c r="Z2" s="10" t="s">
        <v>34</v>
      </c>
      <c r="AE2" s="1">
        <v>4</v>
      </c>
      <c r="AF2" s="1">
        <v>12</v>
      </c>
      <c r="AG2" s="1">
        <v>12</v>
      </c>
      <c r="AH2" s="1">
        <v>4</v>
      </c>
    </row>
    <row r="3" spans="18:53" x14ac:dyDescent="0.25">
      <c r="AA3" s="1">
        <v>0.69663033696630339</v>
      </c>
    </row>
    <row r="4" spans="18:53" x14ac:dyDescent="0.25">
      <c r="T4" s="9"/>
      <c r="U4" s="9"/>
      <c r="V4" s="9"/>
      <c r="W4" s="9"/>
      <c r="X4" s="9"/>
      <c r="Y4" s="9"/>
      <c r="Z4" s="9" t="s">
        <v>33</v>
      </c>
      <c r="AA4" s="3">
        <v>2.18329020983303</v>
      </c>
      <c r="AB4" s="3">
        <v>2.4899441434092999</v>
      </c>
      <c r="AC4" s="3">
        <v>2.42599573484094</v>
      </c>
      <c r="AD4" s="3">
        <v>3.2433942080770599</v>
      </c>
      <c r="AE4" s="3">
        <v>3.1350399566342602</v>
      </c>
      <c r="AF4" s="3">
        <v>3.9781259059999998</v>
      </c>
      <c r="AG4" s="1">
        <v>2.9319854918675299</v>
      </c>
      <c r="AH4" s="1">
        <v>3.00390919527565</v>
      </c>
      <c r="AM4" s="9" t="s">
        <v>32</v>
      </c>
      <c r="AP4" s="9"/>
      <c r="AQ4" s="9"/>
      <c r="AR4" s="9"/>
      <c r="AS4" s="9"/>
      <c r="AT4" s="9"/>
      <c r="AU4" s="9"/>
      <c r="AV4" s="3">
        <v>1.5278880799101</v>
      </c>
      <c r="AW4" s="3">
        <v>1.7155061281669599</v>
      </c>
      <c r="AX4" s="3">
        <v>1.81418389404495</v>
      </c>
      <c r="AY4" s="3">
        <v>1.32085606258931</v>
      </c>
      <c r="AZ4" s="3">
        <v>1.5581673469999999</v>
      </c>
      <c r="BA4" s="3">
        <v>2.4199585589999999</v>
      </c>
    </row>
    <row r="5" spans="18:53" x14ac:dyDescent="0.25">
      <c r="T5" s="9"/>
      <c r="U5" s="9"/>
      <c r="V5" s="9"/>
      <c r="W5" s="9"/>
      <c r="X5" s="9"/>
      <c r="Y5" s="9"/>
      <c r="Z5" s="9" t="s">
        <v>35</v>
      </c>
      <c r="AA5" s="13">
        <f t="shared" ref="AA5:AG5" si="0">S58/AA4-1</f>
        <v>-9.1026585255177928E-2</v>
      </c>
      <c r="AB5" s="13">
        <f t="shared" si="0"/>
        <v>-9.066186037001811E-2</v>
      </c>
      <c r="AC5" s="13">
        <f t="shared" si="0"/>
        <v>0.261887042157809</v>
      </c>
      <c r="AD5" s="13">
        <f t="shared" si="0"/>
        <v>-7.0216867994667864E-2</v>
      </c>
      <c r="AE5" s="13">
        <f t="shared" si="0"/>
        <v>-1.3189928508309245E-3</v>
      </c>
      <c r="AF5" s="13">
        <f t="shared" si="0"/>
        <v>-0.14704254008581097</v>
      </c>
      <c r="AG5" s="13">
        <f t="shared" si="0"/>
        <v>0.22114448642808426</v>
      </c>
      <c r="AH5" s="13">
        <f>Z58/AH4-1</f>
        <v>0.15995459513473698</v>
      </c>
      <c r="AM5" s="9"/>
      <c r="AP5" s="9"/>
      <c r="AQ5" s="9"/>
      <c r="AR5" s="9"/>
      <c r="AS5" s="9"/>
      <c r="AT5" s="9"/>
      <c r="AU5" s="9"/>
      <c r="AV5" s="3"/>
      <c r="AW5" s="3"/>
      <c r="AX5" s="3"/>
      <c r="AY5" s="3"/>
      <c r="AZ5" s="3"/>
      <c r="BA5" s="3"/>
    </row>
    <row r="6" spans="18:53" x14ac:dyDescent="0.25">
      <c r="AG6" s="8"/>
      <c r="AH6" s="8"/>
      <c r="AI6" s="8"/>
      <c r="AJ6" s="8"/>
      <c r="AK6" s="8"/>
      <c r="AL6" s="8"/>
      <c r="AN6" s="8"/>
    </row>
    <row r="7" spans="18:53" x14ac:dyDescent="0.25">
      <c r="S7" s="1" t="s">
        <v>31</v>
      </c>
      <c r="T7" s="1" t="s">
        <v>30</v>
      </c>
      <c r="U7" s="1" t="s">
        <v>29</v>
      </c>
      <c r="V7" s="1" t="s">
        <v>28</v>
      </c>
      <c r="W7" s="1" t="s">
        <v>27</v>
      </c>
      <c r="X7" s="1" t="s">
        <v>16</v>
      </c>
      <c r="Y7" s="1" t="s">
        <v>26</v>
      </c>
      <c r="Z7" s="1" t="s">
        <v>25</v>
      </c>
      <c r="AA7" s="1" t="s">
        <v>24</v>
      </c>
      <c r="AB7" s="1" t="s">
        <v>23</v>
      </c>
      <c r="AC7" s="1" t="s">
        <v>22</v>
      </c>
      <c r="AD7" s="1" t="s">
        <v>21</v>
      </c>
      <c r="AE7" s="1" t="s">
        <v>20</v>
      </c>
      <c r="AF7" s="1" t="s">
        <v>19</v>
      </c>
      <c r="AG7" s="1" t="s">
        <v>18</v>
      </c>
      <c r="AH7" s="1" t="s">
        <v>17</v>
      </c>
      <c r="AI7" s="8"/>
      <c r="AJ7" s="8"/>
      <c r="AK7" s="8"/>
      <c r="AL7" s="8"/>
      <c r="AM7" s="1" t="s">
        <v>16</v>
      </c>
      <c r="AN7" s="8"/>
      <c r="AP7" s="1" t="s">
        <v>15</v>
      </c>
      <c r="AQ7" s="1" t="s">
        <v>14</v>
      </c>
      <c r="AR7" s="1" t="s">
        <v>13</v>
      </c>
      <c r="AS7" s="1" t="s">
        <v>12</v>
      </c>
      <c r="AT7" s="1" t="s">
        <v>11</v>
      </c>
      <c r="AU7" s="1" t="s">
        <v>10</v>
      </c>
      <c r="AV7" s="1" t="s">
        <v>9</v>
      </c>
      <c r="AW7" s="1" t="s">
        <v>8</v>
      </c>
      <c r="AX7" s="1" t="s">
        <v>7</v>
      </c>
      <c r="AY7" s="1" t="s">
        <v>6</v>
      </c>
      <c r="AZ7" s="1" t="s">
        <v>5</v>
      </c>
      <c r="BA7" s="1" t="s">
        <v>4</v>
      </c>
    </row>
    <row r="8" spans="18:53" x14ac:dyDescent="0.25">
      <c r="R8" s="7" t="s">
        <v>3</v>
      </c>
      <c r="S8" s="1">
        <v>1.2545799551646153</v>
      </c>
      <c r="T8" s="1">
        <v>1.4847874679511484</v>
      </c>
      <c r="U8" s="1">
        <v>1.9416729916472746</v>
      </c>
      <c r="V8" s="1">
        <v>1.9813453707276425</v>
      </c>
      <c r="W8" s="1">
        <v>1.9730692212375116</v>
      </c>
      <c r="X8" s="1">
        <v>2.1283821308769344</v>
      </c>
      <c r="Y8" s="1">
        <v>2.4841044929479255</v>
      </c>
      <c r="Z8" s="1">
        <v>2.4242137961136785</v>
      </c>
      <c r="AB8" s="3"/>
      <c r="AC8" s="3"/>
      <c r="AD8" s="3"/>
      <c r="AE8" s="3"/>
      <c r="AF8" s="3"/>
      <c r="AM8" s="1">
        <v>2.4227443945075362</v>
      </c>
      <c r="AO8" s="5" t="s">
        <v>2</v>
      </c>
      <c r="AP8" s="1">
        <v>0.92001453356683971</v>
      </c>
      <c r="AQ8" s="1">
        <v>0.92914825627984265</v>
      </c>
      <c r="AR8" s="1">
        <v>0.94966870048447338</v>
      </c>
      <c r="AS8" s="1">
        <v>0.82102924376030073</v>
      </c>
      <c r="AT8" s="1">
        <v>0.99693653408973981</v>
      </c>
      <c r="AU8" s="1">
        <v>0.99700284801019623</v>
      </c>
    </row>
    <row r="9" spans="18:53" x14ac:dyDescent="0.25">
      <c r="R9" s="5">
        <v>0.01</v>
      </c>
      <c r="S9" s="1">
        <v>1.4066574197719168</v>
      </c>
      <c r="T9" s="1">
        <v>1.6820274353327995</v>
      </c>
      <c r="U9" s="1">
        <v>2.3060131231805605</v>
      </c>
      <c r="V9" s="1">
        <v>2.2480232761807439</v>
      </c>
      <c r="W9" s="1">
        <v>2.3626883034718671</v>
      </c>
      <c r="X9" s="1">
        <v>2.5144420325676951</v>
      </c>
      <c r="Y9" s="1">
        <v>2.7152988164416718</v>
      </c>
      <c r="Z9" s="1">
        <v>2.6621959731804816</v>
      </c>
      <c r="AB9" s="3"/>
      <c r="AC9" s="3"/>
      <c r="AD9" s="3"/>
      <c r="AE9" s="3"/>
      <c r="AF9" s="3"/>
      <c r="AM9" s="1">
        <v>2.7183893943105653</v>
      </c>
      <c r="AO9" s="5">
        <v>0.01</v>
      </c>
      <c r="AP9" s="1">
        <v>1.058310382077509</v>
      </c>
      <c r="AQ9" s="1">
        <v>1.0389258658583558</v>
      </c>
      <c r="AR9" s="1">
        <v>1.0834807074507675</v>
      </c>
      <c r="AS9" s="1">
        <v>1.0038180612591272</v>
      </c>
      <c r="AT9" s="1">
        <v>1.1517700556476627</v>
      </c>
      <c r="AU9" s="1">
        <v>1.1531310414400191</v>
      </c>
      <c r="AZ9" s="6"/>
    </row>
    <row r="10" spans="18:53" x14ac:dyDescent="0.25">
      <c r="R10" s="2">
        <v>0.02</v>
      </c>
      <c r="S10" s="1">
        <v>1.4500779849130305</v>
      </c>
      <c r="T10" s="1">
        <v>1.7267432891445968</v>
      </c>
      <c r="U10" s="1">
        <v>2.3659037228137114</v>
      </c>
      <c r="V10" s="1">
        <v>2.3141036153362662</v>
      </c>
      <c r="W10" s="1">
        <v>2.4251820400415198</v>
      </c>
      <c r="X10" s="1">
        <v>2.5878400770582624</v>
      </c>
      <c r="Y10" s="1">
        <v>2.7783600847206777</v>
      </c>
      <c r="Z10" s="1">
        <v>2.720941529805486</v>
      </c>
      <c r="AB10" s="3"/>
      <c r="AC10" s="3"/>
      <c r="AD10" s="3"/>
      <c r="AE10" s="3"/>
      <c r="AF10" s="3"/>
      <c r="AM10" s="1">
        <v>2.803386090480394</v>
      </c>
      <c r="AO10" s="2">
        <v>0.02</v>
      </c>
      <c r="AP10" s="1">
        <v>1.0938158620344913</v>
      </c>
      <c r="AQ10" s="1">
        <v>1.0780514229572393</v>
      </c>
      <c r="AR10" s="1">
        <v>1.1184801007072895</v>
      </c>
      <c r="AS10" s="1">
        <v>1.0390302599242653</v>
      </c>
      <c r="AT10" s="1">
        <v>1.1876323328484581</v>
      </c>
      <c r="AU10" s="1">
        <v>1.1918558570894036</v>
      </c>
      <c r="AZ10" s="6"/>
    </row>
    <row r="11" spans="18:53" x14ac:dyDescent="0.25">
      <c r="R11" s="5">
        <v>0.03</v>
      </c>
      <c r="S11" s="1">
        <v>1.4791244164381512</v>
      </c>
      <c r="T11" s="1">
        <v>1.7561545257512565</v>
      </c>
      <c r="U11" s="1">
        <v>2.4120755192014425</v>
      </c>
      <c r="V11" s="1">
        <v>2.3590382334088407</v>
      </c>
      <c r="W11" s="1">
        <v>2.4601048743621257</v>
      </c>
      <c r="X11" s="1">
        <v>2.6426013852028976</v>
      </c>
      <c r="Y11" s="1">
        <v>2.8349487134318481</v>
      </c>
      <c r="Z11" s="1">
        <v>2.7759947968851244</v>
      </c>
      <c r="AB11" s="3"/>
      <c r="AC11" s="3"/>
      <c r="AD11" s="3"/>
      <c r="AE11" s="3"/>
      <c r="AF11" s="3"/>
      <c r="AM11" s="1">
        <v>2.8569765253455093</v>
      </c>
      <c r="AO11" s="5">
        <v>0.03</v>
      </c>
      <c r="AP11" s="1">
        <v>1.131277768029767</v>
      </c>
      <c r="AQ11" s="1">
        <v>1.1012897060076317</v>
      </c>
      <c r="AR11" s="1">
        <v>1.1406459643368443</v>
      </c>
      <c r="AS11" s="1">
        <v>1.0592286625698271</v>
      </c>
      <c r="AT11" s="1">
        <v>1.2133237516641824</v>
      </c>
      <c r="AU11" s="1">
        <v>1.2217910533979979</v>
      </c>
    </row>
    <row r="12" spans="18:53" x14ac:dyDescent="0.25">
      <c r="R12" s="2">
        <v>0.04</v>
      </c>
      <c r="S12" s="1">
        <v>1.5034364351885934</v>
      </c>
      <c r="T12" s="1">
        <v>1.7805682946240384</v>
      </c>
      <c r="U12" s="1">
        <v>2.4466925885580539</v>
      </c>
      <c r="V12" s="1">
        <v>2.3865987580583377</v>
      </c>
      <c r="W12" s="1">
        <v>2.494629755634838</v>
      </c>
      <c r="X12" s="1">
        <v>2.6843032785708951</v>
      </c>
      <c r="Y12" s="1">
        <v>2.8757512747827425</v>
      </c>
      <c r="Z12" s="1">
        <v>2.8206315383567677</v>
      </c>
      <c r="AB12" s="3"/>
      <c r="AC12" s="3">
        <v>2.42599573484094</v>
      </c>
      <c r="AD12" s="3"/>
      <c r="AE12" s="3"/>
      <c r="AF12" s="3"/>
      <c r="AM12" s="1">
        <v>2.9008844011425348</v>
      </c>
      <c r="AO12" s="2">
        <v>0.04</v>
      </c>
      <c r="AP12" s="1">
        <v>1.1421942210457079</v>
      </c>
      <c r="AQ12" s="1">
        <v>1.1215864709051746</v>
      </c>
      <c r="AR12" s="1">
        <v>1.1621079822938789</v>
      </c>
      <c r="AS12" s="1">
        <v>1.0730310067525608</v>
      </c>
      <c r="AT12" s="1">
        <v>1.2348302595379093</v>
      </c>
      <c r="AU12" s="1">
        <v>1.2464696158992543</v>
      </c>
      <c r="AX12" s="3"/>
    </row>
    <row r="13" spans="18:53" x14ac:dyDescent="0.25">
      <c r="R13" s="5">
        <v>0.05</v>
      </c>
      <c r="S13" s="1">
        <v>1.5283052222492155</v>
      </c>
      <c r="T13" s="1">
        <v>1.8057986189426347</v>
      </c>
      <c r="U13" s="1">
        <v>2.4767433665788237</v>
      </c>
      <c r="V13" s="1">
        <v>2.4189743669232717</v>
      </c>
      <c r="W13" s="1">
        <v>2.5176745801202833</v>
      </c>
      <c r="X13" s="1">
        <v>2.7196343593798886</v>
      </c>
      <c r="Y13" s="1">
        <v>2.9096651194912595</v>
      </c>
      <c r="Z13" s="1">
        <v>2.8530205783069595</v>
      </c>
      <c r="AB13" s="3"/>
      <c r="AC13" s="3"/>
      <c r="AD13" s="3"/>
      <c r="AE13" s="3"/>
      <c r="AF13" s="3"/>
      <c r="AM13" s="1">
        <v>2.933852752529972</v>
      </c>
      <c r="AO13" s="5">
        <v>0.05</v>
      </c>
      <c r="AP13" s="1">
        <v>1.1591355742859812</v>
      </c>
      <c r="AQ13" s="1">
        <v>1.1351745057655176</v>
      </c>
      <c r="AR13" s="1">
        <v>1.1765634581234088</v>
      </c>
      <c r="AS13" s="1">
        <v>1.0870626374969428</v>
      </c>
      <c r="AT13" s="1">
        <v>1.251398002381354</v>
      </c>
      <c r="AU13" s="1">
        <v>1.2614581041795034</v>
      </c>
    </row>
    <row r="14" spans="18:53" x14ac:dyDescent="0.25">
      <c r="R14" s="2">
        <v>0.06</v>
      </c>
      <c r="S14" s="1">
        <v>1.5458852324186725</v>
      </c>
      <c r="T14" s="1">
        <v>1.8256119598337244</v>
      </c>
      <c r="U14" s="1">
        <v>2.4994077216273687</v>
      </c>
      <c r="V14" s="1">
        <v>2.4426288743716924</v>
      </c>
      <c r="W14" s="1">
        <v>2.5420278077918015</v>
      </c>
      <c r="X14" s="1">
        <v>2.7461420077223733</v>
      </c>
      <c r="Y14" s="1">
        <v>2.9399474479972936</v>
      </c>
      <c r="Z14" s="1">
        <v>2.8852632208115772</v>
      </c>
      <c r="AB14" s="3"/>
      <c r="AC14" s="3"/>
      <c r="AD14" s="3"/>
      <c r="AE14" s="3"/>
      <c r="AF14" s="3"/>
      <c r="AG14" s="1">
        <v>2.9319854918675299</v>
      </c>
      <c r="AM14" s="1">
        <v>2.969732321511211</v>
      </c>
      <c r="AO14" s="2">
        <v>0.06</v>
      </c>
      <c r="AP14" s="1">
        <v>1.1779444998390964</v>
      </c>
      <c r="AQ14" s="1">
        <v>1.148703475436869</v>
      </c>
      <c r="AR14" s="1">
        <v>1.1945109377716159</v>
      </c>
      <c r="AS14" s="1">
        <v>1.1007006612281585</v>
      </c>
      <c r="AT14" s="1">
        <v>1.2713520832724783</v>
      </c>
      <c r="AU14" s="1">
        <v>1.2846906161204379</v>
      </c>
    </row>
    <row r="15" spans="18:53" x14ac:dyDescent="0.25">
      <c r="R15" s="5">
        <v>7.0000000000000007E-2</v>
      </c>
      <c r="S15" s="1">
        <v>1.560199057932697</v>
      </c>
      <c r="T15" s="1">
        <v>1.8424811085489163</v>
      </c>
      <c r="U15" s="1">
        <v>2.5200483509466909</v>
      </c>
      <c r="V15" s="1">
        <v>2.4675244464477073</v>
      </c>
      <c r="W15" s="1">
        <v>2.5652021959969389</v>
      </c>
      <c r="X15" s="1">
        <v>2.7771732575778119</v>
      </c>
      <c r="Y15" s="1">
        <v>2.9695101165167523</v>
      </c>
      <c r="Z15" s="1">
        <v>2.9102147231899123</v>
      </c>
      <c r="AB15" s="3"/>
      <c r="AC15" s="3"/>
      <c r="AD15" s="3"/>
      <c r="AE15" s="3"/>
      <c r="AF15" s="3"/>
      <c r="AM15" s="1">
        <v>3.0016939417209234</v>
      </c>
      <c r="AO15" s="5">
        <v>7.0000000000000007E-2</v>
      </c>
      <c r="AP15" s="1">
        <v>1.1871699154979032</v>
      </c>
      <c r="AQ15" s="1">
        <v>1.1636535461569073</v>
      </c>
      <c r="AR15" s="1">
        <v>1.2073670078477341</v>
      </c>
      <c r="AS15" s="1">
        <v>1.1117637770213855</v>
      </c>
      <c r="AT15" s="1">
        <v>1.2819871389744557</v>
      </c>
      <c r="AU15" s="1">
        <v>1.2962376154598978</v>
      </c>
    </row>
    <row r="16" spans="18:53" x14ac:dyDescent="0.25">
      <c r="R16" s="2">
        <v>0.08</v>
      </c>
      <c r="S16" s="1">
        <v>1.5753908020628888</v>
      </c>
      <c r="T16" s="1">
        <v>1.8594498183815655</v>
      </c>
      <c r="U16" s="1">
        <v>2.5431643711255068</v>
      </c>
      <c r="V16" s="1">
        <v>2.4883452929529106</v>
      </c>
      <c r="W16" s="1">
        <v>2.5882587148958822</v>
      </c>
      <c r="X16" s="1">
        <v>2.8051420949435726</v>
      </c>
      <c r="Y16" s="1">
        <v>2.9938066697918204</v>
      </c>
      <c r="Z16" s="1">
        <v>2.9330110221649819</v>
      </c>
      <c r="AB16" s="3"/>
      <c r="AC16" s="3"/>
      <c r="AD16" s="3"/>
      <c r="AE16" s="3"/>
      <c r="AF16" s="3"/>
      <c r="AM16" s="1">
        <v>3.0321119589746188</v>
      </c>
      <c r="AO16" s="2">
        <v>0.08</v>
      </c>
      <c r="AP16" s="1">
        <v>1.204291362494597</v>
      </c>
      <c r="AQ16" s="1">
        <v>1.1704213413830988</v>
      </c>
      <c r="AR16" s="1">
        <v>1.2225818374054207</v>
      </c>
      <c r="AS16" s="1">
        <v>1.1246796483895805</v>
      </c>
      <c r="AT16" s="1">
        <v>1.2970328379750682</v>
      </c>
      <c r="AU16" s="1">
        <v>1.3123472882372909</v>
      </c>
    </row>
    <row r="17" spans="18:47" x14ac:dyDescent="0.25">
      <c r="R17" s="5">
        <v>0.09</v>
      </c>
      <c r="S17" s="1">
        <v>1.5877362962364541</v>
      </c>
      <c r="T17" s="1">
        <v>1.8747438575077591</v>
      </c>
      <c r="U17" s="1">
        <v>2.5633940163394469</v>
      </c>
      <c r="V17" s="1">
        <v>2.5077558466318739</v>
      </c>
      <c r="W17" s="1">
        <v>2.6063869576491165</v>
      </c>
      <c r="X17" s="1">
        <v>2.82364135466573</v>
      </c>
      <c r="Y17" s="1">
        <v>3.0176670454674879</v>
      </c>
      <c r="Z17" s="1">
        <v>2.9535301670011287</v>
      </c>
      <c r="AB17" s="3"/>
      <c r="AC17" s="3"/>
      <c r="AD17" s="3"/>
      <c r="AE17" s="3"/>
      <c r="AF17" s="3"/>
      <c r="AM17" s="1">
        <v>3.0563370918345876</v>
      </c>
      <c r="AO17" s="5">
        <v>0.09</v>
      </c>
      <c r="AP17" s="1">
        <v>1.2144453750531057</v>
      </c>
      <c r="AQ17" s="1">
        <v>1.1796467570419054</v>
      </c>
      <c r="AR17" s="1">
        <v>1.2351194711109392</v>
      </c>
      <c r="AS17" s="1">
        <v>1.1353070718947955</v>
      </c>
      <c r="AT17" s="1">
        <v>1.3093931496999456</v>
      </c>
      <c r="AU17" s="1">
        <v>1.3310603512696033</v>
      </c>
    </row>
    <row r="18" spans="18:47" x14ac:dyDescent="0.25">
      <c r="R18" s="2">
        <v>0.1</v>
      </c>
      <c r="S18" s="1">
        <v>1.6024647063201816</v>
      </c>
      <c r="T18" s="1">
        <v>1.8869836166100278</v>
      </c>
      <c r="U18" s="1">
        <v>2.5833571250012488</v>
      </c>
      <c r="V18" s="1">
        <v>2.5256709537706437</v>
      </c>
      <c r="W18" s="1">
        <v>2.6261043791853167</v>
      </c>
      <c r="X18" s="1">
        <v>2.8447869936396715</v>
      </c>
      <c r="Y18" s="1">
        <v>3.037634651608597</v>
      </c>
      <c r="Z18" s="1">
        <v>2.9711929445957521</v>
      </c>
      <c r="AB18" s="3"/>
      <c r="AC18" s="3"/>
      <c r="AD18" s="3"/>
      <c r="AE18" s="3"/>
      <c r="AF18" s="3"/>
      <c r="AM18" s="1">
        <v>3.0798666954694442</v>
      </c>
      <c r="AO18" s="2">
        <v>0.1</v>
      </c>
      <c r="AP18" s="1">
        <v>1.2236707907119124</v>
      </c>
      <c r="AQ18" s="1">
        <v>1.1936596244334909</v>
      </c>
      <c r="AR18" s="1">
        <v>1.2456364130218756</v>
      </c>
      <c r="AS18" s="1">
        <v>1.1457900424713214</v>
      </c>
      <c r="AT18" s="1">
        <v>1.3209167156885515</v>
      </c>
      <c r="AU18" s="1">
        <v>1.3439688665637108</v>
      </c>
    </row>
    <row r="19" spans="18:47" x14ac:dyDescent="0.25">
      <c r="R19" s="5">
        <v>0.11</v>
      </c>
      <c r="S19" s="1">
        <v>1.6140408105585078</v>
      </c>
      <c r="T19" s="1">
        <v>1.8996490356098945</v>
      </c>
      <c r="U19" s="1">
        <v>2.6003008146832975</v>
      </c>
      <c r="V19" s="1">
        <v>2.5447693822727953</v>
      </c>
      <c r="W19" s="1">
        <v>2.6462870806970145</v>
      </c>
      <c r="X19" s="1">
        <v>2.8661367093602093</v>
      </c>
      <c r="Y19" s="1">
        <v>3.0578302960234223</v>
      </c>
      <c r="Z19" s="1">
        <v>2.9893652535332853</v>
      </c>
      <c r="AB19" s="3"/>
      <c r="AC19" s="3"/>
      <c r="AD19" s="3"/>
      <c r="AE19" s="3"/>
      <c r="AF19" s="3"/>
      <c r="AM19" s="1">
        <v>3.1036489407123873</v>
      </c>
      <c r="AO19" s="5">
        <v>0.11</v>
      </c>
      <c r="AP19" s="1">
        <v>1.22972088846987</v>
      </c>
      <c r="AQ19" s="1">
        <v>1.1975383459147932</v>
      </c>
      <c r="AR19" s="1">
        <v>1.2584750472410238</v>
      </c>
      <c r="AS19" s="1">
        <v>1.1552617694128009</v>
      </c>
      <c r="AT19" s="1">
        <v>1.3350716672594096</v>
      </c>
      <c r="AU19" s="1">
        <v>1.3542928632105378</v>
      </c>
    </row>
    <row r="20" spans="18:47" x14ac:dyDescent="0.25">
      <c r="R20" s="2">
        <v>0.12</v>
      </c>
      <c r="S20" s="1">
        <v>1.6269417464949447</v>
      </c>
      <c r="T20" s="1">
        <v>1.912571555870054</v>
      </c>
      <c r="U20" s="1">
        <v>2.617265668587859</v>
      </c>
      <c r="V20" s="1">
        <v>2.5617133903192371</v>
      </c>
      <c r="W20" s="1">
        <v>2.665939164211693</v>
      </c>
      <c r="X20" s="1">
        <v>2.8874610309207278</v>
      </c>
      <c r="Y20" s="1">
        <v>3.0771313057311773</v>
      </c>
      <c r="Z20" s="1">
        <v>3.0059336009959741</v>
      </c>
      <c r="AB20" s="3"/>
      <c r="AC20" s="3"/>
      <c r="AD20" s="3"/>
      <c r="AE20" s="3"/>
      <c r="AF20" s="3"/>
      <c r="AH20" s="1">
        <v>3.00390919527565</v>
      </c>
      <c r="AM20" s="1">
        <v>3.1219931554801503</v>
      </c>
      <c r="AO20" s="2">
        <v>0.12</v>
      </c>
      <c r="AP20" s="1">
        <v>1.2422401044358509</v>
      </c>
      <c r="AQ20" s="1">
        <v>1.2115512133063788</v>
      </c>
      <c r="AR20" s="1">
        <v>1.2702142315944143</v>
      </c>
      <c r="AS20" s="1">
        <v>1.1652936708240891</v>
      </c>
      <c r="AT20" s="1">
        <v>1.3446232653439798</v>
      </c>
      <c r="AU20" s="1">
        <v>1.3667998605916922</v>
      </c>
    </row>
    <row r="21" spans="18:47" x14ac:dyDescent="0.25">
      <c r="R21" s="5">
        <v>0.13</v>
      </c>
      <c r="S21" s="1">
        <v>1.6379098347135139</v>
      </c>
      <c r="T21" s="1">
        <v>1.9222275574738457</v>
      </c>
      <c r="U21" s="1">
        <v>2.6349763102055825</v>
      </c>
      <c r="V21" s="1">
        <v>2.5718491750642145</v>
      </c>
      <c r="W21" s="1">
        <v>2.6830641395423691</v>
      </c>
      <c r="X21" s="1">
        <v>2.9088783270200897</v>
      </c>
      <c r="Y21" s="1">
        <v>3.0933581637816556</v>
      </c>
      <c r="Z21" s="1">
        <v>3.0227868303195096</v>
      </c>
      <c r="AB21" s="3"/>
      <c r="AC21" s="3"/>
      <c r="AD21" s="3"/>
      <c r="AE21" s="3"/>
      <c r="AF21" s="3"/>
      <c r="AM21" s="1">
        <v>3.1405672092870471</v>
      </c>
      <c r="AO21" s="5">
        <v>0.13</v>
      </c>
      <c r="AP21" s="1">
        <v>1.250017653367413</v>
      </c>
      <c r="AQ21" s="1">
        <v>1.2178351108123362</v>
      </c>
      <c r="AR21" s="1">
        <v>1.2814860971824049</v>
      </c>
      <c r="AS21" s="1">
        <v>1.173151558800791</v>
      </c>
      <c r="AT21" s="1">
        <v>1.3613738014286367</v>
      </c>
      <c r="AU21" s="1">
        <v>1.3788861608731819</v>
      </c>
    </row>
    <row r="22" spans="18:47" x14ac:dyDescent="0.25">
      <c r="R22" s="2">
        <v>0.14000000000000001</v>
      </c>
      <c r="S22" s="1">
        <v>1.647432295461386</v>
      </c>
      <c r="T22" s="1">
        <v>1.9360258578812748</v>
      </c>
      <c r="U22" s="1">
        <v>2.651746272704977</v>
      </c>
      <c r="V22" s="1">
        <v>2.5883242968689557</v>
      </c>
      <c r="W22" s="1">
        <v>2.6992634983503443</v>
      </c>
      <c r="X22" s="1">
        <v>2.9274387575284453</v>
      </c>
      <c r="Y22" s="1">
        <v>3.1130475560562774</v>
      </c>
      <c r="Z22" s="1">
        <v>3.0395813813778414</v>
      </c>
      <c r="AB22" s="3"/>
      <c r="AC22" s="3"/>
      <c r="AD22" s="3"/>
      <c r="AE22" s="3"/>
      <c r="AF22" s="3"/>
      <c r="AM22" s="1">
        <v>3.1595321553103553</v>
      </c>
      <c r="AO22" s="2">
        <v>0.14000000000000001</v>
      </c>
      <c r="AP22" s="1">
        <v>1.2592430690262197</v>
      </c>
      <c r="AQ22" s="1">
        <v>1.2318479782039218</v>
      </c>
      <c r="AR22" s="1">
        <v>1.2920379540096294</v>
      </c>
      <c r="AS22" s="1">
        <v>1.1795115763782977</v>
      </c>
      <c r="AT22" s="1">
        <v>1.3703017829034434</v>
      </c>
      <c r="AU22" s="1">
        <v>1.3858003724634722</v>
      </c>
    </row>
    <row r="23" spans="18:47" x14ac:dyDescent="0.25">
      <c r="R23" s="5">
        <v>0.15</v>
      </c>
      <c r="S23" s="1">
        <v>1.6583803791426657</v>
      </c>
      <c r="T23" s="1">
        <v>1.9466075016190547</v>
      </c>
      <c r="U23" s="1">
        <v>2.6663735215613684</v>
      </c>
      <c r="V23" s="1">
        <v>2.6034913611970762</v>
      </c>
      <c r="W23" s="1">
        <v>2.7138351286116467</v>
      </c>
      <c r="X23" s="1">
        <v>2.9431835553636394</v>
      </c>
      <c r="Y23" s="1">
        <v>3.1293876877613851</v>
      </c>
      <c r="Z23" s="1">
        <v>3.0544303544385918</v>
      </c>
      <c r="AB23" s="3"/>
      <c r="AC23" s="3"/>
      <c r="AD23" s="3"/>
      <c r="AE23" s="3"/>
      <c r="AF23" s="3"/>
      <c r="AM23" s="1">
        <v>3.1765281245178909</v>
      </c>
      <c r="AO23" s="5">
        <v>0.15</v>
      </c>
      <c r="AP23" s="1">
        <v>1.2703144182649559</v>
      </c>
      <c r="AQ23" s="1">
        <v>1.2381843201178393</v>
      </c>
      <c r="AR23" s="1">
        <v>1.3001415954681865</v>
      </c>
      <c r="AS23" s="1">
        <v>1.188267294497894</v>
      </c>
      <c r="AT23" s="1">
        <v>1.3798423617985338</v>
      </c>
      <c r="AU23" s="1">
        <v>1.3961243691102994</v>
      </c>
    </row>
    <row r="24" spans="18:47" x14ac:dyDescent="0.25">
      <c r="R24" s="2">
        <v>0.16</v>
      </c>
      <c r="S24" s="1">
        <v>1.6694117685644827</v>
      </c>
      <c r="T24" s="1">
        <v>1.9590042825931897</v>
      </c>
      <c r="U24" s="1">
        <v>2.6807197163669318</v>
      </c>
      <c r="V24" s="1">
        <v>2.6182121456312895</v>
      </c>
      <c r="W24" s="1">
        <v>2.7268387171676038</v>
      </c>
      <c r="X24" s="1">
        <v>2.9562689437346825</v>
      </c>
      <c r="Y24" s="1">
        <v>3.1438451085939372</v>
      </c>
      <c r="Z24" s="1">
        <v>3.0689037033906135</v>
      </c>
      <c r="AB24" s="3"/>
      <c r="AC24" s="3"/>
      <c r="AD24" s="3"/>
      <c r="AE24" s="3"/>
      <c r="AF24" s="3"/>
      <c r="AM24" s="1">
        <v>3.1948404660652181</v>
      </c>
      <c r="AO24" s="2">
        <v>0.16</v>
      </c>
      <c r="AP24" s="1">
        <v>1.2763645160229136</v>
      </c>
      <c r="AQ24" s="1">
        <v>1.2449521153440306</v>
      </c>
      <c r="AR24" s="1">
        <v>1.3063741747139646</v>
      </c>
      <c r="AS24" s="1">
        <v>1.1958297327268854</v>
      </c>
      <c r="AT24" s="1">
        <v>1.3926328582082164</v>
      </c>
      <c r="AU24" s="1">
        <v>1.4045646781993819</v>
      </c>
    </row>
    <row r="25" spans="18:47" x14ac:dyDescent="0.25">
      <c r="R25" s="5">
        <v>0.17</v>
      </c>
      <c r="S25" s="1">
        <v>1.6796650794945864</v>
      </c>
      <c r="T25" s="1">
        <v>1.9707106994610064</v>
      </c>
      <c r="U25" s="1">
        <v>2.6951952185267984</v>
      </c>
      <c r="V25" s="1">
        <v>2.6356425458048736</v>
      </c>
      <c r="W25" s="1">
        <v>2.74261739893476</v>
      </c>
      <c r="X25" s="1">
        <v>2.9719288080996136</v>
      </c>
      <c r="Y25" s="1">
        <v>3.1596266051602901</v>
      </c>
      <c r="Z25" s="1">
        <v>3.0842579243920309</v>
      </c>
      <c r="AB25" s="3"/>
      <c r="AC25" s="3"/>
      <c r="AD25" s="3"/>
      <c r="AE25" s="3"/>
      <c r="AF25" s="3"/>
      <c r="AM25" s="1">
        <v>3.2125704754027646</v>
      </c>
      <c r="AO25" s="5">
        <v>0.17</v>
      </c>
      <c r="AP25" s="1">
        <v>1.2889761490140375</v>
      </c>
      <c r="AQ25" s="1">
        <v>1.256023464582767</v>
      </c>
      <c r="AR25" s="1">
        <v>1.3168452286123478</v>
      </c>
      <c r="AS25" s="1">
        <v>1.2041740606489786</v>
      </c>
      <c r="AT25" s="1">
        <v>1.3997968155468457</v>
      </c>
      <c r="AU25" s="1">
        <v>1.4146563333173665</v>
      </c>
    </row>
    <row r="26" spans="18:47" x14ac:dyDescent="0.25">
      <c r="R26" s="2">
        <v>0.18</v>
      </c>
      <c r="S26" s="1">
        <v>1.6908431304441707</v>
      </c>
      <c r="T26" s="1">
        <v>1.9814786344479023</v>
      </c>
      <c r="U26" s="1">
        <v>2.7078212205601644</v>
      </c>
      <c r="V26" s="1">
        <v>2.6477432615669581</v>
      </c>
      <c r="W26" s="1">
        <v>2.7555201144864458</v>
      </c>
      <c r="X26" s="1">
        <v>2.990668881023868</v>
      </c>
      <c r="Y26" s="1">
        <v>3.1761760426202503</v>
      </c>
      <c r="Z26" s="1">
        <v>3.0995885016873594</v>
      </c>
      <c r="AB26" s="3"/>
      <c r="AC26" s="3"/>
      <c r="AD26" s="3"/>
      <c r="AE26" s="3"/>
      <c r="AF26" s="3"/>
      <c r="AM26" s="1">
        <v>3.2259306098506388</v>
      </c>
      <c r="AO26" s="2">
        <v>0.18</v>
      </c>
      <c r="AP26" s="1">
        <v>1.2966612809204563</v>
      </c>
      <c r="AQ26" s="1">
        <v>1.2623503665032514</v>
      </c>
      <c r="AR26" s="1">
        <v>1.3231961710846414</v>
      </c>
      <c r="AS26" s="1">
        <v>1.211885559464728</v>
      </c>
      <c r="AT26" s="1">
        <v>1.4078712343851696</v>
      </c>
      <c r="AU26" s="1">
        <v>1.423050568042372</v>
      </c>
    </row>
    <row r="27" spans="18:47" x14ac:dyDescent="0.25">
      <c r="R27" s="5">
        <v>0.19</v>
      </c>
      <c r="S27" s="1">
        <v>1.7021395217767501</v>
      </c>
      <c r="T27" s="1">
        <v>1.9922367408084443</v>
      </c>
      <c r="U27" s="1">
        <v>2.7207799151060135</v>
      </c>
      <c r="V27" s="1">
        <v>2.661427805908799</v>
      </c>
      <c r="W27" s="1">
        <v>2.7685579940060476</v>
      </c>
      <c r="X27" s="1">
        <v>3.0039906452852176</v>
      </c>
      <c r="Y27" s="1">
        <v>3.1907977299508734</v>
      </c>
      <c r="Z27" s="1">
        <v>3.1144934380686613</v>
      </c>
      <c r="AB27" s="3"/>
      <c r="AC27" s="3"/>
      <c r="AD27" s="3"/>
      <c r="AE27" s="3"/>
      <c r="AF27" s="3"/>
      <c r="AM27" s="1">
        <v>3.2394681007627524</v>
      </c>
      <c r="AO27" s="5">
        <v>0.19</v>
      </c>
      <c r="AP27" s="1">
        <v>1.2974314227966504</v>
      </c>
      <c r="AQ27" s="1">
        <v>1.2691276017228756</v>
      </c>
      <c r="AR27" s="1">
        <v>1.3337075469821553</v>
      </c>
      <c r="AS27" s="1">
        <v>1.2183349800764065</v>
      </c>
      <c r="AT27" s="1">
        <v>1.4156001868674717</v>
      </c>
      <c r="AU27" s="1">
        <v>1.4322646661124032</v>
      </c>
    </row>
    <row r="28" spans="18:47" x14ac:dyDescent="0.25">
      <c r="R28" s="2">
        <v>0.2</v>
      </c>
      <c r="S28" s="1">
        <v>1.7142624832916706</v>
      </c>
      <c r="T28" s="1">
        <v>2.0017590994339272</v>
      </c>
      <c r="U28" s="1">
        <v>2.7327479531236474</v>
      </c>
      <c r="V28" s="1">
        <v>2.6741326800616489</v>
      </c>
      <c r="W28" s="1">
        <v>2.7821984601964229</v>
      </c>
      <c r="X28" s="1">
        <v>3.018471376117621</v>
      </c>
      <c r="Y28" s="1">
        <v>3.2057567610221458</v>
      </c>
      <c r="Z28" s="1">
        <v>3.1281298178618941</v>
      </c>
      <c r="AB28" s="3"/>
      <c r="AC28" s="3"/>
      <c r="AD28" s="3"/>
      <c r="AE28" s="3"/>
      <c r="AF28" s="3"/>
      <c r="AM28" s="1">
        <v>3.2541254827765504</v>
      </c>
      <c r="AO28" s="2">
        <v>0.2</v>
      </c>
      <c r="AP28" s="1">
        <v>1.3092729139115806</v>
      </c>
      <c r="AQ28" s="1">
        <v>1.2801989509616121</v>
      </c>
      <c r="AR28" s="1">
        <v>1.3407841257983004</v>
      </c>
      <c r="AS28" s="1">
        <v>1.2256949905317238</v>
      </c>
      <c r="AT28" s="1">
        <v>1.4289984603714072</v>
      </c>
      <c r="AU28" s="1">
        <v>1.442324568932994</v>
      </c>
    </row>
    <row r="29" spans="18:47" x14ac:dyDescent="0.25">
      <c r="R29" s="5">
        <v>0.21</v>
      </c>
      <c r="S29" s="1">
        <v>1.7238980405688689</v>
      </c>
      <c r="T29" s="1">
        <v>2.0108865018096322</v>
      </c>
      <c r="U29" s="1">
        <v>2.7451043024371318</v>
      </c>
      <c r="V29" s="1">
        <v>2.6852624478362039</v>
      </c>
      <c r="W29" s="1">
        <v>2.7943229328495058</v>
      </c>
      <c r="X29" s="1">
        <v>3.0323983802914416</v>
      </c>
      <c r="Y29" s="1">
        <v>3.2198194169678707</v>
      </c>
      <c r="Z29" s="1">
        <v>3.1407536220146839</v>
      </c>
      <c r="AB29" s="3"/>
      <c r="AC29" s="3"/>
      <c r="AD29" s="3"/>
      <c r="AE29" s="3"/>
      <c r="AF29" s="3"/>
      <c r="AM29" s="1">
        <v>3.2686259966333471</v>
      </c>
      <c r="AO29" s="5">
        <v>0.21</v>
      </c>
      <c r="AP29" s="1">
        <v>1.3177281876941933</v>
      </c>
      <c r="AQ29" s="1">
        <v>1.2831404691144614</v>
      </c>
      <c r="AR29" s="1">
        <v>1.3454688420303593</v>
      </c>
      <c r="AS29" s="1">
        <v>1.2331601905023757</v>
      </c>
      <c r="AT29" s="1">
        <v>1.434722524182559</v>
      </c>
      <c r="AU29" s="1">
        <v>1.4554026195535721</v>
      </c>
    </row>
    <row r="30" spans="18:47" x14ac:dyDescent="0.25">
      <c r="R30" s="2">
        <v>0.22</v>
      </c>
      <c r="S30" s="1">
        <v>1.7332845361921914</v>
      </c>
      <c r="T30" s="1">
        <v>2.0195953315081097</v>
      </c>
      <c r="U30" s="1">
        <v>2.7579011364783201</v>
      </c>
      <c r="V30" s="1">
        <v>2.6968635351027479</v>
      </c>
      <c r="W30" s="1">
        <v>2.8077484034755007</v>
      </c>
      <c r="X30" s="1">
        <v>3.0450246150856026</v>
      </c>
      <c r="Y30" s="1">
        <v>3.2336183831348269</v>
      </c>
      <c r="Z30" s="1">
        <v>3.1528977796053246</v>
      </c>
      <c r="AB30" s="3"/>
      <c r="AC30" s="3"/>
      <c r="AD30" s="3"/>
      <c r="AE30" s="3"/>
      <c r="AF30" s="3"/>
      <c r="AM30" s="1">
        <v>3.28321142525557</v>
      </c>
      <c r="AO30" s="2">
        <v>0.22</v>
      </c>
      <c r="AP30" s="1">
        <v>1.3260777348914785</v>
      </c>
      <c r="AQ30" s="1">
        <v>1.2899082643406525</v>
      </c>
      <c r="AR30" s="1">
        <v>1.351301067709237</v>
      </c>
      <c r="AS30" s="1">
        <v>1.239590766135487</v>
      </c>
      <c r="AT30" s="1">
        <v>1.4407509950020316</v>
      </c>
      <c r="AU30" s="1">
        <v>1.4647597021550378</v>
      </c>
    </row>
    <row r="31" spans="18:47" x14ac:dyDescent="0.25">
      <c r="R31" s="5">
        <v>0.23</v>
      </c>
      <c r="S31" s="1">
        <v>1.7439910316032456</v>
      </c>
      <c r="T31" s="1">
        <v>2.0282395676449578</v>
      </c>
      <c r="U31" s="1">
        <v>2.7689624371441841</v>
      </c>
      <c r="V31" s="1">
        <v>2.7083802446620129</v>
      </c>
      <c r="W31" s="1">
        <v>2.8195337174853425</v>
      </c>
      <c r="X31" s="1">
        <v>3.0580719881297349</v>
      </c>
      <c r="Y31" s="1">
        <v>3.2474670709828097</v>
      </c>
      <c r="Z31" s="1">
        <v>3.1644414771439764</v>
      </c>
      <c r="AB31" s="3"/>
      <c r="AC31" s="3"/>
      <c r="AD31" s="3"/>
      <c r="AE31" s="3"/>
      <c r="AF31" s="3"/>
      <c r="AM31" s="1">
        <v>3.29780159800193</v>
      </c>
      <c r="AO31" s="5">
        <v>0.23</v>
      </c>
      <c r="AP31" s="1">
        <v>1.3356197765670812</v>
      </c>
      <c r="AQ31" s="1">
        <v>1.3034372340120044</v>
      </c>
      <c r="AR31" s="1">
        <v>1.3593992946106686</v>
      </c>
      <c r="AS31" s="1">
        <v>1.2453735453120311</v>
      </c>
      <c r="AT31" s="1">
        <v>1.4519758202077524</v>
      </c>
      <c r="AU31" s="1">
        <v>1.4720993803385833</v>
      </c>
    </row>
    <row r="32" spans="18:47" x14ac:dyDescent="0.25">
      <c r="R32" s="2">
        <v>0.24</v>
      </c>
      <c r="S32" s="1">
        <v>1.7530548091094915</v>
      </c>
      <c r="T32" s="1">
        <v>2.0359758736406537</v>
      </c>
      <c r="U32" s="1">
        <v>2.7820898577011741</v>
      </c>
      <c r="V32" s="1">
        <v>2.7251580107644124</v>
      </c>
      <c r="W32" s="1">
        <v>2.830523021015269</v>
      </c>
      <c r="X32" s="1">
        <v>3.0724863385306027</v>
      </c>
      <c r="Y32" s="1">
        <v>3.2627466871524429</v>
      </c>
      <c r="Z32" s="1">
        <v>3.1760582378479607</v>
      </c>
      <c r="AB32" s="3"/>
      <c r="AC32" s="3"/>
      <c r="AD32" s="3"/>
      <c r="AE32" s="3"/>
      <c r="AF32" s="3"/>
      <c r="AM32" s="1">
        <v>3.3118711623928139</v>
      </c>
      <c r="AO32" s="2">
        <v>0.24</v>
      </c>
      <c r="AP32" s="1">
        <v>1.3423875717932725</v>
      </c>
      <c r="AQ32" s="1">
        <v>1.3102050292381955</v>
      </c>
      <c r="AR32" s="1">
        <v>1.3656318738564464</v>
      </c>
      <c r="AS32" s="1">
        <v>1.2512077775680399</v>
      </c>
      <c r="AT32" s="1">
        <v>1.4603427101197342</v>
      </c>
      <c r="AU32" s="1">
        <v>1.4810811368797721</v>
      </c>
    </row>
    <row r="33" spans="18:52" x14ac:dyDescent="0.25">
      <c r="R33" s="5">
        <v>0.25</v>
      </c>
      <c r="S33" s="1">
        <v>1.7617227162162552</v>
      </c>
      <c r="T33" s="1">
        <v>2.0453145838498825</v>
      </c>
      <c r="U33" s="1">
        <v>2.7923831840464186</v>
      </c>
      <c r="V33" s="1">
        <v>2.7343806657780161</v>
      </c>
      <c r="W33" s="1">
        <v>2.8448489682389617</v>
      </c>
      <c r="X33" s="1">
        <v>3.087653522188595</v>
      </c>
      <c r="Y33" s="1">
        <v>3.278084985092923</v>
      </c>
      <c r="Z33" s="1">
        <v>3.18671955351103</v>
      </c>
      <c r="AB33" s="3"/>
      <c r="AC33" s="3"/>
      <c r="AD33" s="3"/>
      <c r="AE33" s="3"/>
      <c r="AF33" s="3"/>
      <c r="AM33" s="1">
        <v>3.324039745910139</v>
      </c>
      <c r="AO33" s="5">
        <v>0.25</v>
      </c>
      <c r="AP33" s="1">
        <v>1.3440750503496939</v>
      </c>
      <c r="AQ33" s="1">
        <v>1.3246712022379998</v>
      </c>
      <c r="AR33" s="1">
        <v>1.374989813952739</v>
      </c>
      <c r="AS33" s="1">
        <v>1.2580296811040308</v>
      </c>
      <c r="AT33" s="1">
        <v>1.4670745753745171</v>
      </c>
      <c r="AU33" s="1">
        <v>1.4893529998176822</v>
      </c>
    </row>
    <row r="34" spans="18:52" x14ac:dyDescent="0.25">
      <c r="R34" s="2">
        <v>0.26</v>
      </c>
      <c r="S34" s="1">
        <v>1.7708514467278855</v>
      </c>
      <c r="T34" s="1">
        <v>2.0559180696569852</v>
      </c>
      <c r="U34" s="1">
        <v>2.8044045281579035</v>
      </c>
      <c r="V34" s="1">
        <v>2.7483181446776297</v>
      </c>
      <c r="W34" s="1">
        <v>2.8593011101071046</v>
      </c>
      <c r="X34" s="1">
        <v>3.1015921523847592</v>
      </c>
      <c r="Y34" s="1">
        <v>3.2900170385882981</v>
      </c>
      <c r="Z34" s="1">
        <v>3.1992696779069263</v>
      </c>
      <c r="AB34" s="3"/>
      <c r="AC34" s="3"/>
      <c r="AD34" s="3"/>
      <c r="AE34" s="3"/>
      <c r="AF34" s="3"/>
      <c r="AM34" s="1">
        <v>3.3371176867586785</v>
      </c>
      <c r="AO34" s="2">
        <v>0.26</v>
      </c>
      <c r="AP34" s="1">
        <v>1.3610493025423542</v>
      </c>
      <c r="AQ34" s="1">
        <v>1.3276127203908494</v>
      </c>
      <c r="AR34" s="1">
        <v>1.3820774685367627</v>
      </c>
      <c r="AS34" s="1">
        <v>1.2644723176669539</v>
      </c>
      <c r="AT34" s="1">
        <v>1.4722709297607657</v>
      </c>
      <c r="AU34" s="1">
        <v>1.4995824379647436</v>
      </c>
    </row>
    <row r="35" spans="18:52" x14ac:dyDescent="0.25">
      <c r="R35" s="5">
        <v>0.27</v>
      </c>
      <c r="S35" s="1">
        <v>1.7790752730204216</v>
      </c>
      <c r="T35" s="1">
        <v>2.0650194845241185</v>
      </c>
      <c r="U35" s="1">
        <v>2.816131224884955</v>
      </c>
      <c r="V35" s="1">
        <v>2.7616835646533193</v>
      </c>
      <c r="W35" s="1">
        <v>2.8703082361124999</v>
      </c>
      <c r="X35" s="1">
        <v>3.1135615383822657</v>
      </c>
      <c r="Y35" s="1">
        <v>3.3037150899545975</v>
      </c>
      <c r="Z35" s="1">
        <v>3.2129350708251065</v>
      </c>
      <c r="AB35" s="3"/>
      <c r="AC35" s="3"/>
      <c r="AD35" s="3"/>
      <c r="AE35" s="3"/>
      <c r="AF35" s="3"/>
      <c r="AM35" s="1">
        <v>3.3498950010895734</v>
      </c>
      <c r="AO35" s="5">
        <v>0.27</v>
      </c>
      <c r="AP35" s="1">
        <v>1.3627367810987756</v>
      </c>
      <c r="AQ35" s="1">
        <v>1.3300703408234646</v>
      </c>
      <c r="AR35" s="1">
        <v>1.3867961817596124</v>
      </c>
      <c r="AS35" s="1">
        <v>1.2716585477230546</v>
      </c>
      <c r="AT35" s="1">
        <v>1.4823502372702395</v>
      </c>
      <c r="AU35" s="1">
        <v>1.5055366515133393</v>
      </c>
    </row>
    <row r="36" spans="18:52" x14ac:dyDescent="0.25">
      <c r="R36" s="2">
        <v>0.28000000000000003</v>
      </c>
      <c r="S36" s="1">
        <v>1.7897966321921288</v>
      </c>
      <c r="T36" s="1">
        <v>2.0730449625094809</v>
      </c>
      <c r="U36" s="1">
        <v>2.8268122013683725</v>
      </c>
      <c r="V36" s="1">
        <v>2.7748846950482804</v>
      </c>
      <c r="W36" s="1">
        <v>2.8815259102060584</v>
      </c>
      <c r="X36" s="1">
        <v>3.1257483949219065</v>
      </c>
      <c r="Y36" s="1">
        <v>3.3153714670543359</v>
      </c>
      <c r="Z36" s="1">
        <v>3.2246073418326495</v>
      </c>
      <c r="AB36" s="3"/>
      <c r="AC36" s="3"/>
      <c r="AD36" s="3"/>
      <c r="AE36" s="3"/>
      <c r="AF36" s="3"/>
      <c r="AM36" s="1">
        <v>3.3627931961824982</v>
      </c>
      <c r="AO36" s="2">
        <v>0.28000000000000003</v>
      </c>
      <c r="AP36" s="1">
        <v>1.3697658591605477</v>
      </c>
      <c r="AQ36" s="1">
        <v>1.3419260691587818</v>
      </c>
      <c r="AR36" s="1">
        <v>1.3925944104476993</v>
      </c>
      <c r="AS36" s="1">
        <v>1.2796188031824196</v>
      </c>
      <c r="AT36" s="1">
        <v>1.4927530929339812</v>
      </c>
      <c r="AU36" s="1">
        <v>1.5111405569285761</v>
      </c>
    </row>
    <row r="37" spans="18:52" x14ac:dyDescent="0.25">
      <c r="R37" s="5">
        <v>0.28999999999999998</v>
      </c>
      <c r="S37" s="1">
        <v>1.7986145582212114</v>
      </c>
      <c r="T37" s="1">
        <v>2.0809309073526592</v>
      </c>
      <c r="U37" s="1">
        <v>2.8371837545707375</v>
      </c>
      <c r="V37" s="1">
        <v>2.7833695013663995</v>
      </c>
      <c r="W37" s="1">
        <v>2.8932455391860388</v>
      </c>
      <c r="X37" s="1">
        <v>3.138726399490618</v>
      </c>
      <c r="Y37" s="1">
        <v>3.327770704084553</v>
      </c>
      <c r="Z37" s="1">
        <v>3.2395533299748518</v>
      </c>
      <c r="AB37" s="3"/>
      <c r="AC37" s="3"/>
      <c r="AD37" s="3"/>
      <c r="AE37" s="3"/>
      <c r="AF37" s="3"/>
      <c r="AM37" s="1">
        <v>3.3747763859130142</v>
      </c>
      <c r="AO37" s="5">
        <v>0.28999999999999998</v>
      </c>
      <c r="AP37" s="1">
        <v>1.3805759255637033</v>
      </c>
      <c r="AQ37" s="1">
        <v>1.3517882067696945</v>
      </c>
      <c r="AR37" s="1">
        <v>1.4039497859155803</v>
      </c>
      <c r="AS37" s="1">
        <v>1.2861937871277671</v>
      </c>
      <c r="AT37" s="1">
        <v>1.4967766750823037</v>
      </c>
      <c r="AU37" s="1">
        <v>1.5196444223816508</v>
      </c>
    </row>
    <row r="38" spans="18:52" x14ac:dyDescent="0.25">
      <c r="R38" s="2">
        <v>0.3</v>
      </c>
      <c r="S38" s="1">
        <v>1.8070053203211873</v>
      </c>
      <c r="T38" s="1">
        <v>2.0901704641376302</v>
      </c>
      <c r="U38" s="1">
        <v>2.8485175732030226</v>
      </c>
      <c r="V38" s="1">
        <v>2.7990968925126976</v>
      </c>
      <c r="W38" s="1">
        <v>2.9044355371426307</v>
      </c>
      <c r="X38" s="1">
        <v>3.1526745938539786</v>
      </c>
      <c r="Y38" s="1">
        <v>3.3383464983654521</v>
      </c>
      <c r="Z38" s="1">
        <v>3.2515040162532607</v>
      </c>
      <c r="AB38" s="3"/>
      <c r="AC38" s="3"/>
      <c r="AD38" s="3"/>
      <c r="AE38" s="3"/>
      <c r="AF38" s="3"/>
      <c r="AM38" s="1">
        <v>3.3882007939442174</v>
      </c>
      <c r="AO38" s="2">
        <v>0.3</v>
      </c>
      <c r="AP38" s="1">
        <v>1.3830335459963186</v>
      </c>
      <c r="AQ38" s="1">
        <v>1.3547297249225438</v>
      </c>
      <c r="AR38" s="1">
        <v>1.410524769860928</v>
      </c>
      <c r="AS38" s="1">
        <v>1.2910847834892161</v>
      </c>
      <c r="AT38" s="1">
        <v>1.5028324004434552</v>
      </c>
      <c r="AU38" s="1">
        <v>1.5298327508268474</v>
      </c>
    </row>
    <row r="39" spans="18:52" x14ac:dyDescent="0.25">
      <c r="R39" s="5">
        <v>0.31</v>
      </c>
      <c r="S39" s="1">
        <v>1.8160235714309854</v>
      </c>
      <c r="T39" s="1">
        <v>2.0977030643618275</v>
      </c>
      <c r="U39" s="1">
        <v>2.8599618293110445</v>
      </c>
      <c r="V39" s="1">
        <v>2.8090844395952232</v>
      </c>
      <c r="W39" s="1">
        <v>2.9170085263887859</v>
      </c>
      <c r="X39" s="1">
        <v>3.1647010253655017</v>
      </c>
      <c r="Y39" s="1">
        <v>3.3494605856296791</v>
      </c>
      <c r="Z39" s="1">
        <v>3.2609482220360895</v>
      </c>
      <c r="AB39" s="3"/>
      <c r="AC39" s="3"/>
      <c r="AD39" s="3"/>
      <c r="AE39" s="3"/>
      <c r="AF39" s="3"/>
      <c r="AM39" s="1">
        <v>3.4002295123447066</v>
      </c>
      <c r="AO39" s="5">
        <v>0.31</v>
      </c>
      <c r="AP39" s="1">
        <v>1.3914888197789312</v>
      </c>
      <c r="AQ39" s="1">
        <v>1.366101555537627</v>
      </c>
      <c r="AR39" s="1">
        <v>1.4152434830837775</v>
      </c>
      <c r="AS39" s="1">
        <v>1.298428507628844</v>
      </c>
      <c r="AT39" s="1">
        <v>1.5140199399304071</v>
      </c>
      <c r="AU39" s="1">
        <v>1.5365518659831319</v>
      </c>
    </row>
    <row r="40" spans="18:52" x14ac:dyDescent="0.25">
      <c r="R40" s="2">
        <v>0.32</v>
      </c>
      <c r="S40" s="1">
        <v>1.823412606511259</v>
      </c>
      <c r="T40" s="1">
        <v>2.1055866820562357</v>
      </c>
      <c r="U40" s="1">
        <v>2.8704870688821678</v>
      </c>
      <c r="V40" s="1">
        <v>2.8206775423619064</v>
      </c>
      <c r="W40" s="1">
        <v>2.9298833676671006</v>
      </c>
      <c r="X40" s="1">
        <v>3.1794570669882778</v>
      </c>
      <c r="Y40" s="1">
        <v>3.3603540536175158</v>
      </c>
      <c r="Z40" s="1">
        <v>3.2741337484573951</v>
      </c>
      <c r="AB40" s="3"/>
      <c r="AC40" s="3"/>
      <c r="AD40" s="3"/>
      <c r="AE40" s="3"/>
      <c r="AF40" s="3"/>
      <c r="AM40" s="1">
        <v>3.412686448363508</v>
      </c>
      <c r="AO40" s="2">
        <v>0.32</v>
      </c>
      <c r="AP40" s="1">
        <v>1.4071004605473991</v>
      </c>
      <c r="AQ40" s="1">
        <v>1.3723854530435842</v>
      </c>
      <c r="AR40" s="1">
        <v>1.4225989517187392</v>
      </c>
      <c r="AS40" s="1">
        <v>1.3045624948509775</v>
      </c>
      <c r="AT40" s="1">
        <v>1.5219360716394101</v>
      </c>
      <c r="AU40" s="1">
        <v>1.5404539458228108</v>
      </c>
    </row>
    <row r="41" spans="18:52" x14ac:dyDescent="0.25">
      <c r="R41" s="5">
        <v>0.33</v>
      </c>
      <c r="S41" s="1">
        <v>1.832353206292016</v>
      </c>
      <c r="T41" s="1">
        <v>2.1137108970031413</v>
      </c>
      <c r="U41" s="1">
        <v>2.8806482013026593</v>
      </c>
      <c r="V41" s="1">
        <v>2.8290110694123367</v>
      </c>
      <c r="W41" s="1">
        <v>2.9427230997732376</v>
      </c>
      <c r="X41" s="1">
        <v>3.1912066750509354</v>
      </c>
      <c r="Y41" s="1">
        <v>3.3740026843656117</v>
      </c>
      <c r="Z41" s="1">
        <v>3.2851853796192607</v>
      </c>
      <c r="AB41" s="3"/>
      <c r="AC41" s="3"/>
      <c r="AD41" s="3"/>
      <c r="AE41" s="3"/>
      <c r="AF41" s="3"/>
      <c r="AM41" s="1">
        <v>3.4288512389072032</v>
      </c>
      <c r="AO41" s="5">
        <v>0.33</v>
      </c>
      <c r="AP41" s="1">
        <v>1.4086102667756253</v>
      </c>
      <c r="AQ41" s="1">
        <v>1.375510387540321</v>
      </c>
      <c r="AR41" s="1">
        <v>1.4335793454773826</v>
      </c>
      <c r="AS41" s="1">
        <v>1.3118760217137571</v>
      </c>
      <c r="AT41" s="1">
        <v>1.5279832085780152</v>
      </c>
      <c r="AU41" s="1">
        <v>1.5554980831900049</v>
      </c>
    </row>
    <row r="42" spans="18:52" x14ac:dyDescent="0.25">
      <c r="R42" s="2">
        <v>0.34</v>
      </c>
      <c r="S42" s="1">
        <v>1.8420712063202109</v>
      </c>
      <c r="T42" s="1">
        <v>2.12277341836357</v>
      </c>
      <c r="U42" s="1">
        <v>2.8902141791338374</v>
      </c>
      <c r="V42" s="1">
        <v>2.8436050679054041</v>
      </c>
      <c r="W42" s="1">
        <v>2.9558118068814991</v>
      </c>
      <c r="X42" s="1">
        <v>3.201442638589679</v>
      </c>
      <c r="Y42" s="1">
        <v>3.3871778617063137</v>
      </c>
      <c r="Z42" s="1">
        <v>3.2972033827862806</v>
      </c>
      <c r="AB42" s="3"/>
      <c r="AC42" s="3"/>
      <c r="AD42" s="3"/>
      <c r="AE42" s="3"/>
      <c r="AF42" s="3"/>
      <c r="AM42" s="1">
        <v>3.4406883149065641</v>
      </c>
      <c r="AO42" s="2">
        <v>0.34</v>
      </c>
      <c r="AP42" s="1">
        <v>1.4093804086518191</v>
      </c>
      <c r="AQ42" s="1">
        <v>1.3870168746319498</v>
      </c>
      <c r="AR42" s="1">
        <v>1.440992762979675</v>
      </c>
      <c r="AS42" s="1">
        <v>1.3188944526593727</v>
      </c>
      <c r="AT42" s="1">
        <v>1.5336489407668785</v>
      </c>
      <c r="AU42" s="1">
        <v>1.563824240792822</v>
      </c>
    </row>
    <row r="43" spans="18:52" x14ac:dyDescent="0.25">
      <c r="R43" s="5">
        <v>0.35</v>
      </c>
      <c r="S43" s="1">
        <v>1.851805962724532</v>
      </c>
      <c r="T43" s="1">
        <v>2.1322576092792467</v>
      </c>
      <c r="U43" s="1">
        <v>2.9040093516126588</v>
      </c>
      <c r="V43" s="1">
        <v>2.8511498510421389</v>
      </c>
      <c r="W43" s="1">
        <v>2.9655771253094949</v>
      </c>
      <c r="X43" s="1">
        <v>3.2145043725398414</v>
      </c>
      <c r="Y43" s="1">
        <v>3.4012277132523359</v>
      </c>
      <c r="Z43" s="1">
        <v>3.3112835206635109</v>
      </c>
      <c r="AB43" s="3"/>
      <c r="AC43" s="3"/>
      <c r="AD43" s="3"/>
      <c r="AE43" s="3"/>
      <c r="AF43" s="3"/>
      <c r="AM43" s="1">
        <v>3.4507604439102719</v>
      </c>
      <c r="AO43" s="5">
        <v>0.35</v>
      </c>
      <c r="AP43" s="1">
        <v>1.4203045630865219</v>
      </c>
      <c r="AQ43" s="1">
        <v>1.3934019764132086</v>
      </c>
      <c r="AR43" s="1">
        <v>1.4515097048906116</v>
      </c>
      <c r="AS43" s="1">
        <v>1.326301073711881</v>
      </c>
      <c r="AT43" s="1">
        <v>1.544894811876119</v>
      </c>
      <c r="AU43" s="1">
        <v>1.5691846850548437</v>
      </c>
      <c r="AY43" s="3">
        <v>1.32085606258931</v>
      </c>
    </row>
    <row r="44" spans="18:52" x14ac:dyDescent="0.25">
      <c r="R44" s="2">
        <v>0.36</v>
      </c>
      <c r="S44" s="1">
        <v>1.8600420225486765</v>
      </c>
      <c r="T44" s="1">
        <v>2.1420322060413564</v>
      </c>
      <c r="U44" s="1">
        <v>2.9137616181721708</v>
      </c>
      <c r="V44" s="1">
        <v>2.8655277770933609</v>
      </c>
      <c r="W44" s="1">
        <v>2.9754857410905999</v>
      </c>
      <c r="X44" s="1">
        <v>3.2271517287152434</v>
      </c>
      <c r="Y44" s="1">
        <v>3.4150510061521029</v>
      </c>
      <c r="Z44" s="1">
        <v>3.3222412658691378</v>
      </c>
      <c r="AB44" s="3"/>
      <c r="AC44" s="3"/>
      <c r="AD44" s="3"/>
      <c r="AE44" s="3"/>
      <c r="AF44" s="3"/>
      <c r="AM44" s="1">
        <v>3.4631951156578866</v>
      </c>
      <c r="AO44" s="2">
        <v>0.36</v>
      </c>
      <c r="AP44" s="1">
        <v>1.4340397927508983</v>
      </c>
      <c r="AQ44" s="1">
        <v>1.3992019761989318</v>
      </c>
      <c r="AR44" s="1">
        <v>1.4584610905263193</v>
      </c>
      <c r="AS44" s="1">
        <v>1.3316169773003519</v>
      </c>
      <c r="AT44" s="1">
        <v>1.5543067889505007</v>
      </c>
      <c r="AU44" s="1">
        <v>1.5834107615413493</v>
      </c>
    </row>
    <row r="45" spans="18:52" x14ac:dyDescent="0.25">
      <c r="R45" s="5">
        <v>0.37</v>
      </c>
      <c r="S45" s="1">
        <v>1.8685707318647713</v>
      </c>
      <c r="T45" s="1">
        <v>2.1508035108963601</v>
      </c>
      <c r="U45" s="1">
        <v>2.9243768035572377</v>
      </c>
      <c r="V45" s="1">
        <v>2.8740748531082918</v>
      </c>
      <c r="W45" s="1">
        <v>2.986711349999505</v>
      </c>
      <c r="X45" s="1">
        <v>3.2388090766421684</v>
      </c>
      <c r="Y45" s="1">
        <v>3.4285006610526181</v>
      </c>
      <c r="Z45" s="1">
        <v>3.3331939407795939</v>
      </c>
      <c r="AB45" s="3"/>
      <c r="AC45" s="3"/>
      <c r="AD45" s="3"/>
      <c r="AE45" s="3"/>
      <c r="AF45" s="3"/>
      <c r="AM45" s="1">
        <v>3.4760495686062578</v>
      </c>
      <c r="AO45" s="5">
        <v>0.37</v>
      </c>
      <c r="AP45" s="1">
        <v>1.4364449687755534</v>
      </c>
      <c r="AQ45" s="1">
        <v>1.399685873919166</v>
      </c>
      <c r="AR45" s="1">
        <v>1.4632074850580621</v>
      </c>
      <c r="AS45" s="1">
        <v>1.3381919612456994</v>
      </c>
      <c r="AT45" s="1">
        <v>1.5588580805237271</v>
      </c>
      <c r="AU45" s="1">
        <v>1.589502758119022</v>
      </c>
      <c r="AZ45" s="3">
        <v>1.5581673469999999</v>
      </c>
    </row>
    <row r="46" spans="18:52" x14ac:dyDescent="0.25">
      <c r="R46" s="2">
        <v>0.38</v>
      </c>
      <c r="S46" s="1">
        <v>1.8790866477224413</v>
      </c>
      <c r="T46" s="1">
        <v>2.1588310520605529</v>
      </c>
      <c r="U46" s="1">
        <v>2.9367775409876744</v>
      </c>
      <c r="V46" s="1">
        <v>2.8851462023470282</v>
      </c>
      <c r="W46" s="1">
        <v>2.9990715509555708</v>
      </c>
      <c r="X46" s="1">
        <v>3.2481450917915193</v>
      </c>
      <c r="Y46" s="1">
        <v>3.4384183554300876</v>
      </c>
      <c r="Z46" s="1">
        <v>3.3454234161654819</v>
      </c>
      <c r="AB46" s="3"/>
      <c r="AC46" s="3"/>
      <c r="AD46" s="3"/>
      <c r="AE46" s="3"/>
      <c r="AF46" s="3"/>
      <c r="AM46" s="1">
        <v>3.4868532205855121</v>
      </c>
      <c r="AO46" s="2">
        <v>0.38</v>
      </c>
      <c r="AP46" s="1">
        <v>1.44756876242225</v>
      </c>
      <c r="AQ46" s="1">
        <v>1.4136987413107516</v>
      </c>
      <c r="AR46" s="1">
        <v>1.4749066852066359</v>
      </c>
      <c r="AS46" s="1">
        <v>1.3462103878656668</v>
      </c>
      <c r="AT46" s="1">
        <v>1.5660593235811251</v>
      </c>
      <c r="AU46" s="1">
        <v>1.5997321962660833</v>
      </c>
    </row>
    <row r="47" spans="18:52" x14ac:dyDescent="0.25">
      <c r="R47" s="5">
        <v>0.39</v>
      </c>
      <c r="S47" s="1">
        <v>1.8873662010053689</v>
      </c>
      <c r="T47" s="1">
        <v>2.1675303688732344</v>
      </c>
      <c r="U47" s="1">
        <v>2.9466103634073249</v>
      </c>
      <c r="V47" s="1">
        <v>2.8936539205376004</v>
      </c>
      <c r="W47" s="1">
        <v>3.0103567015186847</v>
      </c>
      <c r="X47" s="1">
        <v>3.2621848960338209</v>
      </c>
      <c r="Y47" s="1">
        <v>3.4499731615081983</v>
      </c>
      <c r="Z47" s="1">
        <v>3.3543298056389226</v>
      </c>
      <c r="AB47" s="3"/>
      <c r="AC47" s="3"/>
      <c r="AD47" s="3"/>
      <c r="AE47" s="3"/>
      <c r="AF47" s="3"/>
      <c r="AM47" s="1">
        <v>3.497641159290811</v>
      </c>
      <c r="AO47" s="5">
        <v>0.39</v>
      </c>
      <c r="AP47" s="1">
        <v>1.4543365576484413</v>
      </c>
      <c r="AQ47" s="1">
        <v>1.423861360298011</v>
      </c>
      <c r="AR47" s="1">
        <v>1.4821896629979903</v>
      </c>
      <c r="AS47" s="1">
        <v>1.3522675342003854</v>
      </c>
      <c r="AT47" s="1">
        <v>1.5748262378424853</v>
      </c>
      <c r="AU47" s="1">
        <v>1.6100561929129107</v>
      </c>
    </row>
    <row r="48" spans="18:52" x14ac:dyDescent="0.25">
      <c r="R48" s="2">
        <v>0.4</v>
      </c>
      <c r="S48" s="1">
        <v>1.8962147322551157</v>
      </c>
      <c r="T48" s="1">
        <v>2.1761872690628956</v>
      </c>
      <c r="U48" s="1">
        <v>2.9578776732165726</v>
      </c>
      <c r="V48" s="1">
        <v>2.9075007122182015</v>
      </c>
      <c r="W48" s="1">
        <v>3.0215270604341695</v>
      </c>
      <c r="X48" s="1">
        <v>3.273057141036992</v>
      </c>
      <c r="Y48" s="1">
        <v>3.4606919968840835</v>
      </c>
      <c r="Z48" s="1">
        <v>3.3645706574281338</v>
      </c>
      <c r="AB48" s="3"/>
      <c r="AC48" s="3"/>
      <c r="AD48" s="3"/>
      <c r="AE48" s="3"/>
      <c r="AF48" s="3"/>
      <c r="AM48" s="1">
        <v>3.5111183374109713</v>
      </c>
      <c r="AO48" s="2">
        <v>0.4</v>
      </c>
      <c r="AP48" s="1">
        <v>1.4560240362048626</v>
      </c>
      <c r="AQ48" s="1">
        <v>1.4363339152587662</v>
      </c>
      <c r="AR48" s="1">
        <v>1.4928370446198644</v>
      </c>
      <c r="AS48" s="1">
        <v>1.3593083533054384</v>
      </c>
      <c r="AT48" s="1">
        <v>1.5851443751774441</v>
      </c>
      <c r="AU48" s="1">
        <v>1.6210113015963865</v>
      </c>
    </row>
    <row r="49" spans="18:48" x14ac:dyDescent="0.25">
      <c r="R49" s="5">
        <v>0.41</v>
      </c>
      <c r="S49" s="1">
        <v>1.9047655862691026</v>
      </c>
      <c r="T49" s="1">
        <v>2.1849885038274874</v>
      </c>
      <c r="U49" s="1">
        <v>2.969535723452259</v>
      </c>
      <c r="V49" s="1">
        <v>2.917508773508187</v>
      </c>
      <c r="W49" s="1">
        <v>3.0330279363504711</v>
      </c>
      <c r="X49" s="1">
        <v>3.2853134851685373</v>
      </c>
      <c r="Y49" s="1">
        <v>3.4721700923113952</v>
      </c>
      <c r="Z49" s="1">
        <v>3.3760115187624495</v>
      </c>
      <c r="AB49" s="3"/>
      <c r="AC49" s="3"/>
      <c r="AD49" s="3"/>
      <c r="AE49" s="3"/>
      <c r="AF49" s="3"/>
      <c r="AM49" s="1">
        <v>3.5234079456649541</v>
      </c>
      <c r="AO49" s="5">
        <v>0.41</v>
      </c>
      <c r="AP49" s="1">
        <v>1.4698733539007862</v>
      </c>
      <c r="AQ49" s="1">
        <v>1.4378742276895966</v>
      </c>
      <c r="AR49" s="1">
        <v>1.4998580524575478</v>
      </c>
      <c r="AS49" s="1">
        <v>1.3658618200014343</v>
      </c>
      <c r="AT49" s="1">
        <v>1.5940188453559927</v>
      </c>
      <c r="AU49" s="1">
        <v>1.6252422674411109</v>
      </c>
    </row>
    <row r="50" spans="18:48" x14ac:dyDescent="0.25">
      <c r="R50" s="2">
        <v>0.42</v>
      </c>
      <c r="S50" s="1">
        <v>1.9124195212240793</v>
      </c>
      <c r="T50" s="1">
        <v>2.1943329713072823</v>
      </c>
      <c r="U50" s="1">
        <v>2.9812867003601062</v>
      </c>
      <c r="V50" s="1">
        <v>2.9272847943942049</v>
      </c>
      <c r="W50" s="1">
        <v>3.0430613525081465</v>
      </c>
      <c r="X50" s="1">
        <v>3.2981544082352308</v>
      </c>
      <c r="Y50" s="1">
        <v>3.4852369190235089</v>
      </c>
      <c r="Z50" s="1">
        <v>3.3886695780340812</v>
      </c>
      <c r="AB50" s="3"/>
      <c r="AC50" s="3"/>
      <c r="AD50" s="3"/>
      <c r="AE50" s="3"/>
      <c r="AF50" s="3"/>
      <c r="AM50" s="1">
        <v>3.5373580500071813</v>
      </c>
      <c r="AO50" s="2">
        <v>0.42</v>
      </c>
      <c r="AP50" s="1">
        <v>1.4806834203039418</v>
      </c>
      <c r="AQ50" s="1">
        <v>1.444158125195554</v>
      </c>
      <c r="AR50" s="1">
        <v>1.5088339559133279</v>
      </c>
      <c r="AS50" s="1">
        <v>1.3724885148938031</v>
      </c>
      <c r="AT50" s="1">
        <v>1.6043085412712206</v>
      </c>
      <c r="AU50" s="1">
        <v>1.6355265495180364</v>
      </c>
    </row>
    <row r="51" spans="18:48" x14ac:dyDescent="0.25">
      <c r="R51" s="5">
        <v>0.43</v>
      </c>
      <c r="S51" s="1">
        <v>1.9214934172795186</v>
      </c>
      <c r="T51" s="1">
        <v>2.2030877206452129</v>
      </c>
      <c r="U51" s="1">
        <v>2.9910901198968576</v>
      </c>
      <c r="V51" s="1">
        <v>2.9384306127840714</v>
      </c>
      <c r="W51" s="1">
        <v>3.0535239383899975</v>
      </c>
      <c r="X51" s="1">
        <v>3.3081907213178789</v>
      </c>
      <c r="Y51" s="1">
        <v>3.4959272539820927</v>
      </c>
      <c r="Z51" s="1">
        <v>3.4016895422895868</v>
      </c>
      <c r="AB51" s="3"/>
      <c r="AC51" s="3"/>
      <c r="AD51" s="3"/>
      <c r="AE51" s="3"/>
      <c r="AF51" s="3"/>
      <c r="AM51" s="1">
        <v>3.5506952879806946</v>
      </c>
      <c r="AO51" s="5">
        <v>0.43</v>
      </c>
      <c r="AP51" s="1">
        <v>1.4817148450157167</v>
      </c>
      <c r="AQ51" s="1">
        <v>1.4470996433484034</v>
      </c>
      <c r="AR51" s="1">
        <v>1.5186257969840475</v>
      </c>
      <c r="AS51" s="1">
        <v>1.3793770647264478</v>
      </c>
      <c r="AT51" s="1">
        <v>1.6167266111932495</v>
      </c>
      <c r="AU51" s="1">
        <v>1.6457957022349994</v>
      </c>
    </row>
    <row r="52" spans="18:48" x14ac:dyDescent="0.25">
      <c r="R52" s="2">
        <v>0.44</v>
      </c>
      <c r="S52" s="1">
        <v>1.9308530380242646</v>
      </c>
      <c r="T52" s="1">
        <v>2.2114431646268153</v>
      </c>
      <c r="U52" s="1">
        <v>3.001565988133966</v>
      </c>
      <c r="V52" s="1">
        <v>2.9504515606491535</v>
      </c>
      <c r="W52" s="1">
        <v>3.0649828689735035</v>
      </c>
      <c r="X52" s="1">
        <v>3.3194212487500376</v>
      </c>
      <c r="Y52" s="1">
        <v>3.5074269964970823</v>
      </c>
      <c r="Z52" s="1">
        <v>3.413330243456369</v>
      </c>
      <c r="AB52" s="3"/>
      <c r="AC52" s="3"/>
      <c r="AD52" s="3"/>
      <c r="AE52" s="3"/>
      <c r="AF52" s="3"/>
      <c r="AM52" s="1">
        <v>3.5621571165139971</v>
      </c>
      <c r="AO52" s="2">
        <v>0.44</v>
      </c>
      <c r="AP52" s="1">
        <v>1.4917538931265704</v>
      </c>
      <c r="AQ52" s="1">
        <v>1.4584714739634863</v>
      </c>
      <c r="AR52" s="1">
        <v>1.5212843459440297</v>
      </c>
      <c r="AS52" s="1">
        <v>1.3856789499899009</v>
      </c>
      <c r="AT52" s="1">
        <v>1.623220490180554</v>
      </c>
      <c r="AU52" s="1">
        <v>1.6562574819109035</v>
      </c>
    </row>
    <row r="53" spans="18:48" x14ac:dyDescent="0.25">
      <c r="R53" s="5">
        <v>0.45</v>
      </c>
      <c r="S53" s="1">
        <v>1.9396255672379004</v>
      </c>
      <c r="T53" s="1">
        <v>2.2195151099858519</v>
      </c>
      <c r="U53" s="1">
        <v>3.0104844559670556</v>
      </c>
      <c r="V53" s="1">
        <v>2.9606141796364125</v>
      </c>
      <c r="W53" s="1">
        <v>3.0763968047378301</v>
      </c>
      <c r="X53" s="1">
        <v>3.3337509330258843</v>
      </c>
      <c r="Y53" s="1">
        <v>3.5193642763957924</v>
      </c>
      <c r="Z53" s="1">
        <v>3.4246631913497678</v>
      </c>
      <c r="AB53" s="3"/>
      <c r="AC53" s="3"/>
      <c r="AD53" s="3"/>
      <c r="AE53" s="3"/>
      <c r="AF53" s="3"/>
      <c r="AM53" s="1">
        <v>3.5752541022362259</v>
      </c>
      <c r="AO53" s="5">
        <v>0.45</v>
      </c>
      <c r="AP53" s="1">
        <v>1.5017503270776784</v>
      </c>
      <c r="AQ53" s="1">
        <v>1.4695952676101829</v>
      </c>
      <c r="AR53" s="1">
        <v>1.5294876120193504</v>
      </c>
      <c r="AS53" s="1">
        <v>1.3935919015376708</v>
      </c>
      <c r="AT53" s="1">
        <v>1.6283737014210933</v>
      </c>
      <c r="AU53" s="1">
        <v>1.6601595617505822</v>
      </c>
    </row>
    <row r="54" spans="18:48" x14ac:dyDescent="0.25">
      <c r="R54" s="2">
        <v>0.46</v>
      </c>
      <c r="S54" s="1">
        <v>1.948161467855887</v>
      </c>
      <c r="T54" s="1">
        <v>2.2292630789373615</v>
      </c>
      <c r="U54" s="1">
        <v>3.0194075637068694</v>
      </c>
      <c r="V54" s="1">
        <v>2.972743509907402</v>
      </c>
      <c r="W54" s="1">
        <v>3.0870428300806427</v>
      </c>
      <c r="X54" s="1">
        <v>3.3455092106512523</v>
      </c>
      <c r="Y54" s="1">
        <v>3.531622315831171</v>
      </c>
      <c r="Z54" s="1">
        <v>3.4352121003970804</v>
      </c>
      <c r="AB54" s="3"/>
      <c r="AC54" s="3"/>
      <c r="AD54" s="3"/>
      <c r="AE54" s="3"/>
      <c r="AF54" s="3"/>
      <c r="AM54" s="1">
        <v>3.5855667569678893</v>
      </c>
      <c r="AO54" s="2">
        <v>0.46</v>
      </c>
      <c r="AP54" s="1">
        <v>1.5078004248356363</v>
      </c>
      <c r="AQ54" s="1">
        <v>1.4729376469632909</v>
      </c>
      <c r="AR54" s="1">
        <v>1.5367227391164233</v>
      </c>
      <c r="AS54" s="1">
        <v>1.4008239517541299</v>
      </c>
      <c r="AT54" s="1">
        <v>1.637361735960253</v>
      </c>
      <c r="AU54" s="1">
        <v>1.6690977034505379</v>
      </c>
    </row>
    <row r="55" spans="18:48" x14ac:dyDescent="0.25">
      <c r="R55" s="5">
        <v>0.47</v>
      </c>
      <c r="S55" s="1">
        <v>1.9573664150162702</v>
      </c>
      <c r="T55" s="1">
        <v>2.2381111069530339</v>
      </c>
      <c r="U55" s="1">
        <v>3.0306738810967633</v>
      </c>
      <c r="V55" s="1">
        <v>2.983852462686805</v>
      </c>
      <c r="W55" s="1">
        <v>3.0970364274227675</v>
      </c>
      <c r="X55" s="1">
        <v>3.3569844318503632</v>
      </c>
      <c r="Y55" s="1">
        <v>3.5424721451395924</v>
      </c>
      <c r="Z55" s="1">
        <v>3.4488029954949426</v>
      </c>
      <c r="AB55" s="3"/>
      <c r="AC55" s="3"/>
      <c r="AD55" s="3"/>
      <c r="AE55" s="3"/>
      <c r="AF55" s="3"/>
      <c r="AM55" s="1">
        <v>3.5970663798676972</v>
      </c>
      <c r="AO55" s="5">
        <v>0.47</v>
      </c>
      <c r="AP55" s="1">
        <v>1.5165169814538297</v>
      </c>
      <c r="AQ55" s="1">
        <v>1.4822602732843582</v>
      </c>
      <c r="AR55" s="1">
        <v>1.543928716396803</v>
      </c>
      <c r="AS55" s="1">
        <v>1.4075223541179798</v>
      </c>
      <c r="AT55" s="1">
        <v>1.6487340369457233</v>
      </c>
      <c r="AU55" s="1">
        <v>1.6752579937826835</v>
      </c>
    </row>
    <row r="56" spans="18:48" x14ac:dyDescent="0.25">
      <c r="R56" s="2">
        <v>0.48</v>
      </c>
      <c r="S56" s="1">
        <v>1.9661973598189781</v>
      </c>
      <c r="T56" s="1">
        <v>2.2477233296371795</v>
      </c>
      <c r="U56" s="1">
        <v>3.0421616864983365</v>
      </c>
      <c r="V56" s="1">
        <v>2.9936033711862766</v>
      </c>
      <c r="W56" s="1">
        <v>3.1098453102930206</v>
      </c>
      <c r="X56" s="1">
        <v>3.3686161948794706</v>
      </c>
      <c r="Y56" s="1">
        <v>3.5549418131421002</v>
      </c>
      <c r="Z56" s="1">
        <v>3.4611547197864341</v>
      </c>
      <c r="AB56" s="3"/>
      <c r="AC56" s="3"/>
      <c r="AD56" s="3"/>
      <c r="AE56" s="3"/>
      <c r="AF56" s="3"/>
      <c r="AM56" s="1">
        <v>3.6090430243242335</v>
      </c>
      <c r="AO56" s="2">
        <v>0.48</v>
      </c>
      <c r="AP56" s="1">
        <v>1.5196419159505665</v>
      </c>
      <c r="AQ56" s="1">
        <v>1.4861638640710439</v>
      </c>
      <c r="AR56" s="1">
        <v>1.550941780332195</v>
      </c>
      <c r="AS56" s="1">
        <v>1.4152324190558341</v>
      </c>
      <c r="AT56" s="1">
        <v>1.6532542514383399</v>
      </c>
      <c r="AU56" s="1">
        <v>1.6845205178843836</v>
      </c>
    </row>
    <row r="57" spans="18:48" x14ac:dyDescent="0.25">
      <c r="R57" s="5">
        <v>0.49</v>
      </c>
      <c r="S57" s="1">
        <v>1.9747482291962863</v>
      </c>
      <c r="T57" s="1">
        <v>2.2565568795630191</v>
      </c>
      <c r="U57" s="1">
        <v>3.0527077746111515</v>
      </c>
      <c r="V57" s="1">
        <v>3.0048308720006074</v>
      </c>
      <c r="W57" s="1">
        <v>3.1211559311306418</v>
      </c>
      <c r="X57" s="1">
        <v>3.3805356382009162</v>
      </c>
      <c r="Y57" s="1">
        <v>3.5675223641271709</v>
      </c>
      <c r="Z57" s="1">
        <v>3.4718339288470283</v>
      </c>
      <c r="AB57" s="3"/>
      <c r="AC57" s="3"/>
      <c r="AD57" s="3"/>
      <c r="AE57" s="3"/>
      <c r="AF57" s="3"/>
      <c r="AM57" s="1">
        <v>3.6217896776789691</v>
      </c>
      <c r="AO57" s="5">
        <v>0.49</v>
      </c>
      <c r="AP57" s="1">
        <v>1.528097189733179</v>
      </c>
      <c r="AQ57" s="1">
        <v>1.5000546514949851</v>
      </c>
      <c r="AR57" s="1">
        <v>1.5607502265640278</v>
      </c>
      <c r="AS57" s="1">
        <v>1.4239737333089357</v>
      </c>
      <c r="AT57" s="1">
        <v>1.6616593438142735</v>
      </c>
      <c r="AU57" s="1">
        <v>1.6947409881711168</v>
      </c>
      <c r="AV57" s="3">
        <v>1.5278880799101</v>
      </c>
    </row>
    <row r="58" spans="18:48" x14ac:dyDescent="0.25">
      <c r="R58" s="2">
        <v>0.5</v>
      </c>
      <c r="S58" s="1">
        <v>1.9845527574108683</v>
      </c>
      <c r="T58" s="1">
        <v>2.2642011751503817</v>
      </c>
      <c r="U58" s="1">
        <v>3.0613325821258943</v>
      </c>
      <c r="V58" s="1">
        <v>3.0156532251138426</v>
      </c>
      <c r="W58" s="1">
        <v>3.1309048613443902</v>
      </c>
      <c r="X58" s="1">
        <v>3.393172168000592</v>
      </c>
      <c r="Y58" s="1">
        <v>3.5803779176811688</v>
      </c>
      <c r="Z58" s="1">
        <v>3.48439827442748</v>
      </c>
      <c r="AB58" s="3"/>
      <c r="AC58" s="3"/>
      <c r="AD58" s="3"/>
      <c r="AE58" s="3"/>
      <c r="AF58" s="3"/>
      <c r="AM58" s="1">
        <v>3.6352485287323701</v>
      </c>
      <c r="AO58" s="2">
        <v>0.5</v>
      </c>
      <c r="AP58" s="1">
        <v>1.5309248531076316</v>
      </c>
      <c r="AQ58" s="1">
        <v>1.5029437252398745</v>
      </c>
      <c r="AR58" s="1">
        <v>1.5641658580130731</v>
      </c>
      <c r="AS58" s="1">
        <v>1.4328582394592324</v>
      </c>
      <c r="AT58" s="1">
        <v>1.6737646238422128</v>
      </c>
      <c r="AU58" s="1">
        <v>1.6997135084162509</v>
      </c>
    </row>
    <row r="59" spans="18:48" x14ac:dyDescent="0.25">
      <c r="R59" s="5">
        <v>0.51</v>
      </c>
      <c r="S59" s="1">
        <v>1.9945712916857523</v>
      </c>
      <c r="T59" s="1">
        <v>2.2712478296618888</v>
      </c>
      <c r="U59" s="1">
        <v>3.0739007017879487</v>
      </c>
      <c r="V59" s="1">
        <v>3.0288412243394238</v>
      </c>
      <c r="W59" s="1">
        <v>3.1401931607734612</v>
      </c>
      <c r="X59" s="1">
        <v>3.4047158045970001</v>
      </c>
      <c r="Y59" s="1">
        <v>3.5933964806335097</v>
      </c>
      <c r="Z59" s="1">
        <v>3.4958813203946364</v>
      </c>
      <c r="AB59" s="3"/>
      <c r="AC59" s="3"/>
      <c r="AD59" s="3"/>
      <c r="AE59" s="3">
        <v>3.1350399566342602</v>
      </c>
      <c r="AM59" s="1">
        <v>3.6483137060655819</v>
      </c>
      <c r="AO59" s="5">
        <v>0.51</v>
      </c>
      <c r="AP59" s="1">
        <v>1.5467064760743008</v>
      </c>
      <c r="AQ59" s="1">
        <v>1.5094634834976792</v>
      </c>
      <c r="AR59" s="1">
        <v>1.5680916550558097</v>
      </c>
      <c r="AS59" s="1">
        <v>1.4389375387607</v>
      </c>
      <c r="AT59" s="1">
        <v>1.681251058931976</v>
      </c>
      <c r="AU59" s="1">
        <v>1.7092083740467938</v>
      </c>
    </row>
    <row r="60" spans="18:48" x14ac:dyDescent="0.25">
      <c r="R60" s="2">
        <v>0.52</v>
      </c>
      <c r="S60" s="1">
        <v>2.003918090690437</v>
      </c>
      <c r="T60" s="1">
        <v>2.2791685668947919</v>
      </c>
      <c r="U60" s="1">
        <v>3.0840759019004844</v>
      </c>
      <c r="V60" s="1">
        <v>3.0373579249944305</v>
      </c>
      <c r="W60" s="1">
        <v>3.1507393121023823</v>
      </c>
      <c r="X60" s="1">
        <v>3.4178928051651494</v>
      </c>
      <c r="Y60" s="1">
        <v>3.6047577678719369</v>
      </c>
      <c r="Z60" s="1">
        <v>3.5079296586070785</v>
      </c>
      <c r="AB60" s="3"/>
      <c r="AC60" s="3"/>
      <c r="AD60" s="3"/>
      <c r="AE60" s="3"/>
      <c r="AM60" s="1">
        <v>3.6599707367459415</v>
      </c>
      <c r="AO60" s="2">
        <v>0.52</v>
      </c>
      <c r="AP60" s="1">
        <v>1.5547053352242606</v>
      </c>
      <c r="AQ60" s="1">
        <v>1.5162312787238703</v>
      </c>
      <c r="AR60" s="1">
        <v>1.5798034038424682</v>
      </c>
      <c r="AS60" s="1">
        <v>1.4430554000674778</v>
      </c>
      <c r="AT60" s="1">
        <v>1.6856646342525865</v>
      </c>
      <c r="AU60" s="1">
        <v>1.719300029164778</v>
      </c>
    </row>
    <row r="61" spans="18:48" x14ac:dyDescent="0.25">
      <c r="R61" s="5">
        <v>0.53</v>
      </c>
      <c r="S61" s="1">
        <v>2.0125296540077406</v>
      </c>
      <c r="T61" s="1">
        <v>2.2895508974805328</v>
      </c>
      <c r="U61" s="1">
        <v>3.0972033069769616</v>
      </c>
      <c r="V61" s="1">
        <v>3.050669787992923</v>
      </c>
      <c r="W61" s="1">
        <v>3.1632906642979042</v>
      </c>
      <c r="X61" s="1">
        <v>3.4292939193866259</v>
      </c>
      <c r="Y61" s="1">
        <v>3.6182149452002741</v>
      </c>
      <c r="Z61" s="1">
        <v>3.5189913369206711</v>
      </c>
      <c r="AB61" s="3"/>
      <c r="AC61" s="3"/>
      <c r="AD61" s="3"/>
      <c r="AE61" s="3"/>
      <c r="AF61" s="3"/>
      <c r="AM61" s="1">
        <v>3.672434008085943</v>
      </c>
      <c r="AO61" s="5">
        <v>0.53</v>
      </c>
      <c r="AP61" s="1">
        <v>1.5622432723266457</v>
      </c>
      <c r="AQ61" s="1">
        <v>1.5237768322656113</v>
      </c>
      <c r="AR61" s="1">
        <v>1.5875630529241949</v>
      </c>
      <c r="AS61" s="1">
        <v>1.4520274879949067</v>
      </c>
      <c r="AT61" s="1">
        <v>1.6908609886388344</v>
      </c>
      <c r="AU61" s="1">
        <v>1.7266397073483235</v>
      </c>
    </row>
    <row r="62" spans="18:48" x14ac:dyDescent="0.25">
      <c r="R62" s="2">
        <v>0.54</v>
      </c>
      <c r="S62" s="1">
        <v>2.0214203205861376</v>
      </c>
      <c r="T62" s="1">
        <v>2.2981379766202559</v>
      </c>
      <c r="U62" s="1">
        <v>3.1071164744900099</v>
      </c>
      <c r="V62" s="1">
        <v>3.0600745856538651</v>
      </c>
      <c r="W62" s="1">
        <v>3.1743940810043547</v>
      </c>
      <c r="X62" s="1">
        <v>3.4420981514294344</v>
      </c>
      <c r="Y62" s="1">
        <v>3.6338867710778238</v>
      </c>
      <c r="Z62" s="1">
        <v>3.528463779318689</v>
      </c>
      <c r="AB62" s="3"/>
      <c r="AC62" s="3"/>
      <c r="AD62" s="3"/>
      <c r="AE62" s="3"/>
      <c r="AF62" s="3"/>
      <c r="AM62" s="1">
        <v>3.6862294649658764</v>
      </c>
      <c r="AO62" s="2">
        <v>0.54</v>
      </c>
      <c r="AP62" s="1">
        <v>1.5670556853798039</v>
      </c>
      <c r="AQ62" s="1">
        <v>1.5382430052654159</v>
      </c>
      <c r="AR62" s="1">
        <v>1.5925390495470551</v>
      </c>
      <c r="AS62" s="1">
        <v>1.4601935153604502</v>
      </c>
      <c r="AT62" s="1">
        <v>1.6989154319767727</v>
      </c>
      <c r="AU62" s="1">
        <v>1.735621463889512</v>
      </c>
    </row>
    <row r="63" spans="18:48" x14ac:dyDescent="0.25">
      <c r="R63" s="5">
        <v>0.55000000000000004</v>
      </c>
      <c r="S63" s="1">
        <v>2.0304621882735447</v>
      </c>
      <c r="T63" s="1">
        <v>2.3073693143035356</v>
      </c>
      <c r="U63" s="1">
        <v>3.118624635334569</v>
      </c>
      <c r="V63" s="1">
        <v>3.0735351907287467</v>
      </c>
      <c r="W63" s="1">
        <v>3.1830049059349643</v>
      </c>
      <c r="X63" s="1">
        <v>3.4551138138199944</v>
      </c>
      <c r="Y63" s="1">
        <v>3.6494410685056442</v>
      </c>
      <c r="Z63" s="1">
        <v>3.5393478634098772</v>
      </c>
      <c r="AB63" s="3"/>
      <c r="AC63" s="3"/>
      <c r="AD63" s="3"/>
      <c r="AE63" s="3"/>
      <c r="AF63" s="3"/>
      <c r="AM63" s="1">
        <v>3.6984114796940433</v>
      </c>
      <c r="AO63" s="5">
        <v>0.55000000000000004</v>
      </c>
      <c r="AP63" s="1">
        <v>1.5755834915554561</v>
      </c>
      <c r="AQ63" s="1">
        <v>1.5445269027713731</v>
      </c>
      <c r="AR63" s="1">
        <v>1.6024096602820239</v>
      </c>
      <c r="AS63" s="1">
        <v>1.4665558906934266</v>
      </c>
      <c r="AT63" s="1">
        <v>1.7084650873599747</v>
      </c>
      <c r="AU63" s="1">
        <v>1.7438933268274222</v>
      </c>
    </row>
    <row r="64" spans="18:48" x14ac:dyDescent="0.25">
      <c r="R64" s="2">
        <v>0.56000000000000005</v>
      </c>
      <c r="S64" s="1">
        <v>2.0387269596466648</v>
      </c>
      <c r="T64" s="1">
        <v>2.3152731586884778</v>
      </c>
      <c r="U64" s="1">
        <v>3.1289113409051605</v>
      </c>
      <c r="V64" s="1">
        <v>3.084160760797567</v>
      </c>
      <c r="W64" s="1">
        <v>3.1944071896793607</v>
      </c>
      <c r="X64" s="1">
        <v>3.4676187300624917</v>
      </c>
      <c r="Y64" s="1">
        <v>3.6623728010192664</v>
      </c>
      <c r="Z64" s="1">
        <v>3.553449201606834</v>
      </c>
      <c r="AB64" s="3"/>
      <c r="AC64" s="3"/>
      <c r="AD64" s="3"/>
      <c r="AE64" s="3"/>
      <c r="AM64" s="1">
        <v>3.7125219724376501</v>
      </c>
      <c r="AO64" s="2">
        <v>0.56000000000000005</v>
      </c>
      <c r="AP64" s="1">
        <v>1.5818223397559552</v>
      </c>
      <c r="AQ64" s="1">
        <v>1.5474684209242227</v>
      </c>
      <c r="AR64" s="1">
        <v>1.6094189947850626</v>
      </c>
      <c r="AS64" s="1">
        <v>1.4745526709556349</v>
      </c>
      <c r="AT64" s="1">
        <v>1.713661441746223</v>
      </c>
      <c r="AU64" s="1">
        <v>1.7516270114508163</v>
      </c>
    </row>
    <row r="65" spans="16:47" x14ac:dyDescent="0.25">
      <c r="R65" s="5">
        <v>0.56999999999999995</v>
      </c>
      <c r="S65" s="1">
        <v>2.0500748775519577</v>
      </c>
      <c r="T65" s="1">
        <v>2.3254159921159854</v>
      </c>
      <c r="U65" s="1">
        <v>3.1393265231775458</v>
      </c>
      <c r="V65" s="1">
        <v>3.0966794455601625</v>
      </c>
      <c r="W65" s="1">
        <v>3.2057345783938884</v>
      </c>
      <c r="X65" s="1">
        <v>3.481085469849035</v>
      </c>
      <c r="Y65" s="1">
        <v>3.6749297774850564</v>
      </c>
      <c r="Z65" s="1">
        <v>3.5681287334755649</v>
      </c>
      <c r="AB65" s="3"/>
      <c r="AC65" s="3"/>
      <c r="AD65" s="3"/>
      <c r="AE65" s="3"/>
      <c r="AF65" s="3"/>
      <c r="AM65" s="1">
        <v>3.7258807804140424</v>
      </c>
      <c r="AO65" s="5">
        <v>0.56999999999999995</v>
      </c>
      <c r="AP65" s="1">
        <v>1.5934025480353045</v>
      </c>
      <c r="AQ65" s="1">
        <v>1.5542362161504137</v>
      </c>
      <c r="AR65" s="1">
        <v>1.6203400196952529</v>
      </c>
      <c r="AS65" s="1">
        <v>1.4822293798931594</v>
      </c>
      <c r="AT65" s="1">
        <v>1.7230916929175673</v>
      </c>
      <c r="AU65" s="1">
        <v>1.7601362252255828</v>
      </c>
    </row>
    <row r="66" spans="16:47" x14ac:dyDescent="0.25">
      <c r="R66" s="2">
        <v>0.57999999999999996</v>
      </c>
      <c r="S66" s="1">
        <v>2.0573123005558815</v>
      </c>
      <c r="T66" s="1">
        <v>2.3335533759177114</v>
      </c>
      <c r="U66" s="1">
        <v>3.1523561103175073</v>
      </c>
      <c r="V66" s="1">
        <v>3.1049603077599714</v>
      </c>
      <c r="W66" s="1">
        <v>3.2188093040693411</v>
      </c>
      <c r="X66" s="1">
        <v>3.4920742446960591</v>
      </c>
      <c r="Y66" s="1">
        <v>3.6879023276095158</v>
      </c>
      <c r="Z66" s="1">
        <v>3.5811317508461102</v>
      </c>
      <c r="AB66" s="3"/>
      <c r="AC66" s="3"/>
      <c r="AD66" s="3"/>
      <c r="AE66" s="3"/>
      <c r="AF66" s="3"/>
      <c r="AM66" s="1">
        <v>3.7381803718006541</v>
      </c>
      <c r="AO66" s="2">
        <v>0.57999999999999996</v>
      </c>
      <c r="AP66" s="1">
        <v>1.6004316260970766</v>
      </c>
      <c r="AQ66" s="1">
        <v>1.5636450481531077</v>
      </c>
      <c r="AR66" s="1">
        <v>1.6285479879538785</v>
      </c>
      <c r="AS66" s="1">
        <v>1.487638816319693</v>
      </c>
      <c r="AT66" s="1">
        <v>1.7288142819709218</v>
      </c>
      <c r="AU66" s="1">
        <v>1.7705387581989833</v>
      </c>
    </row>
    <row r="67" spans="16:47" x14ac:dyDescent="0.25">
      <c r="P67" s="1">
        <f>30/54.3</f>
        <v>0.5524861878453039</v>
      </c>
      <c r="R67" s="5">
        <v>0.59</v>
      </c>
      <c r="S67" s="1">
        <v>2.0671551263685504</v>
      </c>
      <c r="T67" s="1">
        <v>2.3436520950953219</v>
      </c>
      <c r="U67" s="1">
        <v>3.1638407621309459</v>
      </c>
      <c r="V67" s="1">
        <v>3.1212563546160053</v>
      </c>
      <c r="W67" s="1">
        <v>3.229734345562834</v>
      </c>
      <c r="X67" s="1">
        <v>3.5047366290484314</v>
      </c>
      <c r="Y67" s="1">
        <v>3.7013062262676231</v>
      </c>
      <c r="Z67" s="1">
        <v>3.5939472312950556</v>
      </c>
      <c r="AB67" s="3"/>
      <c r="AC67" s="3"/>
      <c r="AD67" s="3"/>
      <c r="AE67" s="3"/>
      <c r="AF67" s="3"/>
      <c r="AM67" s="1">
        <v>3.7529910984232511</v>
      </c>
      <c r="AO67" s="5">
        <v>0.59</v>
      </c>
      <c r="AP67" s="1">
        <v>1.6071735900631714</v>
      </c>
      <c r="AQ67" s="1">
        <v>1.5716439073030677</v>
      </c>
      <c r="AR67" s="1">
        <v>1.6370895408519672</v>
      </c>
      <c r="AS67" s="1">
        <v>1.4947800686423152</v>
      </c>
      <c r="AT67" s="1">
        <v>1.7374819706860178</v>
      </c>
      <c r="AU67" s="1">
        <v>1.7792656795533828</v>
      </c>
    </row>
    <row r="68" spans="16:47" x14ac:dyDescent="0.25">
      <c r="R68" s="2">
        <v>0.6</v>
      </c>
      <c r="S68" s="1">
        <v>2.0771060324350707</v>
      </c>
      <c r="T68" s="1">
        <v>2.3531062085909982</v>
      </c>
      <c r="U68" s="1">
        <v>3.1751609980253583</v>
      </c>
      <c r="V68" s="1">
        <v>3.1362725887960878</v>
      </c>
      <c r="W68" s="1">
        <v>3.2413360708212497</v>
      </c>
      <c r="X68" s="1">
        <v>3.5182021967961741</v>
      </c>
      <c r="Y68" s="1">
        <v>3.7144995654811472</v>
      </c>
      <c r="Z68" s="1">
        <v>3.6071886768369321</v>
      </c>
      <c r="AB68" s="3"/>
      <c r="AC68" s="3"/>
      <c r="AD68" s="3"/>
      <c r="AE68" s="3"/>
      <c r="AF68" s="3"/>
      <c r="AM68" s="1">
        <v>3.7651363443458141</v>
      </c>
      <c r="AO68" s="2">
        <v>0.6</v>
      </c>
      <c r="AP68" s="1">
        <v>1.6183232149699647</v>
      </c>
      <c r="AQ68" s="1">
        <v>1.5815366370259956</v>
      </c>
      <c r="AR68" s="1">
        <v>1.64797045611014</v>
      </c>
      <c r="AS68" s="1">
        <v>1.5039934665912686</v>
      </c>
      <c r="AT68" s="1">
        <v>1.7431302078603361</v>
      </c>
      <c r="AU68" s="1">
        <v>1.7880878334897943</v>
      </c>
    </row>
    <row r="69" spans="16:47" x14ac:dyDescent="0.25">
      <c r="R69" s="5">
        <v>0.61</v>
      </c>
      <c r="S69" s="1">
        <v>2.088226399805194</v>
      </c>
      <c r="T69" s="1">
        <v>2.361750192128921</v>
      </c>
      <c r="U69" s="1">
        <v>3.1877557873243072</v>
      </c>
      <c r="V69" s="1">
        <v>3.1474155546970657</v>
      </c>
      <c r="W69" s="1">
        <v>3.2544883142002545</v>
      </c>
      <c r="X69" s="1">
        <v>3.5317071710784336</v>
      </c>
      <c r="Y69" s="1">
        <v>3.7286475758427193</v>
      </c>
      <c r="Z69" s="1">
        <v>3.6181106734860546</v>
      </c>
      <c r="AB69" s="3"/>
      <c r="AC69" s="3"/>
      <c r="AD69" s="3"/>
      <c r="AE69" s="3"/>
      <c r="AF69" s="3"/>
      <c r="AM69" s="1">
        <v>3.7761892332754345</v>
      </c>
      <c r="AO69" s="5">
        <v>0.61</v>
      </c>
      <c r="AP69" s="1">
        <v>1.6267784887525771</v>
      </c>
      <c r="AQ69" s="1">
        <v>1.5861406724148877</v>
      </c>
      <c r="AR69" s="1">
        <v>1.6553623049647652</v>
      </c>
      <c r="AS69" s="1">
        <v>1.5112071261468711</v>
      </c>
      <c r="AT69" s="1">
        <v>1.7488542716714881</v>
      </c>
      <c r="AU69" s="1">
        <v>1.7949942728325508</v>
      </c>
    </row>
    <row r="70" spans="16:47" x14ac:dyDescent="0.25">
      <c r="R70" s="2">
        <v>0.62</v>
      </c>
      <c r="S70" s="1">
        <v>2.0985270171082098</v>
      </c>
      <c r="T70" s="1">
        <v>2.3716486677815389</v>
      </c>
      <c r="U70" s="1">
        <v>3.1989818544411257</v>
      </c>
      <c r="V70" s="1">
        <v>3.1622395150296763</v>
      </c>
      <c r="W70" s="1">
        <v>3.2665856629569214</v>
      </c>
      <c r="X70" s="1">
        <v>3.5425182899261736</v>
      </c>
      <c r="Y70" s="1">
        <v>3.7402898517098104</v>
      </c>
      <c r="Z70" s="1">
        <v>3.6313272311844775</v>
      </c>
      <c r="AB70" s="3"/>
      <c r="AC70" s="3"/>
      <c r="AD70" s="3"/>
      <c r="AE70" s="3"/>
      <c r="AF70" s="3"/>
      <c r="AM70" s="1">
        <v>3.7888258859483299</v>
      </c>
      <c r="AO70" s="2">
        <v>0.62</v>
      </c>
      <c r="AP70" s="1">
        <v>1.6284659673089985</v>
      </c>
      <c r="AQ70" s="1">
        <v>1.5924245699208448</v>
      </c>
      <c r="AR70" s="1">
        <v>1.6663726536019663</v>
      </c>
      <c r="AS70" s="1">
        <v>1.517905528510721</v>
      </c>
      <c r="AT70" s="1">
        <v>1.7574031603974478</v>
      </c>
      <c r="AU70" s="1">
        <v>1.8037825139974049</v>
      </c>
    </row>
    <row r="71" spans="16:47" x14ac:dyDescent="0.25">
      <c r="R71" s="5">
        <v>0.63</v>
      </c>
      <c r="S71" s="1">
        <v>2.1097955894468949</v>
      </c>
      <c r="T71" s="1">
        <v>2.3813335758940561</v>
      </c>
      <c r="U71" s="1">
        <v>3.2100587910581857</v>
      </c>
      <c r="V71" s="1">
        <v>3.174620990727405</v>
      </c>
      <c r="W71" s="1">
        <v>3.280423409732502</v>
      </c>
      <c r="X71" s="1">
        <v>3.5552600586810215</v>
      </c>
      <c r="Y71" s="1">
        <v>3.7502536109750118</v>
      </c>
      <c r="Z71" s="1">
        <v>3.6449733543771945</v>
      </c>
      <c r="AB71" s="3"/>
      <c r="AC71" s="3"/>
      <c r="AD71" s="3"/>
      <c r="AE71" s="3"/>
      <c r="AF71" s="3"/>
      <c r="AM71" s="1">
        <v>3.8050556601988546</v>
      </c>
      <c r="AO71" s="5">
        <v>0.63</v>
      </c>
      <c r="AP71" s="1">
        <v>1.6386199798675074</v>
      </c>
      <c r="AQ71" s="1">
        <v>1.6018334019235385</v>
      </c>
      <c r="AR71" s="1">
        <v>1.6737699094328158</v>
      </c>
      <c r="AS71" s="1">
        <v>1.5296025938022777</v>
      </c>
      <c r="AT71" s="1">
        <v>1.7721843769051482</v>
      </c>
      <c r="AU71" s="1">
        <v>1.8157310312498178</v>
      </c>
    </row>
    <row r="72" spans="16:47" x14ac:dyDescent="0.25">
      <c r="R72" s="2">
        <v>0.64</v>
      </c>
      <c r="S72" s="1">
        <v>2.1179895548473731</v>
      </c>
      <c r="T72" s="1">
        <v>2.3917333236853842</v>
      </c>
      <c r="U72" s="1">
        <v>3.2214438499595444</v>
      </c>
      <c r="V72" s="1">
        <v>3.188171366967834</v>
      </c>
      <c r="W72" s="1">
        <v>3.2919768485803309</v>
      </c>
      <c r="X72" s="1">
        <v>3.5712652468244466</v>
      </c>
      <c r="Y72" s="1">
        <v>3.763994549494297</v>
      </c>
      <c r="Z72" s="1">
        <v>3.6592666496477939</v>
      </c>
      <c r="AB72" s="3"/>
      <c r="AC72" s="3"/>
      <c r="AD72" s="3"/>
      <c r="AE72" s="3"/>
      <c r="AF72" s="3"/>
      <c r="AM72" s="1">
        <v>3.8195829108534642</v>
      </c>
      <c r="AO72" s="2">
        <v>0.64</v>
      </c>
      <c r="AP72" s="1">
        <v>1.6531253514080775</v>
      </c>
      <c r="AQ72" s="1">
        <v>1.6103161587937329</v>
      </c>
      <c r="AR72" s="1">
        <v>1.6807264907663573</v>
      </c>
      <c r="AS72" s="1">
        <v>1.5364005604331874</v>
      </c>
      <c r="AT72" s="1">
        <v>1.7817340322883499</v>
      </c>
      <c r="AU72" s="1">
        <v>1.8274158136183547</v>
      </c>
    </row>
    <row r="73" spans="16:47" x14ac:dyDescent="0.25">
      <c r="R73" s="5">
        <v>0.65</v>
      </c>
      <c r="S73" s="1">
        <v>2.1302783538713954</v>
      </c>
      <c r="T73" s="1">
        <v>2.4011668581962966</v>
      </c>
      <c r="U73" s="1">
        <v>3.2331926154200219</v>
      </c>
      <c r="V73" s="1">
        <v>3.2007666450673296</v>
      </c>
      <c r="W73" s="1">
        <v>3.3050325958061646</v>
      </c>
      <c r="X73" s="1">
        <v>3.5868220147687433</v>
      </c>
      <c r="Y73" s="1">
        <v>3.7778953810719047</v>
      </c>
      <c r="Z73" s="1">
        <v>3.6747356873859203</v>
      </c>
      <c r="AB73" s="3"/>
      <c r="AC73" s="3"/>
      <c r="AD73" s="3"/>
      <c r="AE73" s="3"/>
      <c r="AF73" s="3"/>
      <c r="AM73" s="1">
        <v>3.8349752203596172</v>
      </c>
      <c r="AO73" s="5">
        <v>0.65</v>
      </c>
      <c r="AP73" s="1">
        <v>1.664966842523008</v>
      </c>
      <c r="AQ73" s="1">
        <v>1.6166000562996901</v>
      </c>
      <c r="AR73" s="1">
        <v>1.6955946301311979</v>
      </c>
      <c r="AS73" s="1">
        <v>1.5472636411391951</v>
      </c>
      <c r="AT73" s="1">
        <v>1.7942923345895003</v>
      </c>
      <c r="AU73" s="1">
        <v>1.8423695466177121</v>
      </c>
    </row>
    <row r="74" spans="16:47" x14ac:dyDescent="0.25">
      <c r="R74" s="2">
        <v>0.66</v>
      </c>
      <c r="S74" s="1">
        <v>2.1415593990849495</v>
      </c>
      <c r="T74" s="1">
        <v>2.4115563378976002</v>
      </c>
      <c r="U74" s="1">
        <v>3.2481051317536669</v>
      </c>
      <c r="V74" s="1">
        <v>3.2139677754622897</v>
      </c>
      <c r="W74" s="1">
        <v>3.3170119318842319</v>
      </c>
      <c r="X74" s="1">
        <v>3.6003144107731107</v>
      </c>
      <c r="Y74" s="1">
        <v>3.7912583699184639</v>
      </c>
      <c r="Z74" s="1">
        <v>3.6893781443447629</v>
      </c>
      <c r="AB74" s="3"/>
      <c r="AC74" s="3"/>
      <c r="AD74" s="3"/>
      <c r="AE74" s="3"/>
      <c r="AF74" s="3"/>
      <c r="AM74" s="1">
        <v>3.849937595765097</v>
      </c>
      <c r="AO74" s="2">
        <v>0.66</v>
      </c>
      <c r="AP74" s="1">
        <v>1.6734221163056204</v>
      </c>
      <c r="AQ74" s="1">
        <v>1.6306129236912756</v>
      </c>
      <c r="AR74" s="1">
        <v>1.7061115720421343</v>
      </c>
      <c r="AS74" s="1">
        <v>1.5537830536685913</v>
      </c>
      <c r="AT74" s="1">
        <v>1.804594759719395</v>
      </c>
      <c r="AU74" s="1">
        <v>1.8521671694389532</v>
      </c>
    </row>
    <row r="75" spans="16:47" x14ac:dyDescent="0.25">
      <c r="R75" s="5">
        <v>0.67</v>
      </c>
      <c r="S75" s="1">
        <v>2.1506192191817735</v>
      </c>
      <c r="T75" s="1">
        <v>2.4217196428582111</v>
      </c>
      <c r="U75" s="1">
        <v>3.2620931422754649</v>
      </c>
      <c r="V75" s="1">
        <v>3.2269326819157285</v>
      </c>
      <c r="W75" s="1">
        <v>3.3284543966838025</v>
      </c>
      <c r="X75" s="1">
        <v>3.6118747962000106</v>
      </c>
      <c r="Y75" s="1">
        <v>3.8081522122898401</v>
      </c>
      <c r="Z75" s="1">
        <v>3.7047306064683823</v>
      </c>
      <c r="AB75" s="3"/>
      <c r="AC75" s="3"/>
      <c r="AD75" s="3"/>
      <c r="AE75" s="3"/>
      <c r="AM75" s="1">
        <v>3.8676739346766702</v>
      </c>
      <c r="AO75" s="5">
        <v>0.67</v>
      </c>
      <c r="AP75" s="1">
        <v>1.6741922581818145</v>
      </c>
      <c r="AQ75" s="1">
        <v>1.6462131698993443</v>
      </c>
      <c r="AR75" s="1">
        <v>1.7138031391979693</v>
      </c>
      <c r="AS75" s="1">
        <v>1.5624106623876481</v>
      </c>
      <c r="AT75" s="1">
        <v>1.8109356771129115</v>
      </c>
      <c r="AU75" s="1">
        <v>1.8625443862137336</v>
      </c>
    </row>
    <row r="76" spans="16:47" x14ac:dyDescent="0.25">
      <c r="R76" s="2">
        <v>0.68</v>
      </c>
      <c r="S76" s="1">
        <v>2.1616461034882897</v>
      </c>
      <c r="T76" s="1">
        <v>2.4333365876300044</v>
      </c>
      <c r="U76" s="1">
        <v>3.2772630683901016</v>
      </c>
      <c r="V76" s="1">
        <v>3.2406141927122882</v>
      </c>
      <c r="W76" s="1">
        <v>3.3417264995794325</v>
      </c>
      <c r="X76" s="1">
        <v>3.6271372280448495</v>
      </c>
      <c r="Y76" s="1">
        <v>3.8240011805557312</v>
      </c>
      <c r="Z76" s="1">
        <v>3.7185662513656772</v>
      </c>
      <c r="AB76" s="3"/>
      <c r="AC76" s="3"/>
      <c r="AD76" s="3">
        <v>3.2433942080770599</v>
      </c>
      <c r="AE76" s="3"/>
      <c r="AF76" s="3"/>
      <c r="AM76" s="1">
        <v>3.8828662543750569</v>
      </c>
      <c r="AO76" s="2">
        <v>0.68</v>
      </c>
      <c r="AP76" s="1">
        <v>1.6850023245849701</v>
      </c>
      <c r="AQ76" s="1">
        <v>1.6547884100701205</v>
      </c>
      <c r="AR76" s="1">
        <v>1.7203781231433168</v>
      </c>
      <c r="AS76" s="1">
        <v>1.5713827398179381</v>
      </c>
      <c r="AT76" s="1">
        <v>1.8223011105696452</v>
      </c>
      <c r="AU76" s="1">
        <v>1.8755586347943505</v>
      </c>
    </row>
    <row r="77" spans="16:47" x14ac:dyDescent="0.25">
      <c r="R77" s="5">
        <v>0.69</v>
      </c>
      <c r="S77" s="1">
        <v>2.1740336604967516</v>
      </c>
      <c r="T77" s="1">
        <v>2.4453787611789495</v>
      </c>
      <c r="U77" s="1">
        <v>3.2904298913140746</v>
      </c>
      <c r="V77" s="1">
        <v>3.2529855035017228</v>
      </c>
      <c r="W77" s="1">
        <v>3.3574853983302719</v>
      </c>
      <c r="X77" s="1">
        <v>3.6437604662647014</v>
      </c>
      <c r="Y77" s="1">
        <v>3.8407604987279584</v>
      </c>
      <c r="Z77" s="1">
        <v>3.7340947269519349</v>
      </c>
      <c r="AB77" s="3"/>
      <c r="AC77" s="3"/>
      <c r="AD77" s="3"/>
      <c r="AE77" s="3"/>
      <c r="AF77" s="3"/>
      <c r="AM77" s="1">
        <v>3.8982741118461472</v>
      </c>
      <c r="AO77" s="5">
        <v>0.69</v>
      </c>
      <c r="AP77" s="1">
        <v>1.6988516422808939</v>
      </c>
      <c r="AQ77" s="1">
        <v>1.6577299282229701</v>
      </c>
      <c r="AR77" s="1">
        <v>1.736921969860451</v>
      </c>
      <c r="AS77" s="1">
        <v>1.5815232800385142</v>
      </c>
      <c r="AT77" s="1">
        <v>1.8360864852474714</v>
      </c>
      <c r="AU77" s="1">
        <v>1.8837087577343323</v>
      </c>
    </row>
    <row r="78" spans="16:47" x14ac:dyDescent="0.25">
      <c r="R78" s="2">
        <v>0.7</v>
      </c>
      <c r="S78" s="1">
        <v>2.1879010065720776</v>
      </c>
      <c r="T78" s="1">
        <v>2.4570984735113055</v>
      </c>
      <c r="U78" s="1">
        <v>3.3044954472107522</v>
      </c>
      <c r="V78" s="1">
        <v>3.2630800815905374</v>
      </c>
      <c r="W78" s="1">
        <v>3.373458461460844</v>
      </c>
      <c r="X78" s="1">
        <v>3.658169577601587</v>
      </c>
      <c r="Y78" s="1">
        <v>3.8566822547382333</v>
      </c>
      <c r="Z78" s="1">
        <v>3.7520457258005129</v>
      </c>
      <c r="AA78" s="3">
        <v>2.18329020983303</v>
      </c>
      <c r="AB78" s="3"/>
      <c r="AC78" s="3"/>
      <c r="AD78" s="3"/>
      <c r="AE78" s="3"/>
      <c r="AF78" s="3"/>
      <c r="AM78" s="1">
        <v>3.9154862899730083</v>
      </c>
      <c r="AO78" s="2">
        <v>0.7</v>
      </c>
      <c r="AP78" s="1">
        <v>1.7104318505602429</v>
      </c>
      <c r="AQ78" s="1">
        <v>1.6680663882135502</v>
      </c>
      <c r="AR78" s="1">
        <v>1.7451297446016067</v>
      </c>
      <c r="AS78" s="1">
        <v>1.5937212616073659</v>
      </c>
      <c r="AT78" s="1">
        <v>1.8462944325214496</v>
      </c>
      <c r="AU78" s="1">
        <v>1.8978402757210719</v>
      </c>
    </row>
    <row r="79" spans="16:47" x14ac:dyDescent="0.25">
      <c r="R79" s="5">
        <v>0.71</v>
      </c>
      <c r="S79" s="1">
        <v>2.1997983539811732</v>
      </c>
      <c r="T79" s="1">
        <v>2.4677784335709001</v>
      </c>
      <c r="U79" s="1">
        <v>3.3147866206559606</v>
      </c>
      <c r="V79" s="1">
        <v>3.2783678596691139</v>
      </c>
      <c r="W79" s="1">
        <v>3.3871266024558793</v>
      </c>
      <c r="X79" s="1">
        <v>3.6737859291925221</v>
      </c>
      <c r="Y79" s="1">
        <v>3.8744261827336013</v>
      </c>
      <c r="Z79" s="1">
        <v>3.7696497503297617</v>
      </c>
      <c r="AB79" s="3"/>
      <c r="AC79" s="3"/>
      <c r="AD79" s="3"/>
      <c r="AE79" s="3"/>
      <c r="AF79" s="3"/>
      <c r="AM79" s="1">
        <v>3.9305369024252093</v>
      </c>
      <c r="AO79" s="5">
        <v>0.71</v>
      </c>
      <c r="AP79" s="1">
        <v>1.7123806119522456</v>
      </c>
      <c r="AQ79" s="1">
        <v>1.6819054146018153</v>
      </c>
      <c r="AR79" s="1">
        <v>1.7551304789272222</v>
      </c>
      <c r="AS79" s="1">
        <v>1.6018948412368861</v>
      </c>
      <c r="AT79" s="1">
        <v>1.8646678503762264</v>
      </c>
      <c r="AU79" s="1">
        <v>1.9122041352366548</v>
      </c>
    </row>
    <row r="80" spans="16:47" x14ac:dyDescent="0.25">
      <c r="R80" s="2">
        <v>0.72</v>
      </c>
      <c r="S80" s="1">
        <v>2.2107310523204022</v>
      </c>
      <c r="T80" s="1">
        <v>2.4781091959581696</v>
      </c>
      <c r="U80" s="1">
        <v>3.330611627190216</v>
      </c>
      <c r="V80" s="1">
        <v>3.2902526492360029</v>
      </c>
      <c r="W80" s="1">
        <v>3.4005305277646571</v>
      </c>
      <c r="X80" s="1">
        <v>3.6865263124974943</v>
      </c>
      <c r="Y80" s="1">
        <v>3.8924158873636547</v>
      </c>
      <c r="Z80" s="1">
        <v>3.7847316794667876</v>
      </c>
      <c r="AB80" s="3"/>
      <c r="AC80" s="3"/>
      <c r="AD80" s="3"/>
      <c r="AE80" s="3"/>
      <c r="AF80" s="3"/>
      <c r="AM80" s="1">
        <v>3.9442936152480308</v>
      </c>
      <c r="AO80" s="2">
        <v>0.72</v>
      </c>
      <c r="AP80" s="1">
        <v>1.7254597877719755</v>
      </c>
      <c r="AQ80" s="1">
        <v>1.6999108368345388</v>
      </c>
      <c r="AR80" s="1">
        <v>1.7637789104047654</v>
      </c>
      <c r="AS80" s="1">
        <v>1.6111851805471225</v>
      </c>
      <c r="AT80" s="1">
        <v>1.8736618338476232</v>
      </c>
      <c r="AU80" s="1">
        <v>1.9224335733837166</v>
      </c>
    </row>
    <row r="81" spans="18:50" x14ac:dyDescent="0.25">
      <c r="R81" s="5">
        <v>0.73</v>
      </c>
      <c r="S81" s="1">
        <v>2.2220838899506687</v>
      </c>
      <c r="T81" s="1">
        <v>2.4915101984556562</v>
      </c>
      <c r="U81" s="1">
        <v>3.3454939049169612</v>
      </c>
      <c r="V81" s="1">
        <v>3.3080610787551206</v>
      </c>
      <c r="W81" s="1">
        <v>3.4124417210669029</v>
      </c>
      <c r="X81" s="1">
        <v>3.7044709532118127</v>
      </c>
      <c r="Y81" s="1">
        <v>3.9097340750378056</v>
      </c>
      <c r="Z81" s="1">
        <v>3.7980534503434145</v>
      </c>
      <c r="AB81" s="3">
        <v>2.4899441434092999</v>
      </c>
      <c r="AC81" s="3"/>
      <c r="AD81" s="3"/>
      <c r="AE81" s="3"/>
      <c r="AF81" s="3"/>
      <c r="AM81" s="1">
        <v>3.9594443442297975</v>
      </c>
      <c r="AO81" s="5">
        <v>0.73</v>
      </c>
      <c r="AP81" s="1">
        <v>1.7387274746077459</v>
      </c>
      <c r="AQ81" s="1">
        <v>1.7023328318838233</v>
      </c>
      <c r="AR81" s="1">
        <v>1.7743830959905185</v>
      </c>
      <c r="AS81" s="1">
        <v>1.6216683615301299</v>
      </c>
      <c r="AT81" s="1">
        <v>1.8862678802785209</v>
      </c>
      <c r="AU81" s="1">
        <v>1.9364273083413794</v>
      </c>
    </row>
    <row r="82" spans="18:50" x14ac:dyDescent="0.25">
      <c r="R82" s="2">
        <v>0.74</v>
      </c>
      <c r="S82" s="1">
        <v>2.2376815652848272</v>
      </c>
      <c r="T82" s="1">
        <v>2.5025562983328089</v>
      </c>
      <c r="U82" s="1">
        <v>3.359263874149883</v>
      </c>
      <c r="V82" s="1">
        <v>3.3247797369220815</v>
      </c>
      <c r="W82" s="1">
        <v>3.4255276427017267</v>
      </c>
      <c r="X82" s="1">
        <v>3.7208677606251266</v>
      </c>
      <c r="Y82" s="1">
        <v>3.926434096491294</v>
      </c>
      <c r="Z82" s="1">
        <v>3.8139075278539032</v>
      </c>
      <c r="AB82" s="3"/>
      <c r="AC82" s="3"/>
      <c r="AD82" s="3"/>
      <c r="AE82" s="3"/>
      <c r="AF82" s="3"/>
      <c r="AM82" s="1">
        <v>3.9782423009094288</v>
      </c>
      <c r="AO82" s="2">
        <v>0.74</v>
      </c>
      <c r="AP82" s="1">
        <v>1.7454952698339372</v>
      </c>
      <c r="AQ82" s="1">
        <v>1.7179522847728417</v>
      </c>
      <c r="AR82" s="1">
        <v>1.7835777802513875</v>
      </c>
      <c r="AS82" s="1">
        <v>1.6359359965156242</v>
      </c>
      <c r="AT82" s="1">
        <v>1.9003957311685091</v>
      </c>
      <c r="AU82" s="1">
        <v>1.9468890880172836</v>
      </c>
      <c r="AW82" s="3">
        <v>1.7155061281669599</v>
      </c>
    </row>
    <row r="83" spans="18:50" x14ac:dyDescent="0.25">
      <c r="R83" s="5">
        <v>0.75</v>
      </c>
      <c r="S83" s="1">
        <v>2.248346977747079</v>
      </c>
      <c r="T83" s="1">
        <v>2.5142322788480431</v>
      </c>
      <c r="U83" s="1">
        <v>3.3759182350806278</v>
      </c>
      <c r="V83" s="1">
        <v>3.3402460035281338</v>
      </c>
      <c r="W83" s="1">
        <v>3.4440917441693282</v>
      </c>
      <c r="X83" s="1">
        <v>3.7384913878280717</v>
      </c>
      <c r="Y83" s="1">
        <v>3.9403585179578404</v>
      </c>
      <c r="Z83" s="1">
        <v>3.8374048004917594</v>
      </c>
      <c r="AB83" s="3"/>
      <c r="AC83" s="3"/>
      <c r="AD83" s="3"/>
      <c r="AE83" s="3"/>
      <c r="AF83" s="3"/>
      <c r="AM83" s="1">
        <v>3.9975231782304927</v>
      </c>
      <c r="AO83" s="5">
        <v>0.75</v>
      </c>
      <c r="AP83" s="1">
        <v>1.7657920347314802</v>
      </c>
      <c r="AQ83" s="1">
        <v>1.7263776658782031</v>
      </c>
      <c r="AR83" s="1">
        <v>1.7876789287832586</v>
      </c>
      <c r="AS83" s="1">
        <v>1.6517330595062454</v>
      </c>
      <c r="AT83" s="1">
        <v>1.9093463536877353</v>
      </c>
      <c r="AU83" s="1">
        <v>1.9569469436457594</v>
      </c>
    </row>
    <row r="84" spans="18:50" x14ac:dyDescent="0.25">
      <c r="R84" s="2">
        <v>0.76</v>
      </c>
      <c r="S84" s="1">
        <v>2.2616217907010734</v>
      </c>
      <c r="T84" s="1">
        <v>2.5272476623688633</v>
      </c>
      <c r="U84" s="1">
        <v>3.3940976628781976</v>
      </c>
      <c r="V84" s="1">
        <v>3.3576717799191198</v>
      </c>
      <c r="W84" s="1">
        <v>3.4647906843686376</v>
      </c>
      <c r="X84" s="1">
        <v>3.7579481338729299</v>
      </c>
      <c r="Y84" s="1">
        <v>3.9589298211169894</v>
      </c>
      <c r="Z84" s="1">
        <v>3.8523475522179349</v>
      </c>
      <c r="AB84" s="3"/>
      <c r="AC84" s="3"/>
      <c r="AD84" s="3"/>
      <c r="AE84" s="3"/>
      <c r="AF84" s="3"/>
      <c r="AM84" s="1">
        <v>4.0146998888842012</v>
      </c>
      <c r="AO84" s="2">
        <v>0.76</v>
      </c>
      <c r="AP84" s="1">
        <v>1.7836836236043681</v>
      </c>
      <c r="AQ84" s="1">
        <v>1.738227912715739</v>
      </c>
      <c r="AR84" s="1">
        <v>1.8040112355711981</v>
      </c>
      <c r="AS84" s="1">
        <v>1.6631593391086374</v>
      </c>
      <c r="AT84" s="1">
        <v>1.9255105588813974</v>
      </c>
      <c r="AU84" s="1">
        <v>1.9713446026508508</v>
      </c>
    </row>
    <row r="85" spans="18:50" x14ac:dyDescent="0.25">
      <c r="R85" s="5">
        <v>0.77</v>
      </c>
      <c r="S85" s="1">
        <v>2.2743366814254276</v>
      </c>
      <c r="T85" s="1">
        <v>2.5402517272459009</v>
      </c>
      <c r="U85" s="1">
        <v>3.4107006138012359</v>
      </c>
      <c r="V85" s="1">
        <v>3.3765491700093726</v>
      </c>
      <c r="W85" s="1">
        <v>3.4819657608378547</v>
      </c>
      <c r="X85" s="1">
        <v>3.779116123287539</v>
      </c>
      <c r="Y85" s="1">
        <v>3.9818784962215736</v>
      </c>
      <c r="Z85" s="1">
        <v>3.8737231274976698</v>
      </c>
      <c r="AB85" s="3"/>
      <c r="AC85" s="3"/>
      <c r="AD85" s="3"/>
      <c r="AE85" s="3"/>
      <c r="AF85" s="3"/>
      <c r="AM85" s="1">
        <v>4.033219238886824</v>
      </c>
      <c r="AO85" s="5">
        <v>0.77</v>
      </c>
      <c r="AP85" s="1">
        <v>1.7861412440369833</v>
      </c>
      <c r="AQ85" s="1">
        <v>1.7500998466488296</v>
      </c>
      <c r="AR85" s="1">
        <v>1.8145281774821345</v>
      </c>
      <c r="AS85" s="1">
        <v>1.6712087577249695</v>
      </c>
      <c r="AT85" s="1">
        <v>1.9350621569659678</v>
      </c>
      <c r="AU85" s="1">
        <v>1.9774365992285234</v>
      </c>
      <c r="AX85" s="3">
        <v>1.81418389404495</v>
      </c>
    </row>
    <row r="86" spans="18:50" x14ac:dyDescent="0.25">
      <c r="R86" s="2">
        <v>0.78</v>
      </c>
      <c r="S86" s="1">
        <v>2.2900694946504232</v>
      </c>
      <c r="T86" s="1">
        <v>2.5555896355221153</v>
      </c>
      <c r="U86" s="1">
        <v>3.428496137454442</v>
      </c>
      <c r="V86" s="1">
        <v>3.3979899148457755</v>
      </c>
      <c r="W86" s="1">
        <v>3.4979234690426875</v>
      </c>
      <c r="X86" s="1">
        <v>3.7949038770238306</v>
      </c>
      <c r="Y86" s="1">
        <v>4.0035783644322862</v>
      </c>
      <c r="Z86" s="1">
        <v>3.8900582228351777</v>
      </c>
      <c r="AB86" s="3"/>
      <c r="AC86" s="3"/>
      <c r="AD86" s="3"/>
      <c r="AE86" s="3"/>
      <c r="AF86" s="3"/>
      <c r="AM86" s="1">
        <v>4.0539456660461131</v>
      </c>
      <c r="AO86" s="2">
        <v>0.78</v>
      </c>
      <c r="AP86" s="1">
        <v>1.7995701139683964</v>
      </c>
      <c r="AQ86" s="1">
        <v>1.7652161951366638</v>
      </c>
      <c r="AR86" s="1">
        <v>1.8250324733074743</v>
      </c>
      <c r="AS86" s="1">
        <v>1.6799061265216257</v>
      </c>
      <c r="AT86" s="1">
        <v>1.9468098505493692</v>
      </c>
      <c r="AU86" s="1">
        <v>1.9903941324280949</v>
      </c>
    </row>
    <row r="87" spans="18:50" x14ac:dyDescent="0.25">
      <c r="R87" s="5">
        <v>0.79</v>
      </c>
      <c r="S87" s="1">
        <v>2.302234607454213</v>
      </c>
      <c r="T87" s="1">
        <v>2.570496458640442</v>
      </c>
      <c r="U87" s="1">
        <v>3.4445296243215378</v>
      </c>
      <c r="V87" s="1">
        <v>3.4165992011868975</v>
      </c>
      <c r="W87" s="1">
        <v>3.5167631479988066</v>
      </c>
      <c r="X87" s="1">
        <v>3.8117968762341126</v>
      </c>
      <c r="Y87" s="1">
        <v>4.0203764757797691</v>
      </c>
      <c r="Z87" s="1">
        <v>3.9095429971585336</v>
      </c>
      <c r="AB87" s="3"/>
      <c r="AC87" s="3"/>
      <c r="AD87" s="3"/>
      <c r="AE87" s="3"/>
      <c r="AF87" s="3"/>
      <c r="AM87" s="1">
        <v>4.0759794591898411</v>
      </c>
      <c r="AO87" s="5">
        <v>0.79</v>
      </c>
      <c r="AP87" s="1">
        <v>1.8124881066924841</v>
      </c>
      <c r="AQ87" s="1">
        <v>1.7737914353074404</v>
      </c>
      <c r="AR87" s="1">
        <v>1.8337256525628454</v>
      </c>
      <c r="AS87" s="1">
        <v>1.6916994250311834</v>
      </c>
      <c r="AT87" s="1">
        <v>1.9607406745254312</v>
      </c>
      <c r="AU87" s="1">
        <v>2.0048704049044441</v>
      </c>
    </row>
    <row r="88" spans="18:50" x14ac:dyDescent="0.25">
      <c r="R88" s="2">
        <v>0.8</v>
      </c>
      <c r="S88" s="1">
        <v>2.316044296372282</v>
      </c>
      <c r="T88" s="1">
        <v>2.5851920180399386</v>
      </c>
      <c r="U88" s="1">
        <v>3.4615984945364544</v>
      </c>
      <c r="V88" s="1">
        <v>3.4346109575728194</v>
      </c>
      <c r="W88" s="1">
        <v>3.535678659716444</v>
      </c>
      <c r="X88" s="1">
        <v>3.8332824003732253</v>
      </c>
      <c r="Y88" s="1">
        <v>4.0398272819549783</v>
      </c>
      <c r="Z88" s="1">
        <v>3.9272881207802914</v>
      </c>
      <c r="AB88" s="3"/>
      <c r="AC88" s="3"/>
      <c r="AD88" s="3"/>
      <c r="AE88" s="3"/>
      <c r="AF88" s="3"/>
      <c r="AM88" s="1">
        <v>4.0955204842597492</v>
      </c>
      <c r="AO88" s="2">
        <v>0.8</v>
      </c>
      <c r="AP88" s="1">
        <v>1.829288502786284</v>
      </c>
      <c r="AQ88" s="1">
        <v>1.7835916817297861</v>
      </c>
      <c r="AR88" s="1">
        <v>1.8496617798638069</v>
      </c>
      <c r="AS88" s="1">
        <v>1.704657075685347</v>
      </c>
      <c r="AT88" s="1">
        <v>1.9695778589852118</v>
      </c>
      <c r="AU88" s="1">
        <v>2.0190967966608939</v>
      </c>
    </row>
    <row r="89" spans="18:50" x14ac:dyDescent="0.25">
      <c r="R89" s="5">
        <v>0.81</v>
      </c>
      <c r="S89" s="1">
        <v>2.3337028499429167</v>
      </c>
      <c r="T89" s="1">
        <v>2.6011862631022225</v>
      </c>
      <c r="U89" s="1">
        <v>3.4794537320270482</v>
      </c>
      <c r="V89" s="1">
        <v>3.4522309698336167</v>
      </c>
      <c r="W89" s="1">
        <v>3.5550217456117172</v>
      </c>
      <c r="X89" s="1">
        <v>3.8510528967485449</v>
      </c>
      <c r="Y89" s="1">
        <v>4.0635162727908067</v>
      </c>
      <c r="Z89" s="1">
        <v>3.9489120952784789</v>
      </c>
      <c r="AB89" s="3"/>
      <c r="AC89" s="3"/>
      <c r="AD89" s="3"/>
      <c r="AE89" s="3"/>
      <c r="AF89" s="3"/>
      <c r="AM89" s="1">
        <v>4.118259958184801</v>
      </c>
      <c r="AO89" s="5">
        <v>0.81</v>
      </c>
      <c r="AP89" s="1">
        <v>1.8374087736271438</v>
      </c>
      <c r="AQ89" s="1">
        <v>1.7984508194065199</v>
      </c>
      <c r="AR89" s="1">
        <v>1.8636744376940562</v>
      </c>
      <c r="AS89" s="1">
        <v>1.7151641928045471</v>
      </c>
      <c r="AT89" s="1">
        <v>1.9871232352482142</v>
      </c>
      <c r="AU89" s="1">
        <v>2.0368094081715622</v>
      </c>
    </row>
    <row r="90" spans="18:50" x14ac:dyDescent="0.25">
      <c r="R90" s="2">
        <v>0.82</v>
      </c>
      <c r="S90" s="1">
        <v>2.3478731095817218</v>
      </c>
      <c r="T90" s="1">
        <v>2.6184669834759067</v>
      </c>
      <c r="U90" s="1">
        <v>3.498728665413017</v>
      </c>
      <c r="V90" s="1">
        <v>3.4713394114097422</v>
      </c>
      <c r="W90" s="1">
        <v>3.5715393688001065</v>
      </c>
      <c r="X90" s="1">
        <v>3.8726805956356691</v>
      </c>
      <c r="Y90" s="1">
        <v>4.0854039479334752</v>
      </c>
      <c r="Z90" s="1">
        <v>3.9725797834301253</v>
      </c>
      <c r="AB90" s="3"/>
      <c r="AC90" s="3"/>
      <c r="AD90" s="3"/>
      <c r="AE90" s="3"/>
      <c r="AF90" s="3"/>
      <c r="AM90" s="1">
        <v>4.1389074774450503</v>
      </c>
      <c r="AO90" s="2">
        <v>0.82</v>
      </c>
      <c r="AP90" s="1">
        <v>1.8569353966484932</v>
      </c>
      <c r="AQ90" s="1">
        <v>1.8124636867981052</v>
      </c>
      <c r="AR90" s="1">
        <v>1.8858891597724432</v>
      </c>
      <c r="AS90" s="1">
        <v>1.7301307494406675</v>
      </c>
      <c r="AT90" s="1">
        <v>1.9947286671197715</v>
      </c>
      <c r="AU90" s="1">
        <v>2.0553107092565339</v>
      </c>
    </row>
    <row r="91" spans="18:50" x14ac:dyDescent="0.25">
      <c r="R91" s="5">
        <v>0.83</v>
      </c>
      <c r="S91" s="1">
        <v>2.3617404556570478</v>
      </c>
      <c r="T91" s="1">
        <v>2.6335490314544208</v>
      </c>
      <c r="U91" s="1">
        <v>3.5162429937031661</v>
      </c>
      <c r="V91" s="1">
        <v>3.4912000324001906</v>
      </c>
      <c r="W91" s="1">
        <v>3.5938350325630806</v>
      </c>
      <c r="X91" s="1">
        <v>3.8950536353251715</v>
      </c>
      <c r="Y91" s="1">
        <v>4.1067342387532939</v>
      </c>
      <c r="Z91" s="1">
        <v>3.9992346395250395</v>
      </c>
      <c r="AB91" s="3"/>
      <c r="AC91" s="3"/>
      <c r="AD91" s="3"/>
      <c r="AE91" s="3"/>
      <c r="AF91" s="3"/>
      <c r="AM91" s="1">
        <v>4.157172423584174</v>
      </c>
      <c r="AO91" s="5">
        <v>0.83</v>
      </c>
      <c r="AP91" s="1">
        <v>1.866291736426257</v>
      </c>
      <c r="AQ91" s="1">
        <v>1.8187475843040628</v>
      </c>
      <c r="AR91" s="1">
        <v>1.8944307126705322</v>
      </c>
      <c r="AS91" s="1">
        <v>1.7427829775278421</v>
      </c>
      <c r="AT91" s="1">
        <v>2.0100129226467156</v>
      </c>
      <c r="AU91" s="1">
        <v>2.0714943609521907</v>
      </c>
    </row>
    <row r="92" spans="18:50" x14ac:dyDescent="0.25">
      <c r="R92" s="2">
        <v>0.84</v>
      </c>
      <c r="S92" s="1">
        <v>2.3790313315020613</v>
      </c>
      <c r="T92" s="1">
        <v>2.6518344326741889</v>
      </c>
      <c r="U92" s="1">
        <v>3.5358247407609906</v>
      </c>
      <c r="V92" s="1">
        <v>3.514568236162289</v>
      </c>
      <c r="W92" s="1">
        <v>3.6133960420297639</v>
      </c>
      <c r="X92" s="1">
        <v>3.9202198788584952</v>
      </c>
      <c r="Y92" s="1">
        <v>4.1279265721295486</v>
      </c>
      <c r="Z92" s="1">
        <v>4.0204259392563895</v>
      </c>
      <c r="AB92" s="3"/>
      <c r="AC92" s="3"/>
      <c r="AD92" s="3"/>
      <c r="AE92" s="3"/>
      <c r="AF92" s="3"/>
      <c r="AM92" s="1">
        <v>4.1809686717271237</v>
      </c>
      <c r="AO92" s="2">
        <v>0.84</v>
      </c>
      <c r="AP92" s="1">
        <v>1.8848784941142527</v>
      </c>
      <c r="AQ92" s="1">
        <v>1.8368054509447469</v>
      </c>
      <c r="AR92" s="1">
        <v>1.9211659027667405</v>
      </c>
      <c r="AS92" s="1">
        <v>1.7565861740889335</v>
      </c>
      <c r="AT92" s="1">
        <v>2.0311315550017315</v>
      </c>
      <c r="AU92" s="1">
        <v>2.0899956620371625</v>
      </c>
    </row>
    <row r="93" spans="18:50" x14ac:dyDescent="0.25">
      <c r="R93" s="5">
        <v>0.85</v>
      </c>
      <c r="S93" s="1">
        <v>2.4024457728170394</v>
      </c>
      <c r="T93" s="1">
        <v>2.6715957580630274</v>
      </c>
      <c r="U93" s="1">
        <v>3.5582476352615231</v>
      </c>
      <c r="V93" s="1">
        <v>3.5366143134650292</v>
      </c>
      <c r="W93" s="1">
        <v>3.6381776698523853</v>
      </c>
      <c r="X93" s="1">
        <v>3.9416916161414108</v>
      </c>
      <c r="Y93" s="1">
        <v>4.1486849984059262</v>
      </c>
      <c r="Z93" s="1">
        <v>4.0446609855283375</v>
      </c>
      <c r="AB93" s="3"/>
      <c r="AC93" s="3"/>
      <c r="AD93" s="3"/>
      <c r="AE93" s="3"/>
      <c r="AF93" s="3"/>
      <c r="AM93" s="1">
        <v>4.2107916740987532</v>
      </c>
      <c r="AO93" s="5">
        <v>0.85</v>
      </c>
      <c r="AP93" s="1">
        <v>1.903170546561922</v>
      </c>
      <c r="AQ93" s="1">
        <v>1.8614648350438256</v>
      </c>
      <c r="AR93" s="1">
        <v>1.9367683569229892</v>
      </c>
      <c r="AS93" s="1">
        <v>1.7708541903995931</v>
      </c>
      <c r="AT93" s="1">
        <v>2.0568100725611953</v>
      </c>
      <c r="AU93" s="1">
        <v>2.1128540434379501</v>
      </c>
    </row>
    <row r="94" spans="18:50" x14ac:dyDescent="0.25">
      <c r="R94" s="2">
        <v>0.86</v>
      </c>
      <c r="S94" s="1">
        <v>2.4201026890141848</v>
      </c>
      <c r="T94" s="1">
        <v>2.6932793941081212</v>
      </c>
      <c r="U94" s="1">
        <v>3.5818207517060769</v>
      </c>
      <c r="V94" s="1">
        <v>3.5593168166100693</v>
      </c>
      <c r="W94" s="1">
        <v>3.6582322739126827</v>
      </c>
      <c r="X94" s="1">
        <v>3.9730068024712537</v>
      </c>
      <c r="Y94" s="1">
        <v>4.1771313095430278</v>
      </c>
      <c r="Z94" s="1">
        <v>4.0713656233080995</v>
      </c>
      <c r="AB94" s="3"/>
      <c r="AC94" s="3"/>
      <c r="AD94" s="3"/>
      <c r="AE94" s="3"/>
      <c r="AF94" s="3">
        <v>3.9781259059999998</v>
      </c>
      <c r="AM94" s="1">
        <v>4.2372813577912734</v>
      </c>
      <c r="AO94" s="2">
        <v>0.86</v>
      </c>
      <c r="AP94" s="1">
        <v>1.9179372009380735</v>
      </c>
      <c r="AQ94" s="1">
        <v>1.8751280083237281</v>
      </c>
      <c r="AR94" s="1">
        <v>1.9586406743018068</v>
      </c>
      <c r="AS94" s="1">
        <v>1.7863328935288496</v>
      </c>
      <c r="AT94" s="1">
        <v>2.0808153629995081</v>
      </c>
      <c r="AU94" s="1">
        <v>2.1343229214605905</v>
      </c>
    </row>
    <row r="95" spans="18:50" x14ac:dyDescent="0.25">
      <c r="R95" s="5">
        <v>0.87</v>
      </c>
      <c r="S95" s="1">
        <v>2.4380597744342491</v>
      </c>
      <c r="T95" s="1">
        <v>2.7162467217111401</v>
      </c>
      <c r="U95" s="1">
        <v>3.6121482258789666</v>
      </c>
      <c r="V95" s="1">
        <v>3.5868268308460318</v>
      </c>
      <c r="W95" s="1">
        <v>3.6869676060644045</v>
      </c>
      <c r="X95" s="1">
        <v>4.0076712479137049</v>
      </c>
      <c r="Y95" s="1">
        <v>4.2104790807748564</v>
      </c>
      <c r="Z95" s="1">
        <v>4.0950261632057314</v>
      </c>
      <c r="AB95" s="3"/>
      <c r="AC95" s="3"/>
      <c r="AD95" s="3"/>
      <c r="AE95" s="3"/>
      <c r="AF95" s="3"/>
      <c r="AM95" s="1">
        <v>4.2662031531980604</v>
      </c>
      <c r="AO95" s="5">
        <v>0.87</v>
      </c>
      <c r="AP95" s="1">
        <v>1.9314661706094249</v>
      </c>
      <c r="AQ95" s="1">
        <v>1.8845368403264218</v>
      </c>
      <c r="AR95" s="1">
        <v>1.9730472248154194</v>
      </c>
      <c r="AS95" s="1">
        <v>1.808165811132415</v>
      </c>
      <c r="AT95" s="1">
        <v>2.1089773433555203</v>
      </c>
      <c r="AU95" s="1">
        <v>2.1585302698844044</v>
      </c>
    </row>
    <row r="96" spans="18:50" x14ac:dyDescent="0.25">
      <c r="R96" s="2">
        <v>0.88</v>
      </c>
      <c r="S96" s="1">
        <v>2.4623286991574438</v>
      </c>
      <c r="T96" s="1">
        <v>2.7380113778605142</v>
      </c>
      <c r="U96" s="1">
        <v>3.6401873948654324</v>
      </c>
      <c r="V96" s="1">
        <v>3.6221275934359838</v>
      </c>
      <c r="W96" s="1">
        <v>3.7158242173342972</v>
      </c>
      <c r="X96" s="1">
        <v>4.0414300360188138</v>
      </c>
      <c r="Y96" s="1">
        <v>4.2436825545947796</v>
      </c>
      <c r="Z96" s="1">
        <v>4.1235429236389374</v>
      </c>
      <c r="AB96" s="3"/>
      <c r="AC96" s="3"/>
      <c r="AD96" s="3"/>
      <c r="AE96" s="3"/>
      <c r="AF96" s="3"/>
      <c r="AM96" s="1">
        <v>4.3006085686168651</v>
      </c>
      <c r="AO96" s="2">
        <v>0.88</v>
      </c>
      <c r="AP96" s="1">
        <v>1.9572453906963811</v>
      </c>
      <c r="AQ96" s="1">
        <v>1.9063656227514729</v>
      </c>
      <c r="AR96" s="1">
        <v>1.9981287984051521</v>
      </c>
      <c r="AS96" s="1">
        <v>1.8228301847031152</v>
      </c>
      <c r="AT96" s="1">
        <v>2.1305825905346736</v>
      </c>
      <c r="AU96" s="1">
        <v>2.1804466689079467</v>
      </c>
    </row>
    <row r="97" spans="18:53" x14ac:dyDescent="0.25">
      <c r="R97" s="5">
        <v>0.89</v>
      </c>
      <c r="S97" s="1">
        <v>2.4845779338773086</v>
      </c>
      <c r="T97" s="1">
        <v>2.7600520183976034</v>
      </c>
      <c r="U97" s="1">
        <v>3.6673468593405945</v>
      </c>
      <c r="V97" s="1">
        <v>3.6560501782416259</v>
      </c>
      <c r="W97" s="1">
        <v>3.7474308955146052</v>
      </c>
      <c r="X97" s="1">
        <v>4.069331104956631</v>
      </c>
      <c r="Y97" s="1">
        <v>4.272697653284399</v>
      </c>
      <c r="Z97" s="1">
        <v>4.1610555193757044</v>
      </c>
      <c r="AB97" s="3"/>
      <c r="AC97" s="3"/>
      <c r="AD97" s="3"/>
      <c r="AE97" s="3"/>
      <c r="AF97" s="3"/>
      <c r="AM97" s="1">
        <v>4.3323835993650457</v>
      </c>
      <c r="AO97" s="5">
        <v>0.89</v>
      </c>
      <c r="AP97" s="1">
        <v>1.9835922533518819</v>
      </c>
      <c r="AQ97" s="1">
        <v>1.9290090916028098</v>
      </c>
      <c r="AR97" s="1">
        <v>2.0087036891834193</v>
      </c>
      <c r="AS97" s="1">
        <v>1.8468507038179953</v>
      </c>
      <c r="AT97" s="1">
        <v>2.1559332200594405</v>
      </c>
      <c r="AU97" s="1">
        <v>2.2014294150270239</v>
      </c>
    </row>
    <row r="98" spans="18:53" x14ac:dyDescent="0.25">
      <c r="R98" s="2">
        <v>0.9</v>
      </c>
      <c r="S98" s="1">
        <v>2.5087940410089193</v>
      </c>
      <c r="T98" s="1">
        <v>2.7848486107064101</v>
      </c>
      <c r="U98" s="1">
        <v>3.6984761477465953</v>
      </c>
      <c r="V98" s="1">
        <v>3.6901373787995704</v>
      </c>
      <c r="W98" s="1">
        <v>3.7759718488560376</v>
      </c>
      <c r="X98" s="1">
        <v>4.1057601944604984</v>
      </c>
      <c r="Y98" s="1">
        <v>4.3097527947832761</v>
      </c>
      <c r="Z98" s="1">
        <v>4.1899856562009097</v>
      </c>
      <c r="AB98" s="3"/>
      <c r="AC98" s="3"/>
      <c r="AD98" s="3"/>
      <c r="AE98" s="3"/>
      <c r="AF98" s="3"/>
      <c r="AM98" s="1">
        <v>4.365966094846562</v>
      </c>
      <c r="AO98" s="2">
        <v>0.9</v>
      </c>
      <c r="AP98" s="1">
        <v>2.0035393241377415</v>
      </c>
      <c r="AQ98" s="1">
        <v>1.9538347534696854</v>
      </c>
      <c r="AR98" s="1">
        <v>2.0368096482175848</v>
      </c>
      <c r="AS98" s="1">
        <v>1.872264015670037</v>
      </c>
      <c r="AT98" s="1">
        <v>2.1764526689514252</v>
      </c>
      <c r="AU98" s="1">
        <v>2.2233891761369238</v>
      </c>
    </row>
    <row r="99" spans="18:53" x14ac:dyDescent="0.25">
      <c r="R99" s="5">
        <v>0.91</v>
      </c>
      <c r="S99" s="1">
        <v>2.5343469802083614</v>
      </c>
      <c r="T99" s="1">
        <v>2.8137541549724099</v>
      </c>
      <c r="U99" s="1">
        <v>3.7287289187459707</v>
      </c>
      <c r="V99" s="1">
        <v>3.7251873458202898</v>
      </c>
      <c r="W99" s="1">
        <v>3.8082911175783045</v>
      </c>
      <c r="X99" s="1">
        <v>4.1453056167545999</v>
      </c>
      <c r="Y99" s="1">
        <v>4.3417551263238208</v>
      </c>
      <c r="Z99" s="1">
        <v>4.2261883735591397</v>
      </c>
      <c r="AB99" s="3"/>
      <c r="AC99" s="3"/>
      <c r="AD99" s="3"/>
      <c r="AE99" s="3"/>
      <c r="AF99" s="3"/>
      <c r="AM99" s="1">
        <v>4.4103941301686653</v>
      </c>
      <c r="AO99" s="5">
        <v>0.91</v>
      </c>
      <c r="AP99" s="1">
        <v>2.0298861867932421</v>
      </c>
      <c r="AQ99" s="1">
        <v>1.9849056179022413</v>
      </c>
      <c r="AR99" s="1">
        <v>2.0591863617699633</v>
      </c>
      <c r="AS99" s="1">
        <v>1.8936127496065609</v>
      </c>
      <c r="AT99" s="1">
        <v>2.2026036824753827</v>
      </c>
      <c r="AU99" s="1">
        <v>2.2412365070982414</v>
      </c>
    </row>
    <row r="100" spans="18:53" x14ac:dyDescent="0.25">
      <c r="R100" s="2">
        <v>0.92</v>
      </c>
      <c r="S100" s="1">
        <v>2.5672887601939274</v>
      </c>
      <c r="T100" s="1">
        <v>2.844195929657729</v>
      </c>
      <c r="U100" s="1">
        <v>3.7663914779142389</v>
      </c>
      <c r="V100" s="1">
        <v>3.7607249121378579</v>
      </c>
      <c r="W100" s="1">
        <v>3.8366794225732765</v>
      </c>
      <c r="X100" s="1">
        <v>4.1831056688148864</v>
      </c>
      <c r="Y100" s="1">
        <v>4.3840803301899607</v>
      </c>
      <c r="Z100" s="1">
        <v>4.2661858965788735</v>
      </c>
      <c r="AB100" s="3"/>
      <c r="AC100" s="3"/>
      <c r="AD100" s="3"/>
      <c r="AE100" s="3"/>
      <c r="AF100" s="3"/>
      <c r="AM100" s="1">
        <v>4.4577298726173273</v>
      </c>
      <c r="AO100" s="2">
        <v>0.92</v>
      </c>
      <c r="AP100" s="1">
        <v>2.0501829516907848</v>
      </c>
      <c r="AQ100" s="1">
        <v>2.0005983474108922</v>
      </c>
      <c r="AR100" s="1">
        <v>2.1002842352371962</v>
      </c>
      <c r="AS100" s="1">
        <v>1.9232374453144407</v>
      </c>
      <c r="AT100" s="1">
        <v>2.2344477630473123</v>
      </c>
      <c r="AU100" s="1">
        <v>2.2734288897974717</v>
      </c>
    </row>
    <row r="101" spans="18:53" x14ac:dyDescent="0.25">
      <c r="R101" s="5">
        <v>0.93</v>
      </c>
      <c r="S101" s="1">
        <v>2.6036686557997273</v>
      </c>
      <c r="T101" s="1">
        <v>2.8734367680316861</v>
      </c>
      <c r="U101" s="1">
        <v>3.8058676505056788</v>
      </c>
      <c r="V101" s="1">
        <v>3.7962020020165115</v>
      </c>
      <c r="W101" s="1">
        <v>3.8764123425232397</v>
      </c>
      <c r="X101" s="1">
        <v>4.2193910445070353</v>
      </c>
      <c r="Y101" s="1">
        <v>4.4357264833027283</v>
      </c>
      <c r="Z101" s="1">
        <v>4.3193069573597933</v>
      </c>
      <c r="AB101" s="3"/>
      <c r="AC101" s="3"/>
      <c r="AD101" s="3"/>
      <c r="AE101" s="3"/>
      <c r="AF101" s="3"/>
      <c r="AM101" s="1">
        <v>4.5092268642714659</v>
      </c>
      <c r="AO101" s="5">
        <v>0.93</v>
      </c>
      <c r="AP101" s="1">
        <v>2.0897946457521761</v>
      </c>
      <c r="AQ101" s="1">
        <v>2.0451840216574131</v>
      </c>
      <c r="AR101" s="1">
        <v>2.1273149576858361</v>
      </c>
      <c r="AS101" s="1">
        <v>1.9563207604483452</v>
      </c>
      <c r="AT101" s="1">
        <v>2.2558909191137673</v>
      </c>
      <c r="AU101" s="1">
        <v>2.3235389344382633</v>
      </c>
    </row>
    <row r="102" spans="18:53" x14ac:dyDescent="0.25">
      <c r="R102" s="2">
        <v>0.94</v>
      </c>
      <c r="S102" s="1">
        <v>2.6360300404358274</v>
      </c>
      <c r="T102" s="1">
        <v>2.9091554203277488</v>
      </c>
      <c r="U102" s="1">
        <v>3.8447555256927783</v>
      </c>
      <c r="V102" s="1">
        <v>3.8502379485847578</v>
      </c>
      <c r="W102" s="1">
        <v>3.9164039746827393</v>
      </c>
      <c r="X102" s="1">
        <v>4.2770687265357008</v>
      </c>
      <c r="Y102" s="1">
        <v>4.4875558805554512</v>
      </c>
      <c r="Z102" s="1">
        <v>4.3781679966368019</v>
      </c>
      <c r="AB102" s="3"/>
      <c r="AC102" s="3"/>
      <c r="AD102" s="3"/>
      <c r="AE102" s="3"/>
      <c r="AF102" s="3"/>
      <c r="AM102" s="1">
        <v>4.5631418863937148</v>
      </c>
      <c r="AO102" s="2">
        <v>0.94</v>
      </c>
      <c r="AP102" s="1">
        <v>2.1226057993307847</v>
      </c>
      <c r="AQ102" s="1">
        <v>2.0923918848159353</v>
      </c>
      <c r="AR102" s="1">
        <v>2.1609901572709269</v>
      </c>
      <c r="AS102" s="1">
        <v>2.0013992004455754</v>
      </c>
      <c r="AT102" s="1">
        <v>2.3129112512987016</v>
      </c>
      <c r="AU102" s="1">
        <v>2.3705307572514749</v>
      </c>
    </row>
    <row r="103" spans="18:53" x14ac:dyDescent="0.25">
      <c r="R103" s="5">
        <v>0.95</v>
      </c>
      <c r="S103" s="1">
        <v>2.673791464112711</v>
      </c>
      <c r="T103" s="1">
        <v>2.9539184284804749</v>
      </c>
      <c r="U103" s="1">
        <v>3.8900419866272422</v>
      </c>
      <c r="V103" s="1">
        <v>3.9074288851128771</v>
      </c>
      <c r="W103" s="1">
        <v>3.9745915521120496</v>
      </c>
      <c r="X103" s="1">
        <v>4.3279311212306411</v>
      </c>
      <c r="Y103" s="1">
        <v>4.540015297219103</v>
      </c>
      <c r="Z103" s="1">
        <v>4.4410805409039691</v>
      </c>
      <c r="AB103" s="3"/>
      <c r="AC103" s="3"/>
      <c r="AD103" s="3"/>
      <c r="AE103" s="3"/>
      <c r="AF103" s="3"/>
      <c r="AM103" s="1">
        <v>4.6311627865636087</v>
      </c>
      <c r="AO103" s="5">
        <v>0.95</v>
      </c>
      <c r="AP103" s="1">
        <v>2.1755608074773671</v>
      </c>
      <c r="AQ103" s="1">
        <v>2.1305802385863664</v>
      </c>
      <c r="AR103" s="1">
        <v>2.2023174970001795</v>
      </c>
      <c r="AS103" s="1">
        <v>2.0371861759824106</v>
      </c>
      <c r="AT103" s="1">
        <v>2.3534116762091246</v>
      </c>
      <c r="AU103" s="1">
        <v>2.4151009426382632</v>
      </c>
      <c r="BA103" s="3">
        <v>2.4199585589999999</v>
      </c>
    </row>
    <row r="104" spans="18:53" x14ac:dyDescent="0.25">
      <c r="R104" s="2">
        <v>0.96</v>
      </c>
      <c r="S104" s="1">
        <v>2.7219887192378751</v>
      </c>
      <c r="T104" s="1">
        <v>3.003890024469996</v>
      </c>
      <c r="U104" s="1">
        <v>3.9499333541507218</v>
      </c>
      <c r="V104" s="1">
        <v>3.9831697275132387</v>
      </c>
      <c r="W104" s="1">
        <v>4.0413880623699452</v>
      </c>
      <c r="X104" s="1">
        <v>4.3985919017382713</v>
      </c>
      <c r="Y104" s="1">
        <v>4.6070995773811623</v>
      </c>
      <c r="Z104" s="1">
        <v>4.5026510207532393</v>
      </c>
      <c r="AB104" s="3"/>
      <c r="AC104" s="3"/>
      <c r="AD104" s="3"/>
      <c r="AE104" s="3"/>
      <c r="AF104" s="3"/>
      <c r="AM104" s="1">
        <v>4.7030963106082169</v>
      </c>
      <c r="AO104" s="2">
        <v>0.96</v>
      </c>
      <c r="AP104" s="1">
        <v>2.2212870983501838</v>
      </c>
      <c r="AQ104" s="1">
        <v>2.1747027957510707</v>
      </c>
      <c r="AR104" s="1">
        <v>2.2486951577375738</v>
      </c>
      <c r="AS104" s="1">
        <v>2.0869529858580234</v>
      </c>
      <c r="AT104" s="1">
        <v>2.4058584521977258</v>
      </c>
      <c r="AU104" s="1">
        <v>2.4676055064998366</v>
      </c>
    </row>
    <row r="105" spans="18:53" x14ac:dyDescent="0.25">
      <c r="R105" s="5">
        <v>0.97</v>
      </c>
      <c r="S105" s="1">
        <v>2.7901223996875482</v>
      </c>
      <c r="T105" s="1">
        <v>3.0823476845804665</v>
      </c>
      <c r="U105" s="1">
        <v>4.0293703368466316</v>
      </c>
      <c r="V105" s="1">
        <v>4.0800337867565366</v>
      </c>
      <c r="W105" s="1">
        <v>4.1256664612897014</v>
      </c>
      <c r="X105" s="1">
        <v>4.4815586039216404</v>
      </c>
      <c r="Y105" s="1">
        <v>4.6965296640994136</v>
      </c>
      <c r="Z105" s="1">
        <v>4.6012340193156342</v>
      </c>
      <c r="AB105" s="3"/>
      <c r="AC105" s="3"/>
      <c r="AD105" s="3"/>
      <c r="AE105" s="3"/>
      <c r="AF105" s="3"/>
      <c r="AM105" s="1">
        <v>4.7861442278149795</v>
      </c>
      <c r="AO105" s="5">
        <v>0.97</v>
      </c>
      <c r="AP105" s="1">
        <v>2.2882799352087302</v>
      </c>
      <c r="AQ105" s="1">
        <v>2.2500671615439201</v>
      </c>
      <c r="AR105" s="1">
        <v>2.3249800740382467</v>
      </c>
      <c r="AS105" s="1">
        <v>2.1606460150659732</v>
      </c>
      <c r="AT105" s="1">
        <v>2.478463872524459</v>
      </c>
      <c r="AU105" s="1">
        <v>2.522366888744318</v>
      </c>
    </row>
    <row r="106" spans="18:53" x14ac:dyDescent="0.25">
      <c r="R106" s="2">
        <v>0.98</v>
      </c>
      <c r="S106" s="1">
        <v>2.8864441728855774</v>
      </c>
      <c r="T106" s="1">
        <v>3.176987711242401</v>
      </c>
      <c r="U106" s="1">
        <v>4.1363477218244578</v>
      </c>
      <c r="V106" s="1">
        <v>4.1899082206427813</v>
      </c>
      <c r="W106" s="1">
        <v>4.2459383527360588</v>
      </c>
      <c r="X106" s="1">
        <v>4.5858307425625275</v>
      </c>
      <c r="Y106" s="1">
        <v>4.8318008983327925</v>
      </c>
      <c r="Z106" s="1">
        <v>4.7201763671165891</v>
      </c>
      <c r="AB106" s="3"/>
      <c r="AC106" s="3"/>
      <c r="AD106" s="3"/>
      <c r="AE106" s="3"/>
      <c r="AF106" s="3"/>
      <c r="AM106" s="1">
        <v>4.9176696812149707</v>
      </c>
      <c r="AO106" s="2">
        <v>0.98</v>
      </c>
      <c r="AP106" s="1">
        <v>2.379530017646712</v>
      </c>
      <c r="AQ106" s="1">
        <v>2.3187148991991537</v>
      </c>
      <c r="AR106" s="1">
        <v>2.4160223554371814</v>
      </c>
      <c r="AS106" s="1">
        <v>2.2445021292420457</v>
      </c>
      <c r="AT106" s="1">
        <v>2.584476888004628</v>
      </c>
      <c r="AU106" s="1">
        <v>2.6078672656810635</v>
      </c>
    </row>
    <row r="107" spans="18:53" x14ac:dyDescent="0.25">
      <c r="R107" s="5">
        <v>0.99</v>
      </c>
      <c r="S107" s="1">
        <v>3.0284955145326511</v>
      </c>
      <c r="T107" s="1">
        <v>3.3089376581125318</v>
      </c>
      <c r="U107" s="1">
        <v>4.3100086635543464</v>
      </c>
      <c r="V107" s="1">
        <v>4.3830365719355893</v>
      </c>
      <c r="W107" s="1">
        <v>4.4058892007265467</v>
      </c>
      <c r="X107" s="1">
        <v>4.7587621792180386</v>
      </c>
      <c r="Y107" s="1">
        <v>5.0046928928692296</v>
      </c>
      <c r="Z107" s="1">
        <v>4.9409209308153912</v>
      </c>
      <c r="AB107" s="3"/>
      <c r="AC107" s="3"/>
      <c r="AD107" s="3"/>
      <c r="AE107" s="3"/>
      <c r="AF107" s="3"/>
      <c r="AM107" s="1">
        <v>5.1314161961535971</v>
      </c>
      <c r="AO107" s="5">
        <v>0.99</v>
      </c>
      <c r="AP107" s="1">
        <v>2.5385915995198935</v>
      </c>
      <c r="AQ107" s="1">
        <v>2.4640398257715952</v>
      </c>
      <c r="AR107" s="1">
        <v>2.6088246831683133</v>
      </c>
      <c r="AS107" s="1">
        <v>2.3966542844508676</v>
      </c>
      <c r="AT107" s="1">
        <v>2.7410404761654212</v>
      </c>
      <c r="AU107" s="1">
        <v>2.7849211155107474</v>
      </c>
    </row>
    <row r="108" spans="18:53" x14ac:dyDescent="0.25">
      <c r="R108" s="4" t="s">
        <v>1</v>
      </c>
      <c r="S108" s="1">
        <v>3.7531379653411281</v>
      </c>
      <c r="T108" s="1">
        <v>3.9922387211943065</v>
      </c>
      <c r="U108" s="1">
        <v>5.22857565255502</v>
      </c>
      <c r="V108" s="1">
        <v>5.3648981107892606</v>
      </c>
      <c r="W108" s="1">
        <v>5.349885689585725</v>
      </c>
      <c r="X108" s="1">
        <v>6.0990249226165218</v>
      </c>
      <c r="Y108" s="1">
        <v>6.3001098361856487</v>
      </c>
      <c r="Z108" s="1">
        <v>6.8005584203158387</v>
      </c>
      <c r="AB108" s="3"/>
      <c r="AC108" s="3"/>
      <c r="AD108" s="3"/>
      <c r="AE108" s="3"/>
      <c r="AF108" s="3"/>
      <c r="AM108" s="1">
        <v>6.9492510789044672</v>
      </c>
      <c r="AO108" s="2" t="s">
        <v>0</v>
      </c>
      <c r="AP108" s="1">
        <v>3.9232861802249244</v>
      </c>
      <c r="AQ108" s="1">
        <v>3.2283397589042404</v>
      </c>
      <c r="AR108" s="1">
        <v>3.4729309222084965</v>
      </c>
      <c r="AS108" s="1">
        <v>3.2993543244918593</v>
      </c>
      <c r="AT108" s="1">
        <v>4.0141305343690021</v>
      </c>
      <c r="AU108" s="1">
        <v>4.0898458783198768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77DB-77FD-4E46-9598-781B0ED32484}">
  <sheetPr>
    <tabColor rgb="FF92D050"/>
  </sheetPr>
  <dimension ref="R2:AO106"/>
  <sheetViews>
    <sheetView topLeftCell="A19" zoomScaleNormal="100" workbookViewId="0">
      <selection activeCell="S34" sqref="S34"/>
    </sheetView>
  </sheetViews>
  <sheetFormatPr defaultRowHeight="15" x14ac:dyDescent="0.25"/>
  <cols>
    <col min="1" max="27" width="9.140625" style="1"/>
    <col min="28" max="28" width="9.5703125" style="1" bestFit="1" customWidth="1"/>
    <col min="29" max="16384" width="9.140625" style="1"/>
  </cols>
  <sheetData>
    <row r="2" spans="18:41" x14ac:dyDescent="0.25">
      <c r="S2" s="1">
        <v>1269.9197481723052</v>
      </c>
      <c r="T2" s="1">
        <v>0.33686631336866313</v>
      </c>
      <c r="AA2" s="12">
        <v>0.96820317968203184</v>
      </c>
      <c r="AB2" s="12">
        <v>0.26367363263673632</v>
      </c>
      <c r="AC2" s="12">
        <v>0.11138886111388861</v>
      </c>
      <c r="AD2" s="12">
        <v>0.21057894210578942</v>
      </c>
      <c r="AE2" s="12">
        <v>3.2896710328967106E-2</v>
      </c>
      <c r="AF2" s="12">
        <v>0.78972102789721033</v>
      </c>
      <c r="AG2" s="12">
        <v>0.8276172382761724</v>
      </c>
      <c r="AH2" s="12"/>
      <c r="AI2" s="12"/>
    </row>
    <row r="3" spans="18:41" x14ac:dyDescent="0.25">
      <c r="S3" s="9"/>
      <c r="T3" s="9"/>
      <c r="U3" s="9"/>
      <c r="V3" s="9"/>
      <c r="W3" s="9"/>
      <c r="X3" s="9"/>
      <c r="Y3" s="9"/>
      <c r="Z3" s="9"/>
      <c r="AA3" s="3">
        <v>1.38338484573525</v>
      </c>
      <c r="AB3" s="3">
        <v>1.0516497803292035</v>
      </c>
      <c r="AC3" s="3">
        <v>1.1051196780486729</v>
      </c>
      <c r="AD3" s="3">
        <v>1.1270059433473452</v>
      </c>
      <c r="AE3" s="3">
        <v>1.1117000978259892</v>
      </c>
      <c r="AF3" s="1">
        <v>1.49860095482463</v>
      </c>
      <c r="AG3" s="1">
        <v>1.72205616848195</v>
      </c>
      <c r="AH3" s="1">
        <v>1.1718493048960801</v>
      </c>
      <c r="AK3" s="9"/>
    </row>
    <row r="4" spans="18:41" x14ac:dyDescent="0.25">
      <c r="AF4" s="8">
        <f>AF3/AE3-1</f>
        <v>0.34802628672539804</v>
      </c>
      <c r="AG4" s="8">
        <f>AG3/AF3-1</f>
        <v>0.1491092161244949</v>
      </c>
      <c r="AH4" s="8">
        <f>AH3/AG3-1</f>
        <v>-0.31950575925226388</v>
      </c>
      <c r="AI4" s="8"/>
    </row>
    <row r="5" spans="18:41" x14ac:dyDescent="0.25">
      <c r="S5" s="1" t="s">
        <v>31</v>
      </c>
      <c r="T5" s="1" t="s">
        <v>30</v>
      </c>
      <c r="U5" s="1" t="s">
        <v>29</v>
      </c>
      <c r="V5" s="1" t="s">
        <v>28</v>
      </c>
      <c r="W5" s="1" t="s">
        <v>27</v>
      </c>
      <c r="X5" s="1" t="s">
        <v>16</v>
      </c>
      <c r="Y5" s="1" t="s">
        <v>26</v>
      </c>
      <c r="Z5" s="1" t="s">
        <v>25</v>
      </c>
      <c r="AA5" s="1" t="s">
        <v>24</v>
      </c>
      <c r="AB5" s="1" t="s">
        <v>23</v>
      </c>
      <c r="AC5" s="1" t="s">
        <v>22</v>
      </c>
      <c r="AD5" s="1" t="s">
        <v>21</v>
      </c>
      <c r="AE5" s="1" t="s">
        <v>20</v>
      </c>
      <c r="AF5" s="1" t="s">
        <v>19</v>
      </c>
      <c r="AG5" s="1" t="s">
        <v>18</v>
      </c>
      <c r="AH5" s="1" t="s">
        <v>17</v>
      </c>
      <c r="AK5" s="1" t="s">
        <v>19</v>
      </c>
    </row>
    <row r="6" spans="18:41" x14ac:dyDescent="0.25">
      <c r="R6" s="5" t="s">
        <v>3</v>
      </c>
      <c r="S6" s="1">
        <v>0.76122758502391852</v>
      </c>
      <c r="T6" s="1">
        <v>0.81911729531132949</v>
      </c>
      <c r="U6" s="1">
        <v>0.90871792822762854</v>
      </c>
      <c r="V6" s="1">
        <v>0.84020092224006537</v>
      </c>
      <c r="W6" s="1">
        <v>0.85598854086274645</v>
      </c>
      <c r="X6" s="1">
        <v>0.91963004962152162</v>
      </c>
      <c r="Y6" s="1">
        <v>1.0550964077824969</v>
      </c>
      <c r="Z6" s="1">
        <v>1.0011984975836856</v>
      </c>
      <c r="AB6" s="3"/>
      <c r="AC6" s="3"/>
      <c r="AD6" s="3"/>
      <c r="AE6" s="3"/>
      <c r="AF6" s="3"/>
      <c r="AG6" s="3"/>
      <c r="AH6" s="3"/>
      <c r="AI6" s="3"/>
      <c r="AK6" s="1">
        <v>0.8955296393002723</v>
      </c>
    </row>
    <row r="7" spans="18:41" x14ac:dyDescent="0.25">
      <c r="R7" s="5">
        <v>0.01</v>
      </c>
      <c r="S7" s="1">
        <v>0.84138348805423491</v>
      </c>
      <c r="T7" s="1">
        <v>0.90141022293764284</v>
      </c>
      <c r="U7" s="1">
        <v>1.002327563622444</v>
      </c>
      <c r="V7" s="1">
        <v>0.96307992122753894</v>
      </c>
      <c r="W7" s="1">
        <v>1.0486969840889431</v>
      </c>
      <c r="X7" s="1">
        <v>1.0242402159327912</v>
      </c>
      <c r="Y7" s="1">
        <v>1.1450425609759176</v>
      </c>
      <c r="Z7" s="1">
        <v>1.1514136252195992</v>
      </c>
      <c r="AB7" s="3"/>
      <c r="AC7" s="3"/>
      <c r="AD7" s="3"/>
      <c r="AE7" s="3"/>
      <c r="AF7" s="3"/>
      <c r="AG7" s="3"/>
      <c r="AI7" s="3"/>
      <c r="AK7" s="1">
        <v>0.9905018661490026</v>
      </c>
    </row>
    <row r="8" spans="18:41" x14ac:dyDescent="0.25">
      <c r="R8" s="2">
        <v>0.02</v>
      </c>
      <c r="S8" s="1">
        <v>0.86022634290965416</v>
      </c>
      <c r="T8" s="1">
        <v>0.92012027212924852</v>
      </c>
      <c r="U8" s="1">
        <v>1.0281010586672783</v>
      </c>
      <c r="V8" s="1">
        <v>0.98911910421807347</v>
      </c>
      <c r="W8" s="1">
        <v>1.0802653312689234</v>
      </c>
      <c r="X8" s="1">
        <v>1.049230850558045</v>
      </c>
      <c r="Y8" s="1">
        <v>1.1759987312720401</v>
      </c>
      <c r="Z8" s="1">
        <v>1.180151941609159</v>
      </c>
      <c r="AB8" s="3"/>
      <c r="AC8" s="3"/>
      <c r="AD8" s="3"/>
      <c r="AE8" s="3"/>
      <c r="AF8" s="3"/>
      <c r="AG8" s="3"/>
      <c r="AH8" s="1">
        <v>1.1718493048960801</v>
      </c>
      <c r="AI8" s="3"/>
      <c r="AK8" s="1">
        <v>1.020607475432594</v>
      </c>
    </row>
    <row r="9" spans="18:41" x14ac:dyDescent="0.25">
      <c r="R9" s="5">
        <v>0.03</v>
      </c>
      <c r="S9" s="1">
        <v>0.8760917001742341</v>
      </c>
      <c r="T9" s="1">
        <v>0.93152652444441131</v>
      </c>
      <c r="U9" s="1">
        <v>1.041535677123743</v>
      </c>
      <c r="V9" s="1">
        <v>1.00729071441586</v>
      </c>
      <c r="W9" s="1">
        <v>1.1032987327806081</v>
      </c>
      <c r="X9" s="1">
        <v>1.0679302331469362</v>
      </c>
      <c r="Y9" s="1">
        <v>1.1955049015890804</v>
      </c>
      <c r="Z9" s="1">
        <v>1.1965377937259516</v>
      </c>
      <c r="AB9" s="3"/>
      <c r="AC9" s="3"/>
      <c r="AD9" s="3"/>
      <c r="AE9" s="3">
        <v>1.1117000978259892</v>
      </c>
      <c r="AF9" s="3"/>
      <c r="AG9" s="3"/>
      <c r="AH9" s="3"/>
      <c r="AI9" s="3"/>
      <c r="AK9" s="1">
        <v>1.0420511054570596</v>
      </c>
      <c r="AO9" s="1">
        <v>1.1117000978259892</v>
      </c>
    </row>
    <row r="10" spans="18:41" x14ac:dyDescent="0.25">
      <c r="R10" s="2">
        <v>0.04</v>
      </c>
      <c r="S10" s="1">
        <v>0.88553068196613183</v>
      </c>
      <c r="T10" s="1">
        <v>0.94113375795653953</v>
      </c>
      <c r="U10" s="1">
        <v>1.0531427039246357</v>
      </c>
      <c r="V10" s="1">
        <v>1.0199375384462712</v>
      </c>
      <c r="W10" s="1">
        <v>1.125077902781646</v>
      </c>
      <c r="X10" s="1">
        <v>1.0787485366570926</v>
      </c>
      <c r="Y10" s="1">
        <v>1.2086069841514848</v>
      </c>
      <c r="Z10" s="1">
        <v>1.2073144005109606</v>
      </c>
      <c r="AB10" s="3"/>
      <c r="AC10" s="3"/>
      <c r="AD10" s="3"/>
      <c r="AE10" s="3"/>
      <c r="AF10" s="3"/>
      <c r="AG10" s="3"/>
      <c r="AH10" s="3"/>
      <c r="AI10" s="3"/>
      <c r="AK10" s="1">
        <v>1.0584246746215245</v>
      </c>
      <c r="AO10" s="1">
        <v>1.3579822882006016</v>
      </c>
    </row>
    <row r="11" spans="18:41" x14ac:dyDescent="0.25">
      <c r="R11" s="5">
        <v>0.05</v>
      </c>
      <c r="S11" s="1">
        <v>0.8928912745406965</v>
      </c>
      <c r="T11" s="1">
        <v>0.94985301723903193</v>
      </c>
      <c r="U11" s="1">
        <v>1.0633498923909515</v>
      </c>
      <c r="V11" s="1">
        <v>1.0308915697559984</v>
      </c>
      <c r="W11" s="1">
        <v>1.1372665098722889</v>
      </c>
      <c r="X11" s="1">
        <v>1.0886815488751787</v>
      </c>
      <c r="Y11" s="1">
        <v>1.2233591734201912</v>
      </c>
      <c r="Z11" s="1">
        <v>1.2178486743611516</v>
      </c>
      <c r="AB11" s="3"/>
      <c r="AC11" s="3"/>
      <c r="AD11" s="3"/>
      <c r="AE11" s="3"/>
      <c r="AF11" s="3"/>
      <c r="AG11" s="3"/>
      <c r="AH11" s="3"/>
      <c r="AI11" s="3"/>
      <c r="AK11" s="1">
        <v>1.0710780778410731</v>
      </c>
    </row>
    <row r="12" spans="18:41" x14ac:dyDescent="0.25">
      <c r="R12" s="2">
        <v>0.06</v>
      </c>
      <c r="S12" s="1">
        <v>0.90136989589033167</v>
      </c>
      <c r="T12" s="1">
        <v>0.95854010498947317</v>
      </c>
      <c r="U12" s="1">
        <v>1.0715459968549692</v>
      </c>
      <c r="V12" s="1">
        <v>1.0409334662678584</v>
      </c>
      <c r="W12" s="1">
        <v>1.1502801260450566</v>
      </c>
      <c r="X12" s="1">
        <v>1.0992899970371597</v>
      </c>
      <c r="Y12" s="1">
        <v>1.2362816896314486</v>
      </c>
      <c r="Z12" s="1">
        <v>1.2274916098289888</v>
      </c>
      <c r="AB12" s="3"/>
      <c r="AC12" s="3"/>
      <c r="AD12" s="3"/>
      <c r="AE12" s="3"/>
      <c r="AF12" s="3"/>
      <c r="AG12" s="3"/>
      <c r="AH12" s="3"/>
      <c r="AI12" s="3"/>
      <c r="AK12" s="1">
        <v>1.0828368995341995</v>
      </c>
      <c r="AO12" s="1">
        <f>AO10-AO9</f>
        <v>0.24628219037461241</v>
      </c>
    </row>
    <row r="13" spans="18:41" x14ac:dyDescent="0.25">
      <c r="R13" s="5">
        <v>7.0000000000000007E-2</v>
      </c>
      <c r="S13" s="1">
        <v>0.90725996062523184</v>
      </c>
      <c r="T13" s="1">
        <v>0.96452854707313906</v>
      </c>
      <c r="U13" s="1">
        <v>1.0802357741089565</v>
      </c>
      <c r="V13" s="1">
        <v>1.0493361050775969</v>
      </c>
      <c r="W13" s="1">
        <v>1.1619913930543886</v>
      </c>
      <c r="X13" s="1">
        <v>1.1077422266107864</v>
      </c>
      <c r="Y13" s="1">
        <v>1.2473311785300683</v>
      </c>
      <c r="Z13" s="1">
        <v>1.2384068739485592</v>
      </c>
      <c r="AB13" s="3"/>
      <c r="AC13" s="3"/>
      <c r="AD13" s="3"/>
      <c r="AE13" s="3"/>
      <c r="AF13" s="3"/>
      <c r="AG13" s="3"/>
      <c r="AH13" s="3"/>
      <c r="AI13" s="3"/>
      <c r="AK13" s="1">
        <v>1.0926066600450208</v>
      </c>
    </row>
    <row r="14" spans="18:41" x14ac:dyDescent="0.25">
      <c r="R14" s="2">
        <v>0.08</v>
      </c>
      <c r="S14" s="1">
        <v>0.91379026552609877</v>
      </c>
      <c r="T14" s="1">
        <v>0.97219109710707907</v>
      </c>
      <c r="U14" s="1">
        <v>1.0869695628313993</v>
      </c>
      <c r="V14" s="1">
        <v>1.0565109446180805</v>
      </c>
      <c r="W14" s="1">
        <v>1.171354727534468</v>
      </c>
      <c r="X14" s="1">
        <v>1.1163502826746523</v>
      </c>
      <c r="Y14" s="1">
        <v>1.2581322962786943</v>
      </c>
      <c r="Z14" s="1">
        <v>1.2469504688852897</v>
      </c>
      <c r="AB14" s="3"/>
      <c r="AC14" s="3"/>
      <c r="AD14" s="3"/>
      <c r="AE14" s="3"/>
      <c r="AF14" s="3"/>
      <c r="AG14" s="3"/>
      <c r="AH14" s="3"/>
      <c r="AI14" s="3"/>
      <c r="AK14" s="1">
        <v>1.1026875145840189</v>
      </c>
      <c r="AO14" s="11">
        <v>0.105</v>
      </c>
    </row>
    <row r="15" spans="18:41" x14ac:dyDescent="0.25">
      <c r="R15" s="5">
        <v>0.09</v>
      </c>
      <c r="S15" s="1">
        <v>0.92060101376462489</v>
      </c>
      <c r="T15" s="1">
        <v>0.97826911771942993</v>
      </c>
      <c r="U15" s="1">
        <v>1.092949144236647</v>
      </c>
      <c r="V15" s="1">
        <v>1.0640716887206085</v>
      </c>
      <c r="W15" s="1">
        <v>1.1801947785623792</v>
      </c>
      <c r="X15" s="1">
        <v>1.1238018729623305</v>
      </c>
      <c r="Y15" s="1">
        <v>1.2662281078012081</v>
      </c>
      <c r="Z15" s="1">
        <v>1.2536447451095352</v>
      </c>
      <c r="AB15" s="3"/>
      <c r="AC15" s="3"/>
      <c r="AD15" s="3"/>
      <c r="AE15" s="3"/>
      <c r="AF15" s="3"/>
      <c r="AG15" s="3"/>
      <c r="AH15" s="3"/>
      <c r="AI15" s="3"/>
      <c r="AK15" s="1">
        <v>1.1102814435029744</v>
      </c>
    </row>
    <row r="16" spans="18:41" x14ac:dyDescent="0.25">
      <c r="R16" s="2">
        <v>0.1</v>
      </c>
      <c r="S16" s="1">
        <v>0.92551870231371447</v>
      </c>
      <c r="T16" s="1">
        <v>0.9838210938188009</v>
      </c>
      <c r="U16" s="1">
        <v>1.0992623918436912</v>
      </c>
      <c r="V16" s="1">
        <v>1.0704482944389699</v>
      </c>
      <c r="W16" s="1">
        <v>1.1900552301966842</v>
      </c>
      <c r="X16" s="1">
        <v>1.132190656883042</v>
      </c>
      <c r="Y16" s="1">
        <v>1.2745039917663457</v>
      </c>
      <c r="Z16" s="1">
        <v>1.2596938977005236</v>
      </c>
      <c r="AB16" s="3"/>
      <c r="AC16" s="3"/>
      <c r="AD16" s="3"/>
      <c r="AE16" s="3"/>
      <c r="AF16" s="3"/>
      <c r="AG16" s="3"/>
      <c r="AH16" s="3"/>
      <c r="AI16" s="3"/>
      <c r="AK16" s="1">
        <v>1.1204024988379448</v>
      </c>
      <c r="AO16" s="1">
        <f>AO12*(1-AO14)</f>
        <v>0.2204225603852781</v>
      </c>
    </row>
    <row r="17" spans="18:41" x14ac:dyDescent="0.25">
      <c r="R17" s="5">
        <v>0.11</v>
      </c>
      <c r="S17" s="1">
        <v>0.9312319244855205</v>
      </c>
      <c r="T17" s="1">
        <v>0.98917353745651204</v>
      </c>
      <c r="U17" s="1">
        <v>1.1046007719948943</v>
      </c>
      <c r="V17" s="1">
        <v>1.0757659606192682</v>
      </c>
      <c r="W17" s="1">
        <v>1.1975980963588218</v>
      </c>
      <c r="X17" s="1">
        <v>1.1384332627845404</v>
      </c>
      <c r="Y17" s="1">
        <v>1.2831470383395445</v>
      </c>
      <c r="Z17" s="1">
        <v>1.2657722171336401</v>
      </c>
      <c r="AB17" s="3"/>
      <c r="AC17" s="3">
        <v>1.1051196780486729</v>
      </c>
      <c r="AD17" s="3"/>
      <c r="AE17" s="3"/>
      <c r="AF17" s="3"/>
      <c r="AG17" s="3"/>
      <c r="AH17" s="3"/>
      <c r="AI17" s="3"/>
      <c r="AK17" s="1">
        <v>1.1285600032042951</v>
      </c>
    </row>
    <row r="18" spans="18:41" x14ac:dyDescent="0.25">
      <c r="R18" s="2">
        <v>0.12</v>
      </c>
      <c r="S18" s="1">
        <v>0.93587021166926188</v>
      </c>
      <c r="T18" s="1">
        <v>0.99325476450561567</v>
      </c>
      <c r="U18" s="1">
        <v>1.1099845670827793</v>
      </c>
      <c r="V18" s="1">
        <v>1.0831860131475268</v>
      </c>
      <c r="W18" s="1">
        <v>1.204683186414955</v>
      </c>
      <c r="X18" s="1">
        <v>1.1457071395094158</v>
      </c>
      <c r="Y18" s="1">
        <v>1.2904621276492751</v>
      </c>
      <c r="Z18" s="1">
        <v>1.2734719331893358</v>
      </c>
      <c r="AB18" s="3"/>
      <c r="AC18" s="3"/>
      <c r="AD18" s="3"/>
      <c r="AE18" s="3"/>
      <c r="AF18" s="3"/>
      <c r="AG18" s="3"/>
      <c r="AH18" s="3"/>
      <c r="AI18" s="3"/>
      <c r="AK18" s="1">
        <v>1.1356812451829807</v>
      </c>
      <c r="AO18" s="11">
        <v>0.877</v>
      </c>
    </row>
    <row r="19" spans="18:41" x14ac:dyDescent="0.25">
      <c r="R19" s="5">
        <v>0.13</v>
      </c>
      <c r="S19" s="1">
        <v>0.94117438538241349</v>
      </c>
      <c r="T19" s="1">
        <v>0.99807432388011674</v>
      </c>
      <c r="U19" s="1">
        <v>1.114237885412205</v>
      </c>
      <c r="V19" s="1">
        <v>1.0893318134656158</v>
      </c>
      <c r="W19" s="1">
        <v>1.2119497107857533</v>
      </c>
      <c r="X19" s="1">
        <v>1.1523348512563087</v>
      </c>
      <c r="Y19" s="1">
        <v>1.2970163390426561</v>
      </c>
      <c r="Z19" s="1">
        <v>1.2792343798192338</v>
      </c>
      <c r="AB19" s="3"/>
      <c r="AC19" s="3"/>
      <c r="AD19" s="3"/>
      <c r="AE19" s="3"/>
      <c r="AF19" s="3"/>
      <c r="AG19" s="3"/>
      <c r="AH19" s="3"/>
      <c r="AI19" s="3"/>
      <c r="AK19" s="1">
        <v>1.1430734291873899</v>
      </c>
    </row>
    <row r="20" spans="18:41" x14ac:dyDescent="0.25">
      <c r="R20" s="2">
        <v>0.14000000000000001</v>
      </c>
      <c r="S20" s="1">
        <v>0.94560281459996132</v>
      </c>
      <c r="T20" s="1">
        <v>1.0025841797032917</v>
      </c>
      <c r="U20" s="1">
        <v>1.1189003031895117</v>
      </c>
      <c r="V20" s="1">
        <v>1.0942020657192633</v>
      </c>
      <c r="W20" s="1">
        <v>1.2195003297179561</v>
      </c>
      <c r="X20" s="1">
        <v>1.1583844493757531</v>
      </c>
      <c r="Y20" s="1">
        <v>1.3043978952420161</v>
      </c>
      <c r="Z20" s="1">
        <v>1.2849403317216244</v>
      </c>
      <c r="AB20" s="3"/>
      <c r="AC20" s="3"/>
      <c r="AD20" s="3"/>
      <c r="AE20" s="3"/>
      <c r="AF20" s="3"/>
      <c r="AG20" s="3"/>
      <c r="AH20" s="3"/>
      <c r="AI20" s="3"/>
      <c r="AK20" s="1">
        <v>1.1515096562420739</v>
      </c>
      <c r="AO20" s="1">
        <f>AO16*AO18</f>
        <v>0.1933105854578889</v>
      </c>
    </row>
    <row r="21" spans="18:41" x14ac:dyDescent="0.25">
      <c r="R21" s="5">
        <v>0.15</v>
      </c>
      <c r="S21" s="1">
        <v>0.95028395745406002</v>
      </c>
      <c r="T21" s="1">
        <v>1.0072119493779794</v>
      </c>
      <c r="U21" s="1">
        <v>1.1235006685890268</v>
      </c>
      <c r="V21" s="1">
        <v>1.0992491366721133</v>
      </c>
      <c r="W21" s="1">
        <v>1.2270834063640781</v>
      </c>
      <c r="X21" s="1">
        <v>1.1639744912733554</v>
      </c>
      <c r="Y21" s="1">
        <v>1.3104753352168881</v>
      </c>
      <c r="Z21" s="1">
        <v>1.2907600303599516</v>
      </c>
      <c r="AB21" s="3"/>
      <c r="AC21" s="3"/>
      <c r="AD21" s="3"/>
      <c r="AE21" s="3"/>
      <c r="AF21" s="3"/>
      <c r="AG21" s="3"/>
      <c r="AH21" s="3"/>
      <c r="AI21" s="3"/>
      <c r="AK21" s="1">
        <v>1.1583182109932066</v>
      </c>
    </row>
    <row r="22" spans="18:41" x14ac:dyDescent="0.25">
      <c r="R22" s="2">
        <v>0.16</v>
      </c>
      <c r="S22" s="1">
        <v>0.95418952093609766</v>
      </c>
      <c r="T22" s="1">
        <v>1.0114556889026454</v>
      </c>
      <c r="U22" s="1">
        <v>1.128820217023726</v>
      </c>
      <c r="V22" s="1">
        <v>1.1034554481744561</v>
      </c>
      <c r="W22" s="1">
        <v>1.2343312884520166</v>
      </c>
      <c r="X22" s="1">
        <v>1.169004249075233</v>
      </c>
      <c r="Y22" s="1">
        <v>1.3164612040467303</v>
      </c>
      <c r="Z22" s="1">
        <v>1.2957664223421579</v>
      </c>
      <c r="AB22" s="3"/>
      <c r="AC22" s="3"/>
      <c r="AD22" s="3"/>
      <c r="AE22" s="3"/>
      <c r="AF22" s="3"/>
      <c r="AG22" s="3"/>
      <c r="AH22" s="3"/>
      <c r="AI22" s="3"/>
      <c r="AK22" s="1">
        <v>1.1643829114394109</v>
      </c>
    </row>
    <row r="23" spans="18:41" x14ac:dyDescent="0.25">
      <c r="R23" s="5">
        <v>0.17</v>
      </c>
      <c r="S23" s="1">
        <v>0.95852160907022688</v>
      </c>
      <c r="T23" s="1">
        <v>1.0159655123498437</v>
      </c>
      <c r="U23" s="1">
        <v>1.1332727622825831</v>
      </c>
      <c r="V23" s="1">
        <v>1.1082508079082114</v>
      </c>
      <c r="W23" s="1">
        <v>1.2417978719907234</v>
      </c>
      <c r="X23" s="1">
        <v>1.1757748530084056</v>
      </c>
      <c r="Y23" s="1">
        <v>1.3228745956858301</v>
      </c>
      <c r="Z23" s="1">
        <v>1.3010269983873046</v>
      </c>
      <c r="AB23" s="3"/>
      <c r="AC23" s="3"/>
      <c r="AD23" s="3"/>
      <c r="AE23" s="3"/>
      <c r="AF23" s="3"/>
      <c r="AG23" s="3"/>
      <c r="AH23" s="3"/>
      <c r="AI23" s="3"/>
      <c r="AK23" s="1">
        <v>1.171294589241533</v>
      </c>
    </row>
    <row r="24" spans="18:41" x14ac:dyDescent="0.25">
      <c r="R24" s="2">
        <v>0.18</v>
      </c>
      <c r="S24" s="1">
        <v>0.96350064448416495</v>
      </c>
      <c r="T24" s="1">
        <v>1.0198012897724731</v>
      </c>
      <c r="U24" s="1">
        <v>1.1377767486247852</v>
      </c>
      <c r="V24" s="1">
        <v>1.1134945691348601</v>
      </c>
      <c r="W24" s="1">
        <v>1.2486432408450439</v>
      </c>
      <c r="X24" s="1">
        <v>1.1808753592622416</v>
      </c>
      <c r="Y24" s="1">
        <v>1.3290198028146334</v>
      </c>
      <c r="Z24" s="1">
        <v>1.3061157793770433</v>
      </c>
      <c r="AB24" s="3"/>
      <c r="AC24" s="3"/>
      <c r="AD24" s="3"/>
      <c r="AE24" s="3"/>
      <c r="AF24" s="3"/>
      <c r="AG24" s="3"/>
      <c r="AH24" s="3"/>
      <c r="AI24" s="3"/>
      <c r="AK24" s="1">
        <v>1.178076201273929</v>
      </c>
    </row>
    <row r="25" spans="18:41" x14ac:dyDescent="0.25">
      <c r="R25" s="5">
        <v>0.19</v>
      </c>
      <c r="S25" s="1">
        <v>0.96717203246549743</v>
      </c>
      <c r="T25" s="1">
        <v>1.0241153601732322</v>
      </c>
      <c r="U25" s="1">
        <v>1.1418104430790326</v>
      </c>
      <c r="V25" s="1">
        <v>1.1174743277563921</v>
      </c>
      <c r="W25" s="1">
        <v>1.2538405640477637</v>
      </c>
      <c r="X25" s="1">
        <v>1.1860229477406896</v>
      </c>
      <c r="Y25" s="1">
        <v>1.3350540989201309</v>
      </c>
      <c r="Z25" s="1">
        <v>1.3131479556776406</v>
      </c>
      <c r="AB25" s="3"/>
      <c r="AC25" s="3"/>
      <c r="AD25" s="3"/>
      <c r="AE25" s="3"/>
      <c r="AF25" s="3"/>
      <c r="AG25" s="3"/>
      <c r="AH25" s="3"/>
      <c r="AI25" s="3"/>
      <c r="AK25" s="1">
        <v>1.1845838797291701</v>
      </c>
    </row>
    <row r="26" spans="18:41" x14ac:dyDescent="0.25">
      <c r="R26" s="2">
        <v>0.2</v>
      </c>
      <c r="S26" s="1">
        <v>0.97161538172377937</v>
      </c>
      <c r="T26" s="1">
        <v>1.0278409785246818</v>
      </c>
      <c r="U26" s="1">
        <v>1.1459007298876787</v>
      </c>
      <c r="V26" s="1">
        <v>1.1222195793916849</v>
      </c>
      <c r="W26" s="1">
        <v>1.2611571235609773</v>
      </c>
      <c r="X26" s="1">
        <v>1.1911791061729498</v>
      </c>
      <c r="Y26" s="1">
        <v>1.3413354478138457</v>
      </c>
      <c r="Z26" s="1">
        <v>1.3168034383486078</v>
      </c>
      <c r="AB26" s="3"/>
      <c r="AC26" s="3"/>
      <c r="AD26" s="3"/>
      <c r="AE26" s="3"/>
      <c r="AF26" s="3"/>
      <c r="AG26" s="3"/>
      <c r="AH26" s="3"/>
      <c r="AI26" s="3"/>
      <c r="AK26" s="1">
        <v>1.1915646978202088</v>
      </c>
    </row>
    <row r="27" spans="18:41" x14ac:dyDescent="0.25">
      <c r="R27" s="5">
        <v>0.21</v>
      </c>
      <c r="S27" s="1">
        <v>0.97590663209824691</v>
      </c>
      <c r="T27" s="1">
        <v>1.032052701666305</v>
      </c>
      <c r="U27" s="1">
        <v>1.1503332479800097</v>
      </c>
      <c r="V27" s="1">
        <v>1.1267789511611508</v>
      </c>
      <c r="W27" s="1">
        <v>1.2666464352031859</v>
      </c>
      <c r="X27" s="1">
        <v>1.195826898472389</v>
      </c>
      <c r="Y27" s="1">
        <v>1.3466772723333089</v>
      </c>
      <c r="Z27" s="1">
        <v>1.3233996900502423</v>
      </c>
      <c r="AB27" s="3"/>
      <c r="AC27" s="3"/>
      <c r="AD27" s="3">
        <v>1.1270059433473452</v>
      </c>
      <c r="AE27" s="3"/>
      <c r="AF27" s="3"/>
      <c r="AG27" s="3"/>
      <c r="AH27" s="3"/>
      <c r="AI27" s="3"/>
      <c r="AK27" s="1">
        <v>1.1971492761772484</v>
      </c>
    </row>
    <row r="28" spans="18:41" x14ac:dyDescent="0.25">
      <c r="R28" s="2">
        <v>0.22</v>
      </c>
      <c r="S28" s="1">
        <v>0.97916668820277153</v>
      </c>
      <c r="T28" s="1">
        <v>1.0364042637092072</v>
      </c>
      <c r="U28" s="1">
        <v>1.1537517628200553</v>
      </c>
      <c r="V28" s="1">
        <v>1.1314992528385917</v>
      </c>
      <c r="W28" s="1">
        <v>1.2731748339067892</v>
      </c>
      <c r="X28" s="1">
        <v>1.2017529442375643</v>
      </c>
      <c r="Y28" s="1">
        <v>1.3538946334021846</v>
      </c>
      <c r="Z28" s="1">
        <v>1.3273433602817335</v>
      </c>
      <c r="AB28" s="3"/>
      <c r="AC28" s="3"/>
      <c r="AD28" s="3"/>
      <c r="AE28" s="3"/>
      <c r="AF28" s="3"/>
      <c r="AG28" s="3"/>
      <c r="AH28" s="3"/>
      <c r="AI28" s="3"/>
      <c r="AK28" s="1">
        <v>1.2030062655351978</v>
      </c>
    </row>
    <row r="29" spans="18:41" x14ac:dyDescent="0.25">
      <c r="R29" s="5">
        <v>0.23</v>
      </c>
      <c r="S29" s="1">
        <v>0.98282049410478545</v>
      </c>
      <c r="T29" s="1">
        <v>1.0399594462453305</v>
      </c>
      <c r="U29" s="1">
        <v>1.1574189295230632</v>
      </c>
      <c r="V29" s="1">
        <v>1.1361352824164686</v>
      </c>
      <c r="W29" s="1">
        <v>1.2783039934098701</v>
      </c>
      <c r="X29" s="1">
        <v>1.2068005998890439</v>
      </c>
      <c r="Y29" s="1">
        <v>1.358860260979829</v>
      </c>
      <c r="Z29" s="1">
        <v>1.3320246288235567</v>
      </c>
      <c r="AB29" s="3"/>
      <c r="AC29" s="3"/>
      <c r="AD29" s="3"/>
      <c r="AE29" s="3"/>
      <c r="AF29" s="3"/>
      <c r="AG29" s="3"/>
      <c r="AH29" s="3"/>
      <c r="AI29" s="3"/>
      <c r="AK29" s="1">
        <v>1.2092540373542642</v>
      </c>
    </row>
    <row r="30" spans="18:41" x14ac:dyDescent="0.25">
      <c r="R30" s="2">
        <v>0.24</v>
      </c>
      <c r="S30" s="1">
        <v>0.98652716302510679</v>
      </c>
      <c r="T30" s="1">
        <v>1.043945444703867</v>
      </c>
      <c r="U30" s="1">
        <v>1.1612880515623067</v>
      </c>
      <c r="V30" s="1">
        <v>1.1401750321009774</v>
      </c>
      <c r="W30" s="1">
        <v>1.2841618179961956</v>
      </c>
      <c r="X30" s="1">
        <v>1.211726225148809</v>
      </c>
      <c r="Y30" s="1">
        <v>1.3646931732611938</v>
      </c>
      <c r="Z30" s="1">
        <v>1.3364404277956741</v>
      </c>
      <c r="AB30" s="3"/>
      <c r="AC30" s="3"/>
      <c r="AD30" s="3"/>
      <c r="AE30" s="3"/>
      <c r="AF30" s="3"/>
      <c r="AG30" s="3"/>
      <c r="AH30" s="3"/>
      <c r="AI30" s="3"/>
      <c r="AK30" s="1">
        <v>1.2149835570100658</v>
      </c>
    </row>
    <row r="31" spans="18:41" x14ac:dyDescent="0.25">
      <c r="R31" s="5">
        <v>0.25</v>
      </c>
      <c r="S31" s="1">
        <v>0.98975000851185824</v>
      </c>
      <c r="T31" s="1">
        <v>1.0472711099422358</v>
      </c>
      <c r="U31" s="1">
        <v>1.1649699044925577</v>
      </c>
      <c r="V31" s="1">
        <v>1.1441446644674687</v>
      </c>
      <c r="W31" s="1">
        <v>1.2886404091411288</v>
      </c>
      <c r="X31" s="1">
        <v>1.2161657568807738</v>
      </c>
      <c r="Y31" s="1">
        <v>1.3689351173019808</v>
      </c>
      <c r="Z31" s="1">
        <v>1.3413923370078695</v>
      </c>
      <c r="AB31" s="3"/>
      <c r="AC31" s="3"/>
      <c r="AD31" s="3"/>
      <c r="AE31" s="3"/>
      <c r="AF31" s="3"/>
      <c r="AG31" s="3"/>
      <c r="AH31" s="3"/>
      <c r="AI31" s="3"/>
      <c r="AK31" s="1">
        <v>1.2211999408451135</v>
      </c>
    </row>
    <row r="32" spans="18:41" x14ac:dyDescent="0.25">
      <c r="R32" s="2">
        <v>0.26</v>
      </c>
      <c r="S32" s="1">
        <v>0.99306479808054116</v>
      </c>
      <c r="T32" s="1">
        <v>1.0509967282936847</v>
      </c>
      <c r="U32" s="1">
        <v>1.1686415146362303</v>
      </c>
      <c r="V32" s="1">
        <v>1.14791492431052</v>
      </c>
      <c r="W32" s="1">
        <v>1.2931935723436181</v>
      </c>
      <c r="X32" s="1">
        <v>1.2206881259076556</v>
      </c>
      <c r="Y32" s="1">
        <v>1.3744230844760845</v>
      </c>
      <c r="Z32" s="1">
        <v>1.3463162399087998</v>
      </c>
      <c r="AB32" s="3">
        <v>1.0516497803292035</v>
      </c>
      <c r="AC32" s="3"/>
      <c r="AD32" s="3"/>
      <c r="AE32" s="3"/>
      <c r="AF32" s="3"/>
      <c r="AG32" s="3"/>
      <c r="AH32" s="3"/>
      <c r="AI32" s="3"/>
      <c r="AK32" s="1">
        <v>1.2273274446974505</v>
      </c>
    </row>
    <row r="33" spans="18:38" x14ac:dyDescent="0.25">
      <c r="R33" s="5">
        <v>0.27</v>
      </c>
      <c r="S33" s="1">
        <v>0.99632199976985059</v>
      </c>
      <c r="T33" s="1">
        <v>1.0541624168138066</v>
      </c>
      <c r="U33" s="1">
        <v>1.1725299450588811</v>
      </c>
      <c r="V33" s="1">
        <v>1.151692976066448</v>
      </c>
      <c r="W33" s="1">
        <v>1.2974691459539978</v>
      </c>
      <c r="X33" s="1">
        <v>1.2252443693474799</v>
      </c>
      <c r="Y33" s="1">
        <v>1.3789846066197899</v>
      </c>
      <c r="Z33" s="1">
        <v>1.3508230498300355</v>
      </c>
      <c r="AB33" s="3"/>
      <c r="AC33" s="3"/>
      <c r="AD33" s="3"/>
      <c r="AE33" s="3"/>
      <c r="AF33" s="3"/>
      <c r="AG33" s="3"/>
      <c r="AH33" s="3"/>
      <c r="AI33" s="3"/>
      <c r="AK33" s="1">
        <v>1.2328160285159506</v>
      </c>
    </row>
    <row r="34" spans="18:38" x14ac:dyDescent="0.25">
      <c r="R34" s="2">
        <v>0.28000000000000003</v>
      </c>
      <c r="S34" s="1">
        <v>0.99987496528374631</v>
      </c>
      <c r="T34" s="1">
        <v>1.0575632199149632</v>
      </c>
      <c r="U34" s="1">
        <v>1.176663760678994</v>
      </c>
      <c r="V34" s="1">
        <v>1.1553424543172328</v>
      </c>
      <c r="W34" s="1">
        <v>1.3035052776455698</v>
      </c>
      <c r="X34" s="1">
        <v>1.229641589077703</v>
      </c>
      <c r="Y34" s="1">
        <v>1.3844157518695812</v>
      </c>
      <c r="Z34" s="1">
        <v>1.3556988831895056</v>
      </c>
      <c r="AB34" s="3"/>
      <c r="AC34" s="3"/>
      <c r="AD34" s="3"/>
      <c r="AE34" s="3"/>
      <c r="AF34" s="3"/>
      <c r="AG34" s="3"/>
      <c r="AH34" s="3"/>
      <c r="AI34" s="3"/>
      <c r="AK34" s="1">
        <v>1.2387833495968983</v>
      </c>
    </row>
    <row r="35" spans="18:38" x14ac:dyDescent="0.25">
      <c r="R35" s="5">
        <v>0.28999999999999998</v>
      </c>
      <c r="S35" s="1">
        <v>1.0033257352926983</v>
      </c>
      <c r="T35" s="1">
        <v>1.0616181392964703</v>
      </c>
      <c r="U35" s="1">
        <v>1.1801775117965529</v>
      </c>
      <c r="V35" s="1">
        <v>1.1593118850915605</v>
      </c>
      <c r="W35" s="1">
        <v>1.3096058376057997</v>
      </c>
      <c r="X35" s="1">
        <v>1.2339584299012425</v>
      </c>
      <c r="Y35" s="1">
        <v>1.3896086477305925</v>
      </c>
      <c r="Z35" s="1">
        <v>1.3601633293512017</v>
      </c>
      <c r="AB35" s="3"/>
      <c r="AC35" s="3"/>
      <c r="AD35" s="3"/>
      <c r="AE35" s="3"/>
      <c r="AF35" s="3"/>
      <c r="AG35" s="3"/>
      <c r="AH35" s="3"/>
      <c r="AI35" s="3"/>
      <c r="AK35" s="1">
        <v>1.243757232652386</v>
      </c>
    </row>
    <row r="36" spans="18:38" x14ac:dyDescent="0.25">
      <c r="R36" s="2">
        <v>0.3</v>
      </c>
      <c r="S36" s="1">
        <v>1.0072608176349109</v>
      </c>
      <c r="T36" s="1">
        <v>1.0647795948046495</v>
      </c>
      <c r="U36" s="1">
        <v>1.1836793626157591</v>
      </c>
      <c r="V36" s="1">
        <v>1.1634598933447939</v>
      </c>
      <c r="W36" s="1">
        <v>1.3135743876877275</v>
      </c>
      <c r="X36" s="1">
        <v>1.2384630367106733</v>
      </c>
      <c r="Y36" s="1">
        <v>1.3948895484088095</v>
      </c>
      <c r="Z36" s="1">
        <v>1.3649980612292092</v>
      </c>
      <c r="AB36" s="3"/>
      <c r="AC36" s="3"/>
      <c r="AD36" s="3"/>
      <c r="AE36" s="3"/>
      <c r="AF36" s="3"/>
      <c r="AG36" s="3"/>
      <c r="AH36" s="3"/>
      <c r="AI36" s="3"/>
      <c r="AK36" s="1">
        <v>1.2495864377747219</v>
      </c>
    </row>
    <row r="37" spans="18:38" x14ac:dyDescent="0.25">
      <c r="R37" s="5">
        <v>0.31</v>
      </c>
      <c r="S37" s="1">
        <v>1.010979237276634</v>
      </c>
      <c r="T37" s="1">
        <v>1.0677402699252705</v>
      </c>
      <c r="U37" s="1">
        <v>1.1868065890671511</v>
      </c>
      <c r="V37" s="1">
        <v>1.1667661796124127</v>
      </c>
      <c r="W37" s="1">
        <v>1.3181727312093003</v>
      </c>
      <c r="X37" s="1">
        <v>1.2437196192935989</v>
      </c>
      <c r="Y37" s="1">
        <v>1.3999306673876579</v>
      </c>
      <c r="Z37" s="1">
        <v>1.3677730810816242</v>
      </c>
      <c r="AB37" s="3"/>
      <c r="AC37" s="3"/>
      <c r="AD37" s="3"/>
      <c r="AE37" s="3"/>
      <c r="AF37" s="3"/>
      <c r="AG37" s="3"/>
      <c r="AH37" s="3"/>
      <c r="AI37" s="3"/>
      <c r="AK37" s="1">
        <v>1.2552045339893032</v>
      </c>
    </row>
    <row r="38" spans="18:38" x14ac:dyDescent="0.25">
      <c r="R38" s="2">
        <v>0.32</v>
      </c>
      <c r="S38" s="1">
        <v>1.0142911724301018</v>
      </c>
      <c r="T38" s="1">
        <v>1.0713811949559002</v>
      </c>
      <c r="U38" s="1">
        <v>1.1902967372872346</v>
      </c>
      <c r="V38" s="1">
        <v>1.1702176063075178</v>
      </c>
      <c r="W38" s="1">
        <v>1.3245530469539686</v>
      </c>
      <c r="X38" s="1">
        <v>1.248856529230157</v>
      </c>
      <c r="Y38" s="1">
        <v>1.4050697373002072</v>
      </c>
      <c r="Z38" s="1">
        <v>1.3724281254465582</v>
      </c>
      <c r="AB38" s="3"/>
      <c r="AC38" s="3"/>
      <c r="AD38" s="3"/>
      <c r="AE38" s="3"/>
      <c r="AF38" s="3"/>
      <c r="AG38" s="3"/>
      <c r="AH38" s="3"/>
      <c r="AI38" s="3"/>
      <c r="AK38" s="1">
        <v>1.260279428606448</v>
      </c>
    </row>
    <row r="39" spans="18:38" x14ac:dyDescent="0.25">
      <c r="R39" s="5">
        <v>0.33</v>
      </c>
      <c r="S39" s="1">
        <v>1.0178441379439973</v>
      </c>
      <c r="T39" s="1">
        <v>1.0748584399940542</v>
      </c>
      <c r="U39" s="1">
        <v>1.1932042516325254</v>
      </c>
      <c r="V39" s="1">
        <v>1.1743711761980806</v>
      </c>
      <c r="W39" s="1">
        <v>1.3300318332689927</v>
      </c>
      <c r="X39" s="1">
        <v>1.2521305527165008</v>
      </c>
      <c r="Y39" s="1">
        <v>1.409353631454846</v>
      </c>
      <c r="Z39" s="1">
        <v>1.3773264539217873</v>
      </c>
      <c r="AB39" s="3"/>
      <c r="AC39" s="3"/>
      <c r="AD39" s="3"/>
      <c r="AE39" s="3"/>
      <c r="AF39" s="3"/>
      <c r="AG39" s="3"/>
      <c r="AH39" s="3"/>
      <c r="AI39" s="3"/>
      <c r="AK39" s="1">
        <v>1.2654929784377624</v>
      </c>
    </row>
    <row r="40" spans="18:38" x14ac:dyDescent="0.25">
      <c r="R40" s="2">
        <v>0.34</v>
      </c>
      <c r="S40" s="1">
        <v>1.0207778135870069</v>
      </c>
      <c r="T40" s="1">
        <v>1.0775569693495515</v>
      </c>
      <c r="U40" s="1">
        <v>1.1965709912666993</v>
      </c>
      <c r="V40" s="1">
        <v>1.1783078256677604</v>
      </c>
      <c r="W40" s="1">
        <v>1.335523181306586</v>
      </c>
      <c r="X40" s="1">
        <v>1.2564591609720919</v>
      </c>
      <c r="Y40" s="1">
        <v>1.415770878268624</v>
      </c>
      <c r="Z40" s="1">
        <v>1.3820088308840972</v>
      </c>
      <c r="AB40" s="3"/>
      <c r="AC40" s="3"/>
      <c r="AD40" s="3"/>
      <c r="AE40" s="3"/>
      <c r="AK40" s="1">
        <v>1.272223736620534</v>
      </c>
      <c r="AL40" s="1">
        <v>1.2699197481723099</v>
      </c>
    </row>
    <row r="41" spans="18:38" x14ac:dyDescent="0.25">
      <c r="R41" s="5">
        <v>0.35</v>
      </c>
      <c r="S41" s="1">
        <v>1.0240340123736731</v>
      </c>
      <c r="T41" s="1">
        <v>1.0806142328752342</v>
      </c>
      <c r="U41" s="1">
        <v>1.200022447351434</v>
      </c>
      <c r="V41" s="1">
        <v>1.1821279287556512</v>
      </c>
      <c r="W41" s="1">
        <v>1.3395257634022919</v>
      </c>
      <c r="X41" s="1">
        <v>1.2605096835004388</v>
      </c>
      <c r="Y41" s="1">
        <v>1.4201875708763205</v>
      </c>
      <c r="Z41" s="1">
        <v>1.3870814005960899</v>
      </c>
      <c r="AB41" s="3"/>
      <c r="AC41" s="3"/>
      <c r="AD41" s="3"/>
      <c r="AE41" s="3"/>
      <c r="AF41" s="3"/>
      <c r="AG41" s="3"/>
      <c r="AH41" s="3"/>
      <c r="AI41" s="3"/>
      <c r="AK41" s="1">
        <v>1.277863884156403</v>
      </c>
    </row>
    <row r="42" spans="18:38" x14ac:dyDescent="0.25">
      <c r="R42" s="2">
        <v>0.36</v>
      </c>
      <c r="S42" s="1">
        <v>1.0270974498006633</v>
      </c>
      <c r="T42" s="1">
        <v>1.0834645541465768</v>
      </c>
      <c r="U42" s="1">
        <v>1.2032421379196756</v>
      </c>
      <c r="V42" s="1">
        <v>1.1858398695432872</v>
      </c>
      <c r="W42" s="1">
        <v>1.3468599171717037</v>
      </c>
      <c r="X42" s="1">
        <v>1.2645882276828033</v>
      </c>
      <c r="Y42" s="1">
        <v>1.4255205755383871</v>
      </c>
      <c r="Z42" s="1">
        <v>1.3915741306663774</v>
      </c>
      <c r="AB42" s="3"/>
      <c r="AC42" s="3"/>
      <c r="AD42" s="3"/>
      <c r="AE42" s="3"/>
      <c r="AF42" s="3"/>
      <c r="AG42" s="3"/>
      <c r="AH42" s="3"/>
      <c r="AI42" s="3"/>
      <c r="AK42" s="1">
        <v>1.2821039351628474</v>
      </c>
    </row>
    <row r="43" spans="18:38" x14ac:dyDescent="0.25">
      <c r="R43" s="5">
        <v>0.37</v>
      </c>
      <c r="S43" s="1">
        <v>1.0306799524087631</v>
      </c>
      <c r="T43" s="1">
        <v>1.0871789047896798</v>
      </c>
      <c r="U43" s="1">
        <v>1.2072056246870724</v>
      </c>
      <c r="V43" s="1">
        <v>1.1898278554524027</v>
      </c>
      <c r="W43" s="1">
        <v>1.3523682306161722</v>
      </c>
      <c r="X43" s="1">
        <v>1.2686916465672489</v>
      </c>
      <c r="Y43" s="1">
        <v>1.4308674033043134</v>
      </c>
      <c r="Z43" s="1">
        <v>1.3964439980667791</v>
      </c>
      <c r="AB43" s="3"/>
      <c r="AC43" s="3"/>
      <c r="AD43" s="3"/>
      <c r="AE43" s="3"/>
      <c r="AF43" s="3"/>
      <c r="AG43" s="3"/>
      <c r="AH43" s="3"/>
      <c r="AI43" s="3"/>
      <c r="AK43" s="1">
        <v>1.2867703121506144</v>
      </c>
    </row>
    <row r="44" spans="18:38" x14ac:dyDescent="0.25">
      <c r="R44" s="2">
        <v>0.38</v>
      </c>
      <c r="S44" s="1">
        <v>1.034281710789144</v>
      </c>
      <c r="T44" s="1">
        <v>1.0900047381002584</v>
      </c>
      <c r="U44" s="1">
        <v>1.2108680723914322</v>
      </c>
      <c r="V44" s="1">
        <v>1.1940213467080159</v>
      </c>
      <c r="W44" s="1">
        <v>1.3577741633196292</v>
      </c>
      <c r="X44" s="1">
        <v>1.2733085671775068</v>
      </c>
      <c r="Y44" s="1">
        <v>1.4355722669480613</v>
      </c>
      <c r="Z44" s="1">
        <v>1.4011737699545415</v>
      </c>
      <c r="AB44" s="3"/>
      <c r="AC44" s="3"/>
      <c r="AD44" s="3"/>
      <c r="AE44" s="3"/>
      <c r="AF44" s="3"/>
      <c r="AG44" s="3"/>
      <c r="AH44" s="3"/>
      <c r="AI44" s="3"/>
      <c r="AK44" s="1">
        <v>1.2924741310292178</v>
      </c>
    </row>
    <row r="45" spans="18:38" x14ac:dyDescent="0.25">
      <c r="R45" s="5">
        <v>0.39</v>
      </c>
      <c r="S45" s="1">
        <v>1.0374544309049358</v>
      </c>
      <c r="T45" s="1">
        <v>1.093602274109323</v>
      </c>
      <c r="U45" s="1">
        <v>1.2145073411205503</v>
      </c>
      <c r="V45" s="1">
        <v>1.1978336295282181</v>
      </c>
      <c r="W45" s="1">
        <v>1.3624775756733822</v>
      </c>
      <c r="X45" s="1">
        <v>1.2772494567861525</v>
      </c>
      <c r="Y45" s="1">
        <v>1.4411943749501772</v>
      </c>
      <c r="Z45" s="1">
        <v>1.4056084049525246</v>
      </c>
      <c r="AB45" s="3"/>
      <c r="AC45" s="3"/>
      <c r="AD45" s="3"/>
      <c r="AE45" s="3"/>
      <c r="AK45" s="1">
        <v>1.298448680855669</v>
      </c>
    </row>
    <row r="46" spans="18:38" x14ac:dyDescent="0.25">
      <c r="R46" s="2">
        <v>0.4</v>
      </c>
      <c r="S46" s="1">
        <v>1.0407621030911187</v>
      </c>
      <c r="T46" s="1">
        <v>1.0971158564995525</v>
      </c>
      <c r="U46" s="1">
        <v>1.2177613363588575</v>
      </c>
      <c r="V46" s="1">
        <v>1.2017812140722102</v>
      </c>
      <c r="W46" s="1">
        <v>1.369718680713458</v>
      </c>
      <c r="X46" s="1">
        <v>1.2817594796222262</v>
      </c>
      <c r="Y46" s="1">
        <v>1.4463028752825913</v>
      </c>
      <c r="Z46" s="1">
        <v>1.4088775298191538</v>
      </c>
      <c r="AB46" s="3"/>
      <c r="AC46" s="3"/>
      <c r="AD46" s="3"/>
      <c r="AE46" s="3"/>
      <c r="AF46" s="3"/>
      <c r="AG46" s="3"/>
      <c r="AH46" s="3"/>
      <c r="AI46" s="3"/>
      <c r="AK46" s="1">
        <v>1.3026644490125558</v>
      </c>
    </row>
    <row r="47" spans="18:38" x14ac:dyDescent="0.25">
      <c r="R47" s="5">
        <v>0.41</v>
      </c>
      <c r="S47" s="1">
        <v>1.0439140043465294</v>
      </c>
      <c r="T47" s="1">
        <v>1.1005798568072822</v>
      </c>
      <c r="U47" s="1">
        <v>1.2208748890621242</v>
      </c>
      <c r="V47" s="1">
        <v>1.2051396979890774</v>
      </c>
      <c r="W47" s="1">
        <v>1.3746594476442684</v>
      </c>
      <c r="X47" s="1">
        <v>1.2866666393022694</v>
      </c>
      <c r="Y47" s="1">
        <v>1.4512374320380006</v>
      </c>
      <c r="Z47" s="1">
        <v>1.4135384038583325</v>
      </c>
      <c r="AB47" s="3"/>
      <c r="AC47" s="3"/>
      <c r="AD47" s="3"/>
      <c r="AE47" s="3"/>
      <c r="AF47" s="3"/>
      <c r="AG47" s="3"/>
      <c r="AH47" s="3"/>
      <c r="AI47" s="3"/>
      <c r="AK47" s="1">
        <v>1.3078747488202043</v>
      </c>
    </row>
    <row r="48" spans="18:38" x14ac:dyDescent="0.25">
      <c r="R48" s="2">
        <v>0.42</v>
      </c>
      <c r="S48" s="1">
        <v>1.0474639401719237</v>
      </c>
      <c r="T48" s="1">
        <v>1.1038699548626283</v>
      </c>
      <c r="U48" s="1">
        <v>1.2252007952454322</v>
      </c>
      <c r="V48" s="1">
        <v>1.2087821048077696</v>
      </c>
      <c r="W48" s="1">
        <v>1.3800202000286415</v>
      </c>
      <c r="X48" s="1">
        <v>1.2909361896578675</v>
      </c>
      <c r="Y48" s="1">
        <v>1.4568228698860481</v>
      </c>
      <c r="Z48" s="1">
        <v>1.4185685114354281</v>
      </c>
      <c r="AB48" s="3"/>
      <c r="AC48" s="3"/>
      <c r="AD48" s="3"/>
      <c r="AE48" s="3"/>
      <c r="AF48" s="3"/>
      <c r="AG48" s="3"/>
      <c r="AH48" s="3"/>
      <c r="AI48" s="3"/>
      <c r="AK48" s="1">
        <v>1.3125081170939765</v>
      </c>
    </row>
    <row r="49" spans="18:37" x14ac:dyDescent="0.25">
      <c r="R49" s="5">
        <v>0.43</v>
      </c>
      <c r="S49" s="1">
        <v>1.0505697298524717</v>
      </c>
      <c r="T49" s="1">
        <v>1.1066466097112877</v>
      </c>
      <c r="U49" s="1">
        <v>1.2290297293982682</v>
      </c>
      <c r="V49" s="1">
        <v>1.2126640000586397</v>
      </c>
      <c r="W49" s="1">
        <v>1.3847091301492194</v>
      </c>
      <c r="X49" s="1">
        <v>1.2955315951193664</v>
      </c>
      <c r="Y49" s="1">
        <v>1.4637342217284306</v>
      </c>
      <c r="Z49" s="1">
        <v>1.4231863557784485</v>
      </c>
      <c r="AB49" s="3"/>
      <c r="AC49" s="3"/>
      <c r="AD49" s="3"/>
      <c r="AE49" s="3"/>
      <c r="AF49" s="3"/>
      <c r="AG49" s="3"/>
      <c r="AH49" s="3"/>
      <c r="AI49" s="3"/>
      <c r="AK49" s="1">
        <v>1.3178333276625156</v>
      </c>
    </row>
    <row r="50" spans="18:37" x14ac:dyDescent="0.25">
      <c r="R50" s="2">
        <v>0.44</v>
      </c>
      <c r="S50" s="1">
        <v>1.0529686221713279</v>
      </c>
      <c r="T50" s="1">
        <v>1.1096090775840435</v>
      </c>
      <c r="U50" s="1">
        <v>1.2324965017114851</v>
      </c>
      <c r="V50" s="1">
        <v>1.2166877822574209</v>
      </c>
      <c r="W50" s="1">
        <v>1.3902650860431025</v>
      </c>
      <c r="X50" s="1">
        <v>1.3006790259202208</v>
      </c>
      <c r="Y50" s="1">
        <v>1.4693756580928437</v>
      </c>
      <c r="Z50" s="1">
        <v>1.4278406707244591</v>
      </c>
      <c r="AB50" s="3"/>
      <c r="AC50" s="3"/>
      <c r="AD50" s="3"/>
      <c r="AE50" s="3"/>
      <c r="AF50" s="3"/>
      <c r="AG50" s="3"/>
      <c r="AH50" s="3"/>
      <c r="AI50" s="3"/>
      <c r="AK50" s="1">
        <v>1.3227757425250428</v>
      </c>
    </row>
    <row r="51" spans="18:37" x14ac:dyDescent="0.25">
      <c r="R51" s="5">
        <v>0.45</v>
      </c>
      <c r="S51" s="1">
        <v>1.0555201809860204</v>
      </c>
      <c r="T51" s="1">
        <v>1.1130163578496435</v>
      </c>
      <c r="U51" s="1">
        <v>1.2362442520621559</v>
      </c>
      <c r="V51" s="1">
        <v>1.220347604717124</v>
      </c>
      <c r="W51" s="1">
        <v>1.3964776456099068</v>
      </c>
      <c r="X51" s="1">
        <v>1.3049134855825237</v>
      </c>
      <c r="Y51" s="1">
        <v>1.4741547255443126</v>
      </c>
      <c r="Z51" s="1">
        <v>1.4330870632837509</v>
      </c>
      <c r="AB51" s="3"/>
      <c r="AC51" s="3"/>
      <c r="AD51" s="3"/>
      <c r="AE51" s="3"/>
      <c r="AF51" s="3"/>
      <c r="AG51" s="3"/>
      <c r="AH51" s="3"/>
      <c r="AI51" s="3"/>
      <c r="AK51" s="1">
        <v>1.3279306110292395</v>
      </c>
    </row>
    <row r="52" spans="18:37" x14ac:dyDescent="0.25">
      <c r="R52" s="2">
        <v>0.46</v>
      </c>
      <c r="S52" s="1">
        <v>1.0580211760275966</v>
      </c>
      <c r="T52" s="1">
        <v>1.115894755203056</v>
      </c>
      <c r="U52" s="1">
        <v>1.2399249174560854</v>
      </c>
      <c r="V52" s="1">
        <v>1.2239191832235048</v>
      </c>
      <c r="W52" s="1">
        <v>1.4002343679358176</v>
      </c>
      <c r="X52" s="1">
        <v>1.3101916956552651</v>
      </c>
      <c r="Y52" s="1">
        <v>1.4787942763766024</v>
      </c>
      <c r="Z52" s="1">
        <v>1.4379136468903364</v>
      </c>
      <c r="AB52" s="3"/>
      <c r="AC52" s="3"/>
      <c r="AD52" s="3"/>
      <c r="AE52" s="3"/>
      <c r="AF52" s="3"/>
      <c r="AG52" s="3"/>
      <c r="AH52" s="3"/>
      <c r="AI52" s="3"/>
      <c r="AK52" s="1">
        <v>1.3333808996393921</v>
      </c>
    </row>
    <row r="53" spans="18:37" x14ac:dyDescent="0.25">
      <c r="R53" s="5">
        <v>0.47</v>
      </c>
      <c r="S53" s="1">
        <v>1.0617084452380432</v>
      </c>
      <c r="T53" s="1">
        <v>1.1190943784619947</v>
      </c>
      <c r="U53" s="1">
        <v>1.2434332548444935</v>
      </c>
      <c r="V53" s="1">
        <v>1.2276568384916042</v>
      </c>
      <c r="W53" s="1">
        <v>1.4070197747145212</v>
      </c>
      <c r="X53" s="1">
        <v>1.315012346503567</v>
      </c>
      <c r="Y53" s="1">
        <v>1.4833536968463481</v>
      </c>
      <c r="Z53" s="1">
        <v>1.4429051337468646</v>
      </c>
      <c r="AB53" s="3"/>
      <c r="AC53" s="3"/>
      <c r="AD53" s="3"/>
      <c r="AE53" s="3"/>
      <c r="AF53" s="3"/>
      <c r="AG53" s="3"/>
      <c r="AH53" s="3"/>
      <c r="AI53" s="3"/>
      <c r="AK53" s="1">
        <v>1.3402132791563672</v>
      </c>
    </row>
    <row r="54" spans="18:37" x14ac:dyDescent="0.25">
      <c r="R54" s="2">
        <v>0.48</v>
      </c>
      <c r="S54" s="1">
        <v>1.0646320980895327</v>
      </c>
      <c r="T54" s="1">
        <v>1.1217723218005926</v>
      </c>
      <c r="U54" s="1">
        <v>1.2469598308213343</v>
      </c>
      <c r="V54" s="1">
        <v>1.2319176417105866</v>
      </c>
      <c r="W54" s="1">
        <v>1.4137878606921401</v>
      </c>
      <c r="X54" s="1">
        <v>1.319295329445664</v>
      </c>
      <c r="Y54" s="1">
        <v>1.4888827310641184</v>
      </c>
      <c r="Z54" s="1">
        <v>1.4481707189959623</v>
      </c>
      <c r="AB54" s="3"/>
      <c r="AC54" s="3"/>
      <c r="AD54" s="3"/>
      <c r="AE54" s="3"/>
      <c r="AF54" s="3"/>
      <c r="AG54" s="3"/>
      <c r="AH54" s="3"/>
      <c r="AI54" s="3"/>
      <c r="AK54" s="1">
        <v>1.3471724776477361</v>
      </c>
    </row>
    <row r="55" spans="18:37" x14ac:dyDescent="0.25">
      <c r="R55" s="5">
        <v>0.49</v>
      </c>
      <c r="S55" s="1">
        <v>1.0675387982965399</v>
      </c>
      <c r="T55" s="1">
        <v>1.1256496023749267</v>
      </c>
      <c r="U55" s="1">
        <v>1.2503350286719768</v>
      </c>
      <c r="V55" s="1">
        <v>1.2362716680236487</v>
      </c>
      <c r="W55" s="1">
        <v>1.4188854751709794</v>
      </c>
      <c r="X55" s="1">
        <v>1.3229236105630608</v>
      </c>
      <c r="Y55" s="1">
        <v>1.49504809214696</v>
      </c>
      <c r="Z55" s="1">
        <v>1.4531888598692237</v>
      </c>
      <c r="AB55" s="3"/>
      <c r="AC55" s="3"/>
      <c r="AD55" s="3"/>
      <c r="AE55" s="3"/>
      <c r="AF55" s="3"/>
      <c r="AG55" s="3"/>
      <c r="AH55" s="3"/>
      <c r="AI55" s="3"/>
      <c r="AK55" s="1">
        <v>1.3527671078670696</v>
      </c>
    </row>
    <row r="56" spans="18:37" x14ac:dyDescent="0.25">
      <c r="R56" s="2">
        <v>0.5</v>
      </c>
      <c r="S56" s="1">
        <v>1.0708472322958082</v>
      </c>
      <c r="T56" s="1">
        <v>1.1283372442841972</v>
      </c>
      <c r="U56" s="1">
        <v>1.2539492219818413</v>
      </c>
      <c r="V56" s="1">
        <v>1.2398247855893638</v>
      </c>
      <c r="W56" s="1">
        <v>1.4228277733580978</v>
      </c>
      <c r="X56" s="1">
        <v>1.3274793587351943</v>
      </c>
      <c r="Y56" s="1">
        <v>1.4998106502385151</v>
      </c>
      <c r="Z56" s="1">
        <v>1.4583236000833484</v>
      </c>
      <c r="AB56" s="3"/>
      <c r="AC56" s="3"/>
      <c r="AD56" s="3"/>
      <c r="AE56" s="3"/>
      <c r="AF56" s="3"/>
      <c r="AG56" s="3"/>
      <c r="AH56" s="3"/>
      <c r="AI56" s="3"/>
      <c r="AK56" s="1">
        <v>1.3579822882006016</v>
      </c>
    </row>
    <row r="57" spans="18:37" x14ac:dyDescent="0.25">
      <c r="R57" s="5">
        <v>0.51</v>
      </c>
      <c r="S57" s="1">
        <v>1.0745005126311078</v>
      </c>
      <c r="T57" s="1">
        <v>1.1317388906956238</v>
      </c>
      <c r="U57" s="1">
        <v>1.2578040527834959</v>
      </c>
      <c r="V57" s="1">
        <v>1.2436157144972442</v>
      </c>
      <c r="W57" s="1">
        <v>1.4291977060149978</v>
      </c>
      <c r="X57" s="1">
        <v>1.3326165834328909</v>
      </c>
      <c r="Y57" s="1">
        <v>1.5041884657899571</v>
      </c>
      <c r="Z57" s="1">
        <v>1.4634527292273019</v>
      </c>
      <c r="AB57" s="3"/>
      <c r="AC57" s="3"/>
      <c r="AD57" s="3"/>
      <c r="AE57" s="3"/>
      <c r="AF57" s="3"/>
      <c r="AG57" s="3"/>
      <c r="AH57" s="3"/>
      <c r="AI57" s="3"/>
      <c r="AK57" s="1">
        <v>1.3645932107637218</v>
      </c>
    </row>
    <row r="58" spans="18:37" x14ac:dyDescent="0.25">
      <c r="R58" s="2">
        <v>0.52</v>
      </c>
      <c r="S58" s="1">
        <v>1.0777286258748917</v>
      </c>
      <c r="T58" s="1">
        <v>1.135166070826348</v>
      </c>
      <c r="U58" s="1">
        <v>1.262157975836824</v>
      </c>
      <c r="V58" s="1">
        <v>1.2477492146793552</v>
      </c>
      <c r="W58" s="1">
        <v>1.4360790777202357</v>
      </c>
      <c r="X58" s="1">
        <v>1.3373051914099161</v>
      </c>
      <c r="Y58" s="1">
        <v>1.5098867199048955</v>
      </c>
      <c r="Z58" s="1">
        <v>1.4681390302504802</v>
      </c>
      <c r="AB58" s="3"/>
      <c r="AC58" s="3"/>
      <c r="AD58" s="3"/>
      <c r="AE58" s="3"/>
      <c r="AF58" s="3"/>
      <c r="AG58" s="3"/>
      <c r="AH58" s="3"/>
      <c r="AI58" s="3"/>
      <c r="AK58" s="1">
        <v>1.3692098154617722</v>
      </c>
    </row>
    <row r="59" spans="18:37" x14ac:dyDescent="0.25">
      <c r="R59" s="5">
        <v>0.53</v>
      </c>
      <c r="S59" s="1">
        <v>1.0813937722048239</v>
      </c>
      <c r="T59" s="1">
        <v>1.1383330295579217</v>
      </c>
      <c r="U59" s="1">
        <v>1.2663166585224992</v>
      </c>
      <c r="V59" s="1">
        <v>1.2520678950512383</v>
      </c>
      <c r="W59" s="1">
        <v>1.4401723148535717</v>
      </c>
      <c r="X59" s="1">
        <v>1.3420799587468795</v>
      </c>
      <c r="Y59" s="1">
        <v>1.5148578123893237</v>
      </c>
      <c r="Z59" s="1">
        <v>1.4732219612980364</v>
      </c>
      <c r="AB59" s="3"/>
      <c r="AC59" s="3"/>
      <c r="AD59" s="3"/>
      <c r="AE59" s="3"/>
      <c r="AF59" s="3"/>
      <c r="AG59" s="3"/>
      <c r="AH59" s="3"/>
      <c r="AI59" s="3"/>
      <c r="AK59" s="1">
        <v>1.3746931716009247</v>
      </c>
    </row>
    <row r="60" spans="18:37" x14ac:dyDescent="0.25">
      <c r="R60" s="2">
        <v>0.54</v>
      </c>
      <c r="S60" s="1">
        <v>1.0848101507408905</v>
      </c>
      <c r="T60" s="1">
        <v>1.1422501282309978</v>
      </c>
      <c r="U60" s="1">
        <v>1.2701777280608413</v>
      </c>
      <c r="V60" s="1">
        <v>1.2559191042412228</v>
      </c>
      <c r="W60" s="1">
        <v>1.4447313866578726</v>
      </c>
      <c r="X60" s="1">
        <v>1.3477837879721759</v>
      </c>
      <c r="Y60" s="1">
        <v>1.5194129263726728</v>
      </c>
      <c r="Z60" s="1">
        <v>1.4783000900863041</v>
      </c>
      <c r="AB60" s="3"/>
      <c r="AC60" s="3"/>
      <c r="AD60" s="3"/>
      <c r="AE60" s="3"/>
      <c r="AF60" s="3"/>
      <c r="AG60" s="3"/>
      <c r="AH60" s="3"/>
      <c r="AI60" s="3"/>
      <c r="AK60" s="1">
        <v>1.3808594107589294</v>
      </c>
    </row>
    <row r="61" spans="18:37" x14ac:dyDescent="0.25">
      <c r="R61" s="5">
        <v>0.55000000000000004</v>
      </c>
      <c r="S61" s="1">
        <v>1.0890840545888305</v>
      </c>
      <c r="T61" s="1">
        <v>1.1468461320847365</v>
      </c>
      <c r="U61" s="1">
        <v>1.2737831695324506</v>
      </c>
      <c r="V61" s="1">
        <v>1.259479955330747</v>
      </c>
      <c r="W61" s="1">
        <v>1.4511743700273396</v>
      </c>
      <c r="X61" s="1">
        <v>1.3529238947423294</v>
      </c>
      <c r="Y61" s="1">
        <v>1.5245497597873108</v>
      </c>
      <c r="Z61" s="1">
        <v>1.482821302261657</v>
      </c>
      <c r="AB61" s="3"/>
      <c r="AC61" s="3"/>
      <c r="AD61" s="3"/>
      <c r="AE61" s="3"/>
      <c r="AF61" s="3"/>
      <c r="AG61" s="3"/>
      <c r="AH61" s="3"/>
      <c r="AI61" s="3"/>
      <c r="AK61" s="1">
        <v>1.3875162830998005</v>
      </c>
    </row>
    <row r="62" spans="18:37" x14ac:dyDescent="0.25">
      <c r="R62" s="2">
        <v>0.56000000000000005</v>
      </c>
      <c r="S62" s="1">
        <v>1.0923441106933554</v>
      </c>
      <c r="T62" s="1">
        <v>1.1511953279088858</v>
      </c>
      <c r="U62" s="1">
        <v>1.2774249814554002</v>
      </c>
      <c r="V62" s="1">
        <v>1.2646156346842723</v>
      </c>
      <c r="W62" s="1">
        <v>1.4579378432149233</v>
      </c>
      <c r="X62" s="1">
        <v>1.3577379564388987</v>
      </c>
      <c r="Y62" s="1">
        <v>1.5305452419106236</v>
      </c>
      <c r="Z62" s="1">
        <v>1.4885559917958291</v>
      </c>
      <c r="AB62" s="3"/>
      <c r="AC62" s="3"/>
      <c r="AD62" s="3"/>
      <c r="AE62" s="3"/>
      <c r="AK62" s="1">
        <v>1.392568475902586</v>
      </c>
    </row>
    <row r="63" spans="18:37" x14ac:dyDescent="0.25">
      <c r="R63" s="5">
        <v>0.56999999999999995</v>
      </c>
      <c r="S63" s="1">
        <v>1.0952426775251114</v>
      </c>
      <c r="T63" s="1">
        <v>1.1542733071444278</v>
      </c>
      <c r="U63" s="1">
        <v>1.281318727113415</v>
      </c>
      <c r="V63" s="1">
        <v>1.2685108810241086</v>
      </c>
      <c r="W63" s="1">
        <v>1.461410513827446</v>
      </c>
      <c r="X63" s="1">
        <v>1.3631606336557585</v>
      </c>
      <c r="Y63" s="1">
        <v>1.5365608968067326</v>
      </c>
      <c r="Z63" s="1">
        <v>1.4929865361873118</v>
      </c>
      <c r="AB63" s="3"/>
      <c r="AC63" s="3"/>
      <c r="AD63" s="3"/>
      <c r="AE63" s="3"/>
      <c r="AF63" s="3"/>
      <c r="AG63" s="3"/>
      <c r="AH63" s="3"/>
      <c r="AI63" s="3"/>
      <c r="AK63" s="1">
        <v>1.3985249346251245</v>
      </c>
    </row>
    <row r="64" spans="18:37" x14ac:dyDescent="0.25">
      <c r="R64" s="2">
        <v>0.57999999999999996</v>
      </c>
      <c r="S64" s="1">
        <v>1.0988624302611092</v>
      </c>
      <c r="T64" s="1">
        <v>1.1577618195301642</v>
      </c>
      <c r="U64" s="1">
        <v>1.2851402109817096</v>
      </c>
      <c r="V64" s="1">
        <v>1.2731456424610359</v>
      </c>
      <c r="W64" s="1">
        <v>1.4676676900489427</v>
      </c>
      <c r="X64" s="1">
        <v>1.3680672731742731</v>
      </c>
      <c r="Y64" s="1">
        <v>1.5416021522333525</v>
      </c>
      <c r="Z64" s="1">
        <v>1.4980765039041346</v>
      </c>
      <c r="AB64" s="3"/>
      <c r="AC64" s="3"/>
      <c r="AD64" s="3"/>
      <c r="AE64" s="3"/>
      <c r="AF64" s="3"/>
      <c r="AG64" s="3"/>
      <c r="AH64" s="3"/>
      <c r="AI64" s="3"/>
      <c r="AK64" s="1">
        <v>1.4043473891627603</v>
      </c>
    </row>
    <row r="65" spans="18:37" x14ac:dyDescent="0.25">
      <c r="R65" s="5">
        <v>0.59</v>
      </c>
      <c r="S65" s="1">
        <v>1.1032790712405571</v>
      </c>
      <c r="T65" s="1">
        <v>1.1615943457585229</v>
      </c>
      <c r="U65" s="1">
        <v>1.2889654014325709</v>
      </c>
      <c r="V65" s="1">
        <v>1.2782909189230132</v>
      </c>
      <c r="W65" s="1">
        <v>1.4733479295013874</v>
      </c>
      <c r="X65" s="1">
        <v>1.3725187183532088</v>
      </c>
      <c r="Y65" s="1">
        <v>1.5471340841744683</v>
      </c>
      <c r="Z65" s="1">
        <v>1.5027979276444328</v>
      </c>
      <c r="AB65" s="3"/>
      <c r="AC65" s="3"/>
      <c r="AD65" s="3"/>
      <c r="AE65" s="3"/>
      <c r="AF65" s="3"/>
      <c r="AG65" s="3"/>
      <c r="AH65" s="3"/>
      <c r="AI65" s="3"/>
      <c r="AK65" s="1">
        <v>1.410930714675098</v>
      </c>
    </row>
    <row r="66" spans="18:37" x14ac:dyDescent="0.25">
      <c r="R66" s="2">
        <v>0.6</v>
      </c>
      <c r="S66" s="1">
        <v>1.106635897918655</v>
      </c>
      <c r="T66" s="1">
        <v>1.1652499350260956</v>
      </c>
      <c r="U66" s="1">
        <v>1.2927950455003208</v>
      </c>
      <c r="V66" s="1">
        <v>1.2831186577031422</v>
      </c>
      <c r="W66" s="1">
        <v>1.4789268860647449</v>
      </c>
      <c r="X66" s="1">
        <v>1.3780960643021842</v>
      </c>
      <c r="Y66" s="1">
        <v>1.5521752031533163</v>
      </c>
      <c r="Z66" s="1">
        <v>1.5081832067120609</v>
      </c>
      <c r="AB66" s="3"/>
      <c r="AC66" s="3"/>
      <c r="AD66" s="3"/>
      <c r="AE66" s="3"/>
      <c r="AF66" s="3"/>
      <c r="AG66" s="3"/>
      <c r="AH66" s="3"/>
      <c r="AI66" s="3"/>
      <c r="AK66" s="1">
        <v>1.4166719480587042</v>
      </c>
    </row>
    <row r="67" spans="18:37" x14ac:dyDescent="0.25">
      <c r="R67" s="5">
        <v>0.61</v>
      </c>
      <c r="S67" s="1">
        <v>1.1103132833536065</v>
      </c>
      <c r="T67" s="1">
        <v>1.1687991015785184</v>
      </c>
      <c r="U67" s="1">
        <v>1.2968604703798026</v>
      </c>
      <c r="V67" s="1">
        <v>1.2882469951079543</v>
      </c>
      <c r="W67" s="1">
        <v>1.4835798542204715</v>
      </c>
      <c r="X67" s="1">
        <v>1.3834495791183392</v>
      </c>
      <c r="Y67" s="1">
        <v>1.558409706441831</v>
      </c>
      <c r="Z67" s="1">
        <v>1.5136619385848431</v>
      </c>
      <c r="AB67" s="3"/>
      <c r="AC67" s="3"/>
      <c r="AD67" s="3"/>
      <c r="AE67" s="3"/>
      <c r="AF67" s="3"/>
      <c r="AG67" s="3"/>
      <c r="AH67" s="3"/>
      <c r="AI67" s="3"/>
      <c r="AK67" s="1">
        <v>1.4230705801620724</v>
      </c>
    </row>
    <row r="68" spans="18:37" x14ac:dyDescent="0.25">
      <c r="R68" s="2">
        <v>0.62</v>
      </c>
      <c r="S68" s="1">
        <v>1.1132469589966159</v>
      </c>
      <c r="T68" s="1">
        <v>1.173165280295529</v>
      </c>
      <c r="U68" s="1">
        <v>1.3004463997045284</v>
      </c>
      <c r="V68" s="1">
        <v>1.2920689837851318</v>
      </c>
      <c r="W68" s="1">
        <v>1.4915739238082775</v>
      </c>
      <c r="X68" s="1">
        <v>1.3890523108610275</v>
      </c>
      <c r="Y68" s="1">
        <v>1.5638367744417305</v>
      </c>
      <c r="Z68" s="1">
        <v>1.5197732475615628</v>
      </c>
      <c r="AB68" s="3"/>
      <c r="AC68" s="3"/>
      <c r="AD68" s="3"/>
      <c r="AE68" s="3"/>
      <c r="AF68" s="3"/>
      <c r="AG68" s="3"/>
      <c r="AH68" s="3"/>
      <c r="AI68" s="3"/>
      <c r="AK68" s="1">
        <v>1.4299530569066585</v>
      </c>
    </row>
    <row r="69" spans="18:37" x14ac:dyDescent="0.25">
      <c r="R69" s="5">
        <v>0.63</v>
      </c>
      <c r="S69" s="1">
        <v>1.1168281919774867</v>
      </c>
      <c r="T69" s="1">
        <v>1.1768363422500638</v>
      </c>
      <c r="U69" s="1">
        <v>1.3049861460608569</v>
      </c>
      <c r="V69" s="1">
        <v>1.2971905650013573</v>
      </c>
      <c r="W69" s="1">
        <v>1.4990997258637762</v>
      </c>
      <c r="X69" s="1">
        <v>1.3942549838656868</v>
      </c>
      <c r="Y69" s="1">
        <v>1.5690655184387907</v>
      </c>
      <c r="Z69" s="1">
        <v>1.5252503661168373</v>
      </c>
      <c r="AB69" s="3"/>
      <c r="AC69" s="3"/>
      <c r="AD69" s="3"/>
      <c r="AE69" s="3"/>
      <c r="AF69" s="3"/>
      <c r="AG69" s="3"/>
      <c r="AH69" s="3"/>
      <c r="AI69" s="3"/>
      <c r="AK69" s="1">
        <v>1.4361884856957949</v>
      </c>
    </row>
    <row r="70" spans="18:37" x14ac:dyDescent="0.25">
      <c r="R70" s="2">
        <v>0.64</v>
      </c>
      <c r="S70" s="1">
        <v>1.1204382401254944</v>
      </c>
      <c r="T70" s="1">
        <v>1.1807847069878949</v>
      </c>
      <c r="U70" s="1">
        <v>1.3083904609237542</v>
      </c>
      <c r="V70" s="1">
        <v>1.3015357090147042</v>
      </c>
      <c r="W70" s="1">
        <v>1.5049422344348764</v>
      </c>
      <c r="X70" s="1">
        <v>1.3996005495776576</v>
      </c>
      <c r="Y70" s="1">
        <v>1.5757286213095665</v>
      </c>
      <c r="Z70" s="1">
        <v>1.5305355307192683</v>
      </c>
      <c r="AB70" s="3"/>
      <c r="AC70" s="3"/>
      <c r="AD70" s="3"/>
      <c r="AE70" s="3"/>
      <c r="AF70" s="3"/>
      <c r="AG70" s="3"/>
      <c r="AH70" s="3"/>
      <c r="AI70" s="3"/>
      <c r="AK70" s="1">
        <v>1.4415299192864512</v>
      </c>
    </row>
    <row r="71" spans="18:37" x14ac:dyDescent="0.25">
      <c r="R71" s="5">
        <v>0.65</v>
      </c>
      <c r="S71" s="1">
        <v>1.1240785074545263</v>
      </c>
      <c r="T71" s="1">
        <v>1.1847379316315994</v>
      </c>
      <c r="U71" s="1">
        <v>1.312186608794597</v>
      </c>
      <c r="V71" s="1">
        <v>1.3059972831188953</v>
      </c>
      <c r="W71" s="1">
        <v>1.5111653382052674</v>
      </c>
      <c r="X71" s="1">
        <v>1.4065400817423435</v>
      </c>
      <c r="Y71" s="1">
        <v>1.5818552910905672</v>
      </c>
      <c r="Z71" s="1">
        <v>1.5365200602835121</v>
      </c>
      <c r="AB71" s="3"/>
      <c r="AC71" s="3"/>
      <c r="AD71" s="3"/>
      <c r="AE71" s="3"/>
      <c r="AF71" s="3"/>
      <c r="AG71" s="3"/>
      <c r="AH71" s="3"/>
      <c r="AI71" s="3"/>
      <c r="AK71" s="1">
        <v>1.4480507847097943</v>
      </c>
    </row>
    <row r="72" spans="18:37" x14ac:dyDescent="0.25">
      <c r="R72" s="2">
        <v>0.66</v>
      </c>
      <c r="S72" s="1">
        <v>1.1283704047598357</v>
      </c>
      <c r="T72" s="1">
        <v>1.189214310452855</v>
      </c>
      <c r="U72" s="1">
        <v>1.3168319987851855</v>
      </c>
      <c r="V72" s="1">
        <v>1.3109414800972099</v>
      </c>
      <c r="W72" s="1">
        <v>1.518658913828294</v>
      </c>
      <c r="X72" s="1">
        <v>1.4121176934332107</v>
      </c>
      <c r="Y72" s="1">
        <v>1.5879192207152115</v>
      </c>
      <c r="Z72" s="1">
        <v>1.5418727041530296</v>
      </c>
      <c r="AB72" s="3"/>
      <c r="AC72" s="3"/>
      <c r="AD72" s="3"/>
      <c r="AE72" s="3"/>
      <c r="AF72" s="3"/>
      <c r="AG72" s="3"/>
      <c r="AH72" s="3"/>
      <c r="AI72" s="3"/>
      <c r="AK72" s="1">
        <v>1.4549782668686719</v>
      </c>
    </row>
    <row r="73" spans="18:37" x14ac:dyDescent="0.25">
      <c r="R73" s="5">
        <v>0.67</v>
      </c>
      <c r="S73" s="1">
        <v>1.132772884963529</v>
      </c>
      <c r="T73" s="1">
        <v>1.19234803354923</v>
      </c>
      <c r="U73" s="1">
        <v>1.3224095508367764</v>
      </c>
      <c r="V73" s="1">
        <v>1.3166204337111118</v>
      </c>
      <c r="W73" s="1">
        <v>1.5245774503396643</v>
      </c>
      <c r="X73" s="1">
        <v>1.4168162514917484</v>
      </c>
      <c r="Y73" s="1">
        <v>1.5953109033673223</v>
      </c>
      <c r="Z73" s="1">
        <v>1.5492238271677361</v>
      </c>
      <c r="AB73" s="3"/>
      <c r="AC73" s="3"/>
      <c r="AD73" s="3"/>
      <c r="AE73" s="3"/>
      <c r="AF73" s="3"/>
      <c r="AG73" s="3"/>
      <c r="AH73" s="3"/>
      <c r="AI73" s="3"/>
      <c r="AK73" s="1">
        <v>1.4600794772107282</v>
      </c>
    </row>
    <row r="74" spans="18:37" x14ac:dyDescent="0.25">
      <c r="R74" s="2">
        <v>0.68</v>
      </c>
      <c r="S74" s="1">
        <v>1.1371663308429401</v>
      </c>
      <c r="T74" s="1">
        <v>1.1958566973649847</v>
      </c>
      <c r="U74" s="1">
        <v>1.3275180905717789</v>
      </c>
      <c r="V74" s="1">
        <v>1.3219693644335477</v>
      </c>
      <c r="W74" s="1">
        <v>1.5312607712527428</v>
      </c>
      <c r="X74" s="1">
        <v>1.4238464064030725</v>
      </c>
      <c r="Y74" s="1">
        <v>1.6013512485226851</v>
      </c>
      <c r="Z74" s="1">
        <v>1.5544754281042061</v>
      </c>
      <c r="AB74" s="3"/>
      <c r="AC74" s="3"/>
      <c r="AD74" s="3"/>
      <c r="AE74" s="3"/>
      <c r="AF74" s="3"/>
      <c r="AG74" s="3"/>
      <c r="AH74" s="3"/>
      <c r="AI74" s="3"/>
      <c r="AK74" s="1">
        <v>1.4657419990834688</v>
      </c>
    </row>
    <row r="75" spans="18:37" x14ac:dyDescent="0.25">
      <c r="R75" s="5">
        <v>0.69</v>
      </c>
      <c r="S75" s="1">
        <v>1.142125832427469</v>
      </c>
      <c r="T75" s="1">
        <v>1.2004740998307892</v>
      </c>
      <c r="U75" s="1">
        <v>1.3317573356345558</v>
      </c>
      <c r="V75" s="1">
        <v>1.3275191577059144</v>
      </c>
      <c r="W75" s="1">
        <v>1.5401187031893362</v>
      </c>
      <c r="X75" s="1">
        <v>1.429780200918819</v>
      </c>
      <c r="Y75" s="1">
        <v>1.6089303381054854</v>
      </c>
      <c r="Z75" s="1">
        <v>1.5599516839692609</v>
      </c>
      <c r="AB75" s="3"/>
      <c r="AC75" s="3"/>
      <c r="AD75" s="3"/>
      <c r="AE75" s="3"/>
      <c r="AF75" s="3"/>
      <c r="AG75" s="3"/>
      <c r="AH75" s="3"/>
      <c r="AI75" s="3"/>
      <c r="AK75" s="1">
        <v>1.4736434068421909</v>
      </c>
    </row>
    <row r="76" spans="18:37" x14ac:dyDescent="0.25">
      <c r="R76" s="2">
        <v>0.7</v>
      </c>
      <c r="S76" s="1">
        <v>1.1456709315256748</v>
      </c>
      <c r="T76" s="1">
        <v>1.2054024891168675</v>
      </c>
      <c r="U76" s="1">
        <v>1.3367088572876205</v>
      </c>
      <c r="V76" s="1">
        <v>1.3331747425387508</v>
      </c>
      <c r="W76" s="1">
        <v>1.547221424838003</v>
      </c>
      <c r="X76" s="1">
        <v>1.4353722615666906</v>
      </c>
      <c r="Y76" s="1">
        <v>1.6156735353429361</v>
      </c>
      <c r="Z76" s="1">
        <v>1.5660716465819247</v>
      </c>
      <c r="AB76" s="3"/>
      <c r="AC76" s="3"/>
      <c r="AD76" s="3"/>
      <c r="AE76" s="3"/>
      <c r="AF76" s="3"/>
      <c r="AG76" s="3"/>
      <c r="AH76" s="3"/>
      <c r="AI76" s="3"/>
      <c r="AK76" s="1">
        <v>1.4799998598291104</v>
      </c>
    </row>
    <row r="77" spans="18:37" x14ac:dyDescent="0.25">
      <c r="R77" s="5">
        <v>0.71</v>
      </c>
      <c r="S77" s="1">
        <v>1.1503977943168888</v>
      </c>
      <c r="T77" s="1">
        <v>1.2105272417807296</v>
      </c>
      <c r="U77" s="1">
        <v>1.3418930630858048</v>
      </c>
      <c r="V77" s="1">
        <v>1.3384657635416537</v>
      </c>
      <c r="W77" s="1">
        <v>1.5541612002034753</v>
      </c>
      <c r="X77" s="1">
        <v>1.4412162475555748</v>
      </c>
      <c r="Y77" s="1">
        <v>1.622608547631053</v>
      </c>
      <c r="Z77" s="1">
        <v>1.5727602761301744</v>
      </c>
      <c r="AB77" s="3"/>
      <c r="AC77" s="3"/>
      <c r="AD77" s="3"/>
      <c r="AE77" s="3"/>
      <c r="AF77" s="3"/>
      <c r="AG77" s="3"/>
      <c r="AH77" s="3"/>
      <c r="AI77" s="3"/>
      <c r="AK77" s="1">
        <v>1.4854931997778729</v>
      </c>
    </row>
    <row r="78" spans="18:37" x14ac:dyDescent="0.25">
      <c r="R78" s="2">
        <v>0.72</v>
      </c>
      <c r="S78" s="1">
        <v>1.1552182635032926</v>
      </c>
      <c r="T78" s="1">
        <v>1.2150405980907191</v>
      </c>
      <c r="U78" s="1">
        <v>1.3460576630620495</v>
      </c>
      <c r="V78" s="1">
        <v>1.3443188479676584</v>
      </c>
      <c r="W78" s="1">
        <v>1.5618009928062893</v>
      </c>
      <c r="X78" s="1">
        <v>1.4473776264827685</v>
      </c>
      <c r="Y78" s="1">
        <v>1.6300266907669694</v>
      </c>
      <c r="Z78" s="1">
        <v>1.5805481034214537</v>
      </c>
      <c r="AB78" s="3"/>
      <c r="AC78" s="3"/>
      <c r="AD78" s="3"/>
      <c r="AE78" s="3"/>
      <c r="AF78" s="3"/>
      <c r="AG78" s="3"/>
      <c r="AH78" s="3"/>
      <c r="AI78" s="3"/>
      <c r="AK78" s="1">
        <v>1.4924565916945352</v>
      </c>
    </row>
    <row r="79" spans="18:37" x14ac:dyDescent="0.25">
      <c r="R79" s="5">
        <v>0.73</v>
      </c>
      <c r="S79" s="1">
        <v>1.1601359469996901</v>
      </c>
      <c r="T79" s="1">
        <v>1.2195850103673369</v>
      </c>
      <c r="U79" s="1">
        <v>1.3507600432210847</v>
      </c>
      <c r="V79" s="1">
        <v>1.3499934938498808</v>
      </c>
      <c r="W79" s="1">
        <v>1.5673737113299606</v>
      </c>
      <c r="X79" s="1">
        <v>1.4536971355826744</v>
      </c>
      <c r="Y79" s="1">
        <v>1.6358965117779534</v>
      </c>
      <c r="Z79" s="1">
        <v>1.5869280027844523</v>
      </c>
      <c r="AB79" s="3"/>
      <c r="AC79" s="3"/>
      <c r="AD79" s="3"/>
      <c r="AE79" s="3"/>
      <c r="AF79" s="3"/>
      <c r="AG79" s="3"/>
      <c r="AH79" s="3"/>
      <c r="AI79" s="3"/>
      <c r="AK79" s="1">
        <v>1.5011147051518592</v>
      </c>
    </row>
    <row r="80" spans="18:37" x14ac:dyDescent="0.25">
      <c r="R80" s="2">
        <v>0.74</v>
      </c>
      <c r="S80" s="1">
        <v>1.1639661441665052</v>
      </c>
      <c r="T80" s="1">
        <v>1.2236355495092208</v>
      </c>
      <c r="U80" s="1">
        <v>1.3559285455860912</v>
      </c>
      <c r="V80" s="1">
        <v>1.3557592479345038</v>
      </c>
      <c r="W80" s="1">
        <v>1.575683004523067</v>
      </c>
      <c r="X80" s="1">
        <v>1.4597105707014277</v>
      </c>
      <c r="Y80" s="1">
        <v>1.6448816333522074</v>
      </c>
      <c r="Z80" s="1">
        <v>1.5958481146560268</v>
      </c>
      <c r="AB80" s="3"/>
      <c r="AC80" s="3"/>
      <c r="AD80" s="3"/>
      <c r="AE80" s="3"/>
      <c r="AF80" s="3"/>
      <c r="AG80" s="3"/>
      <c r="AH80" s="3"/>
      <c r="AI80" s="3"/>
      <c r="AK80" s="1">
        <v>1.5085182933075649</v>
      </c>
    </row>
    <row r="81" spans="18:37" x14ac:dyDescent="0.25">
      <c r="R81" s="5">
        <v>0.75</v>
      </c>
      <c r="S81" s="1">
        <v>1.16844541374809</v>
      </c>
      <c r="T81" s="1">
        <v>1.2281370278435166</v>
      </c>
      <c r="U81" s="1">
        <v>1.3623549024118429</v>
      </c>
      <c r="V81" s="1">
        <v>1.3615887069443906</v>
      </c>
      <c r="W81" s="1">
        <v>1.5837902326855544</v>
      </c>
      <c r="X81" s="1">
        <v>1.4665687306384698</v>
      </c>
      <c r="Y81" s="1">
        <v>1.6521276007721779</v>
      </c>
      <c r="Z81" s="1">
        <v>1.6024382646640167</v>
      </c>
      <c r="AB81" s="3"/>
      <c r="AC81" s="3"/>
      <c r="AD81" s="3"/>
      <c r="AE81" s="3"/>
      <c r="AF81" s="3"/>
      <c r="AG81" s="3"/>
      <c r="AH81" s="3"/>
      <c r="AI81" s="3"/>
      <c r="AK81" s="1">
        <v>1.5181415853268687</v>
      </c>
    </row>
    <row r="82" spans="18:37" x14ac:dyDescent="0.25">
      <c r="R82" s="2">
        <v>0.76</v>
      </c>
      <c r="S82" s="1">
        <v>1.1736437569022578</v>
      </c>
      <c r="T82" s="1">
        <v>1.2329938530078801</v>
      </c>
      <c r="U82" s="1">
        <v>1.3679115075039336</v>
      </c>
      <c r="V82" s="1">
        <v>1.3669590168472918</v>
      </c>
      <c r="W82" s="1">
        <v>1.5910308859224394</v>
      </c>
      <c r="X82" s="1">
        <v>1.4757793488614199</v>
      </c>
      <c r="Y82" s="1">
        <v>1.6599014946173214</v>
      </c>
      <c r="Z82" s="1">
        <v>1.6115710566865371</v>
      </c>
      <c r="AB82" s="3"/>
      <c r="AC82" s="3"/>
      <c r="AD82" s="3"/>
      <c r="AE82" s="3"/>
      <c r="AF82" s="3"/>
      <c r="AG82" s="3"/>
      <c r="AH82" s="3"/>
      <c r="AI82" s="3"/>
      <c r="AK82" s="1">
        <v>1.5270807654048222</v>
      </c>
    </row>
    <row r="83" spans="18:37" x14ac:dyDescent="0.25">
      <c r="R83" s="5">
        <v>0.77</v>
      </c>
      <c r="S83" s="1">
        <v>1.1790016411837472</v>
      </c>
      <c r="T83" s="1">
        <v>1.2385943328924416</v>
      </c>
      <c r="U83" s="1">
        <v>1.3741240228538287</v>
      </c>
      <c r="V83" s="1">
        <v>1.3730591114030331</v>
      </c>
      <c r="W83" s="1">
        <v>1.5994759861229915</v>
      </c>
      <c r="X83" s="1">
        <v>1.4821579044497786</v>
      </c>
      <c r="Y83" s="1">
        <v>1.6708357267384704</v>
      </c>
      <c r="Z83" s="1">
        <v>1.6186910603390878</v>
      </c>
      <c r="AB83" s="3"/>
      <c r="AC83" s="3"/>
      <c r="AD83" s="3"/>
      <c r="AE83" s="3"/>
      <c r="AF83" s="3"/>
      <c r="AG83" s="3"/>
      <c r="AH83" s="3"/>
      <c r="AI83" s="3"/>
      <c r="AK83" s="1">
        <v>1.5348327468876632</v>
      </c>
    </row>
    <row r="84" spans="18:37" x14ac:dyDescent="0.25">
      <c r="R84" s="2">
        <v>0.78</v>
      </c>
      <c r="S84" s="1">
        <v>1.184284528767849</v>
      </c>
      <c r="T84" s="1">
        <v>1.2442067823428813</v>
      </c>
      <c r="U84" s="1">
        <v>1.3802131056509899</v>
      </c>
      <c r="V84" s="1">
        <v>1.3790586542735965</v>
      </c>
      <c r="W84" s="1">
        <v>1.6088032767905494</v>
      </c>
      <c r="X84" s="1">
        <v>1.4902789471933424</v>
      </c>
      <c r="Y84" s="1">
        <v>1.6790777354767914</v>
      </c>
      <c r="Z84" s="1">
        <v>1.6260112448173634</v>
      </c>
      <c r="AB84" s="3"/>
      <c r="AC84" s="3"/>
      <c r="AD84" s="3"/>
      <c r="AE84" s="3"/>
      <c r="AF84" s="3"/>
      <c r="AG84" s="3"/>
      <c r="AH84" s="3"/>
      <c r="AI84" s="3"/>
      <c r="AK84" s="1">
        <v>1.5436124826951145</v>
      </c>
    </row>
    <row r="85" spans="18:37" x14ac:dyDescent="0.25">
      <c r="R85" s="5">
        <v>0.79</v>
      </c>
      <c r="S85" s="1">
        <v>1.1892357794861013</v>
      </c>
      <c r="T85" s="1">
        <v>1.2501566780579223</v>
      </c>
      <c r="U85" s="1">
        <v>1.3864562452443752</v>
      </c>
      <c r="V85" s="1">
        <v>1.3863424427402304</v>
      </c>
      <c r="W85" s="1">
        <v>1.6196295863216121</v>
      </c>
      <c r="X85" s="1">
        <v>1.4989277221582458</v>
      </c>
      <c r="Y85" s="1">
        <v>1.6873905406881493</v>
      </c>
      <c r="Z85" s="1">
        <v>1.6328563985657965</v>
      </c>
      <c r="AB85" s="3"/>
      <c r="AC85" s="3"/>
      <c r="AD85" s="3"/>
      <c r="AE85" s="3"/>
      <c r="AF85" s="1">
        <v>1.49860095482463</v>
      </c>
      <c r="AK85" s="1">
        <v>1.5538948406438198</v>
      </c>
    </row>
    <row r="86" spans="18:37" x14ac:dyDescent="0.25">
      <c r="R86" s="2">
        <v>0.8</v>
      </c>
      <c r="S86" s="1">
        <v>1.1957786932403676</v>
      </c>
      <c r="T86" s="1">
        <v>1.2549802776336798</v>
      </c>
      <c r="U86" s="1">
        <v>1.3924812261639288</v>
      </c>
      <c r="V86" s="1">
        <v>1.3933817428582511</v>
      </c>
      <c r="W86" s="1">
        <v>1.630972883682076</v>
      </c>
      <c r="X86" s="1">
        <v>1.5075338500549977</v>
      </c>
      <c r="Y86" s="1">
        <v>1.6957105573260214</v>
      </c>
      <c r="Z86" s="1">
        <v>1.6428631279602222</v>
      </c>
      <c r="AB86" s="3"/>
      <c r="AC86" s="3"/>
      <c r="AD86" s="3"/>
      <c r="AE86" s="3"/>
      <c r="AF86" s="3"/>
      <c r="AG86" s="3"/>
      <c r="AH86" s="3"/>
      <c r="AI86" s="3"/>
      <c r="AK86" s="1">
        <v>1.565674961042127</v>
      </c>
    </row>
    <row r="87" spans="18:37" x14ac:dyDescent="0.25">
      <c r="R87" s="5">
        <v>0.81</v>
      </c>
      <c r="S87" s="1">
        <v>1.2018715845997834</v>
      </c>
      <c r="T87" s="1">
        <v>1.2604551883627813</v>
      </c>
      <c r="U87" s="1">
        <v>1.3989781937523103</v>
      </c>
      <c r="V87" s="1">
        <v>1.4014472121087975</v>
      </c>
      <c r="W87" s="1">
        <v>1.6397542272066838</v>
      </c>
      <c r="X87" s="1">
        <v>1.5155279554125518</v>
      </c>
      <c r="Y87" s="1">
        <v>1.7049501496493129</v>
      </c>
      <c r="Z87" s="1">
        <v>1.6519924973252853</v>
      </c>
      <c r="AB87" s="3"/>
      <c r="AC87" s="3"/>
      <c r="AD87" s="3"/>
      <c r="AE87" s="3"/>
      <c r="AF87" s="3"/>
      <c r="AG87" s="3"/>
      <c r="AH87" s="3"/>
      <c r="AI87" s="3"/>
      <c r="AK87" s="1">
        <v>1.5750358871239016</v>
      </c>
    </row>
    <row r="88" spans="18:37" x14ac:dyDescent="0.25">
      <c r="R88" s="2">
        <v>0.82</v>
      </c>
      <c r="S88" s="1">
        <v>1.2082742644120896</v>
      </c>
      <c r="T88" s="1">
        <v>1.2670837053950781</v>
      </c>
      <c r="U88" s="1">
        <v>1.4078367873098665</v>
      </c>
      <c r="V88" s="1">
        <v>1.4091807829743974</v>
      </c>
      <c r="W88" s="1">
        <v>1.652503854636026</v>
      </c>
      <c r="X88" s="1">
        <v>1.5246925109634706</v>
      </c>
      <c r="Y88" s="1">
        <v>1.714790050287506</v>
      </c>
      <c r="Z88" s="1">
        <v>1.6608687291946163</v>
      </c>
      <c r="AB88" s="3"/>
      <c r="AC88" s="3"/>
      <c r="AD88" s="3"/>
      <c r="AE88" s="3"/>
      <c r="AF88" s="3"/>
      <c r="AG88" s="3"/>
      <c r="AH88" s="3"/>
      <c r="AI88" s="3"/>
      <c r="AK88" s="1">
        <v>1.5860281346977005</v>
      </c>
    </row>
    <row r="89" spans="18:37" x14ac:dyDescent="0.25">
      <c r="R89" s="5">
        <v>0.83</v>
      </c>
      <c r="S89" s="1">
        <v>1.2142870966619546</v>
      </c>
      <c r="T89" s="1">
        <v>1.2738178524336334</v>
      </c>
      <c r="U89" s="1">
        <v>1.4157965710723526</v>
      </c>
      <c r="V89" s="1">
        <v>1.4168643949410162</v>
      </c>
      <c r="W89" s="1">
        <v>1.6654351594583696</v>
      </c>
      <c r="X89" s="1">
        <v>1.5335796432969784</v>
      </c>
      <c r="Y89" s="1">
        <v>1.7242470600828781</v>
      </c>
      <c r="Z89" s="1">
        <v>1.672554608700124</v>
      </c>
      <c r="AB89" s="3"/>
      <c r="AC89" s="3"/>
      <c r="AD89" s="3"/>
      <c r="AE89" s="3"/>
      <c r="AF89" s="3"/>
      <c r="AG89" s="1">
        <v>1.72205616848195</v>
      </c>
      <c r="AK89" s="1">
        <v>1.5966406616811033</v>
      </c>
    </row>
    <row r="90" spans="18:37" x14ac:dyDescent="0.25">
      <c r="R90" s="2">
        <v>0.84</v>
      </c>
      <c r="S90" s="1">
        <v>1.2208151250867967</v>
      </c>
      <c r="T90" s="1">
        <v>1.2799295921902891</v>
      </c>
      <c r="U90" s="1">
        <v>1.4227471974303718</v>
      </c>
      <c r="V90" s="1">
        <v>1.4255105179239234</v>
      </c>
      <c r="W90" s="1">
        <v>1.6772386246271753</v>
      </c>
      <c r="X90" s="1">
        <v>1.5432503629676559</v>
      </c>
      <c r="Y90" s="1">
        <v>1.7340415429652842</v>
      </c>
      <c r="Z90" s="1">
        <v>1.6815837057087779</v>
      </c>
      <c r="AB90" s="3"/>
      <c r="AC90" s="3"/>
      <c r="AD90" s="3"/>
      <c r="AE90" s="3"/>
      <c r="AF90" s="3"/>
      <c r="AG90" s="3"/>
      <c r="AH90" s="3"/>
      <c r="AI90" s="3"/>
      <c r="AK90" s="1">
        <v>1.6083262947993664</v>
      </c>
    </row>
    <row r="91" spans="18:37" x14ac:dyDescent="0.25">
      <c r="R91" s="5">
        <v>0.85</v>
      </c>
      <c r="S91" s="1">
        <v>1.2272680047557947</v>
      </c>
      <c r="T91" s="1">
        <v>1.2878221446425093</v>
      </c>
      <c r="U91" s="1">
        <v>1.4316635732926799</v>
      </c>
      <c r="V91" s="1">
        <v>1.4352440672144502</v>
      </c>
      <c r="W91" s="1">
        <v>1.6880915563453438</v>
      </c>
      <c r="X91" s="1">
        <v>1.5550341808834891</v>
      </c>
      <c r="Y91" s="1">
        <v>1.7441164135954601</v>
      </c>
      <c r="Z91" s="1">
        <v>1.6935031137736312</v>
      </c>
      <c r="AB91" s="3"/>
      <c r="AC91" s="3"/>
      <c r="AD91" s="3"/>
      <c r="AE91" s="3"/>
      <c r="AF91" s="3"/>
      <c r="AG91" s="3"/>
      <c r="AH91" s="3"/>
      <c r="AI91" s="3"/>
      <c r="AK91" s="1">
        <v>1.6186790929915902</v>
      </c>
    </row>
    <row r="92" spans="18:37" x14ac:dyDescent="0.25">
      <c r="R92" s="2">
        <v>0.86</v>
      </c>
      <c r="S92" s="1">
        <v>1.2337388331866745</v>
      </c>
      <c r="T92" s="1">
        <v>1.2971805786616615</v>
      </c>
      <c r="U92" s="1">
        <v>1.4400694485312433</v>
      </c>
      <c r="V92" s="1">
        <v>1.445234052711226</v>
      </c>
      <c r="W92" s="1">
        <v>1.7005753639745849</v>
      </c>
      <c r="X92" s="1">
        <v>1.5670670575533181</v>
      </c>
      <c r="Y92" s="1">
        <v>1.7549190577059171</v>
      </c>
      <c r="Z92" s="1">
        <v>1.7041645469774789</v>
      </c>
      <c r="AB92" s="3"/>
      <c r="AC92" s="3"/>
      <c r="AD92" s="3"/>
      <c r="AE92" s="3"/>
      <c r="AF92" s="3"/>
      <c r="AG92" s="3"/>
      <c r="AH92" s="3"/>
      <c r="AI92" s="3"/>
      <c r="AK92" s="1">
        <v>1.6303506380769441</v>
      </c>
    </row>
    <row r="93" spans="18:37" x14ac:dyDescent="0.25">
      <c r="R93" s="5">
        <v>0.87</v>
      </c>
      <c r="S93" s="1">
        <v>1.2423313165403187</v>
      </c>
      <c r="T93" s="1">
        <v>1.3047000521533583</v>
      </c>
      <c r="U93" s="1">
        <v>1.4488016173716833</v>
      </c>
      <c r="V93" s="1">
        <v>1.4546565721987335</v>
      </c>
      <c r="W93" s="1">
        <v>1.7108487157347789</v>
      </c>
      <c r="X93" s="1">
        <v>1.577269221556022</v>
      </c>
      <c r="Y93" s="1">
        <v>1.7656150337478342</v>
      </c>
      <c r="Z93" s="1">
        <v>1.7182854063785369</v>
      </c>
      <c r="AB93" s="3"/>
      <c r="AC93" s="3"/>
      <c r="AD93" s="3"/>
      <c r="AE93" s="3"/>
      <c r="AF93" s="3"/>
      <c r="AG93" s="3"/>
      <c r="AH93" s="3"/>
      <c r="AI93" s="3"/>
      <c r="AK93" s="1">
        <v>1.6421437604860472</v>
      </c>
    </row>
    <row r="94" spans="18:37" x14ac:dyDescent="0.25">
      <c r="R94" s="2">
        <v>0.88</v>
      </c>
      <c r="S94" s="1">
        <v>1.2505717956079538</v>
      </c>
      <c r="T94" s="1">
        <v>1.3125159292923649</v>
      </c>
      <c r="U94" s="1">
        <v>1.458323461974163</v>
      </c>
      <c r="V94" s="1">
        <v>1.4661748981205394</v>
      </c>
      <c r="W94" s="1">
        <v>1.7253926503464068</v>
      </c>
      <c r="X94" s="1">
        <v>1.590371363291931</v>
      </c>
      <c r="Y94" s="1">
        <v>1.7807556971534486</v>
      </c>
      <c r="Z94" s="1">
        <v>1.7315121423865512</v>
      </c>
      <c r="AB94" s="3"/>
      <c r="AC94" s="3"/>
      <c r="AD94" s="3"/>
      <c r="AE94" s="3"/>
      <c r="AF94" s="3"/>
      <c r="AG94" s="3"/>
      <c r="AH94" s="3"/>
      <c r="AI94" s="3"/>
      <c r="AK94" s="1">
        <v>1.6579466195661867</v>
      </c>
    </row>
    <row r="95" spans="18:37" x14ac:dyDescent="0.25">
      <c r="R95" s="5">
        <v>0.89</v>
      </c>
      <c r="S95" s="1">
        <v>1.2603608541697204</v>
      </c>
      <c r="T95" s="1">
        <v>1.3226908410316323</v>
      </c>
      <c r="U95" s="1">
        <v>1.4685548377395408</v>
      </c>
      <c r="V95" s="1">
        <v>1.4767289394501959</v>
      </c>
      <c r="W95" s="1">
        <v>1.7368325833721014</v>
      </c>
      <c r="X95" s="1">
        <v>1.6020865854267861</v>
      </c>
      <c r="Y95" s="1">
        <v>1.7966842830957972</v>
      </c>
      <c r="Z95" s="1">
        <v>1.7468235547296522</v>
      </c>
      <c r="AB95" s="3"/>
      <c r="AC95" s="3"/>
      <c r="AD95" s="3"/>
      <c r="AE95" s="3"/>
      <c r="AF95" s="3"/>
      <c r="AG95" s="3"/>
      <c r="AH95" s="3"/>
      <c r="AI95" s="3"/>
      <c r="AK95" s="1">
        <v>1.6756319629952008</v>
      </c>
    </row>
    <row r="96" spans="18:37" x14ac:dyDescent="0.25">
      <c r="R96" s="2">
        <v>0.9</v>
      </c>
      <c r="S96" s="1">
        <v>1.2728681207484538</v>
      </c>
      <c r="T96" s="1">
        <v>1.332976855573009</v>
      </c>
      <c r="U96" s="1">
        <v>1.4796590516902683</v>
      </c>
      <c r="V96" s="1">
        <v>1.4897542852858139</v>
      </c>
      <c r="W96" s="1">
        <v>1.7528027429745754</v>
      </c>
      <c r="X96" s="1">
        <v>1.6167547665228488</v>
      </c>
      <c r="Y96" s="1">
        <v>1.8149123754581551</v>
      </c>
      <c r="Z96" s="1">
        <v>1.7648919078083305</v>
      </c>
      <c r="AB96" s="3"/>
      <c r="AC96" s="3"/>
      <c r="AD96" s="3"/>
      <c r="AE96" s="3"/>
      <c r="AF96" s="3"/>
      <c r="AG96" s="3"/>
      <c r="AH96" s="3"/>
      <c r="AI96" s="3"/>
      <c r="AK96" s="1">
        <v>1.6950970820123346</v>
      </c>
    </row>
    <row r="97" spans="18:37" x14ac:dyDescent="0.25">
      <c r="R97" s="5">
        <v>0.91</v>
      </c>
      <c r="S97" s="1">
        <v>1.2829890629384162</v>
      </c>
      <c r="T97" s="1">
        <v>1.3447378859549666</v>
      </c>
      <c r="U97" s="1">
        <v>1.4899898909363194</v>
      </c>
      <c r="V97" s="1">
        <v>1.5037189118152723</v>
      </c>
      <c r="W97" s="1">
        <v>1.7722349347609823</v>
      </c>
      <c r="X97" s="1">
        <v>1.6303767508802662</v>
      </c>
      <c r="Y97" s="1">
        <v>1.8333638297527792</v>
      </c>
      <c r="Z97" s="1">
        <v>1.780239827132601</v>
      </c>
      <c r="AB97" s="3"/>
      <c r="AC97" s="3"/>
      <c r="AD97" s="3"/>
      <c r="AE97" s="3"/>
      <c r="AF97" s="3"/>
      <c r="AG97" s="3"/>
      <c r="AH97" s="3"/>
      <c r="AI97" s="3"/>
      <c r="AK97" s="1">
        <v>1.7166118571363362</v>
      </c>
    </row>
    <row r="98" spans="18:37" x14ac:dyDescent="0.25">
      <c r="R98" s="2">
        <v>0.92</v>
      </c>
      <c r="S98" s="1">
        <v>1.2956285930179989</v>
      </c>
      <c r="T98" s="1">
        <v>1.3590551974198264</v>
      </c>
      <c r="U98" s="1">
        <v>1.5026629146401353</v>
      </c>
      <c r="V98" s="1">
        <v>1.5166523994973409</v>
      </c>
      <c r="W98" s="1">
        <v>1.7892026328853858</v>
      </c>
      <c r="X98" s="1">
        <v>1.6475550255981155</v>
      </c>
      <c r="Y98" s="1">
        <v>1.8498592355533616</v>
      </c>
      <c r="Z98" s="1">
        <v>1.7953855937910499</v>
      </c>
      <c r="AB98" s="3"/>
      <c r="AC98" s="3"/>
      <c r="AD98" s="3"/>
      <c r="AE98" s="3"/>
      <c r="AF98" s="3"/>
      <c r="AG98" s="3"/>
      <c r="AH98" s="3"/>
      <c r="AI98" s="3"/>
      <c r="AK98" s="1">
        <v>1.7371521514287436</v>
      </c>
    </row>
    <row r="99" spans="18:37" x14ac:dyDescent="0.25">
      <c r="R99" s="5">
        <v>0.93</v>
      </c>
      <c r="S99" s="1">
        <v>1.3083991605405729</v>
      </c>
      <c r="T99" s="1">
        <v>1.3714983846555937</v>
      </c>
      <c r="U99" s="1">
        <v>1.5156853116845705</v>
      </c>
      <c r="V99" s="1">
        <v>1.5353070067249543</v>
      </c>
      <c r="W99" s="1">
        <v>1.8106173818739388</v>
      </c>
      <c r="X99" s="1">
        <v>1.6645484092257672</v>
      </c>
      <c r="Y99" s="1">
        <v>1.8691344331069064</v>
      </c>
      <c r="Z99" s="1">
        <v>1.8170683881243894</v>
      </c>
      <c r="AB99" s="3"/>
      <c r="AC99" s="3"/>
      <c r="AD99" s="3"/>
      <c r="AE99" s="3"/>
      <c r="AF99" s="3"/>
      <c r="AG99" s="3"/>
      <c r="AH99" s="3"/>
      <c r="AI99" s="3"/>
      <c r="AK99" s="1">
        <v>1.7650984126224289</v>
      </c>
    </row>
    <row r="100" spans="18:37" x14ac:dyDescent="0.25">
      <c r="R100" s="2">
        <v>0.94</v>
      </c>
      <c r="S100" s="1">
        <v>1.325089849177725</v>
      </c>
      <c r="T100" s="1">
        <v>1.3886491266284524</v>
      </c>
      <c r="U100" s="1">
        <v>1.5317511094078329</v>
      </c>
      <c r="V100" s="1">
        <v>1.5580246434491485</v>
      </c>
      <c r="W100" s="1">
        <v>1.8361087723737537</v>
      </c>
      <c r="X100" s="1">
        <v>1.6835301206802027</v>
      </c>
      <c r="Y100" s="1">
        <v>1.8880029332055963</v>
      </c>
      <c r="Z100" s="1">
        <v>1.8410286921042094</v>
      </c>
      <c r="AB100" s="3"/>
      <c r="AC100" s="3"/>
      <c r="AD100" s="3"/>
      <c r="AE100" s="3"/>
      <c r="AF100" s="3"/>
      <c r="AG100" s="3"/>
      <c r="AH100" s="3"/>
      <c r="AI100" s="3"/>
      <c r="AK100" s="1">
        <v>1.7965927304282834</v>
      </c>
    </row>
    <row r="101" spans="18:37" x14ac:dyDescent="0.25">
      <c r="R101" s="5">
        <v>0.95</v>
      </c>
      <c r="S101" s="1">
        <v>1.3429860184145188</v>
      </c>
      <c r="T101" s="1">
        <v>1.4059507549812771</v>
      </c>
      <c r="U101" s="1">
        <v>1.5481905537225693</v>
      </c>
      <c r="V101" s="1">
        <v>1.580430925253931</v>
      </c>
      <c r="W101" s="1">
        <v>1.8684988592785829</v>
      </c>
      <c r="X101" s="1">
        <v>1.7074560362444295</v>
      </c>
      <c r="Y101" s="1">
        <v>1.9124344772663535</v>
      </c>
      <c r="Z101" s="1">
        <v>1.8673010564018764</v>
      </c>
      <c r="AB101" s="3"/>
      <c r="AC101" s="3"/>
      <c r="AD101" s="3"/>
      <c r="AE101" s="3"/>
      <c r="AF101" s="3"/>
      <c r="AG101" s="3"/>
      <c r="AH101" s="3"/>
      <c r="AI101" s="3"/>
      <c r="AK101" s="1">
        <v>1.8325580173971692</v>
      </c>
    </row>
    <row r="102" spans="18:37" x14ac:dyDescent="0.25">
      <c r="R102" s="2">
        <v>0.96</v>
      </c>
      <c r="S102" s="1">
        <v>1.3630453164496037</v>
      </c>
      <c r="T102" s="1">
        <v>1.4272875611684301</v>
      </c>
      <c r="U102" s="1">
        <v>1.5669626052330263</v>
      </c>
      <c r="V102" s="1">
        <v>1.6061381149908645</v>
      </c>
      <c r="W102" s="1">
        <v>1.9081449764046885</v>
      </c>
      <c r="X102" s="1">
        <v>1.7386615320678271</v>
      </c>
      <c r="Y102" s="1">
        <v>1.9435432590150545</v>
      </c>
      <c r="Z102" s="1">
        <v>1.8994116210165279</v>
      </c>
      <c r="AB102" s="3"/>
      <c r="AC102" s="3"/>
      <c r="AD102" s="3"/>
      <c r="AE102" s="3"/>
      <c r="AF102" s="3"/>
      <c r="AG102" s="3"/>
      <c r="AH102" s="3"/>
      <c r="AI102" s="3"/>
      <c r="AK102" s="1">
        <v>1.8692199298076888</v>
      </c>
    </row>
    <row r="103" spans="18:37" x14ac:dyDescent="0.25">
      <c r="R103" s="5">
        <v>0.97</v>
      </c>
      <c r="S103" s="1">
        <v>1.3890287455302281</v>
      </c>
      <c r="T103" s="1">
        <v>1.4529746279743212</v>
      </c>
      <c r="U103" s="1">
        <v>1.5926897248469993</v>
      </c>
      <c r="V103" s="1">
        <v>1.6356102914105184</v>
      </c>
      <c r="W103" s="1">
        <v>1.9461949179640894</v>
      </c>
      <c r="X103" s="1">
        <v>1.7743422601645338</v>
      </c>
      <c r="Y103" s="1">
        <v>1.9872848914423327</v>
      </c>
      <c r="Z103" s="1">
        <v>1.9390483488929078</v>
      </c>
      <c r="AA103" s="3">
        <v>1.38338484573525</v>
      </c>
      <c r="AB103" s="3"/>
      <c r="AC103" s="3"/>
      <c r="AD103" s="3"/>
      <c r="AE103" s="3"/>
      <c r="AF103" s="3"/>
      <c r="AG103" s="3"/>
      <c r="AH103" s="3"/>
      <c r="AI103" s="3"/>
      <c r="AK103" s="1">
        <v>1.9218988028057891</v>
      </c>
    </row>
    <row r="104" spans="18:37" x14ac:dyDescent="0.25">
      <c r="R104" s="2">
        <v>0.98</v>
      </c>
      <c r="S104" s="1">
        <v>1.4293525153291864</v>
      </c>
      <c r="T104" s="1">
        <v>1.499788860551146</v>
      </c>
      <c r="U104" s="1">
        <v>1.637164217240354</v>
      </c>
      <c r="V104" s="1">
        <v>1.6813850452822907</v>
      </c>
      <c r="W104" s="1">
        <v>2.0083991797274612</v>
      </c>
      <c r="X104" s="1">
        <v>1.8200855746231435</v>
      </c>
      <c r="Y104" s="1">
        <v>2.043500046814307</v>
      </c>
      <c r="Z104" s="1">
        <v>1.9908971726172831</v>
      </c>
      <c r="AB104" s="3"/>
      <c r="AC104" s="3"/>
      <c r="AD104" s="3"/>
      <c r="AE104" s="3"/>
      <c r="AF104" s="3"/>
      <c r="AG104" s="3"/>
      <c r="AH104" s="3"/>
      <c r="AI104" s="3"/>
      <c r="AK104" s="1">
        <v>1.97967930230375</v>
      </c>
    </row>
    <row r="105" spans="18:37" x14ac:dyDescent="0.25">
      <c r="R105" s="5">
        <v>0.99</v>
      </c>
      <c r="S105" s="1">
        <v>1.4847032874662909</v>
      </c>
      <c r="T105" s="1">
        <v>1.5581503492166773</v>
      </c>
      <c r="U105" s="1">
        <v>1.698698668260801</v>
      </c>
      <c r="V105" s="1">
        <v>1.7537707952672481</v>
      </c>
      <c r="W105" s="1">
        <v>2.122462483939592</v>
      </c>
      <c r="X105" s="1">
        <v>1.9083352343062223</v>
      </c>
      <c r="Y105" s="1">
        <v>2.1264409476438297</v>
      </c>
      <c r="Z105" s="1">
        <v>2.0846051195237529</v>
      </c>
      <c r="AB105" s="3"/>
      <c r="AC105" s="3"/>
      <c r="AD105" s="3"/>
      <c r="AE105" s="3"/>
      <c r="AF105" s="3"/>
      <c r="AG105" s="3"/>
      <c r="AH105" s="3"/>
      <c r="AI105" s="3"/>
      <c r="AK105" s="1">
        <v>2.0858586300074236</v>
      </c>
    </row>
    <row r="106" spans="18:37" x14ac:dyDescent="0.25">
      <c r="R106" s="2" t="s">
        <v>1</v>
      </c>
      <c r="S106" s="1">
        <v>1.8661642172237043</v>
      </c>
      <c r="T106" s="1">
        <v>2.0433625708805656</v>
      </c>
      <c r="U106" s="1">
        <v>2.0878127217335138</v>
      </c>
      <c r="V106" s="1">
        <v>2.2718412243593828</v>
      </c>
      <c r="W106" s="1">
        <v>2.7009951455136227</v>
      </c>
      <c r="X106" s="1">
        <v>2.3913858455880384</v>
      </c>
      <c r="Y106" s="1">
        <v>2.5654120188348766</v>
      </c>
      <c r="Z106" s="1">
        <v>2.5667461952235517</v>
      </c>
      <c r="AB106" s="3"/>
      <c r="AC106" s="3"/>
      <c r="AD106" s="3"/>
      <c r="AE106" s="3"/>
      <c r="AF106" s="3"/>
      <c r="AG106" s="3"/>
      <c r="AH106" s="3"/>
      <c r="AI106" s="3"/>
      <c r="AK106" s="1">
        <v>2.8151529804618804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Backtesting PBL</vt:lpstr>
      <vt:lpstr>Backtesting OZL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cp:lastPrinted>2026-08-14T06:23:11Z</cp:lastPrinted>
  <dcterms:created xsi:type="dcterms:W3CDTF">2026-08-13T04:50:11Z</dcterms:created>
  <dcterms:modified xsi:type="dcterms:W3CDTF">2026-08-16T11:32:20Z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2026-08-13T04:50:34Z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4d2379b0-3210-49a5-8ed2-64cba3fc89c2</vt:lpwstr>
  </property>
  <property fmtid="{D5CDD505-2E9C-101B-9397-08002B2CF9AE}" pid="8" name="MSIP_Label_faad4959-a4d7-4a60-89ba-8fd96e834276_ContentBits">
    <vt:lpwstr>0</vt:lpwstr>
  </property>
  <property fmtid="{D5CDD505-2E9C-101B-9397-08002B2CF9AE}" pid="9" name="MSIP_Label_faad4959-a4d7-4a60-89ba-8fd96e834276_Tag">
    <vt:lpwstr>10, 3, 0, 1</vt:lpwstr>
  </property>
  <property fmtid="{D5CDD505-2E9C-101B-9397-08002B2CF9AE}" pid="10" name="Id">
    <vt:lpwstr>edf8856d-f73d-450c-9f8e-2d3575b20fdd</vt:lpwstr>
  </property>
</Properties>
</file>