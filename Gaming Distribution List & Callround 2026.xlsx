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P:\Research\SB - Research\1. Admin\"/>
    </mc:Choice>
  </mc:AlternateContent>
  <bookViews>
    <workbookView xWindow="28680" yWindow="-120" windowWidth="29040" windowHeight="15720" activeTab="2" xr2:uid="{ADAEF041-AD70-4B6E-BD5D-DC1379956588}"/>
  </bookViews>
  <sheets>
    <sheet name="EMAIL LIST" sheetId="15" r:id="rId1"/>
    <sheet name="Inactive" sheetId="18" r:id="rId2"/>
    <sheet name="CALL ROUND" sheetId="19" r:id="rId3"/>
    <sheet name="Corporates" sheetId="17" r:id="rId4"/>
    <sheet name="ACC TIERS" sheetId="26" r:id="rId5"/>
    <sheet name="LNW Oct-24" sheetId="20" r:id="rId6"/>
  </sheets>
  <definedNames>
    <definedName name="_xlnm._FilterDatabase" localSheetId="2" hidden="1">'CALL ROUND'!$C$2:$AA$79</definedName>
    <definedName name="_xlnm._FilterDatabase" localSheetId="0" hidden="1">'EMAIL LIST'!$B$1:$P$1</definedName>
    <definedName name="_xlnm._FilterDatabase" localSheetId="1" hidden="1">Inactive!$B$3:$R$3</definedName>
    <definedName name="_xlnm._FilterDatabase" localSheetId="5" hidden="1">'LNW Oct-24'!$A$1:$AH$1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06" i="19" l="1"/>
  <c r="AE105" i="19"/>
  <c r="AE104" i="19"/>
  <c r="AE103" i="19"/>
  <c r="AE102" i="19"/>
  <c r="AE101" i="19"/>
  <c r="AE100" i="19"/>
  <c r="AE99" i="19"/>
  <c r="AE98" i="19"/>
  <c r="AE97" i="19"/>
  <c r="AE96" i="19"/>
  <c r="AE95" i="19"/>
  <c r="AE94" i="19"/>
  <c r="AE93" i="19"/>
  <c r="AE92" i="19"/>
  <c r="AE91" i="19"/>
  <c r="AE90" i="19"/>
  <c r="AE89" i="19"/>
  <c r="AE88" i="19"/>
  <c r="AE87" i="19"/>
  <c r="AE86" i="19"/>
  <c r="AE85" i="19"/>
  <c r="AE84" i="19"/>
  <c r="AE83" i="19"/>
  <c r="AE82" i="19"/>
  <c r="AE79" i="19"/>
  <c r="AE78" i="19"/>
  <c r="AE77" i="19"/>
  <c r="AE76" i="19"/>
  <c r="AE75" i="19"/>
  <c r="AE74" i="19"/>
  <c r="AE73" i="19"/>
  <c r="AE72" i="19"/>
  <c r="AE71" i="19"/>
  <c r="AE70" i="19"/>
  <c r="AE69" i="19"/>
  <c r="AE68" i="19"/>
  <c r="AE67" i="19"/>
  <c r="AE66" i="19"/>
  <c r="AE65" i="19"/>
  <c r="AE64" i="19"/>
  <c r="AE63" i="19"/>
  <c r="AE62" i="19"/>
  <c r="AE61" i="19"/>
  <c r="AE60" i="19"/>
  <c r="AE59" i="19"/>
  <c r="AE58" i="19"/>
  <c r="AE57" i="19"/>
  <c r="AE56" i="19"/>
  <c r="AE55" i="19"/>
  <c r="AE54" i="19"/>
  <c r="AE51" i="19"/>
  <c r="AE50" i="19"/>
  <c r="AE49" i="19"/>
  <c r="AE46" i="19"/>
  <c r="AE45" i="19"/>
  <c r="AE44" i="19"/>
  <c r="AE43" i="19"/>
  <c r="AE42" i="19"/>
  <c r="AE41" i="19"/>
  <c r="AE40" i="19"/>
  <c r="AE39" i="19"/>
  <c r="AE38" i="19"/>
  <c r="AE37" i="19"/>
  <c r="AE36" i="19"/>
  <c r="AE35" i="19"/>
  <c r="AE34" i="19"/>
  <c r="AE33" i="19"/>
  <c r="AE32" i="19"/>
  <c r="AE31" i="19"/>
  <c r="AE28" i="19"/>
  <c r="AE27" i="19"/>
  <c r="AE26" i="19"/>
  <c r="AE25" i="19"/>
  <c r="AE24" i="19"/>
  <c r="AE23" i="19"/>
  <c r="AE22" i="19"/>
  <c r="AE21" i="19"/>
  <c r="AE20" i="19"/>
  <c r="AE19" i="19"/>
  <c r="AE18" i="19"/>
  <c r="AE17" i="19"/>
  <c r="AE16" i="19"/>
  <c r="AE15" i="19"/>
  <c r="AE14" i="19"/>
  <c r="AE13" i="19"/>
  <c r="AE12" i="19"/>
  <c r="AE11" i="19"/>
  <c r="AE10" i="19"/>
  <c r="AE9" i="19"/>
  <c r="AE8" i="19"/>
  <c r="AD87" i="19"/>
  <c r="AD79" i="19"/>
  <c r="R162" i="15"/>
  <c r="R94" i="18"/>
  <c r="R93" i="18"/>
  <c r="R92" i="18" l="1"/>
  <c r="R193" i="15"/>
  <c r="R91" i="18"/>
  <c r="R90" i="18"/>
  <c r="R89" i="18"/>
  <c r="R88" i="18"/>
  <c r="R87" i="18"/>
  <c r="R86" i="18"/>
  <c r="R85" i="18"/>
  <c r="R70" i="15" l="1"/>
  <c r="R84" i="18"/>
  <c r="R83" i="18"/>
  <c r="R21" i="15"/>
  <c r="R338" i="15"/>
  <c r="R82" i="18"/>
  <c r="R81" i="18"/>
  <c r="R80" i="18"/>
  <c r="R79" i="18"/>
  <c r="R78" i="18"/>
  <c r="R77" i="18"/>
  <c r="R76" i="18"/>
  <c r="R75" i="18"/>
  <c r="R74" i="18"/>
  <c r="R73" i="18"/>
  <c r="R276" i="15"/>
  <c r="R72" i="18" l="1"/>
  <c r="R71" i="18"/>
  <c r="R70" i="18"/>
  <c r="R69" i="18"/>
  <c r="R68" i="18"/>
  <c r="R67" i="18"/>
  <c r="R66" i="18"/>
  <c r="AD64" i="19"/>
  <c r="R145" i="15"/>
  <c r="Q24" i="17"/>
  <c r="AD24" i="19"/>
  <c r="R51" i="15"/>
  <c r="R90" i="15"/>
  <c r="R340" i="15" l="1"/>
  <c r="AE5" i="19"/>
  <c r="AD10" i="19"/>
  <c r="AD106" i="19"/>
  <c r="AD105" i="19"/>
  <c r="AD104" i="19"/>
  <c r="AD103" i="19"/>
  <c r="AD102" i="19"/>
  <c r="AD101" i="19"/>
  <c r="AD100" i="19"/>
  <c r="AD99" i="19"/>
  <c r="AD98" i="19"/>
  <c r="AD97" i="19"/>
  <c r="AD96" i="19"/>
  <c r="AD95" i="19"/>
  <c r="AD94" i="19"/>
  <c r="AD93" i="19"/>
  <c r="AD92" i="19"/>
  <c r="AD91" i="19"/>
  <c r="AD90" i="19"/>
  <c r="AD89" i="19"/>
  <c r="AD88" i="19"/>
  <c r="AD86" i="19"/>
  <c r="AD85" i="19"/>
  <c r="AD84" i="19"/>
  <c r="AD83" i="19"/>
  <c r="AD82" i="19"/>
  <c r="AD78" i="19"/>
  <c r="AD77" i="19"/>
  <c r="AD76" i="19"/>
  <c r="AD75" i="19"/>
  <c r="AD74" i="19"/>
  <c r="AD73" i="19"/>
  <c r="AD72" i="19"/>
  <c r="AD71" i="19"/>
  <c r="AD70" i="19"/>
  <c r="AD69" i="19"/>
  <c r="AD68" i="19"/>
  <c r="AD67" i="19"/>
  <c r="AD66" i="19"/>
  <c r="AD65" i="19"/>
  <c r="AD63" i="19"/>
  <c r="AD62" i="19"/>
  <c r="AD61" i="19"/>
  <c r="AD60" i="19"/>
  <c r="AD59" i="19"/>
  <c r="AD58" i="19"/>
  <c r="AD57" i="19"/>
  <c r="AD56" i="19"/>
  <c r="AD55" i="19"/>
  <c r="AD54" i="19"/>
  <c r="AD51" i="19"/>
  <c r="AD50" i="19"/>
  <c r="AD49" i="19"/>
  <c r="AD46" i="19"/>
  <c r="AD45" i="19"/>
  <c r="AD44" i="19"/>
  <c r="AD43" i="19"/>
  <c r="AD42" i="19"/>
  <c r="AD41" i="19"/>
  <c r="AD40" i="19"/>
  <c r="AD39" i="19"/>
  <c r="AD38" i="19"/>
  <c r="AD37" i="19"/>
  <c r="AD36" i="19"/>
  <c r="AD35" i="19"/>
  <c r="AD34" i="19"/>
  <c r="AD33" i="19"/>
  <c r="AD32" i="19"/>
  <c r="AD31" i="19"/>
  <c r="AD28" i="19"/>
  <c r="AD27" i="19"/>
  <c r="AD26" i="19"/>
  <c r="AD23" i="19"/>
  <c r="AD22" i="19"/>
  <c r="AD21" i="19"/>
  <c r="AD20" i="19"/>
  <c r="AD19" i="19"/>
  <c r="AD18" i="19"/>
  <c r="AD17" i="19"/>
  <c r="AD16" i="19"/>
  <c r="AD15" i="19"/>
  <c r="AD14" i="19"/>
  <c r="AD13" i="19"/>
  <c r="AD12" i="19"/>
  <c r="AD11" i="19"/>
  <c r="AD25" i="19"/>
  <c r="AD9" i="19"/>
  <c r="AD8" i="19"/>
  <c r="AD5" i="19"/>
  <c r="R106" i="15" l="1"/>
  <c r="R65" i="18"/>
  <c r="R64" i="18"/>
  <c r="R63" i="18"/>
  <c r="R62" i="18"/>
  <c r="R112" i="15"/>
  <c r="R285" i="15"/>
  <c r="R286" i="15"/>
  <c r="R67" i="15" l="1"/>
  <c r="R68" i="15"/>
  <c r="R107" i="15"/>
  <c r="R295" i="15"/>
  <c r="R89" i="15"/>
  <c r="R243" i="15"/>
  <c r="R329" i="15"/>
  <c r="R61" i="18"/>
  <c r="R60" i="18"/>
  <c r="R374" i="15"/>
  <c r="R59" i="18"/>
  <c r="R58" i="18"/>
  <c r="R57" i="18"/>
  <c r="R56" i="18"/>
  <c r="R55" i="18"/>
  <c r="R54" i="18"/>
  <c r="R49" i="18"/>
  <c r="R50" i="18"/>
  <c r="R51" i="18"/>
  <c r="R52" i="18"/>
  <c r="R53" i="18"/>
  <c r="R48" i="18"/>
  <c r="R47" i="18" l="1"/>
  <c r="R245" i="15"/>
  <c r="R46" i="18"/>
  <c r="R45" i="18"/>
  <c r="Q23" i="17"/>
  <c r="R44" i="18"/>
  <c r="R19" i="15"/>
  <c r="Q14" i="17"/>
  <c r="R293" i="15"/>
  <c r="R294" i="15"/>
  <c r="R11" i="15"/>
  <c r="R210" i="15"/>
  <c r="R43" i="18"/>
  <c r="R220" i="15"/>
  <c r="R25" i="15"/>
  <c r="R23" i="15"/>
  <c r="R24" i="15"/>
  <c r="R22" i="15"/>
  <c r="R80" i="15"/>
  <c r="R42" i="18" l="1"/>
  <c r="R41" i="18"/>
  <c r="R348" i="15"/>
  <c r="R40" i="18"/>
  <c r="R39" i="18"/>
  <c r="R79" i="15"/>
  <c r="R343" i="15"/>
  <c r="R38" i="18"/>
  <c r="R319" i="15"/>
  <c r="R320" i="15"/>
  <c r="R6" i="18"/>
  <c r="R9" i="18"/>
  <c r="R13" i="18"/>
  <c r="R12" i="18"/>
  <c r="R15" i="18"/>
  <c r="R11" i="18"/>
  <c r="R14" i="18"/>
  <c r="R23" i="18"/>
  <c r="R16" i="18"/>
  <c r="R21" i="18"/>
  <c r="R10" i="18"/>
  <c r="R4" i="18"/>
  <c r="R32" i="18"/>
  <c r="R30" i="18"/>
  <c r="R29" i="18"/>
  <c r="R31" i="18"/>
  <c r="R28" i="18"/>
  <c r="R27" i="18"/>
  <c r="R35" i="18"/>
  <c r="R34" i="18"/>
  <c r="R33" i="18"/>
  <c r="R36" i="18"/>
  <c r="R5" i="18"/>
  <c r="R22" i="18"/>
  <c r="R17" i="18"/>
  <c r="R24" i="18"/>
  <c r="R8" i="18"/>
  <c r="R7" i="18"/>
  <c r="R20" i="18"/>
  <c r="R37" i="18"/>
  <c r="R26" i="18"/>
  <c r="R25" i="18"/>
  <c r="R19" i="18"/>
  <c r="R18" i="18"/>
  <c r="R3" i="18"/>
  <c r="Q28" i="17"/>
  <c r="Q27" i="17"/>
  <c r="Q26" i="17"/>
  <c r="Q25" i="17"/>
  <c r="Q22" i="17"/>
  <c r="Q21" i="17"/>
  <c r="Q20" i="17"/>
  <c r="Q19" i="17"/>
  <c r="Q18" i="17"/>
  <c r="Q17" i="17"/>
  <c r="Q16" i="17"/>
  <c r="Q13" i="17"/>
  <c r="Q12" i="17"/>
  <c r="Q11" i="17"/>
  <c r="Q10" i="17"/>
  <c r="Q9" i="17"/>
  <c r="Q8" i="17"/>
  <c r="Q7" i="17"/>
  <c r="Q6" i="17"/>
  <c r="Q5" i="17"/>
  <c r="Q4" i="17"/>
  <c r="Q3" i="17"/>
  <c r="Q2" i="17"/>
  <c r="R2" i="15"/>
  <c r="R3" i="15"/>
  <c r="R4" i="15"/>
  <c r="R5" i="15"/>
  <c r="R6" i="15"/>
  <c r="R7" i="15"/>
  <c r="R8" i="15"/>
  <c r="R9" i="15"/>
  <c r="R10" i="15"/>
  <c r="R12" i="15"/>
  <c r="R13" i="15"/>
  <c r="R14" i="15"/>
  <c r="R15" i="15"/>
  <c r="R16" i="15"/>
  <c r="R17" i="15"/>
  <c r="R18" i="15"/>
  <c r="R20" i="15"/>
  <c r="R26" i="15"/>
  <c r="R27" i="15"/>
  <c r="R28" i="15"/>
  <c r="R29" i="15"/>
  <c r="R30" i="15"/>
  <c r="R31" i="15"/>
  <c r="R32" i="15"/>
  <c r="R33" i="15"/>
  <c r="R34" i="15"/>
  <c r="R35" i="15"/>
  <c r="R36" i="15"/>
  <c r="R37" i="15"/>
  <c r="R38" i="15"/>
  <c r="R39" i="15"/>
  <c r="R40" i="15"/>
  <c r="R41" i="15"/>
  <c r="R42" i="15"/>
  <c r="R43" i="15"/>
  <c r="R44" i="15"/>
  <c r="R45" i="15"/>
  <c r="R46" i="15"/>
  <c r="R47" i="15"/>
  <c r="R48" i="15"/>
  <c r="R49" i="15"/>
  <c r="R50" i="15"/>
  <c r="R52" i="15"/>
  <c r="R53" i="15"/>
  <c r="R54" i="15"/>
  <c r="R55" i="15"/>
  <c r="R56" i="15"/>
  <c r="R57" i="15"/>
  <c r="R58" i="15"/>
  <c r="R59" i="15"/>
  <c r="R60" i="15"/>
  <c r="R61" i="15"/>
  <c r="R62" i="15"/>
  <c r="R63" i="15"/>
  <c r="R64" i="15"/>
  <c r="R65" i="15"/>
  <c r="R66" i="15"/>
  <c r="R69" i="15"/>
  <c r="R71" i="15"/>
  <c r="R72" i="15"/>
  <c r="R73" i="15"/>
  <c r="R74" i="15"/>
  <c r="R75" i="15"/>
  <c r="R76" i="15"/>
  <c r="R77" i="15"/>
  <c r="R78" i="15"/>
  <c r="R81" i="15"/>
  <c r="R82" i="15"/>
  <c r="R83" i="15"/>
  <c r="R84" i="15"/>
  <c r="R85" i="15"/>
  <c r="R86" i="15"/>
  <c r="R87" i="15"/>
  <c r="R88" i="15"/>
  <c r="R91" i="15"/>
  <c r="R92" i="15"/>
  <c r="R93" i="15"/>
  <c r="R94" i="15"/>
  <c r="R95" i="15"/>
  <c r="R96" i="15"/>
  <c r="R97" i="15"/>
  <c r="R98" i="15"/>
  <c r="R99" i="15"/>
  <c r="R100" i="15"/>
  <c r="R101" i="15"/>
  <c r="R102" i="15"/>
  <c r="R103" i="15"/>
  <c r="R104" i="15"/>
  <c r="R105" i="15"/>
  <c r="R108" i="15"/>
  <c r="R109" i="15"/>
  <c r="R110" i="15"/>
  <c r="R111" i="15"/>
  <c r="R113" i="15"/>
  <c r="R114" i="15"/>
  <c r="R115" i="15"/>
  <c r="R116" i="15"/>
  <c r="R117" i="15"/>
  <c r="R118" i="15"/>
  <c r="R119" i="15"/>
  <c r="R120" i="15"/>
  <c r="R121" i="15"/>
  <c r="R122" i="15"/>
  <c r="R123" i="15"/>
  <c r="R124" i="15"/>
  <c r="R125" i="15"/>
  <c r="R126" i="15"/>
  <c r="R127" i="15"/>
  <c r="R128" i="15"/>
  <c r="R129" i="15"/>
  <c r="R130" i="15"/>
  <c r="R131" i="15"/>
  <c r="R132" i="15"/>
  <c r="R133" i="15"/>
  <c r="R134" i="15"/>
  <c r="R135" i="15"/>
  <c r="R136" i="15"/>
  <c r="R137" i="15"/>
  <c r="R138" i="15"/>
  <c r="R139" i="15"/>
  <c r="R140" i="15"/>
  <c r="R141" i="15"/>
  <c r="R142" i="15"/>
  <c r="R143" i="15"/>
  <c r="R144" i="15"/>
  <c r="R146" i="15"/>
  <c r="R147" i="15"/>
  <c r="R148" i="15"/>
  <c r="R149" i="15"/>
  <c r="R150" i="15"/>
  <c r="R151" i="15"/>
  <c r="R152" i="15"/>
  <c r="R153" i="15"/>
  <c r="R154" i="15"/>
  <c r="R155" i="15"/>
  <c r="R156" i="15"/>
  <c r="R157" i="15"/>
  <c r="R158" i="15"/>
  <c r="R159" i="15"/>
  <c r="R160" i="15"/>
  <c r="R161" i="15"/>
  <c r="R163" i="15"/>
  <c r="R164" i="15"/>
  <c r="R165" i="15"/>
  <c r="R166" i="15"/>
  <c r="R167" i="15"/>
  <c r="R168" i="15"/>
  <c r="R169" i="15"/>
  <c r="R170" i="15"/>
  <c r="R171" i="15"/>
  <c r="R172" i="15"/>
  <c r="R173" i="15"/>
  <c r="R174" i="15"/>
  <c r="R175" i="15"/>
  <c r="R176" i="15"/>
  <c r="R177" i="15"/>
  <c r="R178" i="15"/>
  <c r="R179" i="15"/>
  <c r="R180" i="15"/>
  <c r="R181" i="15"/>
  <c r="R182" i="15"/>
  <c r="R183" i="15"/>
  <c r="R184" i="15"/>
  <c r="R185" i="15"/>
  <c r="R186" i="15"/>
  <c r="R187" i="15"/>
  <c r="R188" i="15"/>
  <c r="R189" i="15"/>
  <c r="R190" i="15"/>
  <c r="R191" i="15"/>
  <c r="R192" i="15"/>
  <c r="R194" i="15"/>
  <c r="R195" i="15"/>
  <c r="R196" i="15"/>
  <c r="R197" i="15"/>
  <c r="R198" i="15"/>
  <c r="R199" i="15"/>
  <c r="R200" i="15"/>
  <c r="R201" i="15"/>
  <c r="R202" i="15"/>
  <c r="R203" i="15"/>
  <c r="R204" i="15"/>
  <c r="R205" i="15"/>
  <c r="R206" i="15"/>
  <c r="R207" i="15"/>
  <c r="R208" i="15"/>
  <c r="R209" i="15"/>
  <c r="R211" i="15"/>
  <c r="R212" i="15"/>
  <c r="R213" i="15"/>
  <c r="R214" i="15"/>
  <c r="R215" i="15"/>
  <c r="R216" i="15"/>
  <c r="R217" i="15"/>
  <c r="R218" i="15"/>
  <c r="R219" i="15"/>
  <c r="R221" i="15"/>
  <c r="R222" i="15"/>
  <c r="R223" i="15"/>
  <c r="R224" i="15"/>
  <c r="R225" i="15"/>
  <c r="R226" i="15"/>
  <c r="R227" i="15"/>
  <c r="R228" i="15"/>
  <c r="R229" i="15"/>
  <c r="R230" i="15"/>
  <c r="R231" i="15"/>
  <c r="R232" i="15"/>
  <c r="R233" i="15"/>
  <c r="R234" i="15"/>
  <c r="R235" i="15"/>
  <c r="R236" i="15"/>
  <c r="R237" i="15"/>
  <c r="R238" i="15"/>
  <c r="R239" i="15"/>
  <c r="R240" i="15"/>
  <c r="R241" i="15"/>
  <c r="R242" i="15"/>
  <c r="R244" i="15"/>
  <c r="R246" i="15"/>
  <c r="R247" i="15"/>
  <c r="R248" i="15"/>
  <c r="R249" i="15"/>
  <c r="R250" i="15"/>
  <c r="R251" i="15"/>
  <c r="R252" i="15"/>
  <c r="R253" i="15"/>
  <c r="R254" i="15"/>
  <c r="R255" i="15"/>
  <c r="R256" i="15"/>
  <c r="R257" i="15"/>
  <c r="R258" i="15"/>
  <c r="R259" i="15"/>
  <c r="R260" i="15"/>
  <c r="R261" i="15"/>
  <c r="R262" i="15"/>
  <c r="R263" i="15"/>
  <c r="R264" i="15"/>
  <c r="R265" i="15"/>
  <c r="R266" i="15"/>
  <c r="R267" i="15"/>
  <c r="R268" i="15"/>
  <c r="R269" i="15"/>
  <c r="R270" i="15"/>
  <c r="R271" i="15"/>
  <c r="R272" i="15"/>
  <c r="R273" i="15"/>
  <c r="R274" i="15"/>
  <c r="R275" i="15"/>
  <c r="R277" i="15"/>
  <c r="R278" i="15"/>
  <c r="R279" i="15"/>
  <c r="R280" i="15"/>
  <c r="R281" i="15"/>
  <c r="R282" i="15"/>
  <c r="R283" i="15"/>
  <c r="R284" i="15"/>
  <c r="R287" i="15"/>
  <c r="R288" i="15"/>
  <c r="R289" i="15"/>
  <c r="R290" i="15"/>
  <c r="R291" i="15"/>
  <c r="R292" i="15"/>
  <c r="R296" i="15"/>
  <c r="R297" i="15"/>
  <c r="R298" i="15"/>
  <c r="R299" i="15"/>
  <c r="R300" i="15"/>
  <c r="R301" i="15"/>
  <c r="R302" i="15"/>
  <c r="R303" i="15"/>
  <c r="R304" i="15"/>
  <c r="R305" i="15"/>
  <c r="R306" i="15"/>
  <c r="R307" i="15"/>
  <c r="R308" i="15"/>
  <c r="R309" i="15"/>
  <c r="R310" i="15"/>
  <c r="R311" i="15"/>
  <c r="R312" i="15"/>
  <c r="R313" i="15"/>
  <c r="R314" i="15"/>
  <c r="R315" i="15"/>
  <c r="R316" i="15"/>
  <c r="R317" i="15"/>
  <c r="R318" i="15"/>
  <c r="R321" i="15"/>
  <c r="R322" i="15"/>
  <c r="R323" i="15"/>
  <c r="R324" i="15"/>
  <c r="R325" i="15"/>
  <c r="R326" i="15"/>
  <c r="R327" i="15"/>
  <c r="R328" i="15"/>
  <c r="R330" i="15"/>
  <c r="R331" i="15"/>
  <c r="R332" i="15"/>
  <c r="R333" i="15"/>
  <c r="R334" i="15"/>
  <c r="R335" i="15"/>
  <c r="R336" i="15"/>
  <c r="R337" i="15"/>
  <c r="R339" i="15"/>
  <c r="R341" i="15"/>
  <c r="R342" i="15"/>
  <c r="R344" i="15"/>
  <c r="R345" i="15"/>
  <c r="R346" i="15"/>
  <c r="R347" i="15"/>
  <c r="R349" i="15"/>
  <c r="R350" i="15"/>
  <c r="R351" i="15"/>
  <c r="R352" i="15"/>
  <c r="R353" i="15"/>
  <c r="R354" i="15"/>
  <c r="R355" i="15"/>
  <c r="R356" i="15"/>
  <c r="R357" i="15"/>
  <c r="R358" i="15"/>
  <c r="R359" i="15"/>
  <c r="R360" i="15"/>
  <c r="R361" i="15"/>
  <c r="R362" i="15"/>
  <c r="R363" i="15"/>
  <c r="R364" i="15"/>
  <c r="R365" i="15"/>
  <c r="R366" i="15"/>
  <c r="R367" i="15"/>
  <c r="R368" i="15"/>
  <c r="R369" i="15"/>
  <c r="R370" i="15"/>
  <c r="R371" i="15"/>
  <c r="R372" i="15"/>
  <c r="R373" i="15"/>
</calcChain>
</file>

<file path=xl/sharedStrings.xml><?xml version="1.0" encoding="utf-8"?>
<sst xmlns="http://schemas.openxmlformats.org/spreadsheetml/2006/main" count="4870" uniqueCount="2143">
  <si>
    <t>Avinash Abraham</t>
  </si>
  <si>
    <t>aabraham@torqcap.com</t>
  </si>
  <si>
    <t>Torq Capital Management Ltd</t>
  </si>
  <si>
    <t>ALL</t>
  </si>
  <si>
    <t>Sean Mathews</t>
  </si>
  <si>
    <t>smathews@lennoxcp.com.au</t>
  </si>
  <si>
    <t>Lennox Capital Partners</t>
  </si>
  <si>
    <t>Jason Lye</t>
  </si>
  <si>
    <t>jason.lye@firstsentier.com</t>
  </si>
  <si>
    <t>First Sentier Investors (Australia) Limited</t>
  </si>
  <si>
    <t>Alex Gallard</t>
  </si>
  <si>
    <t>alex.gallard@firstsentier.com</t>
  </si>
  <si>
    <t>Dushko Bajic</t>
  </si>
  <si>
    <t>dushko.bajic@firstsentier.com</t>
  </si>
  <si>
    <t>Tim Canham</t>
  </si>
  <si>
    <t>tim.canham@firstsentier.com</t>
  </si>
  <si>
    <t>Sanjay Magotra</t>
  </si>
  <si>
    <t>sanjay.magotra@cbussuper.com.au</t>
  </si>
  <si>
    <t>Cbus Superannuation Fund</t>
  </si>
  <si>
    <t>Tumul Sinha</t>
  </si>
  <si>
    <t>tsinha@lennoxcp.com.au</t>
  </si>
  <si>
    <t>James Hawkins</t>
  </si>
  <si>
    <t>jhawkins@l1catalyst.com.au</t>
  </si>
  <si>
    <t>L1 Capital Pty Limited</t>
  </si>
  <si>
    <t>Luke Donald</t>
  </si>
  <si>
    <t>luke.donald@macquarie.com</t>
  </si>
  <si>
    <t>Macquarie Investment Management</t>
  </si>
  <si>
    <t>Chris Martin</t>
  </si>
  <si>
    <t>christopher.martin@sportsbet.com.au</t>
  </si>
  <si>
    <t>Sportsbet</t>
  </si>
  <si>
    <t>Matt Tripp</t>
  </si>
  <si>
    <t>matt@trippgroup.com.au</t>
  </si>
  <si>
    <t>Melbourne Storm</t>
  </si>
  <si>
    <t>Jeremy Hooper</t>
  </si>
  <si>
    <t>jeremy.hooper@macquarie.com</t>
  </si>
  <si>
    <t>Ellerston Capital Limited</t>
  </si>
  <si>
    <t>Carlos Castillo</t>
  </si>
  <si>
    <t>carlos.castillo@meliorim.com.au</t>
  </si>
  <si>
    <t>Melior Investment Management</t>
  </si>
  <si>
    <t>Joshua Gal</t>
  </si>
  <si>
    <t>jgal@cooperinvestors.com</t>
  </si>
  <si>
    <t>Cooper Investors Pty Ltd</t>
  </si>
  <si>
    <t>Craig Nugent</t>
  </si>
  <si>
    <t>craigdnugent@gmail.com</t>
  </si>
  <si>
    <t>Jatin Khosla</t>
  </si>
  <si>
    <t>jatink@jumbointeractive.com</t>
  </si>
  <si>
    <t>Jumbo Interactive Limited</t>
  </si>
  <si>
    <t>Paul Quah</t>
  </si>
  <si>
    <t>pquah@hesta.com.au</t>
  </si>
  <si>
    <t>Hesta</t>
  </si>
  <si>
    <t>Zik Qian</t>
  </si>
  <si>
    <t>zqian@hesta.com.au</t>
  </si>
  <si>
    <t>James Gunn</t>
  </si>
  <si>
    <t>james.gunn@janchorpartners.com</t>
  </si>
  <si>
    <t>Janchor Partners Limited</t>
  </si>
  <si>
    <t>Stephen Forman</t>
  </si>
  <si>
    <t>stephen.forman@pointsbet.com</t>
  </si>
  <si>
    <t>PointsBet Holdings Limited</t>
  </si>
  <si>
    <t>Danny Huang</t>
  </si>
  <si>
    <t>dannyzhaoxiang.huang@star.com.au</t>
  </si>
  <si>
    <t>Star Entertainment Group Limited</t>
  </si>
  <si>
    <t>Kevin Ngai</t>
  </si>
  <si>
    <t>kevin.ngai@arrowpointfund.com</t>
  </si>
  <si>
    <t>Renny Ellis</t>
  </si>
  <si>
    <t>renny@arculus.com.au</t>
  </si>
  <si>
    <t>GCI Australia</t>
  </si>
  <si>
    <t>Vik Gupta</t>
  </si>
  <si>
    <t>vik.gupta@antaresequities.com.au</t>
  </si>
  <si>
    <t>Antares Capital Partners</t>
  </si>
  <si>
    <t>Jim Taylor</t>
  </si>
  <si>
    <t>jim.taylor@pendalgroup.com</t>
  </si>
  <si>
    <t>Pendal Group Limited</t>
  </si>
  <si>
    <t>Crispin Murray</t>
  </si>
  <si>
    <t>crispin.murray@pendalgroup.com</t>
  </si>
  <si>
    <t>Chris Mann</t>
  </si>
  <si>
    <t>chris.mann@northendcapital.com.au</t>
  </si>
  <si>
    <t>Northend Capital Pty Ltd</t>
  </si>
  <si>
    <t>Tim Zhao</t>
  </si>
  <si>
    <t>tim.zhao@lazard.com</t>
  </si>
  <si>
    <t>Lazard Asset Management Pacific Co</t>
  </si>
  <si>
    <t>Bruce Du</t>
  </si>
  <si>
    <t>bruce.du@iml.com.au</t>
  </si>
  <si>
    <t>Investors Mutual Limited</t>
  </si>
  <si>
    <t>Jennifer Lam</t>
  </si>
  <si>
    <t>jennifer.lam@antaresequities.com.au</t>
  </si>
  <si>
    <t>Nicholas Curtis</t>
  </si>
  <si>
    <t>nicholas.curtis@yarracm.com</t>
  </si>
  <si>
    <t>Yarra Funds Management Limited</t>
  </si>
  <si>
    <t>Michael Kelly</t>
  </si>
  <si>
    <t>michael.kelly@myerfamilyinvestments.com.au</t>
  </si>
  <si>
    <t>Myer Family Investments Pty Ltd</t>
  </si>
  <si>
    <t>Thi Doan</t>
  </si>
  <si>
    <t>tdoan@eqt.com.au</t>
  </si>
  <si>
    <t>EQT Holdings Limited</t>
  </si>
  <si>
    <t>Aware Super Pty Ltd</t>
  </si>
  <si>
    <t>Shaun Manuell</t>
  </si>
  <si>
    <t>smanuell@australiansuper.com</t>
  </si>
  <si>
    <t>Australian Super</t>
  </si>
  <si>
    <t>Jacob Barnes</t>
  </si>
  <si>
    <t>jacob.barnes@alphinity.com.au</t>
  </si>
  <si>
    <t>Alphinity Investment Management</t>
  </si>
  <si>
    <t>Aakash Saha</t>
  </si>
  <si>
    <t>aakash.saha@acc.co.nz</t>
  </si>
  <si>
    <t>Accident Compensation Corporation</t>
  </si>
  <si>
    <t>Robert Luciano</t>
  </si>
  <si>
    <t>robert.luciano@vgipartners.com</t>
  </si>
  <si>
    <t>VGI Partners Limited</t>
  </si>
  <si>
    <t>Rob Osborn</t>
  </si>
  <si>
    <t>rob.osborn@lazard.com</t>
  </si>
  <si>
    <t>Mark Landau</t>
  </si>
  <si>
    <t>mlandau@l1.com.au</t>
  </si>
  <si>
    <t>John Lake</t>
  </si>
  <si>
    <t>john.lake@paradice.com</t>
  </si>
  <si>
    <t>Paradice Investment Management Pty Ltd</t>
  </si>
  <si>
    <t>Craig Stent</t>
  </si>
  <si>
    <t>craig@harbourasset.co.nz</t>
  </si>
  <si>
    <t>Harbour Asset Management</t>
  </si>
  <si>
    <t>Andrew Lewandowski</t>
  </si>
  <si>
    <t>alewandowski@humepartners.com.au</t>
  </si>
  <si>
    <t>Hume Partners</t>
  </si>
  <si>
    <t>Geoff Little</t>
  </si>
  <si>
    <t>glittle@caledonia.com.au</t>
  </si>
  <si>
    <t>Caledonia Investment Pty Ltd</t>
  </si>
  <si>
    <t>Lev Margolin</t>
  </si>
  <si>
    <t>lmargolin@l1.com.au</t>
  </si>
  <si>
    <t>Schroder Investment Management Australia Limited</t>
  </si>
  <si>
    <t>Derek Au</t>
  </si>
  <si>
    <t>derek.t.au@rbc.com</t>
  </si>
  <si>
    <t>RBC Global Asset Management</t>
  </si>
  <si>
    <t>Hamish Carlisle</t>
  </si>
  <si>
    <t>hcarlisle@merloncapital.com</t>
  </si>
  <si>
    <t>Merlon Capital Partners</t>
  </si>
  <si>
    <t>Sam Shepherd</t>
  </si>
  <si>
    <t>sam.shepherd@blsem.com.au</t>
  </si>
  <si>
    <t>Bennelong Long Short Equity Management</t>
  </si>
  <si>
    <t>Tim Carleton</t>
  </si>
  <si>
    <t>tim.carleton@auscapam.com</t>
  </si>
  <si>
    <t>Auscap Asset Management Pty Ltd</t>
  </si>
  <si>
    <t>Matthew Parker</t>
  </si>
  <si>
    <t>matthew.parker@auscapam.com</t>
  </si>
  <si>
    <t>Blackrock Investment Management Ltd</t>
  </si>
  <si>
    <t>Nick Pashias</t>
  </si>
  <si>
    <t>nick.pashias@antaresequities.com.au</t>
  </si>
  <si>
    <t>Ben Cleary</t>
  </si>
  <si>
    <t>ben.cleary@tribecaip.com.au</t>
  </si>
  <si>
    <t>Tribeca Investment Partners Pty Ltd</t>
  </si>
  <si>
    <t>Damien Abdallah</t>
  </si>
  <si>
    <t>damien.abdallah@efmaml.com</t>
  </si>
  <si>
    <t>EFM Asset Management Limited</t>
  </si>
  <si>
    <t>Martin Conlon</t>
  </si>
  <si>
    <t>martin.conlon@schroders.com</t>
  </si>
  <si>
    <t>Daniel Seeney</t>
  </si>
  <si>
    <t>daniel.seeney@iml.com.au</t>
  </si>
  <si>
    <t>Catherine Allfrey</t>
  </si>
  <si>
    <t>catherine.allfrey@wavestonecapital.com</t>
  </si>
  <si>
    <t>WaveStone Capital Pty Ltd</t>
  </si>
  <si>
    <t>Anthony Tan</t>
  </si>
  <si>
    <t>anthony.tan@wavestonecapital.com</t>
  </si>
  <si>
    <t>Andrew Levy</t>
  </si>
  <si>
    <t>alevy@l1.com.au</t>
  </si>
  <si>
    <t>Sean Roger</t>
  </si>
  <si>
    <t>sean.roger@perpetual.com.au</t>
  </si>
  <si>
    <t>Perpetual Investment Management Limited</t>
  </si>
  <si>
    <t>Mayur Nallamala</t>
  </si>
  <si>
    <t>mayur.nallamala@rbc.com</t>
  </si>
  <si>
    <t>James Roberston</t>
  </si>
  <si>
    <t>james.robertson@bernstein.com</t>
  </si>
  <si>
    <t>Alliance Bernstein Australia</t>
  </si>
  <si>
    <t>Matthew Haupt</t>
  </si>
  <si>
    <t>matthew@wilsonassetmanagement.com.au</t>
  </si>
  <si>
    <t>Wilson Asset Management Pty Ltd</t>
  </si>
  <si>
    <t>Matt Riordan</t>
  </si>
  <si>
    <t>matthew.riordan@paradice.com</t>
  </si>
  <si>
    <t>John Guadagnuolo</t>
  </si>
  <si>
    <t>john.guadagnuolo@antaresequities.com.au</t>
  </si>
  <si>
    <t>Jack Lawrence</t>
  </si>
  <si>
    <t>jack.lawrence@unisuper.com.au</t>
  </si>
  <si>
    <t>UniSuper Management Pty Ltd</t>
  </si>
  <si>
    <t>Daniel Luth</t>
  </si>
  <si>
    <t>daniel.luth@mutualtrust.com.au</t>
  </si>
  <si>
    <t>Franklin Templeton Investments</t>
  </si>
  <si>
    <t>Andrew Smith</t>
  </si>
  <si>
    <t>asmith@australiansuper.com</t>
  </si>
  <si>
    <t>Justin Braitling</t>
  </si>
  <si>
    <t>braitling@wfunds.com.au</t>
  </si>
  <si>
    <t>Watermark Funds Management Pty Ltd</t>
  </si>
  <si>
    <t>Perennial Investment Partners Limited</t>
  </si>
  <si>
    <t>Michael Kordick</t>
  </si>
  <si>
    <t>mkordick@sghiscock.com.au</t>
  </si>
  <si>
    <t>SG Hiscock &amp; Company Limited</t>
  </si>
  <si>
    <t>Peter Moller</t>
  </si>
  <si>
    <t>pmoller@perennial.net.au</t>
  </si>
  <si>
    <t>Harper Bernays Ltd</t>
  </si>
  <si>
    <t>Martin Hickson</t>
  </si>
  <si>
    <t>mhickson@1851capital.com.au</t>
  </si>
  <si>
    <t>1851 Capital</t>
  </si>
  <si>
    <t>Atchu Maheswaran</t>
  </si>
  <si>
    <t>atchu.maheswaran@ifminvestors.com</t>
  </si>
  <si>
    <t>IFM Investors</t>
  </si>
  <si>
    <t>Winston Chong</t>
  </si>
  <si>
    <t>Gandel Invest</t>
  </si>
  <si>
    <t>Tama Willis</t>
  </si>
  <si>
    <t>twillis@devonfunds.co.nz</t>
  </si>
  <si>
    <t>Devon Funds Management</t>
  </si>
  <si>
    <t>Tom Davies</t>
  </si>
  <si>
    <t>tom.davies@vgipartners.com</t>
  </si>
  <si>
    <t>Tim Kent</t>
  </si>
  <si>
    <t>tkent@kentprivatewealth.com.au</t>
  </si>
  <si>
    <t>Kent Private Wealth</t>
  </si>
  <si>
    <t>Richard MacDougall</t>
  </si>
  <si>
    <t>rmacdougall@flindersinvest.com.au</t>
  </si>
  <si>
    <t>Flinders Investment Partners Pty Ltd</t>
  </si>
  <si>
    <t>Preston Hamersley</t>
  </si>
  <si>
    <t>preston@indianpacificfm.com.au</t>
  </si>
  <si>
    <t>Indian Pacific Funds Management Pty Ltd</t>
  </si>
  <si>
    <t>Michael Skinner</t>
  </si>
  <si>
    <t>mskinner@renaissanceasset.com.au</t>
  </si>
  <si>
    <t>Renaissance Asset Management Pty Ltd</t>
  </si>
  <si>
    <t>Matt Williams</t>
  </si>
  <si>
    <t>matt.williams@airliefm.com.au</t>
  </si>
  <si>
    <t>Airlie Funds Management</t>
  </si>
  <si>
    <t>Luke Howard</t>
  </si>
  <si>
    <t>lhoward@chesteram.com.au</t>
  </si>
  <si>
    <t>Chester Asset Management Pty Ltd</t>
  </si>
  <si>
    <t>Liam Donohue</t>
  </si>
  <si>
    <t>ldonohue@lennoxcapitalpartners.com.au</t>
  </si>
  <si>
    <t>John Sevior</t>
  </si>
  <si>
    <t>john.sevior@airliefm.com.au</t>
  </si>
  <si>
    <t>John Kitchen</t>
  </si>
  <si>
    <t>jkitchen@k2am.com.au</t>
  </si>
  <si>
    <t>K2 Asset Management Ltd</t>
  </si>
  <si>
    <t>James Dougherty</t>
  </si>
  <si>
    <t>jdougherty@lennoxcapitalpartners.com.au</t>
  </si>
  <si>
    <t>Hamish Tadgell</t>
  </si>
  <si>
    <t>htadgell@sghiscock.com.au</t>
  </si>
  <si>
    <t>Angus Walker</t>
  </si>
  <si>
    <t>angus.walker@efmaml.com</t>
  </si>
  <si>
    <t>Andrew Moller</t>
  </si>
  <si>
    <t>andrew.moller@argoinvestments.com.au</t>
  </si>
  <si>
    <t>Argo Investments Limited</t>
  </si>
  <si>
    <t>Tobias Yao</t>
  </si>
  <si>
    <t>tobias@wilsonassetmanagement.com.au</t>
  </si>
  <si>
    <t>Tim Mitchell</t>
  </si>
  <si>
    <t>tim.mitchell@ophiram.com</t>
  </si>
  <si>
    <t>Ophir Asset Management</t>
  </si>
  <si>
    <t>Steven Lambeth</t>
  </si>
  <si>
    <t>slambeth@clime.com.au</t>
  </si>
  <si>
    <t>Swapan Pandya</t>
  </si>
  <si>
    <t>spandya@questap.com.au</t>
  </si>
  <si>
    <t>Quest Asset Partners Pty Ltd</t>
  </si>
  <si>
    <t>Scott Olsson</t>
  </si>
  <si>
    <t>scott.olsson@firetrailinvest.com</t>
  </si>
  <si>
    <t>Firetrail Investments Pty Ltd</t>
  </si>
  <si>
    <t>Sam Taylor</t>
  </si>
  <si>
    <t>sam@blsem.com.au</t>
  </si>
  <si>
    <t>Rob Landau</t>
  </si>
  <si>
    <t>rob.landau@telstrasuper.com.au</t>
  </si>
  <si>
    <t>Telstra Super Pty Ltd</t>
  </si>
  <si>
    <t>Rob Inglis</t>
  </si>
  <si>
    <t>rob.inglis@northcape.com.au</t>
  </si>
  <si>
    <t>Northcape Capital Pty Ltd</t>
  </si>
  <si>
    <t>Roland Houghton</t>
  </si>
  <si>
    <t>rhoughton@milfordasset.com</t>
  </si>
  <si>
    <t>Milford Asset Management</t>
  </si>
  <si>
    <t>Peter Johnston</t>
  </si>
  <si>
    <t>peter.johnston@acc.co.nz</t>
  </si>
  <si>
    <t>Paul Skamvougeras</t>
  </si>
  <si>
    <t>paul.skamvougeras@perpetual.com.au</t>
  </si>
  <si>
    <t>Patrick D Potts</t>
  </si>
  <si>
    <t>ppotts@martincurrie.com.au</t>
  </si>
  <si>
    <t>Oscar Oberg</t>
  </si>
  <si>
    <t>oscar@wilsonassetmanagement.com.au</t>
  </si>
  <si>
    <t>Matthew Ryland</t>
  </si>
  <si>
    <t>mryland@greencapecapital.com</t>
  </si>
  <si>
    <t>Greencape Capital Pty Ltd</t>
  </si>
  <si>
    <t>Michael Steele</t>
  </si>
  <si>
    <t>michael.steele@yarracm.com</t>
  </si>
  <si>
    <t>Mark East</t>
  </si>
  <si>
    <t>mark.east@baep.com.au</t>
  </si>
  <si>
    <t>Bennelong Australian Equity Partners</t>
  </si>
  <si>
    <t>Jun-Bei Liu</t>
  </si>
  <si>
    <t>junbei@tencap.com.au</t>
  </si>
  <si>
    <t>Johan Carlberg</t>
  </si>
  <si>
    <t>johan.carlberg@alphinity.com.au</t>
  </si>
  <si>
    <t>Jason Darling</t>
  </si>
  <si>
    <t>jdarling@caledonia.com.au</t>
  </si>
  <si>
    <t>Hugh Giddy</t>
  </si>
  <si>
    <t>hugh.giddy@iml.com.au</t>
  </si>
  <si>
    <t>Gian Pandit</t>
  </si>
  <si>
    <t>gian.pandit@ausbil.com.au</t>
  </si>
  <si>
    <t>Ausbil Investment Management Limited</t>
  </si>
  <si>
    <t>David Moberley</t>
  </si>
  <si>
    <t>david.moberley@clearlifecapital.com</t>
  </si>
  <si>
    <t>Clyde Haldane</t>
  </si>
  <si>
    <t>clyde.haldane@cbussuper.com.au</t>
  </si>
  <si>
    <t>Chris Kourtis</t>
  </si>
  <si>
    <t>ckourtis@ellerstoncapital.com</t>
  </si>
  <si>
    <t>Chris Sleep</t>
  </si>
  <si>
    <t>csleep@caledonia.com.au</t>
  </si>
  <si>
    <t>Chris Harris</t>
  </si>
  <si>
    <t>chris.harris@unisuper.com.au</t>
  </si>
  <si>
    <t>Bradley Clibborn</t>
  </si>
  <si>
    <t>bradley.clibborn@baep.com.au</t>
  </si>
  <si>
    <t>Blake Henricks</t>
  </si>
  <si>
    <t>blake.henricks@firetrailinvest.com</t>
  </si>
  <si>
    <t>Anthony Aboud</t>
  </si>
  <si>
    <t>anthony.aboud@perpetual.com.au</t>
  </si>
  <si>
    <t>Karara Capital Pty Ltd</t>
  </si>
  <si>
    <t>Kofi Mensa</t>
  </si>
  <si>
    <t>kofi.mensa@ophiram.com</t>
  </si>
  <si>
    <t>Karst Peak Capital</t>
  </si>
  <si>
    <t>Damian Cottier</t>
  </si>
  <si>
    <t>dpc@perennial.net.au</t>
  </si>
  <si>
    <t>Anthony Moran</t>
  </si>
  <si>
    <t>anthony.moran@pendalgroup.com</t>
  </si>
  <si>
    <t>Reuben De Barros</t>
  </si>
  <si>
    <t>reuben.de.barros@ifminvestors.com</t>
  </si>
  <si>
    <t>Jarrod McDonald</t>
  </si>
  <si>
    <t>jarrod.mcdonald@unisuper.com.au</t>
  </si>
  <si>
    <t>Daniel Sanelli</t>
  </si>
  <si>
    <t>daniel@blsem.com.au</t>
  </si>
  <si>
    <t>Tony Vong</t>
  </si>
  <si>
    <t>tony.vong@ifminvestors.com</t>
  </si>
  <si>
    <t>Tom Richardson</t>
  </si>
  <si>
    <t>tom.richardson@paradice.com</t>
  </si>
  <si>
    <t>Jovita Khilnani</t>
  </si>
  <si>
    <t>jovita.khilnani@regalfm.com</t>
  </si>
  <si>
    <t>Regal Funds Management Pty Ltd</t>
  </si>
  <si>
    <t>Dan Broeren</t>
  </si>
  <si>
    <t>dbroeren@blackwattlepartners.com</t>
  </si>
  <si>
    <t>Omkar Joshi</t>
  </si>
  <si>
    <t>omkar.joshi@opal.capital</t>
  </si>
  <si>
    <t>Opal Capital Management</t>
  </si>
  <si>
    <t>William Earnshaw</t>
  </si>
  <si>
    <t>william.earnshaw@solariswealth.com.au</t>
  </si>
  <si>
    <t>Solaris Investment Management Limited</t>
  </si>
  <si>
    <t>Wesley Nation</t>
  </si>
  <si>
    <t>wesley.nation@unisuper.com.au</t>
  </si>
  <si>
    <t>Steven Ng</t>
  </si>
  <si>
    <t>steven.ng@ophiram.com</t>
  </si>
  <si>
    <t>Simon Brown</t>
  </si>
  <si>
    <t>simon.brown@tribecaip.com.au</t>
  </si>
  <si>
    <t>Shaun Cracknell</t>
  </si>
  <si>
    <t>shaunc@phg.com.au</t>
  </si>
  <si>
    <t>Portland House Group Pty. Ltd</t>
  </si>
  <si>
    <t>Shane Solly</t>
  </si>
  <si>
    <t>shane@harbourasset.co.nz</t>
  </si>
  <si>
    <t>Stephen Bruce</t>
  </si>
  <si>
    <t>sgb@perennial.net.au</t>
  </si>
  <si>
    <t>Scott Bender</t>
  </si>
  <si>
    <t>scott.bender@dnr.com.au</t>
  </si>
  <si>
    <t>DNR Capital Pty Ltd</t>
  </si>
  <si>
    <t>Raaz Bhuyan</t>
  </si>
  <si>
    <t>raaz.bhuyan@wavestonecapital.com</t>
  </si>
  <si>
    <t>Prasad Patkar</t>
  </si>
  <si>
    <t>ppatkar@platypus.com.au</t>
  </si>
  <si>
    <t>Platypus Asset Management Pty Ltd</t>
  </si>
  <si>
    <t>Philip Wensley</t>
  </si>
  <si>
    <t>philip.wensley@paradice.com</t>
  </si>
  <si>
    <t>Patrick Hodgens</t>
  </si>
  <si>
    <t>patrick.hodgens@firetrailinvest.com</t>
  </si>
  <si>
    <t>Mark Nathan</t>
  </si>
  <si>
    <t>mark.nathan@regalfm.com</t>
  </si>
  <si>
    <t>Marc Hester</t>
  </si>
  <si>
    <t>mhester@greencapecapital.com</t>
  </si>
  <si>
    <t>Lachlan Mayne</t>
  </si>
  <si>
    <t>lachlan.mayne@dnrcapital.com.au</t>
  </si>
  <si>
    <t>Kevin Bennett</t>
  </si>
  <si>
    <t>kevin@harbourasset.co.nz</t>
  </si>
  <si>
    <t>Ken Arnott</t>
  </si>
  <si>
    <t>kma@arnott.com.au</t>
  </si>
  <si>
    <t>Arnott Capital Pty Ltd</t>
  </si>
  <si>
    <t>John Ayoub</t>
  </si>
  <si>
    <t>john@wilsonassetmanagement.com.au</t>
  </si>
  <si>
    <t>Jamie O'Neill</t>
  </si>
  <si>
    <t>jamie.o'neill@au.brookfield.com</t>
  </si>
  <si>
    <t>Brookfield</t>
  </si>
  <si>
    <t>Jamie Nicol</t>
  </si>
  <si>
    <t>jamie.nicol@dnr.com.au</t>
  </si>
  <si>
    <t>James Miller</t>
  </si>
  <si>
    <t>james.miller@firetrailinvest.com</t>
  </si>
  <si>
    <t>James McBeath</t>
  </si>
  <si>
    <t>james.mcbeath@clearlifecapital.com</t>
  </si>
  <si>
    <t>James Ewinger</t>
  </si>
  <si>
    <t>james.ewinger@unisuper.com.au</t>
  </si>
  <si>
    <t>Isabelle Steadman</t>
  </si>
  <si>
    <t>isabelle.steadman@dnrcapital.com.au</t>
  </si>
  <si>
    <t>Guy Robinson</t>
  </si>
  <si>
    <t>guy.robinson@acc.co.nz</t>
  </si>
  <si>
    <t>David Pace</t>
  </si>
  <si>
    <t>dpace@greencapecapital.com</t>
  </si>
  <si>
    <t>David Grace</t>
  </si>
  <si>
    <t>dgrace@afi.com.au</t>
  </si>
  <si>
    <t>Australian Foundation Investment Company (AFIC)</t>
  </si>
  <si>
    <t>Chris Cahill</t>
  </si>
  <si>
    <t>ccahill@questap.com.au</t>
  </si>
  <si>
    <t>Brendan Warton</t>
  </si>
  <si>
    <t>bwarton@platypus.com.au</t>
  </si>
  <si>
    <t>Bruce Smith</t>
  </si>
  <si>
    <t>bruce.smith@alphinity.com.au</t>
  </si>
  <si>
    <t>Andrew Swan</t>
  </si>
  <si>
    <t>aswan@cooperinvestors.com</t>
  </si>
  <si>
    <t>Andrew Peros</t>
  </si>
  <si>
    <t>andrew.peros@ausbil.com.au</t>
  </si>
  <si>
    <t>Andrew Mitchell</t>
  </si>
  <si>
    <t>andrew.mitchell@ophiram.com</t>
  </si>
  <si>
    <t>Andrew King</t>
  </si>
  <si>
    <t>aking@perennial.net.au</t>
  </si>
  <si>
    <t>Amar Naik</t>
  </si>
  <si>
    <t>anaik@l1.com.au</t>
  </si>
  <si>
    <t>Kevin Francfort</t>
  </si>
  <si>
    <t>kevin.francfort@fmr.com</t>
  </si>
  <si>
    <t>Fidelity International</t>
  </si>
  <si>
    <t>Peiting Liang</t>
  </si>
  <si>
    <t>peiting.liang@northcape.com.au</t>
  </si>
  <si>
    <t>James Barker</t>
  </si>
  <si>
    <t>jbarker@ellerstoncapital.com</t>
  </si>
  <si>
    <t>John Parathyras</t>
  </si>
  <si>
    <t>john.parathyras@iml.com.au</t>
  </si>
  <si>
    <t>Vincent Li</t>
  </si>
  <si>
    <t>vincent.li@tyndallam.com</t>
  </si>
  <si>
    <t>Tyndall Management Australia</t>
  </si>
  <si>
    <t>Mark Skocic</t>
  </si>
  <si>
    <t>mark.skocic@mutualtrust.com.au</t>
  </si>
  <si>
    <t>Kinetic Investment Partners</t>
  </si>
  <si>
    <t>Ben Chan</t>
  </si>
  <si>
    <t>ben.chan@fairviewequity.com.au</t>
  </si>
  <si>
    <t>Adam Alexander</t>
  </si>
  <si>
    <t>adam.alexander@schroders.com</t>
  </si>
  <si>
    <t>Joanna Kwok</t>
  </si>
  <si>
    <t>joanna.wh.kwok@jpmorgan.com</t>
  </si>
  <si>
    <t>JPMorgan Asset Management (Asia Pacific) Limited</t>
  </si>
  <si>
    <t>Andrew McLennan</t>
  </si>
  <si>
    <t>andrew.mclennan@solariswealth.com.au</t>
  </si>
  <si>
    <t>Phillip Li</t>
  </si>
  <si>
    <t>pli@sghiscock.com.au</t>
  </si>
  <si>
    <t>Dion Hershan</t>
  </si>
  <si>
    <t>dion.hershan@yarracm.com</t>
  </si>
  <si>
    <t>David Schwartz</t>
  </si>
  <si>
    <t>david.schwartz@yarracm.com</t>
  </si>
  <si>
    <t>James Coghill</t>
  </si>
  <si>
    <t>james.coghill@aristocrat.com</t>
  </si>
  <si>
    <t>Aristocrat Leisure Limited</t>
  </si>
  <si>
    <t>Trevor Croker</t>
  </si>
  <si>
    <t>trevor.croker@aristocrat.com</t>
  </si>
  <si>
    <t>Marla Sims</t>
  </si>
  <si>
    <t>marla.sims@aristocrat.com</t>
  </si>
  <si>
    <t>Reuben Rattos</t>
  </si>
  <si>
    <t>rrattos@lnw.com</t>
  </si>
  <si>
    <t>Light &amp; Wonder Inc.</t>
  </si>
  <si>
    <t>Nick Zangari</t>
  </si>
  <si>
    <t>dzangari@lnw.com</t>
  </si>
  <si>
    <t>Steve Wan</t>
  </si>
  <si>
    <t>swan@lnw.com</t>
  </si>
  <si>
    <t>Matt Wilson</t>
  </si>
  <si>
    <t>mwilson@lnw.com</t>
  </si>
  <si>
    <t>Toni Korsanos</t>
  </si>
  <si>
    <t>toni.korsanos@icloud.com</t>
  </si>
  <si>
    <t>Jamie Odell</t>
  </si>
  <si>
    <t>jamie@jamieodell.com.au</t>
  </si>
  <si>
    <t>Oliver Chow</t>
  </si>
  <si>
    <t>ochow@lnw.com</t>
  </si>
  <si>
    <t>Luke Macnab</t>
  </si>
  <si>
    <t>luke.macnab@aware.com.au</t>
  </si>
  <si>
    <t>Prashani Veerasamy</t>
  </si>
  <si>
    <t>prashani.veerasamy@aristocrat.com</t>
  </si>
  <si>
    <t>Stella McMullen</t>
  </si>
  <si>
    <t>stella.mcmullen@ausbil.com.au</t>
  </si>
  <si>
    <t>Kurt Gelsomino</t>
  </si>
  <si>
    <t>kurt.gelsomino@baep.com.au</t>
  </si>
  <si>
    <t>Brendan Mowry</t>
  </si>
  <si>
    <t>brendan.mowry@dnrcapital.com.au</t>
  </si>
  <si>
    <t>Gaming</t>
  </si>
  <si>
    <t>fpodrug@cooperinvestors.com</t>
  </si>
  <si>
    <t>Frank Podrug</t>
  </si>
  <si>
    <t>dragonese@ellerstoncapital.com</t>
  </si>
  <si>
    <t>Daniel Ragonese</t>
  </si>
  <si>
    <t>jonathanch@jumbointeractive.com</t>
  </si>
  <si>
    <t>Jonathan Chuong</t>
  </si>
  <si>
    <t>irresearch@lnw.com</t>
  </si>
  <si>
    <t>Research Team</t>
  </si>
  <si>
    <t>The Lottery Corporation</t>
  </si>
  <si>
    <t>alex.hiotis@thelotterycorporation.com</t>
  </si>
  <si>
    <t>Alex Hiotis</t>
  </si>
  <si>
    <t>ruvani.fernando2@thelotterycorporation.com</t>
  </si>
  <si>
    <t>Ruvani Fernando</t>
  </si>
  <si>
    <t>Tabcorp Holdings Limited</t>
  </si>
  <si>
    <t>SkyCity Entertainment Group Limited</t>
  </si>
  <si>
    <t>craig.brown@skycity.co.nz</t>
  </si>
  <si>
    <t>Craig Brown</t>
  </si>
  <si>
    <t>Blackwattle Investment Partners</t>
  </si>
  <si>
    <t>achuk@blackwattlepartners.com</t>
  </si>
  <si>
    <t>Andy Chuk</t>
  </si>
  <si>
    <t>jack.mcnally@airliefm.com.au</t>
  </si>
  <si>
    <t>Jack McNally</t>
  </si>
  <si>
    <t>max.molinari@tribecaip.com.au</t>
  </si>
  <si>
    <t>Max Molinari</t>
  </si>
  <si>
    <t>sean.drennan@firetrail.com</t>
  </si>
  <si>
    <t>Sean Drennan</t>
  </si>
  <si>
    <t>richard.nguyen@thelotterycorporation.com</t>
  </si>
  <si>
    <t>Richard Nguyen</t>
  </si>
  <si>
    <t>chris.richardson@thelotterycorporation.com</t>
  </si>
  <si>
    <t>Chris Richardson</t>
  </si>
  <si>
    <t>Point72 Asset Management</t>
  </si>
  <si>
    <t>wei.lim@point72.com</t>
  </si>
  <si>
    <t>Wei Lim</t>
  </si>
  <si>
    <t>terry.couper@tabcorp.com.au</t>
  </si>
  <si>
    <t>Terry Couper</t>
  </si>
  <si>
    <t>craig.young@tyndallam.com</t>
  </si>
  <si>
    <t>Craig Young</t>
  </si>
  <si>
    <t>michael.peet@paradice.com</t>
  </si>
  <si>
    <t>Michael Peet</t>
  </si>
  <si>
    <t>aleksandar.stankovic@firstsentier.com.au</t>
  </si>
  <si>
    <t>Aleksandar Stankovic</t>
  </si>
  <si>
    <t>Red Door Capital Management</t>
  </si>
  <si>
    <t>mk@reddoorcm.com</t>
  </si>
  <si>
    <t>Mark Kellock</t>
  </si>
  <si>
    <t>Trafalgar Copley Limited</t>
  </si>
  <si>
    <t>bradley.brown@trafalgarcopley.com</t>
  </si>
  <si>
    <t>Bradley Brown</t>
  </si>
  <si>
    <t>Meat Industry Employees Superannuation Fund</t>
  </si>
  <si>
    <t>chrisartis@miesf.com.au</t>
  </si>
  <si>
    <t>Chris Artis</t>
  </si>
  <si>
    <t>Pie Funds Management Limited</t>
  </si>
  <si>
    <t>chris@discoveryfunds.co.nz</t>
  </si>
  <si>
    <t>Chris Bainbridge</t>
  </si>
  <si>
    <t>chaynes@eqt.com.au</t>
  </si>
  <si>
    <t>Chris Haynes</t>
  </si>
  <si>
    <t>Smallco Investment Manager Limited</t>
  </si>
  <si>
    <t>cmiller@smallco.com.au</t>
  </si>
  <si>
    <t>Craig Miller</t>
  </si>
  <si>
    <t>dthompson@eqt.com.au</t>
  </si>
  <si>
    <t>david.copley@trafalgarcopley.com</t>
  </si>
  <si>
    <t>David Copley</t>
  </si>
  <si>
    <t>julia.bailey@meliorim.com.au</t>
  </si>
  <si>
    <t>Julia Bailey</t>
  </si>
  <si>
    <t>River Capital Pty Ltd</t>
  </si>
  <si>
    <t>anthony@rivercapital.com.au</t>
  </si>
  <si>
    <t>Anthony Swan</t>
  </si>
  <si>
    <t>barry.carp@rivercapital.com.au</t>
  </si>
  <si>
    <t>Barry Carp</t>
  </si>
  <si>
    <t>TDM Growth Partners</t>
  </si>
  <si>
    <t>ben@tdmgrowth.com</t>
  </si>
  <si>
    <t>Ben Gisz</t>
  </si>
  <si>
    <t>bill.mcrobert@miesf.com.au</t>
  </si>
  <si>
    <t>Bill McRobert</t>
  </si>
  <si>
    <t>THE DAVIES FAMILY COMPANY LIMITED</t>
  </si>
  <si>
    <t>john@daviesfamily.com.au</t>
  </si>
  <si>
    <t>John Davies</t>
  </si>
  <si>
    <t>Victor Smorgon Group</t>
  </si>
  <si>
    <t>joseph@vsg.com.au</t>
  </si>
  <si>
    <t>Joseph Sitch</t>
  </si>
  <si>
    <t>julia.weng@paradice.com</t>
  </si>
  <si>
    <t>Julia Weng</t>
  </si>
  <si>
    <t>Sage Capital Pty Ltd</t>
  </si>
  <si>
    <t>kelli.meagher@sagecap.com.au</t>
  </si>
  <si>
    <t>Kelli Meagher</t>
  </si>
  <si>
    <t>dkeelan@ellerstoncapital.com</t>
  </si>
  <si>
    <t>David Keelan</t>
  </si>
  <si>
    <t>dguthrie@caledonia.com.au</t>
  </si>
  <si>
    <t>Drew Gutherie</t>
  </si>
  <si>
    <t>Thorney Opportunities Ltd</t>
  </si>
  <si>
    <t>eric.tan@thorney.com.au</t>
  </si>
  <si>
    <t>Eric Tan</t>
  </si>
  <si>
    <t>hxu@smallco.com.au</t>
  </si>
  <si>
    <t>Han Xu</t>
  </si>
  <si>
    <t>hamish@tdmgrowth.com</t>
  </si>
  <si>
    <t>Harmish Corlett</t>
  </si>
  <si>
    <t>jack@rivercapital.com.au</t>
  </si>
  <si>
    <t>Jack Macfadyen</t>
  </si>
  <si>
    <t>GCI Australia Pty Ltd</t>
  </si>
  <si>
    <t>jbirrell@gciaustralia.com</t>
  </si>
  <si>
    <t>James Birrell</t>
  </si>
  <si>
    <t>DS Capital Pty Ltd</t>
  </si>
  <si>
    <t>james@dscapital.com.au</t>
  </si>
  <si>
    <t>James Davis</t>
  </si>
  <si>
    <t>corporate.affairs@wilsonassetmanagement.com.au</t>
  </si>
  <si>
    <t>James McNamara</t>
  </si>
  <si>
    <t>james.sioud@regalfm.com</t>
  </si>
  <si>
    <t>James Sioud</t>
  </si>
  <si>
    <t>joel.small@cbussuper.com.au</t>
  </si>
  <si>
    <t>Joel Small</t>
  </si>
  <si>
    <t>rodney@dscapital.com.au</t>
  </si>
  <si>
    <t>Rodney Brott</t>
  </si>
  <si>
    <t>sam@wilsonassetmanagement.com.au</t>
  </si>
  <si>
    <t>Sam Koch</t>
  </si>
  <si>
    <t>sam.seow@dnr.com.au</t>
  </si>
  <si>
    <t>Sam Seow</t>
  </si>
  <si>
    <t>sam.twidale@dnrcapital.com.au</t>
  </si>
  <si>
    <t>Sam Twidale</t>
  </si>
  <si>
    <t>scott.kelly@dnrcapital.com.au</t>
  </si>
  <si>
    <t>Scott Kelly</t>
  </si>
  <si>
    <t>sean.martin@solariswealth.com.au</t>
  </si>
  <si>
    <t>Sean Martin</t>
  </si>
  <si>
    <t>mark.sedawie@dnr.com.au</t>
  </si>
  <si>
    <t>Mark Sedawie</t>
  </si>
  <si>
    <t>Marshall Wace Asia Limited</t>
  </si>
  <si>
    <t>researchap@mwam.com</t>
  </si>
  <si>
    <t>Nick Waite</t>
  </si>
  <si>
    <t>Insignia Financial</t>
  </si>
  <si>
    <t>osvaldo.acosta@ioof.com.au</t>
  </si>
  <si>
    <t>Osvaldo Acosta</t>
  </si>
  <si>
    <t>paul.dewar@cbussuper.com.au</t>
  </si>
  <si>
    <t>Paul Dewar</t>
  </si>
  <si>
    <t>philip.king@regalfm.com</t>
  </si>
  <si>
    <t>Phil King</t>
  </si>
  <si>
    <t>phillip.strano@yarracm.com</t>
  </si>
  <si>
    <t>Phil Strano</t>
  </si>
  <si>
    <t>tomc@tdmgrowth.com</t>
  </si>
  <si>
    <t>Tom Cowan</t>
  </si>
  <si>
    <t>wvicars@caledonia.com.au</t>
  </si>
  <si>
    <t>Will Vicars</t>
  </si>
  <si>
    <t>silvo@442capital.com.au</t>
  </si>
  <si>
    <t>Silvo Barac</t>
  </si>
  <si>
    <t>stephen.croft@cbussuper.com.au</t>
  </si>
  <si>
    <t>Stephen Croft</t>
  </si>
  <si>
    <t>tariq.chotani@perpetual.com.au</t>
  </si>
  <si>
    <t>Tariq Chotani</t>
  </si>
  <si>
    <t>alex.anastasiou@telstrasuper.com.au</t>
  </si>
  <si>
    <t>Alex Anastasiou</t>
  </si>
  <si>
    <t>achong@australiansuper.com</t>
  </si>
  <si>
    <t>Andrea Chong</t>
  </si>
  <si>
    <t>jng@perennial.net.au</t>
  </si>
  <si>
    <t>Julian Guido</t>
  </si>
  <si>
    <t>justin.puli@cbussuper.com.au</t>
  </si>
  <si>
    <t>Justin Puli</t>
  </si>
  <si>
    <t>karen.towle@tribecaip.com.au</t>
  </si>
  <si>
    <t>Karen Towle</t>
  </si>
  <si>
    <t>matthew.fist@firetrailinvest.com</t>
  </si>
  <si>
    <t>Matt Fist</t>
  </si>
  <si>
    <t>swilson@australiansuper.com</t>
  </si>
  <si>
    <t>Stuart Wilson</t>
  </si>
  <si>
    <t>tcairns@questap.com.au</t>
  </si>
  <si>
    <t>Troy Cairns</t>
  </si>
  <si>
    <t>asimpson@smallco.com.au</t>
  </si>
  <si>
    <t>Adam Simpson</t>
  </si>
  <si>
    <t>ECP Asset Management Pty Ltd</t>
  </si>
  <si>
    <t>damon.callaghan@ecpam.com</t>
  </si>
  <si>
    <t>Damon Callaghan</t>
  </si>
  <si>
    <t>marc.whittaker@iml.com.au</t>
  </si>
  <si>
    <t>Marc Whittaker</t>
  </si>
  <si>
    <t>Salt Funds Management Limited</t>
  </si>
  <si>
    <t>matthew.goodson@saltfunds.co.nz</t>
  </si>
  <si>
    <t>Matthew Goodson</t>
  </si>
  <si>
    <t>Eiger Capital</t>
  </si>
  <si>
    <t>swood@eigercapital.com</t>
  </si>
  <si>
    <t>Stephen Wood</t>
  </si>
  <si>
    <t>simon.conn@iml.com.au</t>
  </si>
  <si>
    <t>Simon Conn</t>
  </si>
  <si>
    <t>dfleming@renaissance-asset.com.au</t>
  </si>
  <si>
    <t>David Fleming</t>
  </si>
  <si>
    <t>Eley Griffiths Group</t>
  </si>
  <si>
    <t>nick@eg-group.com.au</t>
  </si>
  <si>
    <t>Nick Guidera</t>
  </si>
  <si>
    <t>OC Funds Management</t>
  </si>
  <si>
    <t>rcalnon@ocfunds.com.au</t>
  </si>
  <si>
    <t>Rob Calnon</t>
  </si>
  <si>
    <t>ahokin@smallco.com.au</t>
  </si>
  <si>
    <t>Andrew Hokin</t>
  </si>
  <si>
    <t>arden.jennings@ausbil.com.au</t>
  </si>
  <si>
    <t>Arden Jennings</t>
  </si>
  <si>
    <t>avee.waislitz@thorney.com.au</t>
  </si>
  <si>
    <t>Avee Waislitz</t>
  </si>
  <si>
    <t>bryan@smallco.com.au</t>
  </si>
  <si>
    <t>Bill Ryan</t>
  </si>
  <si>
    <t>carlyt@endeavoram.com.au</t>
  </si>
  <si>
    <t>Carly Turner</t>
  </si>
  <si>
    <t>damien.diamant@pendalgroup.com</t>
  </si>
  <si>
    <t>Damien Diamant</t>
  </si>
  <si>
    <t>david@eg-group.com.au</t>
  </si>
  <si>
    <t>David Allingham</t>
  </si>
  <si>
    <t>david.aylward@tribecaip.com.au</t>
  </si>
  <si>
    <t>David Aylward</t>
  </si>
  <si>
    <t>david.slack@karara.com.au</t>
  </si>
  <si>
    <t>David Slack</t>
  </si>
  <si>
    <t>gbatsakis@australiansuper.com</t>
  </si>
  <si>
    <t>George Batsakis</t>
  </si>
  <si>
    <t>jkoh@greencapecapital.com</t>
  </si>
  <si>
    <t>Jonathan Koh</t>
  </si>
  <si>
    <t>jeremy.davis@thorney.com.au</t>
  </si>
  <si>
    <t>Jeremy Davis</t>
  </si>
  <si>
    <t>jfindlay@kineticip.com.au</t>
  </si>
  <si>
    <t>Jonathan Findlay</t>
  </si>
  <si>
    <t>jthai@australiansuper.com</t>
  </si>
  <si>
    <t>Jackie Thai</t>
  </si>
  <si>
    <t>kieran.sisson@baep.com.au</t>
  </si>
  <si>
    <t>Kieran Sisson</t>
  </si>
  <si>
    <t>lachlan@eg-group.com.au</t>
  </si>
  <si>
    <t>Lachlan Ridhalgh</t>
  </si>
  <si>
    <t>madeleine.beaumont@blackrock.com</t>
  </si>
  <si>
    <t>Madeleine Beaumont</t>
  </si>
  <si>
    <t>margaret.ross@thorney.com.au</t>
  </si>
  <si>
    <t>Margaret Ross</t>
  </si>
  <si>
    <t>marjorie.tang@myerfamilyinvestments.com.au</t>
  </si>
  <si>
    <t>Marjorie Tang</t>
  </si>
  <si>
    <t>peter.kormendy@karara.com.au</t>
  </si>
  <si>
    <t>Peter Kormendy</t>
  </si>
  <si>
    <t>pgraham@smallco.com.au</t>
  </si>
  <si>
    <t>Paul Graham</t>
  </si>
  <si>
    <t>rhopkins@smallco.com.au</t>
  </si>
  <si>
    <t>Rob Hopkins</t>
  </si>
  <si>
    <t>rsharp@kineticip.com.au</t>
  </si>
  <si>
    <t>Richard Sharp</t>
  </si>
  <si>
    <t>rsohn@perennial.net.au</t>
  </si>
  <si>
    <t>Ryan Sohn</t>
  </si>
  <si>
    <t>martin.pretty@thorney.com.au</t>
  </si>
  <si>
    <t>Martin Pretty</t>
  </si>
  <si>
    <t>mcourtney@ellerstoncapital.com</t>
  </si>
  <si>
    <t>Michael Courtney</t>
  </si>
  <si>
    <t>mfreeman@afi.com.au</t>
  </si>
  <si>
    <t>Mark Freeman</t>
  </si>
  <si>
    <t>mhiggins@milfordasset.com</t>
  </si>
  <si>
    <t>Michael Higgins</t>
  </si>
  <si>
    <t>michael.croser@perpetual.com.au</t>
  </si>
  <si>
    <t>Michael Croser</t>
  </si>
  <si>
    <t>nathan.hughes@perpetual.com.au</t>
  </si>
  <si>
    <t>Nathan Hughes</t>
  </si>
  <si>
    <t>nick.greenway@karara.com.au</t>
  </si>
  <si>
    <t>Nick Greenway</t>
  </si>
  <si>
    <t>wcurtayne@milfordasset.com</t>
  </si>
  <si>
    <t>Will Curtayne</t>
  </si>
  <si>
    <t>Spheria Asset Management Pty Ltd</t>
  </si>
  <si>
    <t>adam.lund@spheria.com.au</t>
  </si>
  <si>
    <t>Adam Lund</t>
  </si>
  <si>
    <t>adimattina@sghiscock.com.au</t>
  </si>
  <si>
    <t>Adrian DiMattina</t>
  </si>
  <si>
    <t>Merricks Capital Pty Ltd</t>
  </si>
  <si>
    <t>adrian.redlich@merrickscapital.com</t>
  </si>
  <si>
    <t>Adrian Redlich</t>
  </si>
  <si>
    <t>Bell Asset Management Limited</t>
  </si>
  <si>
    <t>amartuccio@bellasset.com.au</t>
  </si>
  <si>
    <t>Adrain Martuccio</t>
  </si>
  <si>
    <t>NovaPort Capital Pty Ltd</t>
  </si>
  <si>
    <t>amilton@novaportcapital.com</t>
  </si>
  <si>
    <t>Alex Milton</t>
  </si>
  <si>
    <t>Quay Street Asset Management Limited</t>
  </si>
  <si>
    <t>andrew.south@quaystreet.com</t>
  </si>
  <si>
    <t>Andrew South</t>
  </si>
  <si>
    <t>sam.byrnes@ecpam.com</t>
  </si>
  <si>
    <t>Sam Byrnes</t>
  </si>
  <si>
    <t>sjlow@afi.com.au</t>
  </si>
  <si>
    <t>Stuart Low</t>
  </si>
  <si>
    <t>Perpetual Private</t>
  </si>
  <si>
    <t>james.abela@fil.com</t>
  </si>
  <si>
    <t>James Abela</t>
  </si>
  <si>
    <t>jconnell@bellasset.com.au</t>
  </si>
  <si>
    <t>Joel Connell</t>
  </si>
  <si>
    <t>jcopland@ifm.net.au</t>
  </si>
  <si>
    <t>Jim Copland</t>
  </si>
  <si>
    <t>Uniting Ethical Investors Limited</t>
  </si>
  <si>
    <t>jon.fernie@ucafunds.com.au</t>
  </si>
  <si>
    <t>Jon Fernie</t>
  </si>
  <si>
    <t>jthomson@sghiscock.com.au</t>
  </si>
  <si>
    <t>John Thomson</t>
  </si>
  <si>
    <t>Lincoln Indicators Pty Ltd</t>
  </si>
  <si>
    <t>jyin@lincolnindicators.com.au</t>
  </si>
  <si>
    <t>Jason Yin</t>
  </si>
  <si>
    <t>Acorn Capital Limited</t>
  </si>
  <si>
    <t>bendalling@acorncapital.com.au</t>
  </si>
  <si>
    <t>Ben Dalling</t>
  </si>
  <si>
    <t>Armytage Private Proprietary Limited</t>
  </si>
  <si>
    <t>bking@armytage.com.au</t>
  </si>
  <si>
    <t>Bradley King</t>
  </si>
  <si>
    <t>brydie.lloyd-roberts@argoinvestments.com.au</t>
  </si>
  <si>
    <t>Brydie Lloyd-Roberts</t>
  </si>
  <si>
    <t>ICE Investors Pty Ltd</t>
  </si>
  <si>
    <t>cburns@iceinvestors.com.au</t>
  </si>
  <si>
    <t>Callum Burns</t>
  </si>
  <si>
    <t>cratnapala@lincolnindicators.com.au</t>
  </si>
  <si>
    <t>Chami Ratnapala</t>
  </si>
  <si>
    <t>dstein@ocfunds.com.au</t>
  </si>
  <si>
    <t>Daniel Stein</t>
  </si>
  <si>
    <t>Pengana Capital Ltd</t>
  </si>
  <si>
    <t>ed.prendergast@pengana.com</t>
  </si>
  <si>
    <t>Ed Prendergast</t>
  </si>
  <si>
    <t>Castle Point Funds Management</t>
  </si>
  <si>
    <t>gordon.sims@castlepointfunds.com</t>
  </si>
  <si>
    <t>Gordon Sims</t>
  </si>
  <si>
    <t>hamish.fitzsimons@bernstein.com</t>
  </si>
  <si>
    <t>Hamish Fitzsimons</t>
  </si>
  <si>
    <t>marcus.burns@spheria.com.au</t>
  </si>
  <si>
    <t>Marcus Burns</t>
  </si>
  <si>
    <t>matthew.booker@spheria.com.au</t>
  </si>
  <si>
    <t>Matthew Booker</t>
  </si>
  <si>
    <t>Kardinia Capital Pty Ltd</t>
  </si>
  <si>
    <t>mb@kardiniacapital.com.au</t>
  </si>
  <si>
    <t>Mark Burgess</t>
  </si>
  <si>
    <t>Fairview Equity Partners Pty Ltd</t>
  </si>
  <si>
    <t>michael.glenane@fairviewequity.com.au</t>
  </si>
  <si>
    <t>Michael Glenane</t>
  </si>
  <si>
    <t>mswartz@lincolnindicators.com.au</t>
  </si>
  <si>
    <t>Matthew Swartz</t>
  </si>
  <si>
    <t>nbell@bellasset.com.au</t>
  </si>
  <si>
    <t>Ned Bell</t>
  </si>
  <si>
    <t>niraj_kumar@gandel.com.au</t>
  </si>
  <si>
    <t>Nirah Kumar</t>
  </si>
  <si>
    <t>nrahman@flindersinvest.com.au</t>
  </si>
  <si>
    <t>Naheed Rahman</t>
  </si>
  <si>
    <t>AMP Capital Investors</t>
  </si>
  <si>
    <t>phillip.hudak@ampcapital.com</t>
  </si>
  <si>
    <t>Phillip Hudak</t>
  </si>
  <si>
    <t>Alium Capital Management</t>
  </si>
  <si>
    <t>rg@aliumcap.com</t>
  </si>
  <si>
    <t>Rajeev Gupta</t>
  </si>
  <si>
    <t>rkuhadas@iceinvestors.com.au</t>
  </si>
  <si>
    <t>Raveen Kuhadas</t>
  </si>
  <si>
    <t>Endeavor Asset Management</t>
  </si>
  <si>
    <t>research@endeavoram.com.au</t>
  </si>
  <si>
    <t>Research Research</t>
  </si>
  <si>
    <t>rfrost@ocfunds.com.au</t>
  </si>
  <si>
    <t>Rob Frost</t>
  </si>
  <si>
    <t>roy.maslen@bernstein.com</t>
  </si>
  <si>
    <t>Roy Maslen</t>
  </si>
  <si>
    <t>Baron Corporation Pty Ltd</t>
  </si>
  <si>
    <t>sbaron@baroncorp.com.au</t>
  </si>
  <si>
    <t>Stewart Baron</t>
  </si>
  <si>
    <t>scurrie@novaportcapital.com</t>
  </si>
  <si>
    <t>Sinclair Currie</t>
  </si>
  <si>
    <t>sevans@ocfunds.com.au</t>
  </si>
  <si>
    <t>Steve Evans</t>
  </si>
  <si>
    <t>steve.black@pengana.com</t>
  </si>
  <si>
    <t>Steve Black</t>
  </si>
  <si>
    <t>tim.hall@fairviewequity.com.au</t>
  </si>
  <si>
    <t>Tim Hall</t>
  </si>
  <si>
    <t>Atrium Investment Management Pty Ltd</t>
  </si>
  <si>
    <t>tony.edwards@atriuminvest.com.au</t>
  </si>
  <si>
    <t>Tony Edwards</t>
  </si>
  <si>
    <t>rwalling@iceinvestors.com.au</t>
  </si>
  <si>
    <t>Roger Walling</t>
  </si>
  <si>
    <t>kevin.soo@northcape.com.au</t>
  </si>
  <si>
    <t>Kevin Soo</t>
  </si>
  <si>
    <t>lewis.edgley@pendalgroup.com</t>
  </si>
  <si>
    <t>Lewis Edgley</t>
  </si>
  <si>
    <t>rachel.folder@pendalgroup.com</t>
  </si>
  <si>
    <t>Rachel Folder</t>
  </si>
  <si>
    <t>mcorreia@perennial.net.au</t>
  </si>
  <si>
    <t>Marco Correia</t>
  </si>
  <si>
    <t>sjb@perennial.net.au</t>
  </si>
  <si>
    <t>Sam Berridge</t>
  </si>
  <si>
    <t>ben.mccallum@regalfm.com</t>
  </si>
  <si>
    <t>Ben McCallum</t>
  </si>
  <si>
    <t>jessica.farr-jones@regalfm.com</t>
  </si>
  <si>
    <t>Jessica Farr-Jones</t>
  </si>
  <si>
    <t>Eight Investment Partners</t>
  </si>
  <si>
    <t>victor.lee@8ip.com.au</t>
  </si>
  <si>
    <t>Victor Lee</t>
  </si>
  <si>
    <t>amouchacca@flindersinvest.com.au</t>
  </si>
  <si>
    <t>Andrew Mouchacca</t>
  </si>
  <si>
    <t>david.tran@paradice.com</t>
  </si>
  <si>
    <t>David Tran</t>
  </si>
  <si>
    <t>kkennedy@afi.com.au</t>
  </si>
  <si>
    <t>Kieran Kennedy</t>
  </si>
  <si>
    <t>nick.press@paradice.com</t>
  </si>
  <si>
    <t>Nick Press</t>
  </si>
  <si>
    <t>patrick.teodorowski@pendalgroup.com</t>
  </si>
  <si>
    <t>Patrick Teodorowski</t>
  </si>
  <si>
    <t>ldsmith@australiansuper.com</t>
  </si>
  <si>
    <t>Luke Smith</t>
  </si>
  <si>
    <t>jgodsil@australiansuper.com</t>
  </si>
  <si>
    <t>Jim Godsil</t>
  </si>
  <si>
    <t>jackson.aldridge@regalfm.com</t>
  </si>
  <si>
    <t>Jackson Aldridge</t>
  </si>
  <si>
    <t>cgray@centennialfunds.com.au</t>
  </si>
  <si>
    <t>Charlie Gray</t>
  </si>
  <si>
    <t>tim.bingham@dnrcapital.com.au</t>
  </si>
  <si>
    <t>Tim Bingham</t>
  </si>
  <si>
    <t>jared.pohl@ecpam.com</t>
  </si>
  <si>
    <t>Jared Pohl</t>
  </si>
  <si>
    <t>jason.pohl@ecpam.com</t>
  </si>
  <si>
    <t>Jason Pohl</t>
  </si>
  <si>
    <t>vgomes@eigercapital.com</t>
  </si>
  <si>
    <t>Victor Gomes</t>
  </si>
  <si>
    <t>simon.momich@harbourasset.co.nz</t>
  </si>
  <si>
    <t>Simon Momich</t>
  </si>
  <si>
    <t>james.delaney@sagecap.com.au</t>
  </si>
  <si>
    <t>James Delaney</t>
  </si>
  <si>
    <t>henry.hill@wavestonecapital.com</t>
  </si>
  <si>
    <t>Henry Hill</t>
  </si>
  <si>
    <t>dudley@wfunds.com.au</t>
  </si>
  <si>
    <t>Harry Dudley</t>
  </si>
  <si>
    <t>tyler@wilsonassetmanagement.com.au</t>
  </si>
  <si>
    <t>Tyler McKay</t>
  </si>
  <si>
    <t>Ryder Capital Limited</t>
  </si>
  <si>
    <t>david@rydercapital.com.au</t>
  </si>
  <si>
    <t>David Bottomley</t>
  </si>
  <si>
    <t>eleanor.swanson@firetrail.com</t>
  </si>
  <si>
    <t>Eleanor Swanson</t>
  </si>
  <si>
    <t>ghoffman@renaissanceasset.com.au</t>
  </si>
  <si>
    <t>Glen Hoffman</t>
  </si>
  <si>
    <t>mross@piefunds.co.nz</t>
  </si>
  <si>
    <t>Michael Ross</t>
  </si>
  <si>
    <t>adam.harvey@paradice.com</t>
  </si>
  <si>
    <t>Adam Harvey</t>
  </si>
  <si>
    <t>rishi.khilnani@paradice.com</t>
  </si>
  <si>
    <t>Rishi Khilnani</t>
  </si>
  <si>
    <t>david.paradice@paradice.com</t>
  </si>
  <si>
    <t>David Paradice</t>
  </si>
  <si>
    <t>rlamm@l1.com.au</t>
  </si>
  <si>
    <t>Rafi Lamm</t>
  </si>
  <si>
    <t>REST (Retail Employees Superannuation Trust)</t>
  </si>
  <si>
    <t>myounger@primevalue.com.au</t>
  </si>
  <si>
    <t>Mike Younger</t>
  </si>
  <si>
    <t>Fisher Funds Management Limited</t>
  </si>
  <si>
    <t>terry@fisherfunds.co.nz</t>
  </si>
  <si>
    <t>Terry Tolich</t>
  </si>
  <si>
    <t>tim.king@meliorim.com.au</t>
  </si>
  <si>
    <t>Tim King</t>
  </si>
  <si>
    <t>tim.masters@ophiram.com</t>
  </si>
  <si>
    <t>Tim Masters</t>
  </si>
  <si>
    <t>tim@eg-group.com.au</t>
  </si>
  <si>
    <t>Tim Serjeant</t>
  </si>
  <si>
    <t>jbriggs@ellerstoncapital.com</t>
  </si>
  <si>
    <t>Jack Briggs</t>
  </si>
  <si>
    <t>jack.collopy@perpetual.com.au</t>
  </si>
  <si>
    <t>Jack Collopy</t>
  </si>
  <si>
    <t>jack.cronan@thorney.com.au</t>
  </si>
  <si>
    <t>Jack Cronan</t>
  </si>
  <si>
    <t>ben@eg-group.com.au</t>
  </si>
  <si>
    <t>Ben Griffiths</t>
  </si>
  <si>
    <t>bevan.flack@acc.co.nz</t>
  </si>
  <si>
    <t>Bevan Flack</t>
  </si>
  <si>
    <t>leo.barry@fairviewequity.com.au</t>
  </si>
  <si>
    <t>Leo Barry</t>
  </si>
  <si>
    <t>rhook@sghiscock.com.au</t>
  </si>
  <si>
    <t>R Hook</t>
  </si>
  <si>
    <t>richard.stubbs@castlepointfunds.com</t>
  </si>
  <si>
    <t>Richard Stubbs</t>
  </si>
  <si>
    <t>shaun@wilsonassetmanagement.com.au</t>
  </si>
  <si>
    <t>Shaun Weick</t>
  </si>
  <si>
    <t>jlee@australiansuper.com</t>
  </si>
  <si>
    <t>Jen Lee</t>
  </si>
  <si>
    <t>nira.sonah@unisuper.com.au</t>
  </si>
  <si>
    <t>Nira Sonah</t>
  </si>
  <si>
    <t>wendy.herringer@northcape.com.au</t>
  </si>
  <si>
    <t>Wendy Herringer</t>
  </si>
  <si>
    <t>aws@perennial.net.au</t>
  </si>
  <si>
    <t>cstott@1851capital.com.au</t>
  </si>
  <si>
    <t>Chris Stott</t>
  </si>
  <si>
    <t>chris.smith@ausbil.com.au</t>
  </si>
  <si>
    <t>Chris Smith</t>
  </si>
  <si>
    <t>mnicholas@1851capital.com.au</t>
  </si>
  <si>
    <t>Matthew Nicholas</t>
  </si>
  <si>
    <t>tahlia.gugusheff@firstsentier.com</t>
  </si>
  <si>
    <t>Tahlia Gugusheff</t>
  </si>
  <si>
    <t>michael.joukhador@firstsentier.com</t>
  </si>
  <si>
    <t>Michael Joukhador</t>
  </si>
  <si>
    <t>dawn.kanelleas@firstsentier.com</t>
  </si>
  <si>
    <t>Dawn Kanelleas</t>
  </si>
  <si>
    <t>mabel.chen@unisuper.com.au</t>
  </si>
  <si>
    <t>Mabel Chen</t>
  </si>
  <si>
    <t>james.nguyen@tyndallam.com</t>
  </si>
  <si>
    <t>James Nguyen</t>
  </si>
  <si>
    <t>LSN Capital Partners</t>
  </si>
  <si>
    <t>nsladen@lsncapital.com.au</t>
  </si>
  <si>
    <t>Nick Sladen</t>
  </si>
  <si>
    <t>mason.w.thomas@iceinvestors.com.au</t>
  </si>
  <si>
    <t>Mason Willoughby-Thomas</t>
  </si>
  <si>
    <t>will.kent@ampcapital.com</t>
  </si>
  <si>
    <t>Will Kent</t>
  </si>
  <si>
    <t>LNW</t>
  </si>
  <si>
    <t>josh.ginges@yarracm.com</t>
  </si>
  <si>
    <t>Josh Ginges</t>
  </si>
  <si>
    <t>mathew.wong@yarracm.com</t>
  </si>
  <si>
    <t>Mathew Wong</t>
  </si>
  <si>
    <t>joel.fleming@yarracm.com</t>
  </si>
  <si>
    <t>Joel Fleming</t>
  </si>
  <si>
    <t>katie.hudson@yarracm.com</t>
  </si>
  <si>
    <t>Katie Hudson</t>
  </si>
  <si>
    <t>carta.ryan@firetrail.com</t>
  </si>
  <si>
    <t>Carta Ryan</t>
  </si>
  <si>
    <t>ClearLife Capital</t>
  </si>
  <si>
    <t>Martin Currie</t>
  </si>
  <si>
    <t>TLC</t>
  </si>
  <si>
    <t>JIN</t>
  </si>
  <si>
    <t>Hyperion Asset Management</t>
  </si>
  <si>
    <t>michael.mewburn@hyperion.com.au</t>
  </si>
  <si>
    <t>Michael Mewburn</t>
  </si>
  <si>
    <t>jordan.woods@paradice.com</t>
  </si>
  <si>
    <t>Jordan Woods</t>
  </si>
  <si>
    <t>jovana.gagic@paradice.com</t>
  </si>
  <si>
    <t>Jovana Gagic</t>
  </si>
  <si>
    <t>wchong@afi.com.au</t>
  </si>
  <si>
    <t>TAH</t>
  </si>
  <si>
    <t>PBH</t>
  </si>
  <si>
    <t>SKC</t>
  </si>
  <si>
    <t>SGR</t>
  </si>
  <si>
    <t>Email</t>
  </si>
  <si>
    <t>dbosscher@polymercapital.com</t>
  </si>
  <si>
    <t>tom.cutler@ausbil.com.au</t>
  </si>
  <si>
    <t>pdrzewucki@polymercapital.com</t>
  </si>
  <si>
    <t>will.granger@airliefm.com.au</t>
  </si>
  <si>
    <t>gretel.janu@regalfm.com</t>
  </si>
  <si>
    <t>yipeng.liu@allangray.com.au</t>
  </si>
  <si>
    <t>sean.fenton@sagecap.com.au</t>
  </si>
  <si>
    <t>nicholas.plessas@foragerfunds.com</t>
  </si>
  <si>
    <t>alex.shevelev@foragerfunds.com</t>
  </si>
  <si>
    <t>Fund</t>
  </si>
  <si>
    <t>Name</t>
  </si>
  <si>
    <t>Small Cap Fund</t>
  </si>
  <si>
    <t>Will Granger</t>
  </si>
  <si>
    <t>Small/MicroCap Fund</t>
  </si>
  <si>
    <t>Corporate</t>
  </si>
  <si>
    <t>Tom Cutler</t>
  </si>
  <si>
    <t>Nga Lucas</t>
  </si>
  <si>
    <t>nlucas@ocfunds.com.au</t>
  </si>
  <si>
    <t>Aaron Yeoh</t>
  </si>
  <si>
    <t>ayeoh@ocfunds.com.au</t>
  </si>
  <si>
    <t>Gordon Lee</t>
  </si>
  <si>
    <t>glee@cooperinvestors.com</t>
  </si>
  <si>
    <t>Industry</t>
  </si>
  <si>
    <t>sbutel@platypus.com.au</t>
  </si>
  <si>
    <t>Thomas Fawcett</t>
  </si>
  <si>
    <t>thomas.fawcett@regalfm.com</t>
  </si>
  <si>
    <t>Yipeng Liu</t>
  </si>
  <si>
    <t>Allan Gray Australia</t>
  </si>
  <si>
    <t>Anthony Kavanagh</t>
  </si>
  <si>
    <t>akavanagh@chesteram.com.au</t>
  </si>
  <si>
    <t>Roman Aliev</t>
  </si>
  <si>
    <t>raliev@iceinvestors.com.au</t>
  </si>
  <si>
    <t>Tanarra Capital Pty Ltd</t>
  </si>
  <si>
    <t>Vidhur Rangaswamy</t>
  </si>
  <si>
    <t>vidhur.rangaswamy@tanarra.com</t>
  </si>
  <si>
    <t>andrew.dellios@tanarra.com</t>
  </si>
  <si>
    <t>Andrew Dellios</t>
  </si>
  <si>
    <t>dmeehan@blackwattlepartners.com</t>
  </si>
  <si>
    <t>David Meehan</t>
  </si>
  <si>
    <t>Akshay Chopra</t>
  </si>
  <si>
    <t>akshay@rivercapital.com.au</t>
  </si>
  <si>
    <t>Steven Green</t>
  </si>
  <si>
    <t>steven.green@rest.com.au</t>
  </si>
  <si>
    <t>Paul Parsons</t>
  </si>
  <si>
    <t>paul.parsons@northcape.com.au</t>
  </si>
  <si>
    <t>Clime Investment Management Limited</t>
  </si>
  <si>
    <t>Oskar King</t>
  </si>
  <si>
    <t>oscar@clime.com.au</t>
  </si>
  <si>
    <t>Stephen Butel</t>
  </si>
  <si>
    <t>Reece Birtles</t>
  </si>
  <si>
    <t>rbirtles@martincurrie.com.au</t>
  </si>
  <si>
    <t>Amos Hill</t>
  </si>
  <si>
    <t>ahill@cooperinvestors.com</t>
  </si>
  <si>
    <t>Rupert Arter</t>
  </si>
  <si>
    <t>rupert@rivercapital.com.au</t>
  </si>
  <si>
    <t>Phil Bare</t>
  </si>
  <si>
    <t>philip.bare@rest.com.au</t>
  </si>
  <si>
    <t>Edward Pham</t>
  </si>
  <si>
    <t>Gretel janu</t>
  </si>
  <si>
    <t>Michael Teran</t>
  </si>
  <si>
    <t>mteran@blackwattlepartners.com</t>
  </si>
  <si>
    <t>Mutual Trust Pty Ltd</t>
  </si>
  <si>
    <t>Sean Fenton</t>
  </si>
  <si>
    <t>Nicholas Plessas</t>
  </si>
  <si>
    <t>Forager Funds</t>
  </si>
  <si>
    <t>Alex Shevelev</t>
  </si>
  <si>
    <t>Polymer Capital Management</t>
  </si>
  <si>
    <t>Paul Drzewucki</t>
  </si>
  <si>
    <t>Dan Bosscher</t>
  </si>
  <si>
    <t>Paste</t>
  </si>
  <si>
    <t>Type</t>
  </si>
  <si>
    <t>Notes</t>
  </si>
  <si>
    <t>Ten Capital</t>
  </si>
  <si>
    <t>Charles Pegum</t>
  </si>
  <si>
    <t>Josh Phillips</t>
  </si>
  <si>
    <t>josh.phillips@tyndallam.com</t>
  </si>
  <si>
    <t>Small Caps</t>
  </si>
  <si>
    <t>Ben Jenkins</t>
  </si>
  <si>
    <t>bjenkin@devonfunds.co.nz</t>
  </si>
  <si>
    <t>Blackwattle</t>
  </si>
  <si>
    <t>Peter Wilson</t>
  </si>
  <si>
    <t>Opal</t>
  </si>
  <si>
    <t>Man Ho Lam</t>
  </si>
  <si>
    <t>Allan Gray</t>
  </si>
  <si>
    <t>Discovery Funds Management</t>
  </si>
  <si>
    <t>Platypus</t>
  </si>
  <si>
    <t>DNR Capital</t>
  </si>
  <si>
    <t>Not sure</t>
  </si>
  <si>
    <t>Hyperion</t>
  </si>
  <si>
    <t>Chester</t>
  </si>
  <si>
    <t>jm@arrow-cap.com</t>
  </si>
  <si>
    <t>Arrow</t>
  </si>
  <si>
    <t>Joe Miyashiro</t>
  </si>
  <si>
    <t>OC Funds</t>
  </si>
  <si>
    <t>Rest</t>
  </si>
  <si>
    <t>Eley Griffith</t>
  </si>
  <si>
    <t>Ophir</t>
  </si>
  <si>
    <t>Northcape</t>
  </si>
  <si>
    <t xml:space="preserve">Equity Trustees </t>
  </si>
  <si>
    <t>Airlie</t>
  </si>
  <si>
    <t>Greencape</t>
  </si>
  <si>
    <t>Wilson</t>
  </si>
  <si>
    <t>Tribeca</t>
  </si>
  <si>
    <t>Sage</t>
  </si>
  <si>
    <t>Paradice</t>
  </si>
  <si>
    <t>david.feng@paradice.com</t>
  </si>
  <si>
    <t>David Feng</t>
  </si>
  <si>
    <t>IFM</t>
  </si>
  <si>
    <t>First Sentier</t>
  </si>
  <si>
    <t>Alphinity</t>
  </si>
  <si>
    <t>Perpetual</t>
  </si>
  <si>
    <t xml:space="preserve">Sean Roger </t>
  </si>
  <si>
    <t>Solaris</t>
  </si>
  <si>
    <t>Andrew Mclennan</t>
  </si>
  <si>
    <t>Ausbil</t>
  </si>
  <si>
    <t>Regal</t>
  </si>
  <si>
    <t>edward.pham@cbussuper.com.au</t>
  </si>
  <si>
    <t>CBUS</t>
  </si>
  <si>
    <t>BAEP</t>
  </si>
  <si>
    <t>Milford</t>
  </si>
  <si>
    <t>Wavestone</t>
  </si>
  <si>
    <t>Pendal</t>
  </si>
  <si>
    <t>L1 Capital</t>
  </si>
  <si>
    <t>Firetrail</t>
  </si>
  <si>
    <t>UniSuper</t>
  </si>
  <si>
    <t>Email Paste</t>
  </si>
  <si>
    <t>Stocks</t>
  </si>
  <si>
    <t/>
  </si>
  <si>
    <t>TOTAL</t>
  </si>
  <si>
    <t>New Zealand</t>
  </si>
  <si>
    <t>Wellington</t>
  </si>
  <si>
    <t>N/A</t>
  </si>
  <si>
    <t>Misc. Private Investors</t>
  </si>
  <si>
    <t>Private Clients of Sharesies Nominee Limited</t>
  </si>
  <si>
    <t>- (-)</t>
  </si>
  <si>
    <t>G4344010</t>
  </si>
  <si>
    <t>Australia</t>
  </si>
  <si>
    <t>Melbourne</t>
  </si>
  <si>
    <t>MyNorth Investor Directed Portfolio Service</t>
  </si>
  <si>
    <t>G4608337</t>
  </si>
  <si>
    <t>Cbus Self Managed</t>
  </si>
  <si>
    <t>G3978871</t>
  </si>
  <si>
    <t>Dunedin</t>
  </si>
  <si>
    <t>Private Clients of Forsyth Barr</t>
  </si>
  <si>
    <t>G3885573</t>
  </si>
  <si>
    <t>Unknown</t>
  </si>
  <si>
    <t>Retail Investors - AU</t>
  </si>
  <si>
    <t>G3760033</t>
  </si>
  <si>
    <t>Brisbane</t>
  </si>
  <si>
    <t>Australian Retirement Trust Self Invest</t>
  </si>
  <si>
    <t>G3966221</t>
  </si>
  <si>
    <t>Sydney</t>
  </si>
  <si>
    <t>Private Clients of Telstra Super</t>
  </si>
  <si>
    <t>G3959558</t>
  </si>
  <si>
    <t>United States</t>
  </si>
  <si>
    <t>Jersey City</t>
  </si>
  <si>
    <t>Private Clients of Pershing Securities LLC</t>
  </si>
  <si>
    <t>G2738561</t>
  </si>
  <si>
    <t>Retail Investors - NZ</t>
  </si>
  <si>
    <t>G0452168</t>
  </si>
  <si>
    <t>Private Clients of the Choice Plus Investment Platform</t>
  </si>
  <si>
    <t>G4557452</t>
  </si>
  <si>
    <t>Private Clients of Investment Administration Services Pty Limited</t>
  </si>
  <si>
    <t>G4229375</t>
  </si>
  <si>
    <t>Private Clients of IOOF Investment Services Ltd.</t>
  </si>
  <si>
    <t>G4034584</t>
  </si>
  <si>
    <t>Private Clients of Interactive Brokers</t>
  </si>
  <si>
    <t>G4413767</t>
  </si>
  <si>
    <t>Private Clients of Hub24</t>
  </si>
  <si>
    <t>G2815591</t>
  </si>
  <si>
    <t>Chicago</t>
  </si>
  <si>
    <t>Broker</t>
  </si>
  <si>
    <t>ABN AMRO Clearing Chicago LLC</t>
  </si>
  <si>
    <t>G1093972</t>
  </si>
  <si>
    <t>Individual Investor</t>
  </si>
  <si>
    <t>Suk Hwan Ko</t>
  </si>
  <si>
    <t>G4673996</t>
  </si>
  <si>
    <t>Hong Kong</t>
  </si>
  <si>
    <t>XY Capital Limited</t>
  </si>
  <si>
    <t>G3983605</t>
  </si>
  <si>
    <t>Sydney South</t>
  </si>
  <si>
    <t>High</t>
  </si>
  <si>
    <t>Passive</t>
  </si>
  <si>
    <t>Custodian</t>
  </si>
  <si>
    <t>Mainstream Fund Services Pty. Ltd.</t>
  </si>
  <si>
    <t>FNDBPP001</t>
  </si>
  <si>
    <t>New York</t>
  </si>
  <si>
    <t>Low</t>
  </si>
  <si>
    <t>Hedge Fund</t>
  </si>
  <si>
    <t>Active</t>
  </si>
  <si>
    <t>Investment Advisor/Hedge Fund</t>
  </si>
  <si>
    <t>Neutral</t>
  </si>
  <si>
    <t>Mousse Partners, Ltd.</t>
  </si>
  <si>
    <t>MSSPRT003</t>
  </si>
  <si>
    <t>Corporation</t>
  </si>
  <si>
    <t>Tmacdon Pty. Ltd.</t>
  </si>
  <si>
    <t>G4673948</t>
  </si>
  <si>
    <t>United Kingdom</t>
  </si>
  <si>
    <t>London</t>
  </si>
  <si>
    <t>Investment Advisor</t>
  </si>
  <si>
    <t>Capricorn Fund Managers Ltd</t>
  </si>
  <si>
    <t>CPRCRN00S</t>
  </si>
  <si>
    <t>Germany</t>
  </si>
  <si>
    <t>Stuttgart</t>
  </si>
  <si>
    <t>Baden-Württembergischen Investmentgesellschaft mbH</t>
  </si>
  <si>
    <t>G0550685</t>
  </si>
  <si>
    <t>Paragon Funds Management Ltd</t>
  </si>
  <si>
    <t>PRGNFN007</t>
  </si>
  <si>
    <t>Deep Value</t>
  </si>
  <si>
    <t>Seller</t>
  </si>
  <si>
    <t>Antares Capital Partners Limited</t>
  </si>
  <si>
    <t>PRTFLP002</t>
  </si>
  <si>
    <t>Jefferies &amp; Company, Inc.</t>
  </si>
  <si>
    <t>G0404823</t>
  </si>
  <si>
    <t>Sharesies Nominee Limited</t>
  </si>
  <si>
    <t>G4318556</t>
  </si>
  <si>
    <t>Miami</t>
  </si>
  <si>
    <t>Buyer</t>
  </si>
  <si>
    <t>Citadel Advisors LLC</t>
  </si>
  <si>
    <t>TFTSCR001</t>
  </si>
  <si>
    <t>BNP Paribas Nominees Pty Limited</t>
  </si>
  <si>
    <t>G0021190</t>
  </si>
  <si>
    <t>Citigroup Global Markets Inc</t>
  </si>
  <si>
    <t>G1007724</t>
  </si>
  <si>
    <t>Jason Found</t>
  </si>
  <si>
    <t>G4666470</t>
  </si>
  <si>
    <t>Kevin &amp; Catherine Cairns</t>
  </si>
  <si>
    <t>G4324986</t>
  </si>
  <si>
    <t>Eq Advisors Trust</t>
  </si>
  <si>
    <t>G0382178</t>
  </si>
  <si>
    <t>Adelaide</t>
  </si>
  <si>
    <t>Dorica Nominees Pty Ltd</t>
  </si>
  <si>
    <t>G0058004</t>
  </si>
  <si>
    <t>Bmo Capital Markets Ltd.</t>
  </si>
  <si>
    <t>BMCPTL009</t>
  </si>
  <si>
    <t>Research Firm</t>
  </si>
  <si>
    <t>Morgans Financial Limited</t>
  </si>
  <si>
    <t>ABNMRM008</t>
  </si>
  <si>
    <t>Mako Trading Australia Pty Ltd</t>
  </si>
  <si>
    <t>G4680123</t>
  </si>
  <si>
    <t>James W Vicars</t>
  </si>
  <si>
    <t>G0516006</t>
  </si>
  <si>
    <t>Linear Asset Management Ltd.</t>
  </si>
  <si>
    <t>LNRSST002</t>
  </si>
  <si>
    <t>Marex Prime Services Ltd.</t>
  </si>
  <si>
    <t>CWNNTR002</t>
  </si>
  <si>
    <t>FNZ Custodians Ltd</t>
  </si>
  <si>
    <t>G0052581</t>
  </si>
  <si>
    <t>Grasp Capital Pty Ltd</t>
  </si>
  <si>
    <t>G4680103</t>
  </si>
  <si>
    <t>Med</t>
  </si>
  <si>
    <t>Broker-Dealer</t>
  </si>
  <si>
    <t>J.P. Morgan Securities plc</t>
  </si>
  <si>
    <t>JPMRGN101</t>
  </si>
  <si>
    <t>Kuttabul Capital Management Pty Ltd</t>
  </si>
  <si>
    <t>KTTBLC001</t>
  </si>
  <si>
    <t>Government Agency</t>
  </si>
  <si>
    <t>Public Trust</t>
  </si>
  <si>
    <t>PBLCTR005</t>
  </si>
  <si>
    <t>Jane Street Capital, L.L.C.</t>
  </si>
  <si>
    <t>JNSTRT002</t>
  </si>
  <si>
    <t>Top Seller</t>
  </si>
  <si>
    <t>Citigroup Global Markets (Transition Manager)</t>
  </si>
  <si>
    <t>G1096403</t>
  </si>
  <si>
    <t>IOOF Investment Management Ltd.</t>
  </si>
  <si>
    <t>IFNVST002</t>
  </si>
  <si>
    <t>Martin, Lucy &amp; Thomas Ralston</t>
  </si>
  <si>
    <t>G4687014</t>
  </si>
  <si>
    <t>G E Hubay Pty. Ltd.</t>
  </si>
  <si>
    <t>G4687011</t>
  </si>
  <si>
    <t>Hubay Super Fund Pty Ltd</t>
  </si>
  <si>
    <t>G4431878</t>
  </si>
  <si>
    <t>RMA Investments Australia Pty Ltd</t>
  </si>
  <si>
    <t>G4482953</t>
  </si>
  <si>
    <t>Old Mission Capital LLC</t>
  </si>
  <si>
    <t>OLDMSS002</t>
  </si>
  <si>
    <t>Bardex Holdings Pty Limited</t>
  </si>
  <si>
    <t>G4338923</t>
  </si>
  <si>
    <t>RHI Holdings Pty Ltd</t>
  </si>
  <si>
    <t>G4338814</t>
  </si>
  <si>
    <t>George Town</t>
  </si>
  <si>
    <t>Proprietary Trading Firm</t>
  </si>
  <si>
    <t>Parhelion Limited</t>
  </si>
  <si>
    <t>G3936787</t>
  </si>
  <si>
    <t>Macquarie Securities (Australia) Limited</t>
  </si>
  <si>
    <t>MCQRQT002</t>
  </si>
  <si>
    <t>GARP</t>
  </si>
  <si>
    <t>Eley Griffiths Group Pty. Ltd.</t>
  </si>
  <si>
    <t>ELYGRF001</t>
  </si>
  <si>
    <t>Philadelphia</t>
  </si>
  <si>
    <t>Income Value</t>
  </si>
  <si>
    <t>Endowment Fund</t>
  </si>
  <si>
    <t>University of Pennsylvania Trustees</t>
  </si>
  <si>
    <t>UNVRST006</t>
  </si>
  <si>
    <t>Cantor Fitzgerald Europe</t>
  </si>
  <si>
    <t>CNTRFT001</t>
  </si>
  <si>
    <t>Gary &amp; Leigh Poole</t>
  </si>
  <si>
    <t>G3964784</t>
  </si>
  <si>
    <t>State Street Global Markets</t>
  </si>
  <si>
    <t>G4162261</t>
  </si>
  <si>
    <t>Welington</t>
  </si>
  <si>
    <t>Jarden Scrip Limited</t>
  </si>
  <si>
    <t>G4323155</t>
  </si>
  <si>
    <t>Stacey Carter</t>
  </si>
  <si>
    <t>G4667758</t>
  </si>
  <si>
    <t>Callan Demellweek</t>
  </si>
  <si>
    <t>G4666468</t>
  </si>
  <si>
    <t>Peter Dews</t>
  </si>
  <si>
    <t>G4666476</t>
  </si>
  <si>
    <t>Keith &amp; Julie Burgess</t>
  </si>
  <si>
    <t>G4666475</t>
  </si>
  <si>
    <t>Nathan Coffey</t>
  </si>
  <si>
    <t>G4666474</t>
  </si>
  <si>
    <t>Benjamin Lam</t>
  </si>
  <si>
    <t>G4667759</t>
  </si>
  <si>
    <t>Kr Prasad Smsf Pty. Ltd.</t>
  </si>
  <si>
    <t>G4666466</t>
  </si>
  <si>
    <t>Russel &amp; Jennifer Levert</t>
  </si>
  <si>
    <t>G4666477</t>
  </si>
  <si>
    <t>Darwin</t>
  </si>
  <si>
    <t>Stefan Kuzio</t>
  </si>
  <si>
    <t>G4666473</t>
  </si>
  <si>
    <t>N &amp; L Mckechnie Holdings Pty. Ltd.</t>
  </si>
  <si>
    <t>G4673990</t>
  </si>
  <si>
    <t>Manoora Investments Pty. Ltd.</t>
  </si>
  <si>
    <t>G4666467</t>
  </si>
  <si>
    <t>David Pacello</t>
  </si>
  <si>
    <t>G4665737</t>
  </si>
  <si>
    <t>Karla White &amp; Thomas Shaw</t>
  </si>
  <si>
    <t>G4666471</t>
  </si>
  <si>
    <t>James Gordon</t>
  </si>
  <si>
    <t>G1407403</t>
  </si>
  <si>
    <t>Bodycott Holdings Pty Ltd</t>
  </si>
  <si>
    <t>G4673993</t>
  </si>
  <si>
    <t>Lee Anthony</t>
  </si>
  <si>
    <t>G4674230</t>
  </si>
  <si>
    <t>Stephen Byrnes</t>
  </si>
  <si>
    <t>G4665739</t>
  </si>
  <si>
    <t>Charles Odell</t>
  </si>
  <si>
    <t>G4674236</t>
  </si>
  <si>
    <t>Elizabeth Harrington</t>
  </si>
  <si>
    <t>G4674229</t>
  </si>
  <si>
    <t>Perth</t>
  </si>
  <si>
    <t>Ian Peek</t>
  </si>
  <si>
    <t>G0985720</t>
  </si>
  <si>
    <t>Jeremy Byrnes</t>
  </si>
  <si>
    <t>G4666472</t>
  </si>
  <si>
    <t>Palmcorp Holdings Pty Ltd</t>
  </si>
  <si>
    <t>G4665722</t>
  </si>
  <si>
    <t>Sandra Bates</t>
  </si>
  <si>
    <t>G1022967</t>
  </si>
  <si>
    <t>Sage Capital Pty Ltd.</t>
  </si>
  <si>
    <t>SGCPTL00H</t>
  </si>
  <si>
    <t>Angellos Korsanos</t>
  </si>
  <si>
    <t>G4673991</t>
  </si>
  <si>
    <t>Core Value</t>
  </si>
  <si>
    <t>AllianceBernstein Australia Ltd. (Value)</t>
  </si>
  <si>
    <t>ALLNCB0SU</t>
  </si>
  <si>
    <t>Orbach Superannuation Pty Ltd</t>
  </si>
  <si>
    <t>G4665720</t>
  </si>
  <si>
    <t>The Red Farm Pty. Ltd.</t>
  </si>
  <si>
    <t>G4687015</t>
  </si>
  <si>
    <t>Wang Brothers Pty Ltd</t>
  </si>
  <si>
    <t>G3949264</t>
  </si>
  <si>
    <t>Gbpt Pty. Ltd.</t>
  </si>
  <si>
    <t>G4687012</t>
  </si>
  <si>
    <t>Antony &amp; Robyn Cope</t>
  </si>
  <si>
    <t>G4665721</t>
  </si>
  <si>
    <t>L M Super Fund Pty. Ltd.</t>
  </si>
  <si>
    <t>G4687013</t>
  </si>
  <si>
    <t>Robert Wruck</t>
  </si>
  <si>
    <t>G4371013</t>
  </si>
  <si>
    <t>Phillip &amp; Alison Cooper</t>
  </si>
  <si>
    <t>G4028260</t>
  </si>
  <si>
    <t>Antan Investments Pty. Ltd.</t>
  </si>
  <si>
    <t>ANTNNV003</t>
  </si>
  <si>
    <t>Morrison Farming Pty Ltd</t>
  </si>
  <si>
    <t>G4449185</t>
  </si>
  <si>
    <t>Singapore</t>
  </si>
  <si>
    <t>Top Buyer</t>
  </si>
  <si>
    <t>Millennium Capital Management (Singapore) Pte. Ltd.</t>
  </si>
  <si>
    <t>MLLNNM04O</t>
  </si>
  <si>
    <t>Surrey Asset Management Pty Ltd</t>
  </si>
  <si>
    <t>SRRYSS001</t>
  </si>
  <si>
    <t>Peter &amp; Ida Scarf</t>
  </si>
  <si>
    <t>G3908180</t>
  </si>
  <si>
    <t>Waitara Investments Pty Ltd</t>
  </si>
  <si>
    <t>G3788491</t>
  </si>
  <si>
    <t>Crimmins Medical Pty Ltd</t>
  </si>
  <si>
    <t>G4198666</t>
  </si>
  <si>
    <t>Southlaw Nominees Pty Ltd</t>
  </si>
  <si>
    <t>G4070706</t>
  </si>
  <si>
    <t>OCBC Securities Private Ltd - Custodian</t>
  </si>
  <si>
    <t>G0521191</t>
  </si>
  <si>
    <t>Larsen Industries Pty Ltd</t>
  </si>
  <si>
    <t>G4323111</t>
  </si>
  <si>
    <t>New South Wales Leagues Club Limited</t>
  </si>
  <si>
    <t>G4405798</t>
  </si>
  <si>
    <t>Myers Family Holdings Pty. Ltd.</t>
  </si>
  <si>
    <t>MYRSFM001</t>
  </si>
  <si>
    <t>Cherryburn Pty. Ltd.</t>
  </si>
  <si>
    <t>CHRRYB003</t>
  </si>
  <si>
    <t>Elscliff Pty Ltd</t>
  </si>
  <si>
    <t>G4269692</t>
  </si>
  <si>
    <t>AASR Pty. Ltd.</t>
  </si>
  <si>
    <t>ASRPTY001</t>
  </si>
  <si>
    <t>Bella Brodie Pty. Ltd.</t>
  </si>
  <si>
    <t>G4732482</t>
  </si>
  <si>
    <t>Tigershark Investments Pty. Ltd.</t>
  </si>
  <si>
    <t>TGRSHR003</t>
  </si>
  <si>
    <t>Ada Kornhauser</t>
  </si>
  <si>
    <t>G4338925</t>
  </si>
  <si>
    <t>Bell Potter Securities Limited</t>
  </si>
  <si>
    <t>BLLSCR001</t>
  </si>
  <si>
    <t>Ponce Pty Ltd</t>
  </si>
  <si>
    <t>G4362261</t>
  </si>
  <si>
    <t>Bentleigh Nominees Pty Ltd</t>
  </si>
  <si>
    <t>G4338915</t>
  </si>
  <si>
    <t>Blue Lake Partners Pty. Ltd.</t>
  </si>
  <si>
    <t>BLLKPR002</t>
  </si>
  <si>
    <t>Central (Hong Kong)</t>
  </si>
  <si>
    <t>Polymer Capital Management (HK) Ltd</t>
  </si>
  <si>
    <t>PLYMRC001</t>
  </si>
  <si>
    <t>Ophir Asset Management Pty Ltd</t>
  </si>
  <si>
    <t>OPHRSS001</t>
  </si>
  <si>
    <t>Citigroup Global Markets Ltd.</t>
  </si>
  <si>
    <t>CTGRPG004</t>
  </si>
  <si>
    <t>Wheelhouse Investment Partners Pty Ltd</t>
  </si>
  <si>
    <t>- (150)</t>
  </si>
  <si>
    <t>WHLHSN001</t>
  </si>
  <si>
    <t>Churchill Asset Management Pty Ltd</t>
  </si>
  <si>
    <t>- (146)</t>
  </si>
  <si>
    <t>CHRCHL00Y</t>
  </si>
  <si>
    <t>T. Rowe Price International Ltd. (Australia)</t>
  </si>
  <si>
    <t>- (129)</t>
  </si>
  <si>
    <t>TRWPRC0JD</t>
  </si>
  <si>
    <t>Lewis Bell</t>
  </si>
  <si>
    <t>- (127)</t>
  </si>
  <si>
    <t>G4411456</t>
  </si>
  <si>
    <t>Alamo Holdings Ltd.</t>
  </si>
  <si>
    <t>- (126)</t>
  </si>
  <si>
    <t>G4748756</t>
  </si>
  <si>
    <t>Powville Pty Ltd</t>
  </si>
  <si>
    <t>- (125)</t>
  </si>
  <si>
    <t>G0925087</t>
  </si>
  <si>
    <t>- (122)</t>
  </si>
  <si>
    <t>DLTNNC001</t>
  </si>
  <si>
    <t>- (116)</t>
  </si>
  <si>
    <t>ARNTTC002</t>
  </si>
  <si>
    <t>CommSec (Retail)</t>
  </si>
  <si>
    <t>- (106)</t>
  </si>
  <si>
    <t>G0443317</t>
  </si>
  <si>
    <t>Timewalk Pty. Ltd.</t>
  </si>
  <si>
    <t>- (103)</t>
  </si>
  <si>
    <t>TMWLKP001</t>
  </si>
  <si>
    <t>Morgan Stanley Australia Ltd.</t>
  </si>
  <si>
    <t>- (93)</t>
  </si>
  <si>
    <t>MRGNST207</t>
  </si>
  <si>
    <t>Canada</t>
  </si>
  <si>
    <t>Montreal</t>
  </si>
  <si>
    <t>NBCN Inc.</t>
  </si>
  <si>
    <t>- (80)</t>
  </si>
  <si>
    <t>G0065641</t>
  </si>
  <si>
    <t>Maso Capital Partners Limited</t>
  </si>
  <si>
    <t>- (77)</t>
  </si>
  <si>
    <t>MSCPTL007</t>
  </si>
  <si>
    <t>Opal Capital Management Pty Ltd.</t>
  </si>
  <si>
    <t>- (73)</t>
  </si>
  <si>
    <t>OPLCPT001</t>
  </si>
  <si>
    <t>Montgomery Investment Management Pty Ltd</t>
  </si>
  <si>
    <t>- (62)</t>
  </si>
  <si>
    <t>MNTGMR050</t>
  </si>
  <si>
    <t>Adminis Custodial Nominees Limited</t>
  </si>
  <si>
    <t>- (54)</t>
  </si>
  <si>
    <t>G4001856</t>
  </si>
  <si>
    <t>United Arab Emirates</t>
  </si>
  <si>
    <t>Abu Dhabi</t>
  </si>
  <si>
    <t>Sovereign Wealth Fund</t>
  </si>
  <si>
    <t>Abu Dhabi Investment Authority</t>
  </si>
  <si>
    <t>- (53)</t>
  </si>
  <si>
    <t>ABDHBN005</t>
  </si>
  <si>
    <t>Tribeca Investment Partners Pty Ltd.</t>
  </si>
  <si>
    <t>- (35)</t>
  </si>
  <si>
    <t>JNKNSN001</t>
  </si>
  <si>
    <t>Growth</t>
  </si>
  <si>
    <t>Pension Fund</t>
  </si>
  <si>
    <t>Aware Super</t>
  </si>
  <si>
    <t>- (27)</t>
  </si>
  <si>
    <t>FRSTST02G</t>
  </si>
  <si>
    <t>Alphinity Investment Management Pty Ltd.</t>
  </si>
  <si>
    <t>- (17)</t>
  </si>
  <si>
    <t>ALPHNT008</t>
  </si>
  <si>
    <t>UBS Securities Australia Ltd.</t>
  </si>
  <si>
    <t>156 (155)</t>
  </si>
  <si>
    <t>UBSWRB011</t>
  </si>
  <si>
    <t>National Financial Services</t>
  </si>
  <si>
    <t>155 (-)</t>
  </si>
  <si>
    <t>G0422026</t>
  </si>
  <si>
    <t>BofA Global Research (US)</t>
  </si>
  <si>
    <t>154 (152)</t>
  </si>
  <si>
    <t>MNTGMR001</t>
  </si>
  <si>
    <t>SCB Wealth Management (SG)</t>
  </si>
  <si>
    <t>153 (154)</t>
  </si>
  <si>
    <t>G0448136</t>
  </si>
  <si>
    <t>Queensland Value Pty Ltd</t>
  </si>
  <si>
    <t>152 (151)</t>
  </si>
  <si>
    <t>QNSLND00Y</t>
  </si>
  <si>
    <t>Seattle</t>
  </si>
  <si>
    <t>Aggres. Gr.</t>
  </si>
  <si>
    <t>Parametric Portfolio Associates LLC</t>
  </si>
  <si>
    <t>151 (97)</t>
  </si>
  <si>
    <t>PCFCNV001</t>
  </si>
  <si>
    <t>Saxo Capital Markets (Australia) Pty Ltd.</t>
  </si>
  <si>
    <t>150 (153)</t>
  </si>
  <si>
    <t>CMMDTY00A</t>
  </si>
  <si>
    <t>BNP Paribas Financial Markets</t>
  </si>
  <si>
    <t>149 (89)</t>
  </si>
  <si>
    <t>G4717041</t>
  </si>
  <si>
    <t>IG Markets Limited</t>
  </si>
  <si>
    <t>148 (149)</t>
  </si>
  <si>
    <t>IGMRKT002</t>
  </si>
  <si>
    <t>Frankfurt</t>
  </si>
  <si>
    <t>DWS International GmbH</t>
  </si>
  <si>
    <t>147 (148)</t>
  </si>
  <si>
    <t>DTSCHS00S</t>
  </si>
  <si>
    <t>ABN AMRO Clearing Bank N.V.</t>
  </si>
  <si>
    <t>146 (124)</t>
  </si>
  <si>
    <t>G3910695</t>
  </si>
  <si>
    <t>Onevue Wealth Services Limited</t>
  </si>
  <si>
    <t>145 (147)</t>
  </si>
  <si>
    <t>G4233682</t>
  </si>
  <si>
    <t>Index</t>
  </si>
  <si>
    <t>Global X Management (AUS) Limited</t>
  </si>
  <si>
    <t>144 (145)</t>
  </si>
  <si>
    <t>ANZTFS001</t>
  </si>
  <si>
    <t>Christopher Ellis</t>
  </si>
  <si>
    <t>143 (137)</t>
  </si>
  <si>
    <t>G0649058</t>
  </si>
  <si>
    <t>San Francisco</t>
  </si>
  <si>
    <t>BlackRock Institutional Trust Company, N.A.</t>
  </si>
  <si>
    <t>142 (144)</t>
  </si>
  <si>
    <t>WLLSFR005</t>
  </si>
  <si>
    <t>Ventura Investment Management Ltd</t>
  </si>
  <si>
    <t>141 (143)</t>
  </si>
  <si>
    <t>VNTRNV00B</t>
  </si>
  <si>
    <t>DASH Shared Services Pty Ltd</t>
  </si>
  <si>
    <t>140 (-)</t>
  </si>
  <si>
    <t>G4657140</t>
  </si>
  <si>
    <t>Nine Mile Financial Pty Ltd</t>
  </si>
  <si>
    <t>139 (141)</t>
  </si>
  <si>
    <t>G4024454</t>
  </si>
  <si>
    <t>DWS Investment GmbH</t>
  </si>
  <si>
    <t>138 (142)</t>
  </si>
  <si>
    <t>DWSDTS002</t>
  </si>
  <si>
    <t>DRW Singapore Pte Ltd</t>
  </si>
  <si>
    <t>137 (-)</t>
  </si>
  <si>
    <t>G3999243</t>
  </si>
  <si>
    <t>Citibank Private Banking Group</t>
  </si>
  <si>
    <t>136 (140)</t>
  </si>
  <si>
    <t>G0361678</t>
  </si>
  <si>
    <t>Medallion Funds Management Pty Limited</t>
  </si>
  <si>
    <t>135 (139)</t>
  </si>
  <si>
    <t>MDLLNF006</t>
  </si>
  <si>
    <t>Merus Capital Partners, LLC</t>
  </si>
  <si>
    <t>134 (-)</t>
  </si>
  <si>
    <t>MRSCPT004</t>
  </si>
  <si>
    <t>APSEC Funds Management Pty Ltd</t>
  </si>
  <si>
    <t>133 (136)</t>
  </si>
  <si>
    <t>APSCFN001</t>
  </si>
  <si>
    <t>Citibank - Custodian</t>
  </si>
  <si>
    <t>132 (135)</t>
  </si>
  <si>
    <t>G0661926</t>
  </si>
  <si>
    <t>HFTT Pty. Ltd.</t>
  </si>
  <si>
    <t>131 (130)</t>
  </si>
  <si>
    <t>HFTTPT001</t>
  </si>
  <si>
    <t>Flinders Investment Partners Pty Ltd.</t>
  </si>
  <si>
    <t>130 (94)</t>
  </si>
  <si>
    <t>FLNDRS008</t>
  </si>
  <si>
    <t>Wexford Rise Pty. Ltd.</t>
  </si>
  <si>
    <t>129 (133)</t>
  </si>
  <si>
    <t>WXFRDR001</t>
  </si>
  <si>
    <t>Merriwee Superannuation Fund</t>
  </si>
  <si>
    <t>128 (132)</t>
  </si>
  <si>
    <t>G4318852</t>
  </si>
  <si>
    <t>Malaysia</t>
  </si>
  <si>
    <t>Kuala Lumpur</t>
  </si>
  <si>
    <t>AHAM Asset Management Berhad</t>
  </si>
  <si>
    <t>127 (100)</t>
  </si>
  <si>
    <t>HWNGDB001</t>
  </si>
  <si>
    <t>AL Capital Holding Pty Ltd</t>
  </si>
  <si>
    <t>126 (138)</t>
  </si>
  <si>
    <t>ALCPTL005</t>
  </si>
  <si>
    <t>Fiducian Investment Management Services Limited</t>
  </si>
  <si>
    <t>125 (128)</t>
  </si>
  <si>
    <t>FDCNNV001</t>
  </si>
  <si>
    <t>Graham &amp; Dianne Otter</t>
  </si>
  <si>
    <t>124 (120)</t>
  </si>
  <si>
    <t>G0594097</t>
  </si>
  <si>
    <t>Kenneth Brinsden</t>
  </si>
  <si>
    <t>123 (-)</t>
  </si>
  <si>
    <t>G1739209</t>
  </si>
  <si>
    <t>Cranae CB Pty Ltd</t>
  </si>
  <si>
    <t>122 (-)</t>
  </si>
  <si>
    <t>G4315950</t>
  </si>
  <si>
    <t>Robert &amp; June Harding</t>
  </si>
  <si>
    <t>121 (121)</t>
  </si>
  <si>
    <t>G0711425</t>
  </si>
  <si>
    <t>Core Growth</t>
  </si>
  <si>
    <t>AllianceBernstein L.P.</t>
  </si>
  <si>
    <t>120 (118)</t>
  </si>
  <si>
    <t>ALLNCC001</t>
  </si>
  <si>
    <t>Gianoli Wilson Pty Ltd</t>
  </si>
  <si>
    <t>119 (-)</t>
  </si>
  <si>
    <t>G4546119</t>
  </si>
  <si>
    <t>France</t>
  </si>
  <si>
    <t>Paris</t>
  </si>
  <si>
    <t>Société Générale Securities Services S.A.</t>
  </si>
  <si>
    <t>118 (117)</t>
  </si>
  <si>
    <t>SCTGNR01X</t>
  </si>
  <si>
    <t>Glynn Meth</t>
  </si>
  <si>
    <t>117 (115)</t>
  </si>
  <si>
    <t>G4312441</t>
  </si>
  <si>
    <t>116 (114)</t>
  </si>
  <si>
    <t>JBWRSS002</t>
  </si>
  <si>
    <t>WaveStone Capital Pty Ltd.</t>
  </si>
  <si>
    <t>115 (84)</t>
  </si>
  <si>
    <t>WTRSTN006</t>
  </si>
  <si>
    <t>PJ JE JE &amp; JW Pty Ltd</t>
  </si>
  <si>
    <t>114 (112)</t>
  </si>
  <si>
    <t>G4389523</t>
  </si>
  <si>
    <t>Blue Sky Design (WA) Pty. Ltd.</t>
  </si>
  <si>
    <t>113 (111)</t>
  </si>
  <si>
    <t>BLSKYD002</t>
  </si>
  <si>
    <t>National Australia Bank Limited</t>
  </si>
  <si>
    <t>112 (-)</t>
  </si>
  <si>
    <t>NTNLST006</t>
  </si>
  <si>
    <t>Allianz Global Investors Asia Pacific Limited</t>
  </si>
  <si>
    <t>111 (119)</t>
  </si>
  <si>
    <t>THRNTN001</t>
  </si>
  <si>
    <t>LGT Crestone Wealth Management Limited</t>
  </si>
  <si>
    <t>110 (123)</t>
  </si>
  <si>
    <t>CRSTNW001</t>
  </si>
  <si>
    <t>Nomura Asset Management Singapore Ltd.</t>
  </si>
  <si>
    <t>109 (110)</t>
  </si>
  <si>
    <t>NMRCPT003</t>
  </si>
  <si>
    <t>HSBC Securities (Hong Kong) Ltd.</t>
  </si>
  <si>
    <t>108 (109)</t>
  </si>
  <si>
    <t>HSBCSC003</t>
  </si>
  <si>
    <t>Ben Stewart Investments Pty. Ltd.</t>
  </si>
  <si>
    <t>107 (108)</t>
  </si>
  <si>
    <t>G4748755</t>
  </si>
  <si>
    <t>DFA Australia Ltd.</t>
  </si>
  <si>
    <t>106 (-)</t>
  </si>
  <si>
    <t>DMNSNL009</t>
  </si>
  <si>
    <t>Paul Leonard Ainsworth</t>
  </si>
  <si>
    <t>105 (105)</t>
  </si>
  <si>
    <t>G0683223</t>
  </si>
  <si>
    <t>William J Gerahty</t>
  </si>
  <si>
    <t>104 (-)</t>
  </si>
  <si>
    <t>G0968943</t>
  </si>
  <si>
    <t>Hayborough Investment Partners Pty Ltd</t>
  </si>
  <si>
    <t>103 (-)</t>
  </si>
  <si>
    <t>HYSNNV003</t>
  </si>
  <si>
    <t>Forker Superannuation Pty Ltd</t>
  </si>
  <si>
    <t>102 (99)</t>
  </si>
  <si>
    <t>G4035776</t>
  </si>
  <si>
    <t>Auckland</t>
  </si>
  <si>
    <t>Devon Funds Management Limited</t>
  </si>
  <si>
    <t>101 (57)</t>
  </si>
  <si>
    <t>DVNFND001</t>
  </si>
  <si>
    <t>Trustee Executors Limited</t>
  </si>
  <si>
    <t>100 (98)</t>
  </si>
  <si>
    <t>G3813800</t>
  </si>
  <si>
    <t>Kiribati Provident Fund</t>
  </si>
  <si>
    <t>99 (-)</t>
  </si>
  <si>
    <t>G4070615</t>
  </si>
  <si>
    <t>AustralianSuper - Member Direct</t>
  </si>
  <si>
    <t>98 (107)</t>
  </si>
  <si>
    <t>G3912092</t>
  </si>
  <si>
    <t>Sintra Capital Pty Ltd.</t>
  </si>
  <si>
    <t>97 (101)</t>
  </si>
  <si>
    <t>SNTRCP004</t>
  </si>
  <si>
    <t>Barrenjoey Capital Partners Pty Ltd</t>
  </si>
  <si>
    <t>96 (-)</t>
  </si>
  <si>
    <t>BRRNJY001</t>
  </si>
  <si>
    <t>Yield</t>
  </si>
  <si>
    <t>Plato Investment Management Limited</t>
  </si>
  <si>
    <t>95 (96)</t>
  </si>
  <si>
    <t>PLTNVS002</t>
  </si>
  <si>
    <t>Exponential Trading Pty Ltd</t>
  </si>
  <si>
    <t>94 (134)</t>
  </si>
  <si>
    <t>G4309443</t>
  </si>
  <si>
    <t>TD Securities</t>
  </si>
  <si>
    <t>93 (113)</t>
  </si>
  <si>
    <t>G3728033</t>
  </si>
  <si>
    <t>Switzerland</t>
  </si>
  <si>
    <t>Zurich</t>
  </si>
  <si>
    <t>BlackRock Asset Management Schweiz AG</t>
  </si>
  <si>
    <t>92 (102)</t>
  </si>
  <si>
    <t>BLCKRC0TD</t>
  </si>
  <si>
    <t>GTS Securities LLC</t>
  </si>
  <si>
    <t>91 (-)</t>
  </si>
  <si>
    <t>GTSSCR001</t>
  </si>
  <si>
    <t>White Funds Management Pty. Ltd.</t>
  </si>
  <si>
    <t>90 (91)</t>
  </si>
  <si>
    <t>WHTFND001</t>
  </si>
  <si>
    <t>Goldman Sachs &amp; Co (Private Clients)</t>
  </si>
  <si>
    <t>89 (131)</t>
  </si>
  <si>
    <t>G0080994</t>
  </si>
  <si>
    <t>Sword Excalibur Equities Pty Ltd</t>
  </si>
  <si>
    <t>88 (104)</t>
  </si>
  <si>
    <t>G4670004</t>
  </si>
  <si>
    <t>Macquarie Bank Ltd.</t>
  </si>
  <si>
    <t>87 (-)</t>
  </si>
  <si>
    <t>MCQRBN005</t>
  </si>
  <si>
    <t>VP Capital Pty. Ltd.</t>
  </si>
  <si>
    <t>86 (-)</t>
  </si>
  <si>
    <t>VPCPTL001</t>
  </si>
  <si>
    <t>Perennial Value Management Ltd.</t>
  </si>
  <si>
    <t>85 (81)</t>
  </si>
  <si>
    <t>PRNNLV001</t>
  </si>
  <si>
    <t>84 (-)</t>
  </si>
  <si>
    <t>ELLRST001</t>
  </si>
  <si>
    <t>UBS Securities (Transition Manager)</t>
  </si>
  <si>
    <t>83 (-)</t>
  </si>
  <si>
    <t>G3755750</t>
  </si>
  <si>
    <t>82 (74)</t>
  </si>
  <si>
    <t>BLCKWT00B</t>
  </si>
  <si>
    <t>JM Equities</t>
  </si>
  <si>
    <t>81 (87)</t>
  </si>
  <si>
    <t>JMQTS 001</t>
  </si>
  <si>
    <t>Christopher &amp; Georgina Grubb</t>
  </si>
  <si>
    <t>80 (88)</t>
  </si>
  <si>
    <t>G0374331</t>
  </si>
  <si>
    <t>Juddcorp Pty Ltd</t>
  </si>
  <si>
    <t>79 (86)</t>
  </si>
  <si>
    <t>G4673927</t>
  </si>
  <si>
    <t>Demeta Pty Ltd</t>
  </si>
  <si>
    <t>78 (85)</t>
  </si>
  <si>
    <t>G0012917</t>
  </si>
  <si>
    <t>Nigeria</t>
  </si>
  <si>
    <t>Investec Assets Management</t>
  </si>
  <si>
    <t>77 (83)</t>
  </si>
  <si>
    <t>INVSTC0AA</t>
  </si>
  <si>
    <t>David &amp; Gillian Ritchie</t>
  </si>
  <si>
    <t>76 (95)</t>
  </si>
  <si>
    <t>G0369705</t>
  </si>
  <si>
    <t>Jarden Securities Limited</t>
  </si>
  <si>
    <t>75 (90)</t>
  </si>
  <si>
    <t>CRDTSS16K</t>
  </si>
  <si>
    <t>Ninety One UK Limited</t>
  </si>
  <si>
    <t>74 (79)</t>
  </si>
  <si>
    <t>GNSSFL003</t>
  </si>
  <si>
    <t>Above The Index Asset Management Pty Ltd</t>
  </si>
  <si>
    <t>73 (82)</t>
  </si>
  <si>
    <t>ABVTHN001</t>
  </si>
  <si>
    <t>Katana Asset Management Ltd.</t>
  </si>
  <si>
    <t>72 (78)</t>
  </si>
  <si>
    <t>CLSSCC001</t>
  </si>
  <si>
    <t>JPMorgan Asset Management U.K. Limited</t>
  </si>
  <si>
    <t>71 (75)</t>
  </si>
  <si>
    <t>FLMNGN001</t>
  </si>
  <si>
    <t>Smartshares Limited</t>
  </si>
  <si>
    <t>70 (76)</t>
  </si>
  <si>
    <t>SMRTSH002</t>
  </si>
  <si>
    <t>Barclays Capital</t>
  </si>
  <si>
    <t>69 (38)</t>
  </si>
  <si>
    <t>BRCLYS005</t>
  </si>
  <si>
    <t>Mason Stevens Limited</t>
  </si>
  <si>
    <t>68 (72)</t>
  </si>
  <si>
    <t>MSNSTV001</t>
  </si>
  <si>
    <t>J.P. Morgan Securities Australia Ltd.</t>
  </si>
  <si>
    <t>67 (67)</t>
  </si>
  <si>
    <t>ORDMNN001</t>
  </si>
  <si>
    <t>Czech Republic</t>
  </si>
  <si>
    <t>Prague</t>
  </si>
  <si>
    <t xml:space="preserve">Bank and Trust </t>
  </si>
  <si>
    <t>Czech National Bank</t>
  </si>
  <si>
    <t>66 (71)</t>
  </si>
  <si>
    <t>CZCHNT001</t>
  </si>
  <si>
    <t>Macquarie Securities (Transition Manager)</t>
  </si>
  <si>
    <t>65 (-)</t>
  </si>
  <si>
    <t>G3395997</t>
  </si>
  <si>
    <t>Vertium Asset Management Pty. Ltd.</t>
  </si>
  <si>
    <t>64 (92)</t>
  </si>
  <si>
    <t>VRTMSS001</t>
  </si>
  <si>
    <t>VanEck Australia Pty Ltd.</t>
  </si>
  <si>
    <t>63 (68)</t>
  </si>
  <si>
    <t>MRKTVC01C</t>
  </si>
  <si>
    <t>Praemium Ltd.</t>
  </si>
  <si>
    <t>62 (70)</t>
  </si>
  <si>
    <t>PRMMLT003</t>
  </si>
  <si>
    <t>Insurance Company</t>
  </si>
  <si>
    <t>61 (66)</t>
  </si>
  <si>
    <t>ACCDNT004</t>
  </si>
  <si>
    <t>BT Portfolio Services, Ltd.</t>
  </si>
  <si>
    <t>60 (69)</t>
  </si>
  <si>
    <t>BTPRTF003</t>
  </si>
  <si>
    <t>Allianz Global Investors Singapore Ltd.</t>
  </si>
  <si>
    <t>59 (64)</t>
  </si>
  <si>
    <t>DRSDNR059</t>
  </si>
  <si>
    <t>Netwealth Investments Ltd.</t>
  </si>
  <si>
    <t>58 (63)</t>
  </si>
  <si>
    <t>NTWLTH001</t>
  </si>
  <si>
    <t>Pinpoint Asset Management Limited</t>
  </si>
  <si>
    <t>57 (52)</t>
  </si>
  <si>
    <t>PNPNTS001</t>
  </si>
  <si>
    <t>Telstra Super Pty. Ltd.</t>
  </si>
  <si>
    <t>56 (61)</t>
  </si>
  <si>
    <t>TLSTRS002</t>
  </si>
  <si>
    <t>Pengana Capital Group Limited</t>
  </si>
  <si>
    <t>55 (60)</t>
  </si>
  <si>
    <t>PNGNCP001</t>
  </si>
  <si>
    <t>Düsseldorf</t>
  </si>
  <si>
    <t>HSBC Trinkaus &amp; Burkhardt - Custodian</t>
  </si>
  <si>
    <t>54 (59)</t>
  </si>
  <si>
    <t>G0631295</t>
  </si>
  <si>
    <t>HSBC Bank Plc</t>
  </si>
  <si>
    <t>53 (56)</t>
  </si>
  <si>
    <t>JMSCPL001</t>
  </si>
  <si>
    <t>Cantor Fitzgerald &amp; Co.</t>
  </si>
  <si>
    <t>52 (55)</t>
  </si>
  <si>
    <t>CNTRFT002</t>
  </si>
  <si>
    <t>Clime Asset Management Pty Limited</t>
  </si>
  <si>
    <t>51 (50)</t>
  </si>
  <si>
    <t>LFTSCP001</t>
  </si>
  <si>
    <t>Acadian Asset Management (Australia) Ltd.</t>
  </si>
  <si>
    <t>50 (47)</t>
  </si>
  <si>
    <t>ACDNSS002</t>
  </si>
  <si>
    <t>49 (58)</t>
  </si>
  <si>
    <t>FRVWQT001</t>
  </si>
  <si>
    <t>BetaShares Capital Ltd.</t>
  </si>
  <si>
    <t>48 (49)</t>
  </si>
  <si>
    <t>BTSHRS003</t>
  </si>
  <si>
    <t>FIL Investment Management (Australia) Limited</t>
  </si>
  <si>
    <t>47 (48)</t>
  </si>
  <si>
    <t>FDLTYN023</t>
  </si>
  <si>
    <t>INVESCO Australia Ltd.</t>
  </si>
  <si>
    <t>46 (45)</t>
  </si>
  <si>
    <t>CNTYNV001</t>
  </si>
  <si>
    <t>Macquarie Investment Management Global Ltd.</t>
  </si>
  <si>
    <t>45 (43)</t>
  </si>
  <si>
    <t>MCQRNV005</t>
  </si>
  <si>
    <t>Bennelong Long Short Equity Management Pty Ltd</t>
  </si>
  <si>
    <t>44 (41)</t>
  </si>
  <si>
    <t>BNNLNG00E</t>
  </si>
  <si>
    <t>43 (33)</t>
  </si>
  <si>
    <t>ASBLDX001</t>
  </si>
  <si>
    <t>Wilson Asset Management (International) Pty. Ltd.</t>
  </si>
  <si>
    <t>42 (21)</t>
  </si>
  <si>
    <t>WLSNSS001</t>
  </si>
  <si>
    <t>1851 Capital Pty Ltd</t>
  </si>
  <si>
    <t>41 (39)</t>
  </si>
  <si>
    <t>CPTLPT00C</t>
  </si>
  <si>
    <t>Russell Investment Management Ltd</t>
  </si>
  <si>
    <t>40 (44)</t>
  </si>
  <si>
    <t>FRNKRS039</t>
  </si>
  <si>
    <t>RQI Investors</t>
  </si>
  <si>
    <t>39 (40)</t>
  </si>
  <si>
    <t>RLNDXN002</t>
  </si>
  <si>
    <t>Morgan Stanley &amp; Co. International Plc</t>
  </si>
  <si>
    <t>38 (65)</t>
  </si>
  <si>
    <t>MRGNST151</t>
  </si>
  <si>
    <t>UBS Asset Management (Australia) Ltd.</t>
  </si>
  <si>
    <t>37 (51)</t>
  </si>
  <si>
    <t>UBSSST006</t>
  </si>
  <si>
    <t>Milford Asset Management Ltd.</t>
  </si>
  <si>
    <t>36 (36)</t>
  </si>
  <si>
    <t>MLFRDS001</t>
  </si>
  <si>
    <t>Regal Funds Management Pty. Ltd.</t>
  </si>
  <si>
    <t>35 (42)</t>
  </si>
  <si>
    <t>RGLFND002</t>
  </si>
  <si>
    <t>ICE Investors Pty., Ltd.</t>
  </si>
  <si>
    <t>34 (31)</t>
  </si>
  <si>
    <t>ICNVST009</t>
  </si>
  <si>
    <t>First Sentier Investors</t>
  </si>
  <si>
    <t>33 (37)</t>
  </si>
  <si>
    <t>CLNLFR001</t>
  </si>
  <si>
    <t>Veritas Asset Management LLP</t>
  </si>
  <si>
    <t>32 (19)</t>
  </si>
  <si>
    <t>VRTSSS001</t>
  </si>
  <si>
    <t>Maple-Brown Abbott Ltd.</t>
  </si>
  <si>
    <t>31 (34)</t>
  </si>
  <si>
    <t>MPLBRW001</t>
  </si>
  <si>
    <t>QVG Capital Pty Ltd.</t>
  </si>
  <si>
    <t>30 (32)</t>
  </si>
  <si>
    <t>QVGCPT001</t>
  </si>
  <si>
    <t>Celeste Funds Management Limited</t>
  </si>
  <si>
    <t>29 (30)</t>
  </si>
  <si>
    <t>SLSFND001</t>
  </si>
  <si>
    <t>Victorian Funds Management Corporation</t>
  </si>
  <si>
    <t>28 (29)</t>
  </si>
  <si>
    <t>VCTRNF001</t>
  </si>
  <si>
    <t>BlackRock Investment Management (Australia) Ltd.</t>
  </si>
  <si>
    <t>27 (26)</t>
  </si>
  <si>
    <t>PTTRWR001</t>
  </si>
  <si>
    <t>Chester Asset Management Pty Ltd.</t>
  </si>
  <si>
    <t>26 (28)</t>
  </si>
  <si>
    <t>CHSTRS005</t>
  </si>
  <si>
    <t>Citigroup Global Markets Australia</t>
  </si>
  <si>
    <t>25 (-)</t>
  </si>
  <si>
    <t>G0019942</t>
  </si>
  <si>
    <t>EQT Funds Management</t>
  </si>
  <si>
    <t>24 (46)</t>
  </si>
  <si>
    <t>EQTFND001</t>
  </si>
  <si>
    <t>Super Investment Management Pty. Ltd.</t>
  </si>
  <si>
    <t>23 (23)</t>
  </si>
  <si>
    <t>SPRNVS03D</t>
  </si>
  <si>
    <t>Vanguard Investments Australia Ltd.</t>
  </si>
  <si>
    <t>22 (20)</t>
  </si>
  <si>
    <t>VNGRDN026</t>
  </si>
  <si>
    <t>21 (22)</t>
  </si>
  <si>
    <t>BNKRST005</t>
  </si>
  <si>
    <t>Cbus Super</t>
  </si>
  <si>
    <t>20 (16)</t>
  </si>
  <si>
    <t>CNSTRC00Z</t>
  </si>
  <si>
    <t>19 (18)</t>
  </si>
  <si>
    <t>INDSTR09N</t>
  </si>
  <si>
    <t>Quest Asset Partners Pty. Ltd.</t>
  </si>
  <si>
    <t>18 (25)</t>
  </si>
  <si>
    <t>QSTSST001</t>
  </si>
  <si>
    <t>17 (24)</t>
  </si>
  <si>
    <t>SLRSNV001</t>
  </si>
  <si>
    <t>Bennelong Australian Equity Partners Pty. Ltd.</t>
  </si>
  <si>
    <t>16 (8)</t>
  </si>
  <si>
    <t>BNNLNG00C</t>
  </si>
  <si>
    <t>15 (15)</t>
  </si>
  <si>
    <t>INVSTR090</t>
  </si>
  <si>
    <t>OC Funds Management Pty Ltd.</t>
  </si>
  <si>
    <t>14 (14)</t>
  </si>
  <si>
    <t>OPSCPT002</t>
  </si>
  <si>
    <t>Washington H. Soul Pattinson and Company Limited</t>
  </si>
  <si>
    <t>13 (13)</t>
  </si>
  <si>
    <t>WSHNGT01E</t>
  </si>
  <si>
    <t>Paradice Investment Management Pty. Ltd.</t>
  </si>
  <si>
    <t>12 (11)</t>
  </si>
  <si>
    <t>PRDCNV001</t>
  </si>
  <si>
    <t>L1 Capital Pty Ltd.</t>
  </si>
  <si>
    <t>11 (-)</t>
  </si>
  <si>
    <t>LCPTLP001</t>
  </si>
  <si>
    <t>Tyndall Asset Management</t>
  </si>
  <si>
    <t>10 (7)</t>
  </si>
  <si>
    <t>TYNDLL004</t>
  </si>
  <si>
    <t>Platypus Asset Management Pty. Ltd.</t>
  </si>
  <si>
    <t>9 (12)</t>
  </si>
  <si>
    <t>PLTYPS001</t>
  </si>
  <si>
    <t>8 (4)</t>
  </si>
  <si>
    <t>PRPTLN007</t>
  </si>
  <si>
    <t>State Street Global Advisors Australia Ltd.</t>
  </si>
  <si>
    <t>7 (5)</t>
  </si>
  <si>
    <t>STTSTR065</t>
  </si>
  <si>
    <t>Firetrail Investments Pty Limited</t>
  </si>
  <si>
    <t>6 (9)</t>
  </si>
  <si>
    <t>FRTRLN001</t>
  </si>
  <si>
    <t>Vinva Investment Management Limited</t>
  </si>
  <si>
    <t>5 (6)</t>
  </si>
  <si>
    <t>VNVNVS001</t>
  </si>
  <si>
    <t>Jonathan Munz</t>
  </si>
  <si>
    <t>4 (3)</t>
  </si>
  <si>
    <t>G0464312</t>
  </si>
  <si>
    <t>Cooper Investors Pty Ltd.</t>
  </si>
  <si>
    <t>3 (10)</t>
  </si>
  <si>
    <t>PRDCCP001</t>
  </si>
  <si>
    <t>Greencape Capital Pty. Ltd.</t>
  </si>
  <si>
    <t>2 (2)</t>
  </si>
  <si>
    <t>GRNCPC001</t>
  </si>
  <si>
    <t>Caledonia (Private) Investments Pty Limited</t>
  </si>
  <si>
    <t>1 (1)</t>
  </si>
  <si>
    <t>CLDNPR001</t>
  </si>
  <si>
    <t>Country</t>
  </si>
  <si>
    <t>City</t>
  </si>
  <si>
    <t>EAUM ($Bn)</t>
  </si>
  <si>
    <t>Turnover</t>
  </si>
  <si>
    <t>Style</t>
  </si>
  <si>
    <t>Orientation</t>
  </si>
  <si>
    <t>Investor Type</t>
  </si>
  <si>
    <t>4Q
Fund Flow
History</t>
  </si>
  <si>
    <t>12 Month
Fund Flow
($Bn)</t>
  </si>
  <si>
    <t>Sector
Activity</t>
  </si>
  <si>
    <t>Saturation
Level</t>
  </si>
  <si>
    <t>Upside
(000's shares)</t>
  </si>
  <si>
    <t>FW % INST.
Weighting</t>
  </si>
  <si>
    <t>Av. % INST.
Weighting</t>
  </si>
  <si>
    <t>31 Oct 2023</t>
  </si>
  <si>
    <t>30 Nov 2023</t>
  </si>
  <si>
    <t>31 Dec 2023</t>
  </si>
  <si>
    <t>31 Jan 2024</t>
  </si>
  <si>
    <t>29 Feb 2024</t>
  </si>
  <si>
    <t>28 Mar 2024</t>
  </si>
  <si>
    <t>30 Apr 2024</t>
  </si>
  <si>
    <t>31 May 2024</t>
  </si>
  <si>
    <t>30 Jun 2024</t>
  </si>
  <si>
    <t>31 Jul 2024</t>
  </si>
  <si>
    <t>31 Aug 2024</t>
  </si>
  <si>
    <t>30 Sep 2024</t>
  </si>
  <si>
    <t>Position History</t>
  </si>
  <si>
    <t>Net Change</t>
  </si>
  <si>
    <t>31 Oct 2024</t>
  </si>
  <si>
    <t>% INST.</t>
  </si>
  <si>
    <t>% ISC</t>
  </si>
  <si>
    <t>Rank</t>
  </si>
  <si>
    <t>Codes</t>
  </si>
  <si>
    <t>Quest</t>
  </si>
  <si>
    <t>ICE</t>
  </si>
  <si>
    <t>Clime</t>
  </si>
  <si>
    <t>IML</t>
  </si>
  <si>
    <t>Sean Kiriwan</t>
  </si>
  <si>
    <t>sean@eg-group.com.au</t>
  </si>
  <si>
    <t>in JIN</t>
  </si>
  <si>
    <t>Ellerston</t>
  </si>
  <si>
    <t>Sold LNW</t>
  </si>
  <si>
    <t>Daniel Gafforini</t>
  </si>
  <si>
    <t>manho.lam@opal.capital</t>
  </si>
  <si>
    <t>Schroders</t>
  </si>
  <si>
    <t>Darshana Nair Syama</t>
  </si>
  <si>
    <t>dnair@bellasset.com.au</t>
  </si>
  <si>
    <t>mark@discoveryfunds.co.nz</t>
  </si>
  <si>
    <t>In TLC</t>
  </si>
  <si>
    <t>Damian Diamant</t>
  </si>
  <si>
    <t xml:space="preserve">Michael Joukhador </t>
  </si>
  <si>
    <t>Check</t>
  </si>
  <si>
    <t>Mark Devcich</t>
  </si>
  <si>
    <t>Arrow Capital</t>
  </si>
  <si>
    <t>dm@arrow-cap.com</t>
  </si>
  <si>
    <t>Martin Rosser</t>
  </si>
  <si>
    <t>mr@arrow-cap.com</t>
  </si>
  <si>
    <t>Anthony Skotnicki</t>
  </si>
  <si>
    <t>as@arrow-cap.com</t>
  </si>
  <si>
    <t>Darren Thompson</t>
  </si>
  <si>
    <t>Tim Morrison</t>
  </si>
  <si>
    <t>Low Touch</t>
  </si>
  <si>
    <t>Patrick Potts</t>
  </si>
  <si>
    <t>tim.morrison@allangray.com.au</t>
  </si>
  <si>
    <t>Antares</t>
  </si>
  <si>
    <t>pwilson@blackwattlepartners.com</t>
  </si>
  <si>
    <t>dang@endeavoram.com.au</t>
  </si>
  <si>
    <t>TAH?</t>
  </si>
  <si>
    <t>Christian Clementson</t>
  </si>
  <si>
    <t>Jason Todd</t>
  </si>
  <si>
    <t>christian@tencap.com.au</t>
  </si>
  <si>
    <t>jason@tencap.com.au</t>
  </si>
  <si>
    <t>Sachchit Sivaram</t>
  </si>
  <si>
    <t>SSivaram@lnw.com</t>
  </si>
  <si>
    <t>Hutch Ozdil</t>
  </si>
  <si>
    <t>hutch.ozdil@antaresequities.com.au</t>
  </si>
  <si>
    <t>Aware</t>
  </si>
  <si>
    <t>Fairview Equity Partners</t>
  </si>
  <si>
    <t>Centennial Asset Management</t>
  </si>
  <si>
    <t>Bell Asset Management</t>
  </si>
  <si>
    <t>Mainly slots but a bit TLC</t>
  </si>
  <si>
    <t>Slots, TLC, TAH</t>
  </si>
  <si>
    <t>Everything</t>
  </si>
  <si>
    <t>Dan Butcher</t>
  </si>
  <si>
    <t>dan.butcher@tabcorp.com.au</t>
  </si>
  <si>
    <t>James Aghajanian</t>
  </si>
  <si>
    <t>Desmond Tsao</t>
  </si>
  <si>
    <t>desmond.tsao@perpetual.com.au</t>
  </si>
  <si>
    <t>james.aghajanian@perpetual.com.au</t>
  </si>
  <si>
    <t>ALL, TLC, JIN</t>
  </si>
  <si>
    <t>Buddy</t>
  </si>
  <si>
    <t>Steve</t>
  </si>
  <si>
    <t>Fletch</t>
  </si>
  <si>
    <t>Rocky</t>
  </si>
  <si>
    <t>Bill</t>
  </si>
  <si>
    <t>Anna</t>
  </si>
  <si>
    <t>LNW too big now</t>
  </si>
  <si>
    <t>No JIN</t>
  </si>
  <si>
    <t>LNW, SKC</t>
  </si>
  <si>
    <t>Hailey Kim</t>
  </si>
  <si>
    <t>hailey@wilsonassetmanagement.com.au</t>
  </si>
  <si>
    <t>VFMC</t>
  </si>
  <si>
    <t>Ken Tham</t>
  </si>
  <si>
    <t>ktham@vfmc.vic.gov.au</t>
  </si>
  <si>
    <t>Josh Clark</t>
  </si>
  <si>
    <t>QVG Capital Pty Ltd</t>
  </si>
  <si>
    <t>josh@qvgcapital.com.au</t>
  </si>
  <si>
    <t>QVG Capital</t>
  </si>
  <si>
    <t>ALL, LNW, TLC (not atm), FLUT, TAH</t>
  </si>
  <si>
    <t>ALL, LNW, TLC, TAH</t>
  </si>
  <si>
    <t>ALL, LNW</t>
  </si>
  <si>
    <t>In TAH</t>
  </si>
  <si>
    <t>mitchell.hubble@perpetual.com.au</t>
  </si>
  <si>
    <t>Mitchell Hubble</t>
  </si>
  <si>
    <t>Direct</t>
  </si>
  <si>
    <t>NZ - CALL EARLY</t>
  </si>
  <si>
    <t>LNW, TLC</t>
  </si>
  <si>
    <t>Slots, TLC</t>
  </si>
  <si>
    <t>All Gaming</t>
  </si>
  <si>
    <t>Slots, TLC, Jumbo</t>
  </si>
  <si>
    <t>Michael Lever</t>
  </si>
  <si>
    <t>michael.lever@dnrcapital.com</t>
  </si>
  <si>
    <t>mark@tencap.com.au</t>
  </si>
  <si>
    <t>Todd Briggs</t>
  </si>
  <si>
    <t>tbriggs@ellerstoncapital.com</t>
  </si>
  <si>
    <t>ryan.riedler@cbussuper.com.au</t>
  </si>
  <si>
    <t>Ryan Riedler</t>
  </si>
  <si>
    <t>michael.kordick@cbussuper.com.au</t>
  </si>
  <si>
    <t>LNW, TLC, JIN</t>
  </si>
  <si>
    <t>Michael Borg</t>
  </si>
  <si>
    <t>mborg@soulpatts.com.au</t>
  </si>
  <si>
    <t>Soul Patts</t>
  </si>
  <si>
    <t>jkim@soulpatts.com.au</t>
  </si>
  <si>
    <t>Joseph Kim</t>
  </si>
  <si>
    <t>charles.pegum@tencap.com.au</t>
  </si>
  <si>
    <t>ALL, LNW, TAH, TLC</t>
  </si>
  <si>
    <t>ALL, LNW, TAH</t>
  </si>
  <si>
    <t>david.grace@evidentiagroup.com</t>
  </si>
  <si>
    <t>Evidentia Group</t>
  </si>
  <si>
    <t xml:space="preserve">jbriggs@ellerstoncapital.com </t>
  </si>
  <si>
    <t>TAH (interested) BBT, SKC (universe)</t>
  </si>
  <si>
    <t>Aleks Stankovic</t>
  </si>
  <si>
    <t>In ALL</t>
  </si>
  <si>
    <t>James Fuller</t>
  </si>
  <si>
    <t>james@qvgcapital.com.au</t>
  </si>
  <si>
    <t>T1</t>
  </si>
  <si>
    <t>T2</t>
  </si>
  <si>
    <t>D</t>
  </si>
  <si>
    <t>max.molinari@sig.com</t>
  </si>
  <si>
    <t>Susquehanna</t>
  </si>
  <si>
    <t>L/S</t>
  </si>
  <si>
    <t>Tier</t>
  </si>
  <si>
    <t>BBT</t>
  </si>
  <si>
    <t>ALL, LNW, TLC</t>
  </si>
  <si>
    <t>Slots, Lotteries, Flutter, TAH</t>
  </si>
  <si>
    <t>Tier 1</t>
  </si>
  <si>
    <t>Tier 2</t>
  </si>
  <si>
    <t>Sound out Thesis</t>
  </si>
  <si>
    <t>TLC, JIN, TAH</t>
  </si>
  <si>
    <t>Jack Martin</t>
  </si>
  <si>
    <t>jtmartin@lnw.com</t>
  </si>
  <si>
    <t>Drummond Knight Asset Management</t>
  </si>
  <si>
    <t>frank.podrug@dkam.com</t>
  </si>
  <si>
    <t>Michael Ward</t>
  </si>
  <si>
    <t>michael.ward@baep.com.au</t>
  </si>
  <si>
    <t>jacky.dong@tabcorp.com.au</t>
  </si>
  <si>
    <t>Jacky Dong</t>
  </si>
  <si>
    <t>Phoebe Jin</t>
  </si>
  <si>
    <t>pjin@hesta.com.au</t>
  </si>
  <si>
    <t>research@sagecap.com.au</t>
  </si>
  <si>
    <t>Group Email</t>
  </si>
  <si>
    <t>Vinva</t>
  </si>
  <si>
    <t>analyst.alerts@vinva.com</t>
  </si>
  <si>
    <t xml:space="preserve">andrew.moller@argoinvestments.com.au </t>
  </si>
  <si>
    <t xml:space="preserve">Andrew Moller </t>
  </si>
  <si>
    <t>Katherine Holyoake</t>
  </si>
  <si>
    <t>kholyoake@chesteram.com.au</t>
  </si>
  <si>
    <t>DKAM</t>
  </si>
  <si>
    <t>neil@merlonanalytics.com</t>
  </si>
  <si>
    <t>Neil Margolis</t>
  </si>
  <si>
    <t>Patrick Egstorf</t>
  </si>
  <si>
    <t>patrick.egstorf@hyperion.com.au</t>
  </si>
  <si>
    <t>In Jumbo</t>
  </si>
  <si>
    <t>Victor Yan</t>
  </si>
  <si>
    <t>victor.yan@janchorpartners.com</t>
  </si>
  <si>
    <t>Rob Tucker</t>
  </si>
  <si>
    <t>Chester Asset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</si>
</sst>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409]#,##0"/>
    <numFmt numFmtId="165" formatCode="[$-10409]0.0%"/>
    <numFmt numFmtId="166" formatCode="[$-10409]#,##0.0"/>
    <numFmt numFmtId="167" formatCode="[$-10409]#,##0.0,"/>
    <numFmt numFmtId="168" formatCode="[$-10409]0%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u/>
      <sz val="8"/>
      <color theme="10"/>
      <name val="Aptos Narrow"/>
      <family val="2"/>
      <scheme val="minor"/>
    </font>
    <font>
      <sz val="8"/>
      <color indexed="8"/>
      <name val="Aptos Narrow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2"/>
      <color indexed="8"/>
      <name val="Calibri"/>
      <family val="2"/>
    </font>
    <font>
      <b/>
      <sz val="10"/>
      <color indexed="9"/>
      <name val="Calibri"/>
      <family val="2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sz val="10"/>
      <color indexed="13"/>
      <name val="Calibri"/>
      <family val="2"/>
    </font>
    <font>
      <sz val="10"/>
      <color indexed="12"/>
      <name val="Calibri"/>
      <family val="2"/>
    </font>
    <font>
      <sz val="11"/>
      <color theme="1"/>
      <name val="Aptos Narrow"/>
      <family val="2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0021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727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4" fillId="0" borderId="0"/>
  </cellStyleXfs>
  <cellXfs count="6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3" fillId="33" borderId="0" xfId="0" applyFont="1" applyFill="1" applyAlignment="1">
      <alignment horizontal="center"/>
    </xf>
    <xf numFmtId="0" fontId="17" fillId="33" borderId="0" xfId="0" applyFont="1" applyFill="1" applyAlignment="1">
      <alignment horizontal="center"/>
    </xf>
    <xf numFmtId="49" fontId="13" fillId="33" borderId="0" xfId="0" applyNumberFormat="1" applyFont="1" applyFill="1" applyAlignment="1">
      <alignment horizontal="center"/>
    </xf>
    <xf numFmtId="0" fontId="19" fillId="33" borderId="0" xfId="0" applyFont="1" applyFill="1" applyAlignment="1">
      <alignment horizontal="center"/>
    </xf>
    <xf numFmtId="0" fontId="20" fillId="33" borderId="0" xfId="0" applyFont="1" applyFill="1" applyAlignment="1">
      <alignment horizontal="center"/>
    </xf>
    <xf numFmtId="49" fontId="19" fillId="33" borderId="0" xfId="0" applyNumberFormat="1" applyFont="1" applyFill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/>
    <xf numFmtId="49" fontId="21" fillId="0" borderId="0" xfId="0" applyNumberFormat="1" applyFont="1"/>
    <xf numFmtId="0" fontId="21" fillId="35" borderId="0" xfId="0" applyFont="1" applyFill="1" applyAlignment="1">
      <alignment horizontal="center" wrapText="1"/>
    </xf>
    <xf numFmtId="0" fontId="21" fillId="34" borderId="0" xfId="0" applyFont="1" applyFill="1" applyAlignment="1">
      <alignment horizontal="center" wrapText="1"/>
    </xf>
    <xf numFmtId="49" fontId="22" fillId="0" borderId="0" xfId="42" applyNumberFormat="1" applyFont="1" applyAlignment="1"/>
    <xf numFmtId="0" fontId="23" fillId="0" borderId="0" xfId="0" applyFont="1" applyAlignment="1">
      <alignment vertical="center"/>
    </xf>
    <xf numFmtId="0" fontId="13" fillId="36" borderId="0" xfId="0" applyFont="1" applyFill="1"/>
    <xf numFmtId="0" fontId="13" fillId="36" borderId="0" xfId="0" applyFont="1" applyFill="1" applyAlignment="1">
      <alignment horizontal="center"/>
    </xf>
    <xf numFmtId="0" fontId="16" fillId="0" borderId="0" xfId="0" applyFont="1"/>
    <xf numFmtId="0" fontId="25" fillId="0" borderId="0" xfId="43" applyFont="1"/>
    <xf numFmtId="0" fontId="29" fillId="0" borderId="0" xfId="43" applyFont="1" applyAlignment="1">
      <alignment horizontal="center" vertical="center" wrapText="1" readingOrder="1"/>
    </xf>
    <xf numFmtId="0" fontId="30" fillId="0" borderId="10" xfId="43" applyFont="1" applyBorder="1" applyAlignment="1">
      <alignment horizontal="center" vertical="center" wrapText="1" readingOrder="1"/>
    </xf>
    <xf numFmtId="166" fontId="30" fillId="0" borderId="10" xfId="43" applyNumberFormat="1" applyFont="1" applyBorder="1" applyAlignment="1">
      <alignment horizontal="center" vertical="center" wrapText="1" readingOrder="1"/>
    </xf>
    <xf numFmtId="0" fontId="25" fillId="38" borderId="10" xfId="43" applyFont="1" applyFill="1" applyBorder="1" applyAlignment="1">
      <alignment vertical="top" wrapText="1"/>
    </xf>
    <xf numFmtId="0" fontId="29" fillId="0" borderId="10" xfId="43" applyFont="1" applyBorder="1" applyAlignment="1">
      <alignment horizontal="center" vertical="center" wrapText="1" readingOrder="1"/>
    </xf>
    <xf numFmtId="164" fontId="30" fillId="0" borderId="10" xfId="43" applyNumberFormat="1" applyFont="1" applyBorder="1" applyAlignment="1">
      <alignment horizontal="center" vertical="center" wrapText="1" readingOrder="1"/>
    </xf>
    <xf numFmtId="165" fontId="30" fillId="0" borderId="10" xfId="43" applyNumberFormat="1" applyFont="1" applyBorder="1" applyAlignment="1">
      <alignment horizontal="center" vertical="center" wrapText="1" readingOrder="1"/>
    </xf>
    <xf numFmtId="0" fontId="30" fillId="0" borderId="10" xfId="43" applyFont="1" applyBorder="1" applyAlignment="1">
      <alignment horizontal="left" vertical="center" wrapText="1" readingOrder="1"/>
    </xf>
    <xf numFmtId="0" fontId="31" fillId="0" borderId="0" xfId="43" applyFont="1" applyAlignment="1">
      <alignment horizontal="center" vertical="center" wrapText="1" readingOrder="1"/>
    </xf>
    <xf numFmtId="0" fontId="29" fillId="39" borderId="10" xfId="43" applyFont="1" applyFill="1" applyBorder="1" applyAlignment="1">
      <alignment horizontal="center" vertical="center" wrapText="1" readingOrder="1"/>
    </xf>
    <xf numFmtId="167" fontId="33" fillId="0" borderId="10" xfId="43" applyNumberFormat="1" applyFont="1" applyBorder="1" applyAlignment="1">
      <alignment horizontal="center" vertical="center" wrapText="1" readingOrder="1"/>
    </xf>
    <xf numFmtId="167" fontId="32" fillId="0" borderId="10" xfId="43" applyNumberFormat="1" applyFont="1" applyBorder="1" applyAlignment="1">
      <alignment horizontal="center" vertical="center" wrapText="1" readingOrder="1"/>
    </xf>
    <xf numFmtId="0" fontId="29" fillId="40" borderId="10" xfId="43" applyFont="1" applyFill="1" applyBorder="1" applyAlignment="1">
      <alignment horizontal="center" vertical="center" wrapText="1" readingOrder="1"/>
    </xf>
    <xf numFmtId="168" fontId="30" fillId="0" borderId="10" xfId="43" applyNumberFormat="1" applyFont="1" applyBorder="1" applyAlignment="1">
      <alignment horizontal="center" vertical="center" wrapText="1" readingOrder="1"/>
    </xf>
    <xf numFmtId="164" fontId="33" fillId="0" borderId="10" xfId="43" applyNumberFormat="1" applyFont="1" applyBorder="1" applyAlignment="1">
      <alignment horizontal="center" vertical="center" wrapText="1" readingOrder="1"/>
    </xf>
    <xf numFmtId="0" fontId="29" fillId="41" borderId="10" xfId="43" applyFont="1" applyFill="1" applyBorder="1" applyAlignment="1">
      <alignment horizontal="center" vertical="center" wrapText="1" readingOrder="1"/>
    </xf>
    <xf numFmtId="0" fontId="29" fillId="42" borderId="10" xfId="43" applyFont="1" applyFill="1" applyBorder="1" applyAlignment="1">
      <alignment horizontal="center" vertical="center" wrapText="1" readingOrder="1"/>
    </xf>
    <xf numFmtId="0" fontId="29" fillId="43" borderId="10" xfId="43" applyFont="1" applyFill="1" applyBorder="1" applyAlignment="1">
      <alignment horizontal="center" vertical="center" wrapText="1" readingOrder="1"/>
    </xf>
    <xf numFmtId="164" fontId="32" fillId="0" borderId="10" xfId="43" applyNumberFormat="1" applyFont="1" applyBorder="1" applyAlignment="1">
      <alignment horizontal="center" vertical="center" wrapText="1" readingOrder="1"/>
    </xf>
    <xf numFmtId="0" fontId="26" fillId="44" borderId="0" xfId="43" applyFont="1" applyFill="1" applyAlignment="1">
      <alignment horizontal="center" wrapText="1" readingOrder="1"/>
    </xf>
    <xf numFmtId="164" fontId="30" fillId="44" borderId="10" xfId="43" applyNumberFormat="1" applyFont="1" applyFill="1" applyBorder="1" applyAlignment="1">
      <alignment horizontal="center" vertical="center" wrapText="1" readingOrder="1"/>
    </xf>
    <xf numFmtId="0" fontId="25" fillId="44" borderId="0" xfId="43" applyFont="1" applyFill="1"/>
    <xf numFmtId="164" fontId="33" fillId="44" borderId="10" xfId="43" applyNumberFormat="1" applyFont="1" applyFill="1" applyBorder="1" applyAlignment="1">
      <alignment horizontal="center" vertical="center" wrapText="1" readingOrder="1"/>
    </xf>
    <xf numFmtId="164" fontId="32" fillId="44" borderId="10" xfId="43" applyNumberFormat="1" applyFont="1" applyFill="1" applyBorder="1" applyAlignment="1">
      <alignment horizontal="center" vertical="center" wrapText="1" readingOrder="1"/>
    </xf>
    <xf numFmtId="0" fontId="26" fillId="44" borderId="0" xfId="43" applyFont="1" applyFill="1" applyAlignment="1">
      <alignment horizontal="left" wrapText="1" readingOrder="1"/>
    </xf>
    <xf numFmtId="0" fontId="26" fillId="37" borderId="10" xfId="43" applyFont="1" applyFill="1" applyBorder="1" applyAlignment="1">
      <alignment horizontal="center" vertical="center" wrapText="1" readingOrder="1"/>
    </xf>
    <xf numFmtId="0" fontId="30" fillId="0" borderId="0" xfId="43" applyFont="1" applyAlignment="1">
      <alignment horizontal="center" vertical="center" wrapText="1" readingOrder="1"/>
    </xf>
    <xf numFmtId="0" fontId="28" fillId="37" borderId="10" xfId="43" applyFont="1" applyFill="1" applyBorder="1" applyAlignment="1">
      <alignment horizontal="right" vertical="center" wrapText="1" readingOrder="1"/>
    </xf>
    <xf numFmtId="0" fontId="30" fillId="0" borderId="0" xfId="43" applyFont="1" applyAlignment="1">
      <alignment horizontal="left" vertical="center" wrapText="1" readingOrder="1"/>
    </xf>
    <xf numFmtId="165" fontId="26" fillId="37" borderId="10" xfId="43" applyNumberFormat="1" applyFont="1" applyFill="1" applyBorder="1" applyAlignment="1">
      <alignment horizontal="center" vertical="center" wrapText="1" readingOrder="1"/>
    </xf>
    <xf numFmtId="165" fontId="30" fillId="0" borderId="0" xfId="43" applyNumberFormat="1" applyFont="1" applyAlignment="1">
      <alignment horizontal="center" vertical="center" wrapText="1" readingOrder="1"/>
    </xf>
    <xf numFmtId="164" fontId="26" fillId="44" borderId="10" xfId="43" applyNumberFormat="1" applyFont="1" applyFill="1" applyBorder="1" applyAlignment="1">
      <alignment horizontal="center" vertical="center" wrapText="1" readingOrder="1"/>
    </xf>
    <xf numFmtId="164" fontId="30" fillId="44" borderId="0" xfId="43" applyNumberFormat="1" applyFont="1" applyFill="1" applyAlignment="1">
      <alignment horizontal="center" vertical="center" wrapText="1" readingOrder="1"/>
    </xf>
    <xf numFmtId="164" fontId="27" fillId="44" borderId="10" xfId="43" applyNumberFormat="1" applyFont="1" applyFill="1" applyBorder="1" applyAlignment="1">
      <alignment horizontal="center" vertical="center" wrapText="1" readingOrder="1"/>
    </xf>
    <xf numFmtId="164" fontId="32" fillId="44" borderId="0" xfId="43" applyNumberFormat="1" applyFont="1" applyFill="1" applyAlignment="1">
      <alignment horizontal="center" vertical="center" wrapText="1" readingOrder="1"/>
    </xf>
    <xf numFmtId="0" fontId="25" fillId="38" borderId="0" xfId="43" applyFont="1" applyFill="1" applyAlignment="1">
      <alignment vertical="top" wrapText="1"/>
    </xf>
    <xf numFmtId="164" fontId="26" fillId="37" borderId="10" xfId="43" applyNumberFormat="1" applyFont="1" applyFill="1" applyBorder="1" applyAlignment="1">
      <alignment horizontal="center" vertical="center" wrapText="1" readingOrder="1"/>
    </xf>
    <xf numFmtId="164" fontId="30" fillId="0" borderId="0" xfId="43" applyNumberFormat="1" applyFont="1" applyAlignment="1">
      <alignment horizontal="center" vertical="center" wrapText="1" readingOrder="1"/>
    </xf>
    <xf numFmtId="166" fontId="30" fillId="0" borderId="0" xfId="43" applyNumberFormat="1" applyFont="1" applyAlignment="1">
      <alignment horizontal="center" vertical="center" wrapText="1" readingOrder="1"/>
    </xf>
    <xf numFmtId="0" fontId="0" fillId="0" borderId="0" xfId="0" quotePrefix="1" applyAlignment="1">
      <alignment horizontal="center"/>
    </xf>
    <xf numFmtId="0" fontId="21" fillId="0" borderId="0" xfId="0" applyFont="1" applyAlignment="1">
      <alignment horizontal="center" wrapText="1"/>
    </xf>
    <xf numFmtId="0" fontId="0" fillId="0" borderId="0" xfId="0" quotePrefix="1"/>
    <xf numFmtId="0" fontId="13" fillId="0" borderId="0" xfId="0" applyFont="1"/>
    <xf numFmtId="0" fontId="13" fillId="0" borderId="0" xfId="0" applyFont="1" applyAlignment="1">
      <alignment horizontal="center"/>
    </xf>
    <xf numFmtId="0" fontId="18" fillId="0" borderId="0" xfId="42"/>
    <xf numFmtId="0" fontId="13" fillId="45" borderId="0" xfId="0" applyFont="1" applyFill="1" applyAlignment="1">
      <alignment horizontal="center"/>
    </xf>
    <xf numFmtId="0" fontId="34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D5B4B621-9D7F-4A1F-94BA-4F0732DA050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BE2D5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9.png"/><Relationship Id="rId299" Type="http://schemas.openxmlformats.org/officeDocument/2006/relationships/image" Target="../media/image301.png"/><Relationship Id="rId21" Type="http://schemas.openxmlformats.org/officeDocument/2006/relationships/image" Target="../media/image23.png"/><Relationship Id="rId63" Type="http://schemas.openxmlformats.org/officeDocument/2006/relationships/image" Target="../media/image65.png"/><Relationship Id="rId159" Type="http://schemas.openxmlformats.org/officeDocument/2006/relationships/image" Target="../media/image161.png"/><Relationship Id="rId170" Type="http://schemas.openxmlformats.org/officeDocument/2006/relationships/image" Target="../media/image172.png"/><Relationship Id="rId226" Type="http://schemas.openxmlformats.org/officeDocument/2006/relationships/image" Target="../media/image228.png"/><Relationship Id="rId268" Type="http://schemas.openxmlformats.org/officeDocument/2006/relationships/image" Target="../media/image270.png"/><Relationship Id="rId32" Type="http://schemas.openxmlformats.org/officeDocument/2006/relationships/image" Target="../media/image34.png"/><Relationship Id="rId74" Type="http://schemas.openxmlformats.org/officeDocument/2006/relationships/image" Target="../media/image76.png"/><Relationship Id="rId128" Type="http://schemas.openxmlformats.org/officeDocument/2006/relationships/image" Target="../media/image130.png"/><Relationship Id="rId5" Type="http://schemas.openxmlformats.org/officeDocument/2006/relationships/image" Target="../media/image7.png"/><Relationship Id="rId181" Type="http://schemas.openxmlformats.org/officeDocument/2006/relationships/image" Target="../media/image183.png"/><Relationship Id="rId237" Type="http://schemas.openxmlformats.org/officeDocument/2006/relationships/image" Target="../media/image239.png"/><Relationship Id="rId279" Type="http://schemas.openxmlformats.org/officeDocument/2006/relationships/image" Target="../media/image281.png"/><Relationship Id="rId43" Type="http://schemas.openxmlformats.org/officeDocument/2006/relationships/image" Target="../media/image45.png"/><Relationship Id="rId139" Type="http://schemas.openxmlformats.org/officeDocument/2006/relationships/image" Target="../media/image141.png"/><Relationship Id="rId290" Type="http://schemas.openxmlformats.org/officeDocument/2006/relationships/image" Target="../media/image292.png"/><Relationship Id="rId304" Type="http://schemas.openxmlformats.org/officeDocument/2006/relationships/image" Target="../media/image306.png"/><Relationship Id="rId85" Type="http://schemas.openxmlformats.org/officeDocument/2006/relationships/image" Target="../media/image87.png"/><Relationship Id="rId150" Type="http://schemas.openxmlformats.org/officeDocument/2006/relationships/image" Target="../media/image152.png"/><Relationship Id="rId192" Type="http://schemas.openxmlformats.org/officeDocument/2006/relationships/image" Target="../media/image194.png"/><Relationship Id="rId206" Type="http://schemas.openxmlformats.org/officeDocument/2006/relationships/image" Target="../media/image208.png"/><Relationship Id="rId248" Type="http://schemas.openxmlformats.org/officeDocument/2006/relationships/image" Target="../media/image250.png"/><Relationship Id="rId12" Type="http://schemas.openxmlformats.org/officeDocument/2006/relationships/image" Target="../media/image14.png"/><Relationship Id="rId108" Type="http://schemas.openxmlformats.org/officeDocument/2006/relationships/image" Target="../media/image110.png"/><Relationship Id="rId315" Type="http://schemas.openxmlformats.org/officeDocument/2006/relationships/image" Target="../media/image317.png"/><Relationship Id="rId54" Type="http://schemas.openxmlformats.org/officeDocument/2006/relationships/image" Target="../media/image56.png"/><Relationship Id="rId96" Type="http://schemas.openxmlformats.org/officeDocument/2006/relationships/image" Target="../media/image98.png"/><Relationship Id="rId161" Type="http://schemas.openxmlformats.org/officeDocument/2006/relationships/image" Target="../media/image163.png"/><Relationship Id="rId217" Type="http://schemas.openxmlformats.org/officeDocument/2006/relationships/image" Target="../media/image219.png"/><Relationship Id="rId259" Type="http://schemas.openxmlformats.org/officeDocument/2006/relationships/image" Target="../media/image261.png"/><Relationship Id="rId23" Type="http://schemas.openxmlformats.org/officeDocument/2006/relationships/image" Target="../media/image25.png"/><Relationship Id="rId119" Type="http://schemas.openxmlformats.org/officeDocument/2006/relationships/image" Target="../media/image121.png"/><Relationship Id="rId270" Type="http://schemas.openxmlformats.org/officeDocument/2006/relationships/image" Target="../media/image272.png"/><Relationship Id="rId65" Type="http://schemas.openxmlformats.org/officeDocument/2006/relationships/image" Target="../media/image67.png"/><Relationship Id="rId130" Type="http://schemas.openxmlformats.org/officeDocument/2006/relationships/image" Target="../media/image132.png"/><Relationship Id="rId172" Type="http://schemas.openxmlformats.org/officeDocument/2006/relationships/image" Target="../media/image174.png"/><Relationship Id="rId228" Type="http://schemas.openxmlformats.org/officeDocument/2006/relationships/image" Target="../media/image230.png"/><Relationship Id="rId13" Type="http://schemas.openxmlformats.org/officeDocument/2006/relationships/image" Target="../media/image15.png"/><Relationship Id="rId109" Type="http://schemas.openxmlformats.org/officeDocument/2006/relationships/image" Target="../media/image111.png"/><Relationship Id="rId260" Type="http://schemas.openxmlformats.org/officeDocument/2006/relationships/image" Target="../media/image262.png"/><Relationship Id="rId281" Type="http://schemas.openxmlformats.org/officeDocument/2006/relationships/image" Target="../media/image283.png"/><Relationship Id="rId316" Type="http://schemas.openxmlformats.org/officeDocument/2006/relationships/image" Target="../media/image318.png"/><Relationship Id="rId34" Type="http://schemas.openxmlformats.org/officeDocument/2006/relationships/image" Target="../media/image36.png"/><Relationship Id="rId55" Type="http://schemas.openxmlformats.org/officeDocument/2006/relationships/image" Target="../media/image57.png"/><Relationship Id="rId76" Type="http://schemas.openxmlformats.org/officeDocument/2006/relationships/image" Target="../media/image78.png"/><Relationship Id="rId97" Type="http://schemas.openxmlformats.org/officeDocument/2006/relationships/image" Target="../media/image99.png"/><Relationship Id="rId120" Type="http://schemas.openxmlformats.org/officeDocument/2006/relationships/image" Target="../media/image122.png"/><Relationship Id="rId141" Type="http://schemas.openxmlformats.org/officeDocument/2006/relationships/image" Target="../media/image143.png"/><Relationship Id="rId7" Type="http://schemas.openxmlformats.org/officeDocument/2006/relationships/image" Target="../media/image9.png"/><Relationship Id="rId162" Type="http://schemas.openxmlformats.org/officeDocument/2006/relationships/image" Target="../media/image164.png"/><Relationship Id="rId183" Type="http://schemas.openxmlformats.org/officeDocument/2006/relationships/image" Target="../media/image185.png"/><Relationship Id="rId218" Type="http://schemas.openxmlformats.org/officeDocument/2006/relationships/image" Target="../media/image220.png"/><Relationship Id="rId239" Type="http://schemas.openxmlformats.org/officeDocument/2006/relationships/image" Target="../media/image241.png"/><Relationship Id="rId250" Type="http://schemas.openxmlformats.org/officeDocument/2006/relationships/image" Target="../media/image252.png"/><Relationship Id="rId271" Type="http://schemas.openxmlformats.org/officeDocument/2006/relationships/image" Target="../media/image273.png"/><Relationship Id="rId292" Type="http://schemas.openxmlformats.org/officeDocument/2006/relationships/image" Target="../media/image294.png"/><Relationship Id="rId306" Type="http://schemas.openxmlformats.org/officeDocument/2006/relationships/image" Target="../media/image308.png"/><Relationship Id="rId24" Type="http://schemas.openxmlformats.org/officeDocument/2006/relationships/image" Target="../media/image26.png"/><Relationship Id="rId45" Type="http://schemas.openxmlformats.org/officeDocument/2006/relationships/image" Target="../media/image47.png"/><Relationship Id="rId66" Type="http://schemas.openxmlformats.org/officeDocument/2006/relationships/image" Target="../media/image68.png"/><Relationship Id="rId87" Type="http://schemas.openxmlformats.org/officeDocument/2006/relationships/image" Target="../media/image89.png"/><Relationship Id="rId110" Type="http://schemas.openxmlformats.org/officeDocument/2006/relationships/image" Target="../media/image112.png"/><Relationship Id="rId131" Type="http://schemas.openxmlformats.org/officeDocument/2006/relationships/image" Target="../media/image133.png"/><Relationship Id="rId152" Type="http://schemas.openxmlformats.org/officeDocument/2006/relationships/image" Target="../media/image154.png"/><Relationship Id="rId173" Type="http://schemas.openxmlformats.org/officeDocument/2006/relationships/image" Target="../media/image175.png"/><Relationship Id="rId194" Type="http://schemas.openxmlformats.org/officeDocument/2006/relationships/image" Target="../media/image196.png"/><Relationship Id="rId208" Type="http://schemas.openxmlformats.org/officeDocument/2006/relationships/image" Target="../media/image210.png"/><Relationship Id="rId229" Type="http://schemas.openxmlformats.org/officeDocument/2006/relationships/image" Target="../media/image231.png"/><Relationship Id="rId240" Type="http://schemas.openxmlformats.org/officeDocument/2006/relationships/image" Target="../media/image242.png"/><Relationship Id="rId261" Type="http://schemas.openxmlformats.org/officeDocument/2006/relationships/image" Target="../media/image263.png"/><Relationship Id="rId14" Type="http://schemas.openxmlformats.org/officeDocument/2006/relationships/image" Target="../media/image16.png"/><Relationship Id="rId35" Type="http://schemas.openxmlformats.org/officeDocument/2006/relationships/image" Target="../media/image37.png"/><Relationship Id="rId56" Type="http://schemas.openxmlformats.org/officeDocument/2006/relationships/image" Target="../media/image58.png"/><Relationship Id="rId77" Type="http://schemas.openxmlformats.org/officeDocument/2006/relationships/image" Target="../media/image79.png"/><Relationship Id="rId100" Type="http://schemas.openxmlformats.org/officeDocument/2006/relationships/image" Target="../media/image102.png"/><Relationship Id="rId282" Type="http://schemas.openxmlformats.org/officeDocument/2006/relationships/image" Target="../media/image284.png"/><Relationship Id="rId317" Type="http://schemas.openxmlformats.org/officeDocument/2006/relationships/image" Target="../media/image319.png"/><Relationship Id="rId8" Type="http://schemas.openxmlformats.org/officeDocument/2006/relationships/image" Target="../media/image10.png"/><Relationship Id="rId98" Type="http://schemas.openxmlformats.org/officeDocument/2006/relationships/image" Target="../media/image100.png"/><Relationship Id="rId121" Type="http://schemas.openxmlformats.org/officeDocument/2006/relationships/image" Target="../media/image123.png"/><Relationship Id="rId142" Type="http://schemas.openxmlformats.org/officeDocument/2006/relationships/image" Target="../media/image144.png"/><Relationship Id="rId163" Type="http://schemas.openxmlformats.org/officeDocument/2006/relationships/image" Target="../media/image165.png"/><Relationship Id="rId184" Type="http://schemas.openxmlformats.org/officeDocument/2006/relationships/image" Target="../media/image186.png"/><Relationship Id="rId219" Type="http://schemas.openxmlformats.org/officeDocument/2006/relationships/image" Target="../media/image221.png"/><Relationship Id="rId230" Type="http://schemas.openxmlformats.org/officeDocument/2006/relationships/image" Target="../media/image232.png"/><Relationship Id="rId251" Type="http://schemas.openxmlformats.org/officeDocument/2006/relationships/image" Target="../media/image253.png"/><Relationship Id="rId25" Type="http://schemas.openxmlformats.org/officeDocument/2006/relationships/image" Target="../media/image27.png"/><Relationship Id="rId46" Type="http://schemas.openxmlformats.org/officeDocument/2006/relationships/image" Target="../media/image48.png"/><Relationship Id="rId67" Type="http://schemas.openxmlformats.org/officeDocument/2006/relationships/image" Target="../media/image69.png"/><Relationship Id="rId272" Type="http://schemas.openxmlformats.org/officeDocument/2006/relationships/image" Target="../media/image274.png"/><Relationship Id="rId293" Type="http://schemas.openxmlformats.org/officeDocument/2006/relationships/image" Target="../media/image295.png"/><Relationship Id="rId307" Type="http://schemas.openxmlformats.org/officeDocument/2006/relationships/image" Target="../media/image309.png"/><Relationship Id="rId88" Type="http://schemas.openxmlformats.org/officeDocument/2006/relationships/image" Target="../media/image90.png"/><Relationship Id="rId111" Type="http://schemas.openxmlformats.org/officeDocument/2006/relationships/image" Target="../media/image113.png"/><Relationship Id="rId132" Type="http://schemas.openxmlformats.org/officeDocument/2006/relationships/image" Target="../media/image134.png"/><Relationship Id="rId153" Type="http://schemas.openxmlformats.org/officeDocument/2006/relationships/image" Target="../media/image155.png"/><Relationship Id="rId174" Type="http://schemas.openxmlformats.org/officeDocument/2006/relationships/image" Target="../media/image176.png"/><Relationship Id="rId195" Type="http://schemas.openxmlformats.org/officeDocument/2006/relationships/image" Target="../media/image197.png"/><Relationship Id="rId209" Type="http://schemas.openxmlformats.org/officeDocument/2006/relationships/image" Target="../media/image211.png"/><Relationship Id="rId220" Type="http://schemas.openxmlformats.org/officeDocument/2006/relationships/image" Target="../media/image222.png"/><Relationship Id="rId241" Type="http://schemas.openxmlformats.org/officeDocument/2006/relationships/image" Target="../media/image243.png"/><Relationship Id="rId15" Type="http://schemas.openxmlformats.org/officeDocument/2006/relationships/image" Target="../media/image17.png"/><Relationship Id="rId36" Type="http://schemas.openxmlformats.org/officeDocument/2006/relationships/image" Target="../media/image38.png"/><Relationship Id="rId57" Type="http://schemas.openxmlformats.org/officeDocument/2006/relationships/image" Target="../media/image59.png"/><Relationship Id="rId262" Type="http://schemas.openxmlformats.org/officeDocument/2006/relationships/image" Target="../media/image264.png"/><Relationship Id="rId283" Type="http://schemas.openxmlformats.org/officeDocument/2006/relationships/image" Target="../media/image285.png"/><Relationship Id="rId318" Type="http://schemas.openxmlformats.org/officeDocument/2006/relationships/image" Target="../media/image320.png"/><Relationship Id="rId78" Type="http://schemas.openxmlformats.org/officeDocument/2006/relationships/image" Target="../media/image80.png"/><Relationship Id="rId99" Type="http://schemas.openxmlformats.org/officeDocument/2006/relationships/image" Target="../media/image101.png"/><Relationship Id="rId101" Type="http://schemas.openxmlformats.org/officeDocument/2006/relationships/image" Target="../media/image103.png"/><Relationship Id="rId122" Type="http://schemas.openxmlformats.org/officeDocument/2006/relationships/image" Target="../media/image124.png"/><Relationship Id="rId143" Type="http://schemas.openxmlformats.org/officeDocument/2006/relationships/image" Target="../media/image145.png"/><Relationship Id="rId164" Type="http://schemas.openxmlformats.org/officeDocument/2006/relationships/image" Target="../media/image166.png"/><Relationship Id="rId185" Type="http://schemas.openxmlformats.org/officeDocument/2006/relationships/image" Target="../media/image187.png"/><Relationship Id="rId9" Type="http://schemas.openxmlformats.org/officeDocument/2006/relationships/image" Target="../media/image11.png"/><Relationship Id="rId210" Type="http://schemas.openxmlformats.org/officeDocument/2006/relationships/image" Target="../media/image212.png"/><Relationship Id="rId26" Type="http://schemas.openxmlformats.org/officeDocument/2006/relationships/image" Target="../media/image28.png"/><Relationship Id="rId231" Type="http://schemas.openxmlformats.org/officeDocument/2006/relationships/image" Target="../media/image233.png"/><Relationship Id="rId252" Type="http://schemas.openxmlformats.org/officeDocument/2006/relationships/image" Target="../media/image254.png"/><Relationship Id="rId273" Type="http://schemas.openxmlformats.org/officeDocument/2006/relationships/image" Target="../media/image275.png"/><Relationship Id="rId294" Type="http://schemas.openxmlformats.org/officeDocument/2006/relationships/image" Target="../media/image296.png"/><Relationship Id="rId308" Type="http://schemas.openxmlformats.org/officeDocument/2006/relationships/image" Target="../media/image310.png"/><Relationship Id="rId47" Type="http://schemas.openxmlformats.org/officeDocument/2006/relationships/image" Target="../media/image49.png"/><Relationship Id="rId68" Type="http://schemas.openxmlformats.org/officeDocument/2006/relationships/image" Target="../media/image70.png"/><Relationship Id="rId89" Type="http://schemas.openxmlformats.org/officeDocument/2006/relationships/image" Target="../media/image91.png"/><Relationship Id="rId112" Type="http://schemas.openxmlformats.org/officeDocument/2006/relationships/image" Target="../media/image114.png"/><Relationship Id="rId133" Type="http://schemas.openxmlformats.org/officeDocument/2006/relationships/image" Target="../media/image135.png"/><Relationship Id="rId154" Type="http://schemas.openxmlformats.org/officeDocument/2006/relationships/image" Target="../media/image156.png"/><Relationship Id="rId175" Type="http://schemas.openxmlformats.org/officeDocument/2006/relationships/image" Target="../media/image177.png"/><Relationship Id="rId196" Type="http://schemas.openxmlformats.org/officeDocument/2006/relationships/image" Target="../media/image198.png"/><Relationship Id="rId200" Type="http://schemas.openxmlformats.org/officeDocument/2006/relationships/image" Target="../media/image202.png"/><Relationship Id="rId16" Type="http://schemas.openxmlformats.org/officeDocument/2006/relationships/image" Target="../media/image18.png"/><Relationship Id="rId221" Type="http://schemas.openxmlformats.org/officeDocument/2006/relationships/image" Target="../media/image223.png"/><Relationship Id="rId242" Type="http://schemas.openxmlformats.org/officeDocument/2006/relationships/image" Target="../media/image244.png"/><Relationship Id="rId263" Type="http://schemas.openxmlformats.org/officeDocument/2006/relationships/image" Target="../media/image265.png"/><Relationship Id="rId284" Type="http://schemas.openxmlformats.org/officeDocument/2006/relationships/image" Target="../media/image286.png"/><Relationship Id="rId37" Type="http://schemas.openxmlformats.org/officeDocument/2006/relationships/image" Target="../media/image39.png"/><Relationship Id="rId58" Type="http://schemas.openxmlformats.org/officeDocument/2006/relationships/image" Target="../media/image60.png"/><Relationship Id="rId79" Type="http://schemas.openxmlformats.org/officeDocument/2006/relationships/image" Target="../media/image81.png"/><Relationship Id="rId102" Type="http://schemas.openxmlformats.org/officeDocument/2006/relationships/image" Target="../media/image104.png"/><Relationship Id="rId123" Type="http://schemas.openxmlformats.org/officeDocument/2006/relationships/image" Target="../media/image125.png"/><Relationship Id="rId144" Type="http://schemas.openxmlformats.org/officeDocument/2006/relationships/image" Target="../media/image146.png"/><Relationship Id="rId90" Type="http://schemas.openxmlformats.org/officeDocument/2006/relationships/image" Target="../media/image92.png"/><Relationship Id="rId165" Type="http://schemas.openxmlformats.org/officeDocument/2006/relationships/image" Target="../media/image167.png"/><Relationship Id="rId186" Type="http://schemas.openxmlformats.org/officeDocument/2006/relationships/image" Target="../media/image188.png"/><Relationship Id="rId211" Type="http://schemas.openxmlformats.org/officeDocument/2006/relationships/image" Target="../media/image213.png"/><Relationship Id="rId232" Type="http://schemas.openxmlformats.org/officeDocument/2006/relationships/image" Target="../media/image234.png"/><Relationship Id="rId253" Type="http://schemas.openxmlformats.org/officeDocument/2006/relationships/image" Target="../media/image255.png"/><Relationship Id="rId274" Type="http://schemas.openxmlformats.org/officeDocument/2006/relationships/image" Target="../media/image276.png"/><Relationship Id="rId295" Type="http://schemas.openxmlformats.org/officeDocument/2006/relationships/image" Target="../media/image297.png"/><Relationship Id="rId309" Type="http://schemas.openxmlformats.org/officeDocument/2006/relationships/image" Target="../media/image311.png"/><Relationship Id="rId27" Type="http://schemas.openxmlformats.org/officeDocument/2006/relationships/image" Target="../media/image29.png"/><Relationship Id="rId48" Type="http://schemas.openxmlformats.org/officeDocument/2006/relationships/image" Target="../media/image50.png"/><Relationship Id="rId69" Type="http://schemas.openxmlformats.org/officeDocument/2006/relationships/image" Target="../media/image71.png"/><Relationship Id="rId113" Type="http://schemas.openxmlformats.org/officeDocument/2006/relationships/image" Target="../media/image115.png"/><Relationship Id="rId134" Type="http://schemas.openxmlformats.org/officeDocument/2006/relationships/image" Target="../media/image136.png"/><Relationship Id="rId80" Type="http://schemas.openxmlformats.org/officeDocument/2006/relationships/image" Target="../media/image82.png"/><Relationship Id="rId155" Type="http://schemas.openxmlformats.org/officeDocument/2006/relationships/image" Target="../media/image157.png"/><Relationship Id="rId176" Type="http://schemas.openxmlformats.org/officeDocument/2006/relationships/image" Target="../media/image178.png"/><Relationship Id="rId197" Type="http://schemas.openxmlformats.org/officeDocument/2006/relationships/image" Target="../media/image199.png"/><Relationship Id="rId201" Type="http://schemas.openxmlformats.org/officeDocument/2006/relationships/image" Target="../media/image203.png"/><Relationship Id="rId222" Type="http://schemas.openxmlformats.org/officeDocument/2006/relationships/image" Target="../media/image224.png"/><Relationship Id="rId243" Type="http://schemas.openxmlformats.org/officeDocument/2006/relationships/image" Target="../media/image245.png"/><Relationship Id="rId264" Type="http://schemas.openxmlformats.org/officeDocument/2006/relationships/image" Target="../media/image266.png"/><Relationship Id="rId285" Type="http://schemas.openxmlformats.org/officeDocument/2006/relationships/image" Target="../media/image287.png"/><Relationship Id="rId17" Type="http://schemas.openxmlformats.org/officeDocument/2006/relationships/image" Target="../media/image19.png"/><Relationship Id="rId38" Type="http://schemas.openxmlformats.org/officeDocument/2006/relationships/image" Target="../media/image40.png"/><Relationship Id="rId59" Type="http://schemas.openxmlformats.org/officeDocument/2006/relationships/image" Target="../media/image61.png"/><Relationship Id="rId103" Type="http://schemas.openxmlformats.org/officeDocument/2006/relationships/image" Target="../media/image105.png"/><Relationship Id="rId124" Type="http://schemas.openxmlformats.org/officeDocument/2006/relationships/image" Target="../media/image126.png"/><Relationship Id="rId310" Type="http://schemas.openxmlformats.org/officeDocument/2006/relationships/image" Target="../media/image312.png"/><Relationship Id="rId70" Type="http://schemas.openxmlformats.org/officeDocument/2006/relationships/image" Target="../media/image72.png"/><Relationship Id="rId91" Type="http://schemas.openxmlformats.org/officeDocument/2006/relationships/image" Target="../media/image93.png"/><Relationship Id="rId145" Type="http://schemas.openxmlformats.org/officeDocument/2006/relationships/image" Target="../media/image147.png"/><Relationship Id="rId166" Type="http://schemas.openxmlformats.org/officeDocument/2006/relationships/image" Target="../media/image168.png"/><Relationship Id="rId187" Type="http://schemas.openxmlformats.org/officeDocument/2006/relationships/image" Target="../media/image189.png"/><Relationship Id="rId1" Type="http://schemas.openxmlformats.org/officeDocument/2006/relationships/image" Target="../media/image3.png"/><Relationship Id="rId212" Type="http://schemas.openxmlformats.org/officeDocument/2006/relationships/image" Target="../media/image214.png"/><Relationship Id="rId233" Type="http://schemas.openxmlformats.org/officeDocument/2006/relationships/image" Target="../media/image235.png"/><Relationship Id="rId254" Type="http://schemas.openxmlformats.org/officeDocument/2006/relationships/image" Target="../media/image256.png"/><Relationship Id="rId28" Type="http://schemas.openxmlformats.org/officeDocument/2006/relationships/image" Target="../media/image30.png"/><Relationship Id="rId49" Type="http://schemas.openxmlformats.org/officeDocument/2006/relationships/image" Target="../media/image51.png"/><Relationship Id="rId114" Type="http://schemas.openxmlformats.org/officeDocument/2006/relationships/image" Target="../media/image116.png"/><Relationship Id="rId275" Type="http://schemas.openxmlformats.org/officeDocument/2006/relationships/image" Target="../media/image277.png"/><Relationship Id="rId296" Type="http://schemas.openxmlformats.org/officeDocument/2006/relationships/image" Target="../media/image298.png"/><Relationship Id="rId300" Type="http://schemas.openxmlformats.org/officeDocument/2006/relationships/image" Target="../media/image302.png"/><Relationship Id="rId60" Type="http://schemas.openxmlformats.org/officeDocument/2006/relationships/image" Target="../media/image62.png"/><Relationship Id="rId81" Type="http://schemas.openxmlformats.org/officeDocument/2006/relationships/image" Target="../media/image83.png"/><Relationship Id="rId135" Type="http://schemas.openxmlformats.org/officeDocument/2006/relationships/image" Target="../media/image137.png"/><Relationship Id="rId156" Type="http://schemas.openxmlformats.org/officeDocument/2006/relationships/image" Target="../media/image158.png"/><Relationship Id="rId177" Type="http://schemas.openxmlformats.org/officeDocument/2006/relationships/image" Target="../media/image179.png"/><Relationship Id="rId198" Type="http://schemas.openxmlformats.org/officeDocument/2006/relationships/image" Target="../media/image200.png"/><Relationship Id="rId202" Type="http://schemas.openxmlformats.org/officeDocument/2006/relationships/image" Target="../media/image204.png"/><Relationship Id="rId223" Type="http://schemas.openxmlformats.org/officeDocument/2006/relationships/image" Target="../media/image225.png"/><Relationship Id="rId244" Type="http://schemas.openxmlformats.org/officeDocument/2006/relationships/image" Target="../media/image246.png"/><Relationship Id="rId18" Type="http://schemas.openxmlformats.org/officeDocument/2006/relationships/image" Target="../media/image20.png"/><Relationship Id="rId39" Type="http://schemas.openxmlformats.org/officeDocument/2006/relationships/image" Target="../media/image41.png"/><Relationship Id="rId265" Type="http://schemas.openxmlformats.org/officeDocument/2006/relationships/image" Target="../media/image267.png"/><Relationship Id="rId286" Type="http://schemas.openxmlformats.org/officeDocument/2006/relationships/image" Target="../media/image288.png"/><Relationship Id="rId50" Type="http://schemas.openxmlformats.org/officeDocument/2006/relationships/image" Target="../media/image52.png"/><Relationship Id="rId104" Type="http://schemas.openxmlformats.org/officeDocument/2006/relationships/image" Target="../media/image106.png"/><Relationship Id="rId125" Type="http://schemas.openxmlformats.org/officeDocument/2006/relationships/image" Target="../media/image127.png"/><Relationship Id="rId146" Type="http://schemas.openxmlformats.org/officeDocument/2006/relationships/image" Target="../media/image148.png"/><Relationship Id="rId167" Type="http://schemas.openxmlformats.org/officeDocument/2006/relationships/image" Target="../media/image169.png"/><Relationship Id="rId188" Type="http://schemas.openxmlformats.org/officeDocument/2006/relationships/image" Target="../media/image190.png"/><Relationship Id="rId311" Type="http://schemas.openxmlformats.org/officeDocument/2006/relationships/image" Target="../media/image313.png"/><Relationship Id="rId71" Type="http://schemas.openxmlformats.org/officeDocument/2006/relationships/image" Target="../media/image73.png"/><Relationship Id="rId92" Type="http://schemas.openxmlformats.org/officeDocument/2006/relationships/image" Target="../media/image94.png"/><Relationship Id="rId213" Type="http://schemas.openxmlformats.org/officeDocument/2006/relationships/image" Target="../media/image215.png"/><Relationship Id="rId234" Type="http://schemas.openxmlformats.org/officeDocument/2006/relationships/image" Target="../media/image236.png"/><Relationship Id="rId2" Type="http://schemas.openxmlformats.org/officeDocument/2006/relationships/image" Target="../media/image4.png"/><Relationship Id="rId29" Type="http://schemas.openxmlformats.org/officeDocument/2006/relationships/image" Target="../media/image31.png"/><Relationship Id="rId255" Type="http://schemas.openxmlformats.org/officeDocument/2006/relationships/image" Target="../media/image257.png"/><Relationship Id="rId276" Type="http://schemas.openxmlformats.org/officeDocument/2006/relationships/image" Target="../media/image278.png"/><Relationship Id="rId297" Type="http://schemas.openxmlformats.org/officeDocument/2006/relationships/image" Target="../media/image299.png"/><Relationship Id="rId40" Type="http://schemas.openxmlformats.org/officeDocument/2006/relationships/image" Target="../media/image42.png"/><Relationship Id="rId115" Type="http://schemas.openxmlformats.org/officeDocument/2006/relationships/image" Target="../media/image117.png"/><Relationship Id="rId136" Type="http://schemas.openxmlformats.org/officeDocument/2006/relationships/image" Target="../media/image138.png"/><Relationship Id="rId157" Type="http://schemas.openxmlformats.org/officeDocument/2006/relationships/image" Target="../media/image159.png"/><Relationship Id="rId178" Type="http://schemas.openxmlformats.org/officeDocument/2006/relationships/image" Target="../media/image180.png"/><Relationship Id="rId301" Type="http://schemas.openxmlformats.org/officeDocument/2006/relationships/image" Target="../media/image303.png"/><Relationship Id="rId61" Type="http://schemas.openxmlformats.org/officeDocument/2006/relationships/image" Target="../media/image63.png"/><Relationship Id="rId82" Type="http://schemas.openxmlformats.org/officeDocument/2006/relationships/image" Target="../media/image84.png"/><Relationship Id="rId199" Type="http://schemas.openxmlformats.org/officeDocument/2006/relationships/image" Target="../media/image201.png"/><Relationship Id="rId203" Type="http://schemas.openxmlformats.org/officeDocument/2006/relationships/image" Target="../media/image205.png"/><Relationship Id="rId19" Type="http://schemas.openxmlformats.org/officeDocument/2006/relationships/image" Target="../media/image21.png"/><Relationship Id="rId224" Type="http://schemas.openxmlformats.org/officeDocument/2006/relationships/image" Target="../media/image226.png"/><Relationship Id="rId245" Type="http://schemas.openxmlformats.org/officeDocument/2006/relationships/image" Target="../media/image247.png"/><Relationship Id="rId266" Type="http://schemas.openxmlformats.org/officeDocument/2006/relationships/image" Target="../media/image268.png"/><Relationship Id="rId287" Type="http://schemas.openxmlformats.org/officeDocument/2006/relationships/image" Target="../media/image289.png"/><Relationship Id="rId30" Type="http://schemas.openxmlformats.org/officeDocument/2006/relationships/image" Target="../media/image32.png"/><Relationship Id="rId105" Type="http://schemas.openxmlformats.org/officeDocument/2006/relationships/image" Target="../media/image107.png"/><Relationship Id="rId126" Type="http://schemas.openxmlformats.org/officeDocument/2006/relationships/image" Target="../media/image128.png"/><Relationship Id="rId147" Type="http://schemas.openxmlformats.org/officeDocument/2006/relationships/image" Target="../media/image149.png"/><Relationship Id="rId168" Type="http://schemas.openxmlformats.org/officeDocument/2006/relationships/image" Target="../media/image170.png"/><Relationship Id="rId312" Type="http://schemas.openxmlformats.org/officeDocument/2006/relationships/image" Target="../media/image314.png"/><Relationship Id="rId51" Type="http://schemas.openxmlformats.org/officeDocument/2006/relationships/image" Target="../media/image53.png"/><Relationship Id="rId72" Type="http://schemas.openxmlformats.org/officeDocument/2006/relationships/image" Target="../media/image74.png"/><Relationship Id="rId93" Type="http://schemas.openxmlformats.org/officeDocument/2006/relationships/image" Target="../media/image95.png"/><Relationship Id="rId189" Type="http://schemas.openxmlformats.org/officeDocument/2006/relationships/image" Target="../media/image191.png"/><Relationship Id="rId3" Type="http://schemas.openxmlformats.org/officeDocument/2006/relationships/image" Target="../media/image5.png"/><Relationship Id="rId214" Type="http://schemas.openxmlformats.org/officeDocument/2006/relationships/image" Target="../media/image216.png"/><Relationship Id="rId235" Type="http://schemas.openxmlformats.org/officeDocument/2006/relationships/image" Target="../media/image237.png"/><Relationship Id="rId256" Type="http://schemas.openxmlformats.org/officeDocument/2006/relationships/image" Target="../media/image258.png"/><Relationship Id="rId277" Type="http://schemas.openxmlformats.org/officeDocument/2006/relationships/image" Target="../media/image279.png"/><Relationship Id="rId298" Type="http://schemas.openxmlformats.org/officeDocument/2006/relationships/image" Target="../media/image300.png"/><Relationship Id="rId116" Type="http://schemas.openxmlformats.org/officeDocument/2006/relationships/image" Target="../media/image118.png"/><Relationship Id="rId137" Type="http://schemas.openxmlformats.org/officeDocument/2006/relationships/image" Target="../media/image139.png"/><Relationship Id="rId158" Type="http://schemas.openxmlformats.org/officeDocument/2006/relationships/image" Target="../media/image160.png"/><Relationship Id="rId302" Type="http://schemas.openxmlformats.org/officeDocument/2006/relationships/image" Target="../media/image304.png"/><Relationship Id="rId20" Type="http://schemas.openxmlformats.org/officeDocument/2006/relationships/image" Target="../media/image22.png"/><Relationship Id="rId41" Type="http://schemas.openxmlformats.org/officeDocument/2006/relationships/image" Target="../media/image43.png"/><Relationship Id="rId62" Type="http://schemas.openxmlformats.org/officeDocument/2006/relationships/image" Target="../media/image64.png"/><Relationship Id="rId83" Type="http://schemas.openxmlformats.org/officeDocument/2006/relationships/image" Target="../media/image85.png"/><Relationship Id="rId179" Type="http://schemas.openxmlformats.org/officeDocument/2006/relationships/image" Target="../media/image181.png"/><Relationship Id="rId190" Type="http://schemas.openxmlformats.org/officeDocument/2006/relationships/image" Target="../media/image192.png"/><Relationship Id="rId204" Type="http://schemas.openxmlformats.org/officeDocument/2006/relationships/image" Target="../media/image206.png"/><Relationship Id="rId225" Type="http://schemas.openxmlformats.org/officeDocument/2006/relationships/image" Target="../media/image227.png"/><Relationship Id="rId246" Type="http://schemas.openxmlformats.org/officeDocument/2006/relationships/image" Target="../media/image248.png"/><Relationship Id="rId267" Type="http://schemas.openxmlformats.org/officeDocument/2006/relationships/image" Target="../media/image269.png"/><Relationship Id="rId288" Type="http://schemas.openxmlformats.org/officeDocument/2006/relationships/image" Target="../media/image290.png"/><Relationship Id="rId106" Type="http://schemas.openxmlformats.org/officeDocument/2006/relationships/image" Target="../media/image108.png"/><Relationship Id="rId127" Type="http://schemas.openxmlformats.org/officeDocument/2006/relationships/image" Target="../media/image129.png"/><Relationship Id="rId313" Type="http://schemas.openxmlformats.org/officeDocument/2006/relationships/image" Target="../media/image315.png"/><Relationship Id="rId10" Type="http://schemas.openxmlformats.org/officeDocument/2006/relationships/image" Target="../media/image12.png"/><Relationship Id="rId31" Type="http://schemas.openxmlformats.org/officeDocument/2006/relationships/image" Target="../media/image33.png"/><Relationship Id="rId52" Type="http://schemas.openxmlformats.org/officeDocument/2006/relationships/image" Target="../media/image54.png"/><Relationship Id="rId73" Type="http://schemas.openxmlformats.org/officeDocument/2006/relationships/image" Target="../media/image75.png"/><Relationship Id="rId94" Type="http://schemas.openxmlformats.org/officeDocument/2006/relationships/image" Target="../media/image96.png"/><Relationship Id="rId148" Type="http://schemas.openxmlformats.org/officeDocument/2006/relationships/image" Target="../media/image150.png"/><Relationship Id="rId169" Type="http://schemas.openxmlformats.org/officeDocument/2006/relationships/image" Target="../media/image171.png"/><Relationship Id="rId4" Type="http://schemas.openxmlformats.org/officeDocument/2006/relationships/image" Target="../media/image6.png"/><Relationship Id="rId180" Type="http://schemas.openxmlformats.org/officeDocument/2006/relationships/image" Target="../media/image182.png"/><Relationship Id="rId215" Type="http://schemas.openxmlformats.org/officeDocument/2006/relationships/image" Target="../media/image217.png"/><Relationship Id="rId236" Type="http://schemas.openxmlformats.org/officeDocument/2006/relationships/image" Target="../media/image238.png"/><Relationship Id="rId257" Type="http://schemas.openxmlformats.org/officeDocument/2006/relationships/image" Target="../media/image259.png"/><Relationship Id="rId278" Type="http://schemas.openxmlformats.org/officeDocument/2006/relationships/image" Target="../media/image280.png"/><Relationship Id="rId303" Type="http://schemas.openxmlformats.org/officeDocument/2006/relationships/image" Target="../media/image305.png"/><Relationship Id="rId42" Type="http://schemas.openxmlformats.org/officeDocument/2006/relationships/image" Target="../media/image44.png"/><Relationship Id="rId84" Type="http://schemas.openxmlformats.org/officeDocument/2006/relationships/image" Target="../media/image86.png"/><Relationship Id="rId138" Type="http://schemas.openxmlformats.org/officeDocument/2006/relationships/image" Target="../media/image140.png"/><Relationship Id="rId191" Type="http://schemas.openxmlformats.org/officeDocument/2006/relationships/image" Target="../media/image193.png"/><Relationship Id="rId205" Type="http://schemas.openxmlformats.org/officeDocument/2006/relationships/image" Target="../media/image207.png"/><Relationship Id="rId247" Type="http://schemas.openxmlformats.org/officeDocument/2006/relationships/image" Target="../media/image249.png"/><Relationship Id="rId107" Type="http://schemas.openxmlformats.org/officeDocument/2006/relationships/image" Target="../media/image109.png"/><Relationship Id="rId289" Type="http://schemas.openxmlformats.org/officeDocument/2006/relationships/image" Target="../media/image291.png"/><Relationship Id="rId11" Type="http://schemas.openxmlformats.org/officeDocument/2006/relationships/image" Target="../media/image13.png"/><Relationship Id="rId53" Type="http://schemas.openxmlformats.org/officeDocument/2006/relationships/image" Target="../media/image55.png"/><Relationship Id="rId149" Type="http://schemas.openxmlformats.org/officeDocument/2006/relationships/image" Target="../media/image151.png"/><Relationship Id="rId314" Type="http://schemas.openxmlformats.org/officeDocument/2006/relationships/image" Target="../media/image316.png"/><Relationship Id="rId95" Type="http://schemas.openxmlformats.org/officeDocument/2006/relationships/image" Target="../media/image97.png"/><Relationship Id="rId160" Type="http://schemas.openxmlformats.org/officeDocument/2006/relationships/image" Target="../media/image162.png"/><Relationship Id="rId216" Type="http://schemas.openxmlformats.org/officeDocument/2006/relationships/image" Target="../media/image218.png"/><Relationship Id="rId258" Type="http://schemas.openxmlformats.org/officeDocument/2006/relationships/image" Target="../media/image260.png"/><Relationship Id="rId22" Type="http://schemas.openxmlformats.org/officeDocument/2006/relationships/image" Target="../media/image24.png"/><Relationship Id="rId64" Type="http://schemas.openxmlformats.org/officeDocument/2006/relationships/image" Target="../media/image66.png"/><Relationship Id="rId118" Type="http://schemas.openxmlformats.org/officeDocument/2006/relationships/image" Target="../media/image120.png"/><Relationship Id="rId171" Type="http://schemas.openxmlformats.org/officeDocument/2006/relationships/image" Target="../media/image173.png"/><Relationship Id="rId227" Type="http://schemas.openxmlformats.org/officeDocument/2006/relationships/image" Target="../media/image229.png"/><Relationship Id="rId269" Type="http://schemas.openxmlformats.org/officeDocument/2006/relationships/image" Target="../media/image271.png"/><Relationship Id="rId33" Type="http://schemas.openxmlformats.org/officeDocument/2006/relationships/image" Target="../media/image35.png"/><Relationship Id="rId129" Type="http://schemas.openxmlformats.org/officeDocument/2006/relationships/image" Target="../media/image131.png"/><Relationship Id="rId280" Type="http://schemas.openxmlformats.org/officeDocument/2006/relationships/image" Target="../media/image282.png"/><Relationship Id="rId75" Type="http://schemas.openxmlformats.org/officeDocument/2006/relationships/image" Target="../media/image77.png"/><Relationship Id="rId140" Type="http://schemas.openxmlformats.org/officeDocument/2006/relationships/image" Target="../media/image142.png"/><Relationship Id="rId182" Type="http://schemas.openxmlformats.org/officeDocument/2006/relationships/image" Target="../media/image184.png"/><Relationship Id="rId6" Type="http://schemas.openxmlformats.org/officeDocument/2006/relationships/image" Target="../media/image8.png"/><Relationship Id="rId238" Type="http://schemas.openxmlformats.org/officeDocument/2006/relationships/image" Target="../media/image240.png"/><Relationship Id="rId291" Type="http://schemas.openxmlformats.org/officeDocument/2006/relationships/image" Target="../media/image293.png"/><Relationship Id="rId305" Type="http://schemas.openxmlformats.org/officeDocument/2006/relationships/image" Target="../media/image307.png"/><Relationship Id="rId44" Type="http://schemas.openxmlformats.org/officeDocument/2006/relationships/image" Target="../media/image46.png"/><Relationship Id="rId86" Type="http://schemas.openxmlformats.org/officeDocument/2006/relationships/image" Target="../media/image88.png"/><Relationship Id="rId151" Type="http://schemas.openxmlformats.org/officeDocument/2006/relationships/image" Target="../media/image153.png"/><Relationship Id="rId193" Type="http://schemas.openxmlformats.org/officeDocument/2006/relationships/image" Target="../media/image195.png"/><Relationship Id="rId207" Type="http://schemas.openxmlformats.org/officeDocument/2006/relationships/image" Target="../media/image209.png"/><Relationship Id="rId249" Type="http://schemas.openxmlformats.org/officeDocument/2006/relationships/image" Target="../media/image25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182008</xdr:colOff>
      <xdr:row>26</xdr:row>
      <xdr:rowOff>29244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CB910-0B31-AE13-2F81-954DAADD9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401958" cy="4791744"/>
        </a:xfrm>
        <a:prstGeom prst="rect">
          <a:avLst/>
        </a:prstGeom>
      </xdr:spPr>
    </xdr:pic>
    <xdr:clientData/>
  </xdr:twoCellAnchor>
  <xdr:twoCellAnchor editAs="oneCell">
    <xdr:from>
      <xdr:col>12</xdr:col>
      <xdr:colOff>590550</xdr:colOff>
      <xdr:row>1</xdr:row>
      <xdr:rowOff>57150</xdr:rowOff>
    </xdr:from>
    <xdr:to>
      <xdr:col>22</xdr:col>
      <xdr:colOff>534243</xdr:colOff>
      <xdr:row>29</xdr:row>
      <xdr:rowOff>737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3F4116-B7F2-55F5-68D5-24C68FF95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20100" y="247650"/>
          <a:ext cx="6039693" cy="52775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9190</xdr:rowOff>
    </xdr:from>
    <xdr:to>
      <xdr:col>7</xdr:col>
      <xdr:colOff>1723392</xdr:colOff>
      <xdr:row>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7FC3BA-542E-4564-B146-E3DE4C5D4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99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</xdr:row>
      <xdr:rowOff>9190</xdr:rowOff>
    </xdr:from>
    <xdr:to>
      <xdr:col>26</xdr:col>
      <xdr:colOff>809551</xdr:colOff>
      <xdr:row>2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61B59C-DF9A-4705-AE21-3FB564A01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99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3</xdr:row>
      <xdr:rowOff>9190</xdr:rowOff>
    </xdr:from>
    <xdr:to>
      <xdr:col>7</xdr:col>
      <xdr:colOff>1723392</xdr:colOff>
      <xdr:row>3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EA4111-0660-4EA2-A9F6-76386C88A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7200" y="390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3</xdr:row>
      <xdr:rowOff>9190</xdr:rowOff>
    </xdr:from>
    <xdr:to>
      <xdr:col>26</xdr:col>
      <xdr:colOff>809551</xdr:colOff>
      <xdr:row>3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7A4F55-A328-406F-9EEA-F781161F4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849600" y="390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179</xdr:row>
      <xdr:rowOff>9190</xdr:rowOff>
    </xdr:from>
    <xdr:to>
      <xdr:col>7</xdr:col>
      <xdr:colOff>1723392</xdr:colOff>
      <xdr:row>179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E2B52CF-B084-4191-845E-6D1F8F69E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67200" y="580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179</xdr:row>
      <xdr:rowOff>9190</xdr:rowOff>
    </xdr:from>
    <xdr:to>
      <xdr:col>26</xdr:col>
      <xdr:colOff>809551</xdr:colOff>
      <xdr:row>179</xdr:row>
      <xdr:rowOff>180975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0ECD75B-B2F4-471C-885F-A9BDA5328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49600" y="580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4</xdr:row>
      <xdr:rowOff>9190</xdr:rowOff>
    </xdr:from>
    <xdr:to>
      <xdr:col>7</xdr:col>
      <xdr:colOff>1723392</xdr:colOff>
      <xdr:row>4</xdr:row>
      <xdr:rowOff>180975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FD0DA72-223D-4D86-B916-37EEAE0E7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67200" y="771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4</xdr:row>
      <xdr:rowOff>9190</xdr:rowOff>
    </xdr:from>
    <xdr:to>
      <xdr:col>26</xdr:col>
      <xdr:colOff>809551</xdr:colOff>
      <xdr:row>4</xdr:row>
      <xdr:rowOff>180975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5CE9831-871E-474C-A971-57F63761C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771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27</xdr:row>
      <xdr:rowOff>9190</xdr:rowOff>
    </xdr:from>
    <xdr:to>
      <xdr:col>7</xdr:col>
      <xdr:colOff>1723392</xdr:colOff>
      <xdr:row>27</xdr:row>
      <xdr:rowOff>180975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04FC05D-83EC-437B-9E71-E1D927ECF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67200" y="961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27</xdr:row>
      <xdr:rowOff>9190</xdr:rowOff>
    </xdr:from>
    <xdr:to>
      <xdr:col>26</xdr:col>
      <xdr:colOff>809551</xdr:colOff>
      <xdr:row>27</xdr:row>
      <xdr:rowOff>180975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8F40B3B-C216-4583-82FD-08C9CA072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961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38</xdr:row>
      <xdr:rowOff>9190</xdr:rowOff>
    </xdr:from>
    <xdr:to>
      <xdr:col>7</xdr:col>
      <xdr:colOff>1723392</xdr:colOff>
      <xdr:row>38</xdr:row>
      <xdr:rowOff>180975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B20E12B-2A94-49C1-8A01-7C2CA1969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67200" y="1152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38</xdr:row>
      <xdr:rowOff>9190</xdr:rowOff>
    </xdr:from>
    <xdr:to>
      <xdr:col>26</xdr:col>
      <xdr:colOff>809551</xdr:colOff>
      <xdr:row>38</xdr:row>
      <xdr:rowOff>180975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CF0636-EBDA-4A72-9CAC-A228D8CBC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849600" y="1152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16</xdr:row>
      <xdr:rowOff>9190</xdr:rowOff>
    </xdr:from>
    <xdr:to>
      <xdr:col>7</xdr:col>
      <xdr:colOff>1723392</xdr:colOff>
      <xdr:row>16</xdr:row>
      <xdr:rowOff>180975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4C3EA9E-220C-4FB8-B393-B1E87BC6B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67200" y="1342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16</xdr:row>
      <xdr:rowOff>9190</xdr:rowOff>
    </xdr:from>
    <xdr:to>
      <xdr:col>26</xdr:col>
      <xdr:colOff>809551</xdr:colOff>
      <xdr:row>16</xdr:row>
      <xdr:rowOff>180975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8234055-CC87-4521-AFD0-35568B1A4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849600" y="1342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7</xdr:row>
      <xdr:rowOff>9190</xdr:rowOff>
    </xdr:from>
    <xdr:to>
      <xdr:col>7</xdr:col>
      <xdr:colOff>1723392</xdr:colOff>
      <xdr:row>7</xdr:row>
      <xdr:rowOff>180975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C2F7C40-0BD1-4C8A-AD2F-CD8E2F515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67200" y="1533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7</xdr:row>
      <xdr:rowOff>9190</xdr:rowOff>
    </xdr:from>
    <xdr:to>
      <xdr:col>26</xdr:col>
      <xdr:colOff>809551</xdr:colOff>
      <xdr:row>7</xdr:row>
      <xdr:rowOff>180975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E659987-3261-4A87-984D-C04458A0D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849600" y="1533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180</xdr:row>
      <xdr:rowOff>9190</xdr:rowOff>
    </xdr:from>
    <xdr:to>
      <xdr:col>7</xdr:col>
      <xdr:colOff>1723392</xdr:colOff>
      <xdr:row>180</xdr:row>
      <xdr:rowOff>180975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A53FFE4-1DAD-4EE0-AB86-5474B5807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267200" y="1723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180</xdr:row>
      <xdr:rowOff>9190</xdr:rowOff>
    </xdr:from>
    <xdr:to>
      <xdr:col>26</xdr:col>
      <xdr:colOff>809551</xdr:colOff>
      <xdr:row>180</xdr:row>
      <xdr:rowOff>180975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6482E5F-5D8C-4D2C-A7D6-8CDAC9D02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849600" y="1723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128</xdr:row>
      <xdr:rowOff>9190</xdr:rowOff>
    </xdr:from>
    <xdr:to>
      <xdr:col>7</xdr:col>
      <xdr:colOff>1723392</xdr:colOff>
      <xdr:row>128</xdr:row>
      <xdr:rowOff>180975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9FD4A20-5970-4F69-9CB8-6541F4B97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267200" y="1914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128</xdr:row>
      <xdr:rowOff>9190</xdr:rowOff>
    </xdr:from>
    <xdr:to>
      <xdr:col>26</xdr:col>
      <xdr:colOff>809551</xdr:colOff>
      <xdr:row>128</xdr:row>
      <xdr:rowOff>180975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DAD6DD0-5697-4A91-8FCD-619C4AD51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849600" y="1914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181</xdr:row>
      <xdr:rowOff>9190</xdr:rowOff>
    </xdr:from>
    <xdr:to>
      <xdr:col>7</xdr:col>
      <xdr:colOff>1723392</xdr:colOff>
      <xdr:row>181</xdr:row>
      <xdr:rowOff>180975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630E2DB-2039-4373-9433-DEDDA1C7C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67200" y="2104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181</xdr:row>
      <xdr:rowOff>9190</xdr:rowOff>
    </xdr:from>
    <xdr:to>
      <xdr:col>26</xdr:col>
      <xdr:colOff>809551</xdr:colOff>
      <xdr:row>181</xdr:row>
      <xdr:rowOff>180975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9B19C68-A488-4C0E-BBA7-D117C89F2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849600" y="2104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8</xdr:row>
      <xdr:rowOff>9190</xdr:rowOff>
    </xdr:from>
    <xdr:to>
      <xdr:col>7</xdr:col>
      <xdr:colOff>1723392</xdr:colOff>
      <xdr:row>8</xdr:row>
      <xdr:rowOff>180975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DD6FCBB-C035-4459-BD04-C1F1F84C9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267200" y="2295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8</xdr:row>
      <xdr:rowOff>9190</xdr:rowOff>
    </xdr:from>
    <xdr:to>
      <xdr:col>26</xdr:col>
      <xdr:colOff>809551</xdr:colOff>
      <xdr:row>8</xdr:row>
      <xdr:rowOff>180975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D6EDBF3-87E1-4D64-AC60-448EEA8DC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5849600" y="2295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10</xdr:row>
      <xdr:rowOff>9190</xdr:rowOff>
    </xdr:from>
    <xdr:to>
      <xdr:col>7</xdr:col>
      <xdr:colOff>1723392</xdr:colOff>
      <xdr:row>10</xdr:row>
      <xdr:rowOff>180975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BDD8A12-1C16-4EF4-BA22-B1C1C906E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267200" y="2485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10</xdr:row>
      <xdr:rowOff>9190</xdr:rowOff>
    </xdr:from>
    <xdr:to>
      <xdr:col>26</xdr:col>
      <xdr:colOff>809551</xdr:colOff>
      <xdr:row>10</xdr:row>
      <xdr:rowOff>180975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3FE2302-F4D3-4B69-AB4F-E2A07EF8A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485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22</xdr:row>
      <xdr:rowOff>9190</xdr:rowOff>
    </xdr:from>
    <xdr:to>
      <xdr:col>7</xdr:col>
      <xdr:colOff>1723392</xdr:colOff>
      <xdr:row>22</xdr:row>
      <xdr:rowOff>180975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1D78F77-145D-4385-AC9E-C95D14A8C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267200" y="2676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22</xdr:row>
      <xdr:rowOff>9190</xdr:rowOff>
    </xdr:from>
    <xdr:to>
      <xdr:col>26</xdr:col>
      <xdr:colOff>809551</xdr:colOff>
      <xdr:row>22</xdr:row>
      <xdr:rowOff>180975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4EBCB10-F16E-4897-A560-9B5523B2D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849600" y="2676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182</xdr:row>
      <xdr:rowOff>9190</xdr:rowOff>
    </xdr:from>
    <xdr:to>
      <xdr:col>7</xdr:col>
      <xdr:colOff>1723392</xdr:colOff>
      <xdr:row>182</xdr:row>
      <xdr:rowOff>180975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F6A731E-8E4F-4A42-A34F-1365227EF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267200" y="2866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182</xdr:row>
      <xdr:rowOff>9190</xdr:rowOff>
    </xdr:from>
    <xdr:to>
      <xdr:col>26</xdr:col>
      <xdr:colOff>809551</xdr:colOff>
      <xdr:row>182</xdr:row>
      <xdr:rowOff>180975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627CA59-21AD-4615-934B-155FCE04E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5849600" y="2866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183</xdr:row>
      <xdr:rowOff>9190</xdr:rowOff>
    </xdr:from>
    <xdr:to>
      <xdr:col>7</xdr:col>
      <xdr:colOff>1723392</xdr:colOff>
      <xdr:row>183</xdr:row>
      <xdr:rowOff>180975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1076D9B-1590-4CEF-A8F4-AC9427F69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267200" y="3057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183</xdr:row>
      <xdr:rowOff>9190</xdr:rowOff>
    </xdr:from>
    <xdr:to>
      <xdr:col>26</xdr:col>
      <xdr:colOff>809551</xdr:colOff>
      <xdr:row>183</xdr:row>
      <xdr:rowOff>180975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0AC3199-F3CF-4EC1-B6ED-9E414C838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5849600" y="3057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184</xdr:row>
      <xdr:rowOff>9190</xdr:rowOff>
    </xdr:from>
    <xdr:to>
      <xdr:col>7</xdr:col>
      <xdr:colOff>1723392</xdr:colOff>
      <xdr:row>184</xdr:row>
      <xdr:rowOff>180975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30F4FD1-5CF0-4F1F-9A87-151B31317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267200" y="3247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184</xdr:row>
      <xdr:rowOff>9190</xdr:rowOff>
    </xdr:from>
    <xdr:to>
      <xdr:col>26</xdr:col>
      <xdr:colOff>809551</xdr:colOff>
      <xdr:row>184</xdr:row>
      <xdr:rowOff>180975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42ECD0F-45C0-4F00-B19C-1A26CD93A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5849600" y="3247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47</xdr:row>
      <xdr:rowOff>9190</xdr:rowOff>
    </xdr:from>
    <xdr:to>
      <xdr:col>7</xdr:col>
      <xdr:colOff>1723392</xdr:colOff>
      <xdr:row>47</xdr:row>
      <xdr:rowOff>180975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55C48AED-7553-449C-9EE1-C941336AF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267200" y="3438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47</xdr:row>
      <xdr:rowOff>9190</xdr:rowOff>
    </xdr:from>
    <xdr:to>
      <xdr:col>26</xdr:col>
      <xdr:colOff>809551</xdr:colOff>
      <xdr:row>47</xdr:row>
      <xdr:rowOff>180975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1897F00-3DE6-4E13-BDEF-7A5519BB3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438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23</xdr:row>
      <xdr:rowOff>9190</xdr:rowOff>
    </xdr:from>
    <xdr:to>
      <xdr:col>7</xdr:col>
      <xdr:colOff>1723392</xdr:colOff>
      <xdr:row>23</xdr:row>
      <xdr:rowOff>180975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8DC859D-90D8-4777-957D-89DC3627E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267200" y="3628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23</xdr:row>
      <xdr:rowOff>9190</xdr:rowOff>
    </xdr:from>
    <xdr:to>
      <xdr:col>26</xdr:col>
      <xdr:colOff>809551</xdr:colOff>
      <xdr:row>23</xdr:row>
      <xdr:rowOff>180975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E67FFF1A-ADD1-44C4-814D-EB1249924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628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13</xdr:row>
      <xdr:rowOff>9190</xdr:rowOff>
    </xdr:from>
    <xdr:to>
      <xdr:col>7</xdr:col>
      <xdr:colOff>1723392</xdr:colOff>
      <xdr:row>13</xdr:row>
      <xdr:rowOff>180975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6BEAE74E-9B5F-43C4-A56B-8440164A8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267200" y="3819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13</xdr:row>
      <xdr:rowOff>9190</xdr:rowOff>
    </xdr:from>
    <xdr:to>
      <xdr:col>26</xdr:col>
      <xdr:colOff>809551</xdr:colOff>
      <xdr:row>13</xdr:row>
      <xdr:rowOff>180975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2AC6A12-0656-4222-B099-FE290553A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819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14</xdr:row>
      <xdr:rowOff>9190</xdr:rowOff>
    </xdr:from>
    <xdr:to>
      <xdr:col>7</xdr:col>
      <xdr:colOff>1723392</xdr:colOff>
      <xdr:row>14</xdr:row>
      <xdr:rowOff>180975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A11768F2-37D5-4FE1-A1FB-F94B7F7E0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67200" y="4009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14</xdr:row>
      <xdr:rowOff>9190</xdr:rowOff>
    </xdr:from>
    <xdr:to>
      <xdr:col>26</xdr:col>
      <xdr:colOff>809551</xdr:colOff>
      <xdr:row>14</xdr:row>
      <xdr:rowOff>180975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5AE750BE-97BE-4F07-A35F-FD4C441D3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5849600" y="4009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18</xdr:row>
      <xdr:rowOff>9190</xdr:rowOff>
    </xdr:from>
    <xdr:to>
      <xdr:col>7</xdr:col>
      <xdr:colOff>1723392</xdr:colOff>
      <xdr:row>18</xdr:row>
      <xdr:rowOff>180975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3297069A-F016-4309-8F1A-39F3D1ADB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67200" y="4200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18</xdr:row>
      <xdr:rowOff>9190</xdr:rowOff>
    </xdr:from>
    <xdr:to>
      <xdr:col>26</xdr:col>
      <xdr:colOff>809551</xdr:colOff>
      <xdr:row>18</xdr:row>
      <xdr:rowOff>180975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7EE69409-64DD-47FB-A8D7-AD3DC1704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5849600" y="4200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185</xdr:row>
      <xdr:rowOff>9190</xdr:rowOff>
    </xdr:from>
    <xdr:to>
      <xdr:col>7</xdr:col>
      <xdr:colOff>1723392</xdr:colOff>
      <xdr:row>185</xdr:row>
      <xdr:rowOff>180975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84DFAF9C-B5EA-4EF4-ABCD-6FAFF8E9C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67200" y="4390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185</xdr:row>
      <xdr:rowOff>9190</xdr:rowOff>
    </xdr:from>
    <xdr:to>
      <xdr:col>26</xdr:col>
      <xdr:colOff>809551</xdr:colOff>
      <xdr:row>185</xdr:row>
      <xdr:rowOff>180975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4A131704-08F2-488C-B25C-E673CA02A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390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186</xdr:row>
      <xdr:rowOff>9190</xdr:rowOff>
    </xdr:from>
    <xdr:to>
      <xdr:col>7</xdr:col>
      <xdr:colOff>1723392</xdr:colOff>
      <xdr:row>186</xdr:row>
      <xdr:rowOff>180975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DBF52D46-B445-40C9-A235-050E2D3F8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67200" y="4581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186</xdr:row>
      <xdr:rowOff>9190</xdr:rowOff>
    </xdr:from>
    <xdr:to>
      <xdr:col>26</xdr:col>
      <xdr:colOff>809551</xdr:colOff>
      <xdr:row>186</xdr:row>
      <xdr:rowOff>180975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97A55090-4E9B-436A-805A-ECDE7DB69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5849600" y="4581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187</xdr:row>
      <xdr:rowOff>9190</xdr:rowOff>
    </xdr:from>
    <xdr:to>
      <xdr:col>7</xdr:col>
      <xdr:colOff>1723392</xdr:colOff>
      <xdr:row>187</xdr:row>
      <xdr:rowOff>180975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96A44F48-3E21-47C2-8D69-D61EEC2E9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67200" y="4771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187</xdr:row>
      <xdr:rowOff>9190</xdr:rowOff>
    </xdr:from>
    <xdr:to>
      <xdr:col>26</xdr:col>
      <xdr:colOff>809551</xdr:colOff>
      <xdr:row>187</xdr:row>
      <xdr:rowOff>180975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D5225AA1-8F17-455D-AA41-D259BB9E5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771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17</xdr:row>
      <xdr:rowOff>9190</xdr:rowOff>
    </xdr:from>
    <xdr:to>
      <xdr:col>7</xdr:col>
      <xdr:colOff>1723392</xdr:colOff>
      <xdr:row>17</xdr:row>
      <xdr:rowOff>180975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7BB27DF-FC76-4D11-BF10-EF17D7293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67200" y="4962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17</xdr:row>
      <xdr:rowOff>9190</xdr:rowOff>
    </xdr:from>
    <xdr:to>
      <xdr:col>26</xdr:col>
      <xdr:colOff>809551</xdr:colOff>
      <xdr:row>17</xdr:row>
      <xdr:rowOff>180975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22C9F735-2B39-4C66-86E7-5CEC1250F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5849600" y="4962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28</xdr:row>
      <xdr:rowOff>9190</xdr:rowOff>
    </xdr:from>
    <xdr:to>
      <xdr:col>7</xdr:col>
      <xdr:colOff>1723392</xdr:colOff>
      <xdr:row>28</xdr:row>
      <xdr:rowOff>180975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E3A83CE1-7FC0-4E38-9E1A-A4D68423D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67200" y="5152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28</xdr:row>
      <xdr:rowOff>9190</xdr:rowOff>
    </xdr:from>
    <xdr:to>
      <xdr:col>26</xdr:col>
      <xdr:colOff>809551</xdr:colOff>
      <xdr:row>28</xdr:row>
      <xdr:rowOff>180975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BFA4E566-825E-46FC-9EC5-8925E2DA4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5849600" y="5152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32</xdr:row>
      <xdr:rowOff>9190</xdr:rowOff>
    </xdr:from>
    <xdr:to>
      <xdr:col>7</xdr:col>
      <xdr:colOff>1723392</xdr:colOff>
      <xdr:row>32</xdr:row>
      <xdr:rowOff>180975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854A3E4C-E9DE-48B8-87B7-EF103A15C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67200" y="5343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32</xdr:row>
      <xdr:rowOff>9190</xdr:rowOff>
    </xdr:from>
    <xdr:to>
      <xdr:col>26</xdr:col>
      <xdr:colOff>809551</xdr:colOff>
      <xdr:row>32</xdr:row>
      <xdr:rowOff>180975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48CB3E3D-76CA-40FA-9F9A-01F0C1BD8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343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20</xdr:row>
      <xdr:rowOff>9190</xdr:rowOff>
    </xdr:from>
    <xdr:to>
      <xdr:col>7</xdr:col>
      <xdr:colOff>1723392</xdr:colOff>
      <xdr:row>20</xdr:row>
      <xdr:rowOff>180975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EB316AE7-551E-4F18-8611-EB11DBB8A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67200" y="5533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20</xdr:row>
      <xdr:rowOff>9190</xdr:rowOff>
    </xdr:from>
    <xdr:to>
      <xdr:col>26</xdr:col>
      <xdr:colOff>809551</xdr:colOff>
      <xdr:row>20</xdr:row>
      <xdr:rowOff>180975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29673BF6-BC86-4A9D-8083-D95BEFF48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5849600" y="5533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30</xdr:row>
      <xdr:rowOff>9190</xdr:rowOff>
    </xdr:from>
    <xdr:to>
      <xdr:col>7</xdr:col>
      <xdr:colOff>1723392</xdr:colOff>
      <xdr:row>30</xdr:row>
      <xdr:rowOff>180975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A641A641-C09D-4537-BCBD-185EB77EA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67200" y="5724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30</xdr:row>
      <xdr:rowOff>9190</xdr:rowOff>
    </xdr:from>
    <xdr:to>
      <xdr:col>26</xdr:col>
      <xdr:colOff>809551</xdr:colOff>
      <xdr:row>30</xdr:row>
      <xdr:rowOff>180975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5EF8AD1D-609E-4405-B664-60DFC3EBB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5849600" y="5724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26</xdr:row>
      <xdr:rowOff>9190</xdr:rowOff>
    </xdr:from>
    <xdr:to>
      <xdr:col>7</xdr:col>
      <xdr:colOff>1723392</xdr:colOff>
      <xdr:row>26</xdr:row>
      <xdr:rowOff>180975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A5ED1F26-1692-42EE-B96F-86C95B537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67200" y="5914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26</xdr:row>
      <xdr:rowOff>9190</xdr:rowOff>
    </xdr:from>
    <xdr:to>
      <xdr:col>26</xdr:col>
      <xdr:colOff>809551</xdr:colOff>
      <xdr:row>26</xdr:row>
      <xdr:rowOff>180975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C13A8DE8-C9C0-4D4D-9BF4-43A3BEAD4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5849600" y="5914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188</xdr:row>
      <xdr:rowOff>9190</xdr:rowOff>
    </xdr:from>
    <xdr:to>
      <xdr:col>7</xdr:col>
      <xdr:colOff>1723392</xdr:colOff>
      <xdr:row>188</xdr:row>
      <xdr:rowOff>180975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781B766C-686C-4F66-BA93-A65C8E24A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67200" y="6105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188</xdr:row>
      <xdr:rowOff>9190</xdr:rowOff>
    </xdr:from>
    <xdr:to>
      <xdr:col>26</xdr:col>
      <xdr:colOff>809551</xdr:colOff>
      <xdr:row>188</xdr:row>
      <xdr:rowOff>180975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6F886BBE-7E73-49DC-A4B8-27C268A6F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5849600" y="6105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37</xdr:row>
      <xdr:rowOff>9190</xdr:rowOff>
    </xdr:from>
    <xdr:to>
      <xdr:col>7</xdr:col>
      <xdr:colOff>1723392</xdr:colOff>
      <xdr:row>37</xdr:row>
      <xdr:rowOff>180975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2428A492-76AC-4CBF-80C0-F7174D3FF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67200" y="6295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37</xdr:row>
      <xdr:rowOff>9190</xdr:rowOff>
    </xdr:from>
    <xdr:to>
      <xdr:col>26</xdr:col>
      <xdr:colOff>809551</xdr:colOff>
      <xdr:row>37</xdr:row>
      <xdr:rowOff>180975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F9327EF5-909E-4276-8BA2-B876164DB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5849600" y="6295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19</xdr:row>
      <xdr:rowOff>9190</xdr:rowOff>
    </xdr:from>
    <xdr:to>
      <xdr:col>7</xdr:col>
      <xdr:colOff>1723392</xdr:colOff>
      <xdr:row>19</xdr:row>
      <xdr:rowOff>180975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5294E8FE-F45E-4236-89B3-4496B9B27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67200" y="6486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19</xdr:row>
      <xdr:rowOff>9190</xdr:rowOff>
    </xdr:from>
    <xdr:to>
      <xdr:col>26</xdr:col>
      <xdr:colOff>809551</xdr:colOff>
      <xdr:row>19</xdr:row>
      <xdr:rowOff>180975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42C2C93E-C49B-48E1-8D6C-142C176F8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5849600" y="6486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24</xdr:row>
      <xdr:rowOff>9190</xdr:rowOff>
    </xdr:from>
    <xdr:to>
      <xdr:col>7</xdr:col>
      <xdr:colOff>1723392</xdr:colOff>
      <xdr:row>24</xdr:row>
      <xdr:rowOff>180975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9E08982B-9480-4C7E-A8EC-884DCE406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67200" y="6676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24</xdr:row>
      <xdr:rowOff>9190</xdr:rowOff>
    </xdr:from>
    <xdr:to>
      <xdr:col>26</xdr:col>
      <xdr:colOff>809551</xdr:colOff>
      <xdr:row>24</xdr:row>
      <xdr:rowOff>180975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DE97F9B9-35C3-409E-AB67-054EB887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5849600" y="6676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9</xdr:row>
      <xdr:rowOff>9190</xdr:rowOff>
    </xdr:from>
    <xdr:to>
      <xdr:col>7</xdr:col>
      <xdr:colOff>1723392</xdr:colOff>
      <xdr:row>9</xdr:row>
      <xdr:rowOff>180975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370F8EF0-8BE8-4330-A666-A71D1CA6C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67200" y="6867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9</xdr:row>
      <xdr:rowOff>9190</xdr:rowOff>
    </xdr:from>
    <xdr:to>
      <xdr:col>26</xdr:col>
      <xdr:colOff>809551</xdr:colOff>
      <xdr:row>9</xdr:row>
      <xdr:rowOff>180975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E95F930-0D6E-4F1F-9A80-3298BF3C0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5849600" y="6867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35</xdr:row>
      <xdr:rowOff>9190</xdr:rowOff>
    </xdr:from>
    <xdr:to>
      <xdr:col>7</xdr:col>
      <xdr:colOff>1723392</xdr:colOff>
      <xdr:row>35</xdr:row>
      <xdr:rowOff>180975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C60BB28B-2CF3-4B35-9EFB-C310110D7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67200" y="7057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35</xdr:row>
      <xdr:rowOff>9190</xdr:rowOff>
    </xdr:from>
    <xdr:to>
      <xdr:col>26</xdr:col>
      <xdr:colOff>809551</xdr:colOff>
      <xdr:row>35</xdr:row>
      <xdr:rowOff>180975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63F12969-3A0E-49D8-A6AE-327072610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5849600" y="7057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52</xdr:row>
      <xdr:rowOff>9190</xdr:rowOff>
    </xdr:from>
    <xdr:to>
      <xdr:col>7</xdr:col>
      <xdr:colOff>1723392</xdr:colOff>
      <xdr:row>52</xdr:row>
      <xdr:rowOff>180975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D343C5D2-3FFF-4761-991C-16E8720A2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67200" y="7248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52</xdr:row>
      <xdr:rowOff>9190</xdr:rowOff>
    </xdr:from>
    <xdr:to>
      <xdr:col>26</xdr:col>
      <xdr:colOff>809551</xdr:colOff>
      <xdr:row>52</xdr:row>
      <xdr:rowOff>180975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7AF5D9C9-F3A3-4953-9F96-63F3A4729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7248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33</xdr:row>
      <xdr:rowOff>9190</xdr:rowOff>
    </xdr:from>
    <xdr:to>
      <xdr:col>7</xdr:col>
      <xdr:colOff>1723392</xdr:colOff>
      <xdr:row>33</xdr:row>
      <xdr:rowOff>180975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822256BD-F795-41A0-9D27-35AB42375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4267200" y="7438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33</xdr:row>
      <xdr:rowOff>9190</xdr:rowOff>
    </xdr:from>
    <xdr:to>
      <xdr:col>26</xdr:col>
      <xdr:colOff>809551</xdr:colOff>
      <xdr:row>33</xdr:row>
      <xdr:rowOff>180975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DCB6E735-9F4D-436F-9996-45E9EF0D8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5849600" y="7438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49</xdr:row>
      <xdr:rowOff>9190</xdr:rowOff>
    </xdr:from>
    <xdr:to>
      <xdr:col>7</xdr:col>
      <xdr:colOff>1723392</xdr:colOff>
      <xdr:row>49</xdr:row>
      <xdr:rowOff>180975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7C4FAF59-E992-45F5-B6D1-2322911DA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4267200" y="7629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49</xdr:row>
      <xdr:rowOff>9190</xdr:rowOff>
    </xdr:from>
    <xdr:to>
      <xdr:col>26</xdr:col>
      <xdr:colOff>809551</xdr:colOff>
      <xdr:row>49</xdr:row>
      <xdr:rowOff>180975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10243DEE-2C3C-48CC-84BF-37E6D9992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5849600" y="7629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25</xdr:row>
      <xdr:rowOff>9190</xdr:rowOff>
    </xdr:from>
    <xdr:to>
      <xdr:col>7</xdr:col>
      <xdr:colOff>1723392</xdr:colOff>
      <xdr:row>25</xdr:row>
      <xdr:rowOff>180975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BFC31681-58F5-4147-8D74-C7A31F222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4267200" y="7819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25</xdr:row>
      <xdr:rowOff>9190</xdr:rowOff>
    </xdr:from>
    <xdr:to>
      <xdr:col>26</xdr:col>
      <xdr:colOff>809551</xdr:colOff>
      <xdr:row>25</xdr:row>
      <xdr:rowOff>180975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40EA1665-65B9-4745-87D9-AD4B2D77E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5849600" y="7819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12</xdr:row>
      <xdr:rowOff>9190</xdr:rowOff>
    </xdr:from>
    <xdr:to>
      <xdr:col>7</xdr:col>
      <xdr:colOff>1723392</xdr:colOff>
      <xdr:row>12</xdr:row>
      <xdr:rowOff>180975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FEAAACAF-7AA0-4B6E-9749-BC9E1E9AA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4267200" y="8010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12</xdr:row>
      <xdr:rowOff>9190</xdr:rowOff>
    </xdr:from>
    <xdr:to>
      <xdr:col>26</xdr:col>
      <xdr:colOff>809551</xdr:colOff>
      <xdr:row>12</xdr:row>
      <xdr:rowOff>180975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7DB9A71A-E9D4-4063-85B0-FBAB3C6EE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8010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11</xdr:row>
      <xdr:rowOff>9190</xdr:rowOff>
    </xdr:from>
    <xdr:to>
      <xdr:col>7</xdr:col>
      <xdr:colOff>1723392</xdr:colOff>
      <xdr:row>11</xdr:row>
      <xdr:rowOff>180975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213860B6-B9B2-468B-88FF-DA9F779A9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4267200" y="8200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11</xdr:row>
      <xdr:rowOff>9190</xdr:rowOff>
    </xdr:from>
    <xdr:to>
      <xdr:col>26</xdr:col>
      <xdr:colOff>809551</xdr:colOff>
      <xdr:row>11</xdr:row>
      <xdr:rowOff>180975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47FF7653-750F-4790-9AB4-6F381C783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5849600" y="8200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29</xdr:row>
      <xdr:rowOff>9190</xdr:rowOff>
    </xdr:from>
    <xdr:to>
      <xdr:col>7</xdr:col>
      <xdr:colOff>1723392</xdr:colOff>
      <xdr:row>29</xdr:row>
      <xdr:rowOff>180975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C8176E74-A8B1-4D3C-9188-B96D558DD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4267200" y="8391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29</xdr:row>
      <xdr:rowOff>9190</xdr:rowOff>
    </xdr:from>
    <xdr:to>
      <xdr:col>26</xdr:col>
      <xdr:colOff>809551</xdr:colOff>
      <xdr:row>29</xdr:row>
      <xdr:rowOff>180975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203594D7-0BDD-4E7D-90E3-F0976D70E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8391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46</xdr:row>
      <xdr:rowOff>9190</xdr:rowOff>
    </xdr:from>
    <xdr:to>
      <xdr:col>7</xdr:col>
      <xdr:colOff>1723392</xdr:colOff>
      <xdr:row>46</xdr:row>
      <xdr:rowOff>180975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EC21CD09-88C7-4153-A5AF-855A0AC8F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4267200" y="8581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46</xdr:row>
      <xdr:rowOff>9190</xdr:rowOff>
    </xdr:from>
    <xdr:to>
      <xdr:col>26</xdr:col>
      <xdr:colOff>809551</xdr:colOff>
      <xdr:row>46</xdr:row>
      <xdr:rowOff>180975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53D2A4CF-2CB9-4FFA-A220-8FF6C8C19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5849600" y="8581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40</xdr:row>
      <xdr:rowOff>9190</xdr:rowOff>
    </xdr:from>
    <xdr:to>
      <xdr:col>7</xdr:col>
      <xdr:colOff>1723392</xdr:colOff>
      <xdr:row>40</xdr:row>
      <xdr:rowOff>180975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5287B716-3CC5-418D-A478-433A9586E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4267200" y="8772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40</xdr:row>
      <xdr:rowOff>9190</xdr:rowOff>
    </xdr:from>
    <xdr:to>
      <xdr:col>26</xdr:col>
      <xdr:colOff>809551</xdr:colOff>
      <xdr:row>40</xdr:row>
      <xdr:rowOff>180975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126E41EE-D5A9-4833-8797-520232C72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5849600" y="8772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39</xdr:row>
      <xdr:rowOff>9190</xdr:rowOff>
    </xdr:from>
    <xdr:to>
      <xdr:col>7</xdr:col>
      <xdr:colOff>1723392</xdr:colOff>
      <xdr:row>39</xdr:row>
      <xdr:rowOff>180975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14EF7512-CED7-4332-AF4D-4941C97FB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4267200" y="8962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39</xdr:row>
      <xdr:rowOff>9190</xdr:rowOff>
    </xdr:from>
    <xdr:to>
      <xdr:col>26</xdr:col>
      <xdr:colOff>809551</xdr:colOff>
      <xdr:row>39</xdr:row>
      <xdr:rowOff>180975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DFC3DD54-C4EB-4A8C-B207-11734B31A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5849600" y="8962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45</xdr:row>
      <xdr:rowOff>9190</xdr:rowOff>
    </xdr:from>
    <xdr:to>
      <xdr:col>7</xdr:col>
      <xdr:colOff>1723392</xdr:colOff>
      <xdr:row>45</xdr:row>
      <xdr:rowOff>180975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DA3A328D-D113-43D5-9EF6-4AD356CE3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4267200" y="9153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45</xdr:row>
      <xdr:rowOff>9190</xdr:rowOff>
    </xdr:from>
    <xdr:to>
      <xdr:col>26</xdr:col>
      <xdr:colOff>809551</xdr:colOff>
      <xdr:row>45</xdr:row>
      <xdr:rowOff>180975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AFC4C3FC-2383-4F60-AF3A-543039750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5849600" y="9153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36</xdr:row>
      <xdr:rowOff>9190</xdr:rowOff>
    </xdr:from>
    <xdr:to>
      <xdr:col>7</xdr:col>
      <xdr:colOff>1723392</xdr:colOff>
      <xdr:row>36</xdr:row>
      <xdr:rowOff>180975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6942CF01-7570-49FA-A41E-706AD7476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4267200" y="9343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36</xdr:row>
      <xdr:rowOff>9190</xdr:rowOff>
    </xdr:from>
    <xdr:to>
      <xdr:col>26</xdr:col>
      <xdr:colOff>809551</xdr:colOff>
      <xdr:row>36</xdr:row>
      <xdr:rowOff>180975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13FB921A-C304-4355-ABB8-942F66BCB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5849600" y="9343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63</xdr:row>
      <xdr:rowOff>9190</xdr:rowOff>
    </xdr:from>
    <xdr:to>
      <xdr:col>7</xdr:col>
      <xdr:colOff>1723392</xdr:colOff>
      <xdr:row>63</xdr:row>
      <xdr:rowOff>180975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AE5061D6-03C5-4D65-8CC3-89441234A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4267200" y="9534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63</xdr:row>
      <xdr:rowOff>9190</xdr:rowOff>
    </xdr:from>
    <xdr:to>
      <xdr:col>26</xdr:col>
      <xdr:colOff>809551</xdr:colOff>
      <xdr:row>63</xdr:row>
      <xdr:rowOff>180975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17CF4430-5CDB-4B11-B93D-EB3552290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5849600" y="9534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42</xdr:row>
      <xdr:rowOff>9190</xdr:rowOff>
    </xdr:from>
    <xdr:to>
      <xdr:col>7</xdr:col>
      <xdr:colOff>1723392</xdr:colOff>
      <xdr:row>42</xdr:row>
      <xdr:rowOff>180975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0C968EC-35CE-4D59-AAB5-73B49025E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4267200" y="9724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42</xdr:row>
      <xdr:rowOff>9190</xdr:rowOff>
    </xdr:from>
    <xdr:to>
      <xdr:col>26</xdr:col>
      <xdr:colOff>809551</xdr:colOff>
      <xdr:row>42</xdr:row>
      <xdr:rowOff>180975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2391810D-8800-44E3-B7FD-8F7E01AF5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5849600" y="9724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189</xdr:row>
      <xdr:rowOff>9190</xdr:rowOff>
    </xdr:from>
    <xdr:to>
      <xdr:col>7</xdr:col>
      <xdr:colOff>1723392</xdr:colOff>
      <xdr:row>189</xdr:row>
      <xdr:rowOff>180975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EB1BAF4C-16E6-44C2-8ABE-F508FFD26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4267200" y="9915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189</xdr:row>
      <xdr:rowOff>9190</xdr:rowOff>
    </xdr:from>
    <xdr:to>
      <xdr:col>26</xdr:col>
      <xdr:colOff>809551</xdr:colOff>
      <xdr:row>189</xdr:row>
      <xdr:rowOff>180975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9B53F48C-EE0C-4A4C-B38C-198D8ABA7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9915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190</xdr:row>
      <xdr:rowOff>9190</xdr:rowOff>
    </xdr:from>
    <xdr:to>
      <xdr:col>7</xdr:col>
      <xdr:colOff>1723392</xdr:colOff>
      <xdr:row>190</xdr:row>
      <xdr:rowOff>180975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47F946DD-45FE-4A58-A1EF-81A7B81F6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4267200" y="10105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190</xdr:row>
      <xdr:rowOff>9190</xdr:rowOff>
    </xdr:from>
    <xdr:to>
      <xdr:col>26</xdr:col>
      <xdr:colOff>809551</xdr:colOff>
      <xdr:row>190</xdr:row>
      <xdr:rowOff>180975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D22BE7B4-AE39-4689-9259-309C3E4F1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0105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191</xdr:row>
      <xdr:rowOff>9190</xdr:rowOff>
    </xdr:from>
    <xdr:to>
      <xdr:col>7</xdr:col>
      <xdr:colOff>1723392</xdr:colOff>
      <xdr:row>191</xdr:row>
      <xdr:rowOff>180975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AAD838C-E336-465B-B9BA-0A775607D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4267200" y="10296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191</xdr:row>
      <xdr:rowOff>9190</xdr:rowOff>
    </xdr:from>
    <xdr:to>
      <xdr:col>26</xdr:col>
      <xdr:colOff>809551</xdr:colOff>
      <xdr:row>191</xdr:row>
      <xdr:rowOff>180975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9E39765-EE51-453B-986E-4E920B79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0296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192</xdr:row>
      <xdr:rowOff>9190</xdr:rowOff>
    </xdr:from>
    <xdr:to>
      <xdr:col>7</xdr:col>
      <xdr:colOff>1723392</xdr:colOff>
      <xdr:row>192</xdr:row>
      <xdr:rowOff>180975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F9D3C5E3-2984-40BB-BB67-6AA681FC2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4267200" y="10486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192</xdr:row>
      <xdr:rowOff>9190</xdr:rowOff>
    </xdr:from>
    <xdr:to>
      <xdr:col>26</xdr:col>
      <xdr:colOff>809551</xdr:colOff>
      <xdr:row>192</xdr:row>
      <xdr:rowOff>180975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241C135E-E4B1-4C8E-83A5-3FBB9186D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5849600" y="10486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193</xdr:row>
      <xdr:rowOff>9190</xdr:rowOff>
    </xdr:from>
    <xdr:to>
      <xdr:col>7</xdr:col>
      <xdr:colOff>1723392</xdr:colOff>
      <xdr:row>193</xdr:row>
      <xdr:rowOff>180975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A9AF8654-7AE2-407E-ACFB-54AFB0C07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4267200" y="10677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193</xdr:row>
      <xdr:rowOff>9190</xdr:rowOff>
    </xdr:from>
    <xdr:to>
      <xdr:col>26</xdr:col>
      <xdr:colOff>809551</xdr:colOff>
      <xdr:row>193</xdr:row>
      <xdr:rowOff>180975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1386A409-9D79-4B1C-AC55-72E6BA4C5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0677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194</xdr:row>
      <xdr:rowOff>9190</xdr:rowOff>
    </xdr:from>
    <xdr:to>
      <xdr:col>7</xdr:col>
      <xdr:colOff>1723392</xdr:colOff>
      <xdr:row>194</xdr:row>
      <xdr:rowOff>180975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1960500F-4640-4A66-93B6-A9A539FCD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4267200" y="10867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194</xdr:row>
      <xdr:rowOff>9190</xdr:rowOff>
    </xdr:from>
    <xdr:to>
      <xdr:col>26</xdr:col>
      <xdr:colOff>809551</xdr:colOff>
      <xdr:row>194</xdr:row>
      <xdr:rowOff>180975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56D0CF48-97D1-4B58-9771-B6A26D54B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0867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61</xdr:row>
      <xdr:rowOff>9190</xdr:rowOff>
    </xdr:from>
    <xdr:to>
      <xdr:col>7</xdr:col>
      <xdr:colOff>1723392</xdr:colOff>
      <xdr:row>61</xdr:row>
      <xdr:rowOff>180975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53944895-D61B-4B53-96E9-C0B3E0DF9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4267200" y="11058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61</xdr:row>
      <xdr:rowOff>9190</xdr:rowOff>
    </xdr:from>
    <xdr:to>
      <xdr:col>26</xdr:col>
      <xdr:colOff>809551</xdr:colOff>
      <xdr:row>61</xdr:row>
      <xdr:rowOff>180975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5128049D-0508-44E5-A291-A4C3AF681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1058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195</xdr:row>
      <xdr:rowOff>9190</xdr:rowOff>
    </xdr:from>
    <xdr:to>
      <xdr:col>7</xdr:col>
      <xdr:colOff>1723392</xdr:colOff>
      <xdr:row>195</xdr:row>
      <xdr:rowOff>180975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5A774DD1-8717-448E-867F-13F0AF1DA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4267200" y="11248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195</xdr:row>
      <xdr:rowOff>9190</xdr:rowOff>
    </xdr:from>
    <xdr:to>
      <xdr:col>26</xdr:col>
      <xdr:colOff>809551</xdr:colOff>
      <xdr:row>195</xdr:row>
      <xdr:rowOff>180975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41E219DB-61D3-43E9-AB43-E74D82688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5849600" y="11248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56</xdr:row>
      <xdr:rowOff>9190</xdr:rowOff>
    </xdr:from>
    <xdr:to>
      <xdr:col>7</xdr:col>
      <xdr:colOff>1723392</xdr:colOff>
      <xdr:row>56</xdr:row>
      <xdr:rowOff>180975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87552548-D7CE-4698-9130-FF6AFA295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4267200" y="11439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56</xdr:row>
      <xdr:rowOff>9190</xdr:rowOff>
    </xdr:from>
    <xdr:to>
      <xdr:col>26</xdr:col>
      <xdr:colOff>809551</xdr:colOff>
      <xdr:row>56</xdr:row>
      <xdr:rowOff>180975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C675D4A2-23AC-4E1C-B504-FDA5DB36B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1439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54</xdr:row>
      <xdr:rowOff>9190</xdr:rowOff>
    </xdr:from>
    <xdr:to>
      <xdr:col>7</xdr:col>
      <xdr:colOff>1723392</xdr:colOff>
      <xdr:row>54</xdr:row>
      <xdr:rowOff>180975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373B9264-551A-4058-9737-B35C9C367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4267200" y="11629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54</xdr:row>
      <xdr:rowOff>9190</xdr:rowOff>
    </xdr:from>
    <xdr:to>
      <xdr:col>26</xdr:col>
      <xdr:colOff>809551</xdr:colOff>
      <xdr:row>54</xdr:row>
      <xdr:rowOff>180975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D92F619F-5009-4F1D-B06B-6324FACB4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1629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57</xdr:row>
      <xdr:rowOff>9190</xdr:rowOff>
    </xdr:from>
    <xdr:to>
      <xdr:col>7</xdr:col>
      <xdr:colOff>1723392</xdr:colOff>
      <xdr:row>57</xdr:row>
      <xdr:rowOff>180975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1884A18F-9ADF-4B85-8EF9-23F24716B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4267200" y="11820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57</xdr:row>
      <xdr:rowOff>9190</xdr:rowOff>
    </xdr:from>
    <xdr:to>
      <xdr:col>26</xdr:col>
      <xdr:colOff>809551</xdr:colOff>
      <xdr:row>57</xdr:row>
      <xdr:rowOff>180975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FBC325E3-B6D1-4754-92E8-2420E7419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1820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196</xdr:row>
      <xdr:rowOff>9190</xdr:rowOff>
    </xdr:from>
    <xdr:to>
      <xdr:col>7</xdr:col>
      <xdr:colOff>1723392</xdr:colOff>
      <xdr:row>196</xdr:row>
      <xdr:rowOff>180975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88763DB2-9C60-4E92-83B6-FDD232B42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4267200" y="12010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196</xdr:row>
      <xdr:rowOff>9190</xdr:rowOff>
    </xdr:from>
    <xdr:to>
      <xdr:col>26</xdr:col>
      <xdr:colOff>809551</xdr:colOff>
      <xdr:row>196</xdr:row>
      <xdr:rowOff>180975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E5D3CDDA-9495-4847-B650-4316A67AE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5849600" y="12010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58</xdr:row>
      <xdr:rowOff>9190</xdr:rowOff>
    </xdr:from>
    <xdr:to>
      <xdr:col>7</xdr:col>
      <xdr:colOff>1723392</xdr:colOff>
      <xdr:row>58</xdr:row>
      <xdr:rowOff>180975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70AE8F6A-96FF-41F5-BEA6-9C7A1BE25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4267200" y="12201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58</xdr:row>
      <xdr:rowOff>9190</xdr:rowOff>
    </xdr:from>
    <xdr:to>
      <xdr:col>26</xdr:col>
      <xdr:colOff>809551</xdr:colOff>
      <xdr:row>58</xdr:row>
      <xdr:rowOff>180975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47CD0423-5F8C-4D5E-A8CB-1EB222389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5849600" y="12201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197</xdr:row>
      <xdr:rowOff>9190</xdr:rowOff>
    </xdr:from>
    <xdr:to>
      <xdr:col>7</xdr:col>
      <xdr:colOff>1723392</xdr:colOff>
      <xdr:row>197</xdr:row>
      <xdr:rowOff>180975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45FF7CD8-B148-4216-8564-1BD35589A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4267200" y="12391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197</xdr:row>
      <xdr:rowOff>9190</xdr:rowOff>
    </xdr:from>
    <xdr:to>
      <xdr:col>26</xdr:col>
      <xdr:colOff>809551</xdr:colOff>
      <xdr:row>197</xdr:row>
      <xdr:rowOff>180975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AC535F84-DE1A-4EA7-B63E-E1CB2705C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2391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55</xdr:row>
      <xdr:rowOff>9190</xdr:rowOff>
    </xdr:from>
    <xdr:to>
      <xdr:col>7</xdr:col>
      <xdr:colOff>1723392</xdr:colOff>
      <xdr:row>55</xdr:row>
      <xdr:rowOff>180975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26C37E57-A1F4-41E1-AA39-492FBAF3B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4267200" y="12582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55</xdr:row>
      <xdr:rowOff>9190</xdr:rowOff>
    </xdr:from>
    <xdr:to>
      <xdr:col>26</xdr:col>
      <xdr:colOff>809551</xdr:colOff>
      <xdr:row>55</xdr:row>
      <xdr:rowOff>180975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D49D0315-C4BA-4D7E-9233-26DA60D72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2582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198</xdr:row>
      <xdr:rowOff>9190</xdr:rowOff>
    </xdr:from>
    <xdr:to>
      <xdr:col>7</xdr:col>
      <xdr:colOff>1723392</xdr:colOff>
      <xdr:row>198</xdr:row>
      <xdr:rowOff>180975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BAAF7B84-A62C-4FD3-B4E4-26DF65D34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4267200" y="12772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198</xdr:row>
      <xdr:rowOff>9190</xdr:rowOff>
    </xdr:from>
    <xdr:to>
      <xdr:col>26</xdr:col>
      <xdr:colOff>809551</xdr:colOff>
      <xdr:row>198</xdr:row>
      <xdr:rowOff>180975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D5951A25-AE25-416B-B726-E9E65A498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2772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76</xdr:row>
      <xdr:rowOff>9190</xdr:rowOff>
    </xdr:from>
    <xdr:to>
      <xdr:col>7</xdr:col>
      <xdr:colOff>1723392</xdr:colOff>
      <xdr:row>76</xdr:row>
      <xdr:rowOff>180975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529065EF-6049-410B-8B08-357FBD0E7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4267200" y="12963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76</xdr:row>
      <xdr:rowOff>9190</xdr:rowOff>
    </xdr:from>
    <xdr:to>
      <xdr:col>26</xdr:col>
      <xdr:colOff>809551</xdr:colOff>
      <xdr:row>76</xdr:row>
      <xdr:rowOff>180975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C9A65C90-515B-4206-B567-2DE9337AE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2963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31</xdr:row>
      <xdr:rowOff>9190</xdr:rowOff>
    </xdr:from>
    <xdr:to>
      <xdr:col>7</xdr:col>
      <xdr:colOff>1723392</xdr:colOff>
      <xdr:row>31</xdr:row>
      <xdr:rowOff>180975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4FB89E09-AE98-4C97-B47F-D7D706806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4267200" y="13153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31</xdr:row>
      <xdr:rowOff>9190</xdr:rowOff>
    </xdr:from>
    <xdr:to>
      <xdr:col>26</xdr:col>
      <xdr:colOff>809551</xdr:colOff>
      <xdr:row>31</xdr:row>
      <xdr:rowOff>180975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2986AD9F-4DFF-4D25-B128-DDE3047EA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3153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97</xdr:row>
      <xdr:rowOff>9190</xdr:rowOff>
    </xdr:from>
    <xdr:to>
      <xdr:col>7</xdr:col>
      <xdr:colOff>1723392</xdr:colOff>
      <xdr:row>97</xdr:row>
      <xdr:rowOff>180975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7A66F34D-B210-41E3-9883-BE1B2BF9F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4267200" y="13344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97</xdr:row>
      <xdr:rowOff>9190</xdr:rowOff>
    </xdr:from>
    <xdr:to>
      <xdr:col>26</xdr:col>
      <xdr:colOff>809551</xdr:colOff>
      <xdr:row>97</xdr:row>
      <xdr:rowOff>180975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8057062A-7229-44BD-83DC-B23FE267D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5849600" y="13344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199</xdr:row>
      <xdr:rowOff>9190</xdr:rowOff>
    </xdr:from>
    <xdr:to>
      <xdr:col>7</xdr:col>
      <xdr:colOff>1723392</xdr:colOff>
      <xdr:row>199</xdr:row>
      <xdr:rowOff>180975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1D7CE5CF-DC4E-4C6C-82D7-C00CBD843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4267200" y="13534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199</xdr:row>
      <xdr:rowOff>9190</xdr:rowOff>
    </xdr:from>
    <xdr:to>
      <xdr:col>26</xdr:col>
      <xdr:colOff>809551</xdr:colOff>
      <xdr:row>199</xdr:row>
      <xdr:rowOff>180975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F44CCADE-1F65-4AA0-911D-3FA5F8D3F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5849600" y="13534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200</xdr:row>
      <xdr:rowOff>9190</xdr:rowOff>
    </xdr:from>
    <xdr:to>
      <xdr:col>7</xdr:col>
      <xdr:colOff>1723392</xdr:colOff>
      <xdr:row>200</xdr:row>
      <xdr:rowOff>180975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FC1663FE-1F22-453A-8399-BC9E1F753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4267200" y="13725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200</xdr:row>
      <xdr:rowOff>9190</xdr:rowOff>
    </xdr:from>
    <xdr:to>
      <xdr:col>26</xdr:col>
      <xdr:colOff>809551</xdr:colOff>
      <xdr:row>200</xdr:row>
      <xdr:rowOff>180975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A6070A43-261F-415C-A000-ECAFFA8A8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5849600" y="13725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70</xdr:row>
      <xdr:rowOff>9190</xdr:rowOff>
    </xdr:from>
    <xdr:to>
      <xdr:col>7</xdr:col>
      <xdr:colOff>1723392</xdr:colOff>
      <xdr:row>70</xdr:row>
      <xdr:rowOff>180975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7D6DE43E-8760-4146-9C8A-4AE45076D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4267200" y="13915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70</xdr:row>
      <xdr:rowOff>9190</xdr:rowOff>
    </xdr:from>
    <xdr:to>
      <xdr:col>26</xdr:col>
      <xdr:colOff>809551</xdr:colOff>
      <xdr:row>70</xdr:row>
      <xdr:rowOff>180975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C77CABD2-4A5F-4659-86E6-AC177EF1E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3915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201</xdr:row>
      <xdr:rowOff>9190</xdr:rowOff>
    </xdr:from>
    <xdr:to>
      <xdr:col>7</xdr:col>
      <xdr:colOff>1723392</xdr:colOff>
      <xdr:row>201</xdr:row>
      <xdr:rowOff>180975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D218FF12-D4E4-4ED5-83B5-D781CF478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4267200" y="14106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201</xdr:row>
      <xdr:rowOff>9190</xdr:rowOff>
    </xdr:from>
    <xdr:to>
      <xdr:col>26</xdr:col>
      <xdr:colOff>809551</xdr:colOff>
      <xdr:row>201</xdr:row>
      <xdr:rowOff>180975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71800D81-1E1B-480C-A9E5-85D3BD266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5849600" y="14106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50</xdr:row>
      <xdr:rowOff>9190</xdr:rowOff>
    </xdr:from>
    <xdr:to>
      <xdr:col>7</xdr:col>
      <xdr:colOff>1723392</xdr:colOff>
      <xdr:row>50</xdr:row>
      <xdr:rowOff>180975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56A1CC0E-15CC-48F3-BEF1-4BFB445F5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4267200" y="14296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50</xdr:row>
      <xdr:rowOff>9190</xdr:rowOff>
    </xdr:from>
    <xdr:to>
      <xdr:col>26</xdr:col>
      <xdr:colOff>809551</xdr:colOff>
      <xdr:row>50</xdr:row>
      <xdr:rowOff>180975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950683D8-36D3-4D9C-A5E8-0F3929350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4296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202</xdr:row>
      <xdr:rowOff>9190</xdr:rowOff>
    </xdr:from>
    <xdr:to>
      <xdr:col>7</xdr:col>
      <xdr:colOff>1723392</xdr:colOff>
      <xdr:row>202</xdr:row>
      <xdr:rowOff>180975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602FB5AE-36E2-4851-8A0E-232001249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4267200" y="14487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202</xdr:row>
      <xdr:rowOff>9190</xdr:rowOff>
    </xdr:from>
    <xdr:to>
      <xdr:col>26</xdr:col>
      <xdr:colOff>809551</xdr:colOff>
      <xdr:row>202</xdr:row>
      <xdr:rowOff>180975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FFF02B26-56E8-4671-BD9B-3DA606540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4487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59</xdr:row>
      <xdr:rowOff>9190</xdr:rowOff>
    </xdr:from>
    <xdr:to>
      <xdr:col>7</xdr:col>
      <xdr:colOff>1723392</xdr:colOff>
      <xdr:row>59</xdr:row>
      <xdr:rowOff>180975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25B24AD5-AB9B-4244-AD95-334BAA0D5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4267200" y="14677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59</xdr:row>
      <xdr:rowOff>9190</xdr:rowOff>
    </xdr:from>
    <xdr:to>
      <xdr:col>26</xdr:col>
      <xdr:colOff>809551</xdr:colOff>
      <xdr:row>59</xdr:row>
      <xdr:rowOff>180975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5F504736-381E-4C50-93B4-16B0679D6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4677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67</xdr:row>
      <xdr:rowOff>9190</xdr:rowOff>
    </xdr:from>
    <xdr:to>
      <xdr:col>7</xdr:col>
      <xdr:colOff>1723392</xdr:colOff>
      <xdr:row>67</xdr:row>
      <xdr:rowOff>180975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B76C9ED8-727A-4CB8-9246-B6B89396A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4267200" y="14868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67</xdr:row>
      <xdr:rowOff>9190</xdr:rowOff>
    </xdr:from>
    <xdr:to>
      <xdr:col>26</xdr:col>
      <xdr:colOff>809551</xdr:colOff>
      <xdr:row>67</xdr:row>
      <xdr:rowOff>180975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1BC670C6-8424-4F95-9312-3F73CAD9C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4868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68</xdr:row>
      <xdr:rowOff>9190</xdr:rowOff>
    </xdr:from>
    <xdr:to>
      <xdr:col>7</xdr:col>
      <xdr:colOff>1723392</xdr:colOff>
      <xdr:row>68</xdr:row>
      <xdr:rowOff>180975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267FCB96-5272-4EE5-9C77-BBB675051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4267200" y="15058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68</xdr:row>
      <xdr:rowOff>9190</xdr:rowOff>
    </xdr:from>
    <xdr:to>
      <xdr:col>26</xdr:col>
      <xdr:colOff>809551</xdr:colOff>
      <xdr:row>68</xdr:row>
      <xdr:rowOff>180975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2E5EEA1-00B0-4506-A38D-177797CDC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5058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203</xdr:row>
      <xdr:rowOff>9190</xdr:rowOff>
    </xdr:from>
    <xdr:to>
      <xdr:col>7</xdr:col>
      <xdr:colOff>1723392</xdr:colOff>
      <xdr:row>203</xdr:row>
      <xdr:rowOff>180975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B7BD2BC5-AE5B-4986-BD76-6C5B5074A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4267200" y="15249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203</xdr:row>
      <xdr:rowOff>9190</xdr:rowOff>
    </xdr:from>
    <xdr:to>
      <xdr:col>26</xdr:col>
      <xdr:colOff>809551</xdr:colOff>
      <xdr:row>203</xdr:row>
      <xdr:rowOff>180975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3910A5FC-3255-4227-A013-B7155390C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5249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64</xdr:row>
      <xdr:rowOff>9190</xdr:rowOff>
    </xdr:from>
    <xdr:to>
      <xdr:col>7</xdr:col>
      <xdr:colOff>1723392</xdr:colOff>
      <xdr:row>64</xdr:row>
      <xdr:rowOff>180975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33B6017-F90C-4B52-BF50-3CB15AF0D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4267200" y="15439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64</xdr:row>
      <xdr:rowOff>9190</xdr:rowOff>
    </xdr:from>
    <xdr:to>
      <xdr:col>26</xdr:col>
      <xdr:colOff>809551</xdr:colOff>
      <xdr:row>64</xdr:row>
      <xdr:rowOff>180975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50EECE81-9DD9-44C8-8AA7-C23201775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5439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60</xdr:row>
      <xdr:rowOff>9190</xdr:rowOff>
    </xdr:from>
    <xdr:to>
      <xdr:col>7</xdr:col>
      <xdr:colOff>1723392</xdr:colOff>
      <xdr:row>60</xdr:row>
      <xdr:rowOff>180975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B8F549C-2AD2-421E-9068-78A53130F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4267200" y="15630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60</xdr:row>
      <xdr:rowOff>9190</xdr:rowOff>
    </xdr:from>
    <xdr:to>
      <xdr:col>26</xdr:col>
      <xdr:colOff>809551</xdr:colOff>
      <xdr:row>60</xdr:row>
      <xdr:rowOff>180975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AB36417D-5C94-4277-B55E-47AFA6A24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5849600" y="15630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204</xdr:row>
      <xdr:rowOff>9190</xdr:rowOff>
    </xdr:from>
    <xdr:to>
      <xdr:col>7</xdr:col>
      <xdr:colOff>1723392</xdr:colOff>
      <xdr:row>204</xdr:row>
      <xdr:rowOff>180975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41435B19-E4D2-4027-812F-BE48469E0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67200" y="15820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204</xdr:row>
      <xdr:rowOff>9190</xdr:rowOff>
    </xdr:from>
    <xdr:to>
      <xdr:col>26</xdr:col>
      <xdr:colOff>809551</xdr:colOff>
      <xdr:row>204</xdr:row>
      <xdr:rowOff>180975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525CB1F5-903E-48B1-9580-DF8C17A6A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5820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44</xdr:row>
      <xdr:rowOff>9190</xdr:rowOff>
    </xdr:from>
    <xdr:to>
      <xdr:col>7</xdr:col>
      <xdr:colOff>1723392</xdr:colOff>
      <xdr:row>44</xdr:row>
      <xdr:rowOff>180975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9E2540AE-B264-4B15-AFE3-A01AAEA05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4267200" y="16011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44</xdr:row>
      <xdr:rowOff>9190</xdr:rowOff>
    </xdr:from>
    <xdr:to>
      <xdr:col>26</xdr:col>
      <xdr:colOff>809551</xdr:colOff>
      <xdr:row>44</xdr:row>
      <xdr:rowOff>180975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60E2CA68-2052-4E01-8742-63CEC79CB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5849600" y="16011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205</xdr:row>
      <xdr:rowOff>9190</xdr:rowOff>
    </xdr:from>
    <xdr:to>
      <xdr:col>7</xdr:col>
      <xdr:colOff>1723392</xdr:colOff>
      <xdr:row>205</xdr:row>
      <xdr:rowOff>180975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4B12A8A-981B-4583-8686-E42EE68FD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4267200" y="16201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205</xdr:row>
      <xdr:rowOff>9190</xdr:rowOff>
    </xdr:from>
    <xdr:to>
      <xdr:col>26</xdr:col>
      <xdr:colOff>809551</xdr:colOff>
      <xdr:row>205</xdr:row>
      <xdr:rowOff>180975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3B3033E1-6BF0-405C-8FB1-B756DF224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5849600" y="16201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206</xdr:row>
      <xdr:rowOff>9190</xdr:rowOff>
    </xdr:from>
    <xdr:to>
      <xdr:col>7</xdr:col>
      <xdr:colOff>1723392</xdr:colOff>
      <xdr:row>206</xdr:row>
      <xdr:rowOff>180975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3FFA4CA2-1519-4551-96EF-A29BAB545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4267200" y="16392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206</xdr:row>
      <xdr:rowOff>9190</xdr:rowOff>
    </xdr:from>
    <xdr:to>
      <xdr:col>26</xdr:col>
      <xdr:colOff>809551</xdr:colOff>
      <xdr:row>206</xdr:row>
      <xdr:rowOff>180975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3BF63DF9-53B5-4A7C-8822-2CAB26469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5849600" y="16392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207</xdr:row>
      <xdr:rowOff>9190</xdr:rowOff>
    </xdr:from>
    <xdr:to>
      <xdr:col>7</xdr:col>
      <xdr:colOff>1723392</xdr:colOff>
      <xdr:row>207</xdr:row>
      <xdr:rowOff>180975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8393F858-4166-4FFA-A495-284F1DC13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4267200" y="16582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207</xdr:row>
      <xdr:rowOff>9190</xdr:rowOff>
    </xdr:from>
    <xdr:to>
      <xdr:col>26</xdr:col>
      <xdr:colOff>809551</xdr:colOff>
      <xdr:row>207</xdr:row>
      <xdr:rowOff>180975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09E9690B-3FE8-4004-8F3D-44FE3C939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6582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208</xdr:row>
      <xdr:rowOff>9190</xdr:rowOff>
    </xdr:from>
    <xdr:to>
      <xdr:col>7</xdr:col>
      <xdr:colOff>1723392</xdr:colOff>
      <xdr:row>208</xdr:row>
      <xdr:rowOff>180975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EF57CFAC-94F9-4096-B33D-A0444AB2E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4267200" y="16773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208</xdr:row>
      <xdr:rowOff>9190</xdr:rowOff>
    </xdr:from>
    <xdr:to>
      <xdr:col>26</xdr:col>
      <xdr:colOff>809551</xdr:colOff>
      <xdr:row>208</xdr:row>
      <xdr:rowOff>180975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C708E03C-A183-4B0E-BC2B-F46EE5E1D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6773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209</xdr:row>
      <xdr:rowOff>9190</xdr:rowOff>
    </xdr:from>
    <xdr:to>
      <xdr:col>7</xdr:col>
      <xdr:colOff>1723392</xdr:colOff>
      <xdr:row>209</xdr:row>
      <xdr:rowOff>180975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EE8FD7D9-E83B-40AE-BCCB-F384CBBA2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4267200" y="16963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209</xdr:row>
      <xdr:rowOff>9190</xdr:rowOff>
    </xdr:from>
    <xdr:to>
      <xdr:col>26</xdr:col>
      <xdr:colOff>809551</xdr:colOff>
      <xdr:row>209</xdr:row>
      <xdr:rowOff>180975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2D9988C0-BBED-41F0-A9CC-D9B02FB56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6963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86</xdr:row>
      <xdr:rowOff>9190</xdr:rowOff>
    </xdr:from>
    <xdr:to>
      <xdr:col>7</xdr:col>
      <xdr:colOff>1723392</xdr:colOff>
      <xdr:row>86</xdr:row>
      <xdr:rowOff>180975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B7A2A748-A565-4EFD-90FC-A495E4221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4267200" y="17154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86</xdr:row>
      <xdr:rowOff>9190</xdr:rowOff>
    </xdr:from>
    <xdr:to>
      <xdr:col>26</xdr:col>
      <xdr:colOff>809551</xdr:colOff>
      <xdr:row>86</xdr:row>
      <xdr:rowOff>180975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35B48161-AA9D-4529-B15F-BD32633AD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7154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210</xdr:row>
      <xdr:rowOff>9190</xdr:rowOff>
    </xdr:from>
    <xdr:to>
      <xdr:col>7</xdr:col>
      <xdr:colOff>1723392</xdr:colOff>
      <xdr:row>210</xdr:row>
      <xdr:rowOff>180975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03E63D4B-6A1A-47E0-80F1-8785B02D5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67200" y="17344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210</xdr:row>
      <xdr:rowOff>9190</xdr:rowOff>
    </xdr:from>
    <xdr:to>
      <xdr:col>26</xdr:col>
      <xdr:colOff>809551</xdr:colOff>
      <xdr:row>210</xdr:row>
      <xdr:rowOff>180975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D53024D4-759A-4C15-A02D-FA07F660A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7344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150</xdr:row>
      <xdr:rowOff>9190</xdr:rowOff>
    </xdr:from>
    <xdr:to>
      <xdr:col>7</xdr:col>
      <xdr:colOff>1723392</xdr:colOff>
      <xdr:row>150</xdr:row>
      <xdr:rowOff>180975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F0016BC5-58F4-43AC-82E2-B63C4F7AA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4267200" y="17535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150</xdr:row>
      <xdr:rowOff>9190</xdr:rowOff>
    </xdr:from>
    <xdr:to>
      <xdr:col>26</xdr:col>
      <xdr:colOff>809551</xdr:colOff>
      <xdr:row>150</xdr:row>
      <xdr:rowOff>180975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898FC5A0-4465-42B8-8839-1A5189461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7535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66</xdr:row>
      <xdr:rowOff>9190</xdr:rowOff>
    </xdr:from>
    <xdr:to>
      <xdr:col>7</xdr:col>
      <xdr:colOff>1723392</xdr:colOff>
      <xdr:row>66</xdr:row>
      <xdr:rowOff>180975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85B62EA0-A1C7-4388-ABCA-488566276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4267200" y="17725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66</xdr:row>
      <xdr:rowOff>9190</xdr:rowOff>
    </xdr:from>
    <xdr:to>
      <xdr:col>26</xdr:col>
      <xdr:colOff>809551</xdr:colOff>
      <xdr:row>66</xdr:row>
      <xdr:rowOff>180975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53B77278-48A7-4A2B-9069-86D006506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7725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211</xdr:row>
      <xdr:rowOff>9190</xdr:rowOff>
    </xdr:from>
    <xdr:to>
      <xdr:col>7</xdr:col>
      <xdr:colOff>1723392</xdr:colOff>
      <xdr:row>211</xdr:row>
      <xdr:rowOff>180975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371244A6-A776-4C5C-BC88-833A7AB7B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4267200" y="17916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211</xdr:row>
      <xdr:rowOff>9190</xdr:rowOff>
    </xdr:from>
    <xdr:to>
      <xdr:col>26</xdr:col>
      <xdr:colOff>809551</xdr:colOff>
      <xdr:row>211</xdr:row>
      <xdr:rowOff>180975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80128453-E7AF-40DF-A35F-AA9EB66C8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7916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212</xdr:row>
      <xdr:rowOff>9190</xdr:rowOff>
    </xdr:from>
    <xdr:to>
      <xdr:col>7</xdr:col>
      <xdr:colOff>1723392</xdr:colOff>
      <xdr:row>212</xdr:row>
      <xdr:rowOff>180975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11DCFDAE-3DF2-4801-ABFD-CED4970D0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4267200" y="18106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212</xdr:row>
      <xdr:rowOff>9190</xdr:rowOff>
    </xdr:from>
    <xdr:to>
      <xdr:col>26</xdr:col>
      <xdr:colOff>809551</xdr:colOff>
      <xdr:row>212</xdr:row>
      <xdr:rowOff>180975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E0C436E5-5750-4603-BAF1-8E64DAE4C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5849600" y="18106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65</xdr:row>
      <xdr:rowOff>9190</xdr:rowOff>
    </xdr:from>
    <xdr:to>
      <xdr:col>7</xdr:col>
      <xdr:colOff>1723392</xdr:colOff>
      <xdr:row>65</xdr:row>
      <xdr:rowOff>180975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99F088D1-F9BF-4259-A668-7D920A9F5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4267200" y="18297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65</xdr:row>
      <xdr:rowOff>9190</xdr:rowOff>
    </xdr:from>
    <xdr:to>
      <xdr:col>26</xdr:col>
      <xdr:colOff>809551</xdr:colOff>
      <xdr:row>65</xdr:row>
      <xdr:rowOff>180975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15328321-1614-410E-A009-0C9BCBC11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8297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213</xdr:row>
      <xdr:rowOff>9190</xdr:rowOff>
    </xdr:from>
    <xdr:to>
      <xdr:col>7</xdr:col>
      <xdr:colOff>1723392</xdr:colOff>
      <xdr:row>213</xdr:row>
      <xdr:rowOff>180975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5374BA8D-D7D1-4575-B485-57BEEE661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4267200" y="18487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213</xdr:row>
      <xdr:rowOff>9190</xdr:rowOff>
    </xdr:from>
    <xdr:to>
      <xdr:col>26</xdr:col>
      <xdr:colOff>809551</xdr:colOff>
      <xdr:row>213</xdr:row>
      <xdr:rowOff>180975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71BCB435-E86A-40C1-B8C1-55194B3AF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8487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96</xdr:row>
      <xdr:rowOff>9190</xdr:rowOff>
    </xdr:from>
    <xdr:to>
      <xdr:col>7</xdr:col>
      <xdr:colOff>1723392</xdr:colOff>
      <xdr:row>96</xdr:row>
      <xdr:rowOff>180975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FE5C2898-9097-4BC1-86D5-301ABC67A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4267200" y="18678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96</xdr:row>
      <xdr:rowOff>9190</xdr:rowOff>
    </xdr:from>
    <xdr:to>
      <xdr:col>26</xdr:col>
      <xdr:colOff>809551</xdr:colOff>
      <xdr:row>96</xdr:row>
      <xdr:rowOff>180975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B97E60A-4DD0-46EF-AA5F-11AF8EA3C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8678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214</xdr:row>
      <xdr:rowOff>9190</xdr:rowOff>
    </xdr:from>
    <xdr:to>
      <xdr:col>7</xdr:col>
      <xdr:colOff>1723392</xdr:colOff>
      <xdr:row>214</xdr:row>
      <xdr:rowOff>180975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48003FD9-7A78-48B5-8D52-7CFEBA592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4267200" y="18868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214</xdr:row>
      <xdr:rowOff>9190</xdr:rowOff>
    </xdr:from>
    <xdr:to>
      <xdr:col>26</xdr:col>
      <xdr:colOff>809551</xdr:colOff>
      <xdr:row>214</xdr:row>
      <xdr:rowOff>180975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3A905720-5212-40A1-A451-D0EA6A38E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8868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215</xdr:row>
      <xdr:rowOff>9190</xdr:rowOff>
    </xdr:from>
    <xdr:to>
      <xdr:col>7</xdr:col>
      <xdr:colOff>1723392</xdr:colOff>
      <xdr:row>215</xdr:row>
      <xdr:rowOff>180975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267A5F5C-96C5-40CE-86A8-988BF5050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4267200" y="19059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215</xdr:row>
      <xdr:rowOff>9190</xdr:rowOff>
    </xdr:from>
    <xdr:to>
      <xdr:col>26</xdr:col>
      <xdr:colOff>809551</xdr:colOff>
      <xdr:row>215</xdr:row>
      <xdr:rowOff>180975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38299601-7985-4328-922E-475B0FA3B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9059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21</xdr:row>
      <xdr:rowOff>9190</xdr:rowOff>
    </xdr:from>
    <xdr:to>
      <xdr:col>7</xdr:col>
      <xdr:colOff>1723392</xdr:colOff>
      <xdr:row>21</xdr:row>
      <xdr:rowOff>180975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B908B65A-2DE1-4866-9F83-555FD5C06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4267200" y="19249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21</xdr:row>
      <xdr:rowOff>9190</xdr:rowOff>
    </xdr:from>
    <xdr:to>
      <xdr:col>26</xdr:col>
      <xdr:colOff>809551</xdr:colOff>
      <xdr:row>21</xdr:row>
      <xdr:rowOff>180975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114D9173-3693-4FF0-9CA8-63B7C5C27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9249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216</xdr:row>
      <xdr:rowOff>9190</xdr:rowOff>
    </xdr:from>
    <xdr:to>
      <xdr:col>7</xdr:col>
      <xdr:colOff>1723392</xdr:colOff>
      <xdr:row>216</xdr:row>
      <xdr:rowOff>180975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97D31B4C-92FD-4D45-960B-1BE08E887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4267200" y="19440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216</xdr:row>
      <xdr:rowOff>9190</xdr:rowOff>
    </xdr:from>
    <xdr:to>
      <xdr:col>26</xdr:col>
      <xdr:colOff>809551</xdr:colOff>
      <xdr:row>216</xdr:row>
      <xdr:rowOff>180975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EA36F7CC-1C93-4FD0-989B-CA60CFECB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9440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217</xdr:row>
      <xdr:rowOff>9190</xdr:rowOff>
    </xdr:from>
    <xdr:to>
      <xdr:col>7</xdr:col>
      <xdr:colOff>1723392</xdr:colOff>
      <xdr:row>217</xdr:row>
      <xdr:rowOff>180975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7FBB2329-E0F8-4EC9-A7B2-4D60698D1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4267200" y="19630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217</xdr:row>
      <xdr:rowOff>9190</xdr:rowOff>
    </xdr:from>
    <xdr:to>
      <xdr:col>26</xdr:col>
      <xdr:colOff>809551</xdr:colOff>
      <xdr:row>217</xdr:row>
      <xdr:rowOff>180975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B4E78EA0-66B2-448A-B2C4-0ACA3FF2C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9630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218</xdr:row>
      <xdr:rowOff>9190</xdr:rowOff>
    </xdr:from>
    <xdr:to>
      <xdr:col>7</xdr:col>
      <xdr:colOff>1723392</xdr:colOff>
      <xdr:row>218</xdr:row>
      <xdr:rowOff>180975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7D2225FB-7FF1-47CF-AC22-D4212ED63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67200" y="19821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218</xdr:row>
      <xdr:rowOff>9190</xdr:rowOff>
    </xdr:from>
    <xdr:to>
      <xdr:col>26</xdr:col>
      <xdr:colOff>809551</xdr:colOff>
      <xdr:row>218</xdr:row>
      <xdr:rowOff>180975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02CCDCD1-72AE-4C40-98FB-958FF9A62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19821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219</xdr:row>
      <xdr:rowOff>9190</xdr:rowOff>
    </xdr:from>
    <xdr:to>
      <xdr:col>7</xdr:col>
      <xdr:colOff>1723392</xdr:colOff>
      <xdr:row>219</xdr:row>
      <xdr:rowOff>180975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8D78E9DB-1722-4280-A304-1BB62656A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4267200" y="20011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219</xdr:row>
      <xdr:rowOff>9190</xdr:rowOff>
    </xdr:from>
    <xdr:to>
      <xdr:col>26</xdr:col>
      <xdr:colOff>809551</xdr:colOff>
      <xdr:row>219</xdr:row>
      <xdr:rowOff>180975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D9AFABD4-A326-4991-B436-3271ADA65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0011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84</xdr:row>
      <xdr:rowOff>9190</xdr:rowOff>
    </xdr:from>
    <xdr:to>
      <xdr:col>7</xdr:col>
      <xdr:colOff>1723392</xdr:colOff>
      <xdr:row>84</xdr:row>
      <xdr:rowOff>180975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B33C9847-0867-48EB-9816-DAC145BED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4267200" y="20202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84</xdr:row>
      <xdr:rowOff>9190</xdr:rowOff>
    </xdr:from>
    <xdr:to>
      <xdr:col>26</xdr:col>
      <xdr:colOff>809551</xdr:colOff>
      <xdr:row>84</xdr:row>
      <xdr:rowOff>180975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B96FE95C-458C-4919-9981-244A95944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5849600" y="20202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220</xdr:row>
      <xdr:rowOff>9190</xdr:rowOff>
    </xdr:from>
    <xdr:to>
      <xdr:col>7</xdr:col>
      <xdr:colOff>1723392</xdr:colOff>
      <xdr:row>220</xdr:row>
      <xdr:rowOff>180975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71CD13F0-4985-4BCF-8558-0DA606FA6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4267200" y="20392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220</xdr:row>
      <xdr:rowOff>9190</xdr:rowOff>
    </xdr:from>
    <xdr:to>
      <xdr:col>26</xdr:col>
      <xdr:colOff>809551</xdr:colOff>
      <xdr:row>220</xdr:row>
      <xdr:rowOff>180975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801CED84-7311-4E5D-BEC5-725F07827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0392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48</xdr:row>
      <xdr:rowOff>9190</xdr:rowOff>
    </xdr:from>
    <xdr:to>
      <xdr:col>7</xdr:col>
      <xdr:colOff>1723392</xdr:colOff>
      <xdr:row>48</xdr:row>
      <xdr:rowOff>180975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9E9E9506-557C-43B7-989D-C04A1AE93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4267200" y="20583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48</xdr:row>
      <xdr:rowOff>9190</xdr:rowOff>
    </xdr:from>
    <xdr:to>
      <xdr:col>26</xdr:col>
      <xdr:colOff>809551</xdr:colOff>
      <xdr:row>48</xdr:row>
      <xdr:rowOff>180975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DBBAD6FD-66A0-4191-B30F-9A05F876F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0583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72</xdr:row>
      <xdr:rowOff>9190</xdr:rowOff>
    </xdr:from>
    <xdr:to>
      <xdr:col>7</xdr:col>
      <xdr:colOff>1723392</xdr:colOff>
      <xdr:row>72</xdr:row>
      <xdr:rowOff>180975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A9986D13-FA7E-4941-89DF-9CAC738E9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4267200" y="20773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72</xdr:row>
      <xdr:rowOff>9190</xdr:rowOff>
    </xdr:from>
    <xdr:to>
      <xdr:col>26</xdr:col>
      <xdr:colOff>809551</xdr:colOff>
      <xdr:row>72</xdr:row>
      <xdr:rowOff>180975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F501CE3D-7BFA-455A-972A-404847A58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5849600" y="20773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77</xdr:row>
      <xdr:rowOff>9190</xdr:rowOff>
    </xdr:from>
    <xdr:to>
      <xdr:col>7</xdr:col>
      <xdr:colOff>1723392</xdr:colOff>
      <xdr:row>77</xdr:row>
      <xdr:rowOff>180975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D186B9BD-A953-4470-BCA3-3182A4C82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4267200" y="20964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77</xdr:row>
      <xdr:rowOff>9190</xdr:rowOff>
    </xdr:from>
    <xdr:to>
      <xdr:col>26</xdr:col>
      <xdr:colOff>809551</xdr:colOff>
      <xdr:row>77</xdr:row>
      <xdr:rowOff>180975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56E106CD-963C-4EDB-A6EA-40B08F70F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0964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221</xdr:row>
      <xdr:rowOff>9190</xdr:rowOff>
    </xdr:from>
    <xdr:to>
      <xdr:col>7</xdr:col>
      <xdr:colOff>1723392</xdr:colOff>
      <xdr:row>221</xdr:row>
      <xdr:rowOff>180975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C4E6B2B4-DCC7-41B8-BD30-930C8C4DC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4267200" y="21154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221</xdr:row>
      <xdr:rowOff>9190</xdr:rowOff>
    </xdr:from>
    <xdr:to>
      <xdr:col>26</xdr:col>
      <xdr:colOff>809551</xdr:colOff>
      <xdr:row>221</xdr:row>
      <xdr:rowOff>180975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60E15327-C129-4BFB-B1F6-935CE0D55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5849600" y="21154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222</xdr:row>
      <xdr:rowOff>9190</xdr:rowOff>
    </xdr:from>
    <xdr:to>
      <xdr:col>7</xdr:col>
      <xdr:colOff>1723392</xdr:colOff>
      <xdr:row>222</xdr:row>
      <xdr:rowOff>180975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F496014F-D9B1-49C2-A44F-97EE96B79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4267200" y="21345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222</xdr:row>
      <xdr:rowOff>9190</xdr:rowOff>
    </xdr:from>
    <xdr:to>
      <xdr:col>26</xdr:col>
      <xdr:colOff>809551</xdr:colOff>
      <xdr:row>222</xdr:row>
      <xdr:rowOff>180975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3796536B-E953-466F-A8EF-72690287B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1345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95</xdr:row>
      <xdr:rowOff>9190</xdr:rowOff>
    </xdr:from>
    <xdr:to>
      <xdr:col>7</xdr:col>
      <xdr:colOff>1723392</xdr:colOff>
      <xdr:row>95</xdr:row>
      <xdr:rowOff>180975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C4393644-3B1A-42BF-99F5-AF266B1E6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4267200" y="21535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95</xdr:row>
      <xdr:rowOff>9190</xdr:rowOff>
    </xdr:from>
    <xdr:to>
      <xdr:col>26</xdr:col>
      <xdr:colOff>809551</xdr:colOff>
      <xdr:row>95</xdr:row>
      <xdr:rowOff>180975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633F9787-802A-4E3D-B317-E6A6CAA73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1535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79</xdr:row>
      <xdr:rowOff>9190</xdr:rowOff>
    </xdr:from>
    <xdr:to>
      <xdr:col>7</xdr:col>
      <xdr:colOff>1723392</xdr:colOff>
      <xdr:row>79</xdr:row>
      <xdr:rowOff>180975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57332142-3A5D-480E-AA19-AA238EA72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4267200" y="21726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79</xdr:row>
      <xdr:rowOff>9190</xdr:rowOff>
    </xdr:from>
    <xdr:to>
      <xdr:col>26</xdr:col>
      <xdr:colOff>809551</xdr:colOff>
      <xdr:row>79</xdr:row>
      <xdr:rowOff>180975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B0CF0721-859C-4AC4-AEBF-B01079A7E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1726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120</xdr:row>
      <xdr:rowOff>9190</xdr:rowOff>
    </xdr:from>
    <xdr:to>
      <xdr:col>7</xdr:col>
      <xdr:colOff>1723392</xdr:colOff>
      <xdr:row>120</xdr:row>
      <xdr:rowOff>180975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72A14F34-0EC8-4221-8980-48CF9D373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4267200" y="21916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120</xdr:row>
      <xdr:rowOff>9190</xdr:rowOff>
    </xdr:from>
    <xdr:to>
      <xdr:col>26</xdr:col>
      <xdr:colOff>809551</xdr:colOff>
      <xdr:row>120</xdr:row>
      <xdr:rowOff>180975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6462A491-5FA5-4F36-9177-4132E1F4D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5849600" y="21916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223</xdr:row>
      <xdr:rowOff>9190</xdr:rowOff>
    </xdr:from>
    <xdr:to>
      <xdr:col>7</xdr:col>
      <xdr:colOff>1723392</xdr:colOff>
      <xdr:row>223</xdr:row>
      <xdr:rowOff>180975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3D3A877E-ACF3-4774-91D4-2DF8778E8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4267200" y="22107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223</xdr:row>
      <xdr:rowOff>9190</xdr:rowOff>
    </xdr:from>
    <xdr:to>
      <xdr:col>26</xdr:col>
      <xdr:colOff>809551</xdr:colOff>
      <xdr:row>223</xdr:row>
      <xdr:rowOff>180975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479759F7-B52D-4762-B730-F213D4822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5849600" y="22107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82</xdr:row>
      <xdr:rowOff>9190</xdr:rowOff>
    </xdr:from>
    <xdr:to>
      <xdr:col>7</xdr:col>
      <xdr:colOff>1723392</xdr:colOff>
      <xdr:row>82</xdr:row>
      <xdr:rowOff>180975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FF21249A-5C01-46B6-96F3-918DAFF6B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4267200" y="22297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82</xdr:row>
      <xdr:rowOff>9190</xdr:rowOff>
    </xdr:from>
    <xdr:to>
      <xdr:col>26</xdr:col>
      <xdr:colOff>809551</xdr:colOff>
      <xdr:row>82</xdr:row>
      <xdr:rowOff>180975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C1653754-CDD3-40DC-AEE5-311D45F5B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2297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137</xdr:row>
      <xdr:rowOff>9190</xdr:rowOff>
    </xdr:from>
    <xdr:to>
      <xdr:col>7</xdr:col>
      <xdr:colOff>1723392</xdr:colOff>
      <xdr:row>137</xdr:row>
      <xdr:rowOff>180975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370EAD9C-D438-438C-ABB1-03E8F59D5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4267200" y="22488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137</xdr:row>
      <xdr:rowOff>9190</xdr:rowOff>
    </xdr:from>
    <xdr:to>
      <xdr:col>26</xdr:col>
      <xdr:colOff>809551</xdr:colOff>
      <xdr:row>137</xdr:row>
      <xdr:rowOff>180975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FDCEA73F-0A32-41D9-BBEA-BD67E79DD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2488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224</xdr:row>
      <xdr:rowOff>9190</xdr:rowOff>
    </xdr:from>
    <xdr:to>
      <xdr:col>7</xdr:col>
      <xdr:colOff>1723392</xdr:colOff>
      <xdr:row>224</xdr:row>
      <xdr:rowOff>180975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37F44D50-C0FA-44F7-92E1-B4FFA8798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4267200" y="22678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224</xdr:row>
      <xdr:rowOff>9190</xdr:rowOff>
    </xdr:from>
    <xdr:to>
      <xdr:col>26</xdr:col>
      <xdr:colOff>809551</xdr:colOff>
      <xdr:row>224</xdr:row>
      <xdr:rowOff>180975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04A3F67F-1FC9-405E-BAD5-7A03AE432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2678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225</xdr:row>
      <xdr:rowOff>9190</xdr:rowOff>
    </xdr:from>
    <xdr:to>
      <xdr:col>7</xdr:col>
      <xdr:colOff>1723392</xdr:colOff>
      <xdr:row>225</xdr:row>
      <xdr:rowOff>180975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B0ADB816-DAB2-4E16-912F-AB9080EE6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4267200" y="22869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225</xdr:row>
      <xdr:rowOff>9190</xdr:rowOff>
    </xdr:from>
    <xdr:to>
      <xdr:col>26</xdr:col>
      <xdr:colOff>809551</xdr:colOff>
      <xdr:row>225</xdr:row>
      <xdr:rowOff>180975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2BB34084-5660-4217-A8C5-B4611382F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5849600" y="22869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87</xdr:row>
      <xdr:rowOff>9190</xdr:rowOff>
    </xdr:from>
    <xdr:to>
      <xdr:col>7</xdr:col>
      <xdr:colOff>1723392</xdr:colOff>
      <xdr:row>87</xdr:row>
      <xdr:rowOff>180975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89E4A18F-83A0-4866-ADF1-AE18976C1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4267200" y="23059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87</xdr:row>
      <xdr:rowOff>9190</xdr:rowOff>
    </xdr:from>
    <xdr:to>
      <xdr:col>26</xdr:col>
      <xdr:colOff>809551</xdr:colOff>
      <xdr:row>87</xdr:row>
      <xdr:rowOff>180975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22221B44-D8D7-4C9F-84B2-660FAF62A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3059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226</xdr:row>
      <xdr:rowOff>9190</xdr:rowOff>
    </xdr:from>
    <xdr:to>
      <xdr:col>7</xdr:col>
      <xdr:colOff>1723392</xdr:colOff>
      <xdr:row>226</xdr:row>
      <xdr:rowOff>180975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E41ACEE8-A295-4D14-8BD7-23CF67B8E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4267200" y="23250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226</xdr:row>
      <xdr:rowOff>9190</xdr:rowOff>
    </xdr:from>
    <xdr:to>
      <xdr:col>26</xdr:col>
      <xdr:colOff>809551</xdr:colOff>
      <xdr:row>226</xdr:row>
      <xdr:rowOff>180975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40AE14D6-1A7D-4885-9008-F8108CF6B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3250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227</xdr:row>
      <xdr:rowOff>9190</xdr:rowOff>
    </xdr:from>
    <xdr:to>
      <xdr:col>7</xdr:col>
      <xdr:colOff>1723392</xdr:colOff>
      <xdr:row>227</xdr:row>
      <xdr:rowOff>180975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FE080FEB-172A-4089-B7EB-4D13C8310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4267200" y="23440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227</xdr:row>
      <xdr:rowOff>9190</xdr:rowOff>
    </xdr:from>
    <xdr:to>
      <xdr:col>26</xdr:col>
      <xdr:colOff>809551</xdr:colOff>
      <xdr:row>227</xdr:row>
      <xdr:rowOff>180975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AFD6BB83-DE6F-4427-B89B-B98BF53F4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3440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228</xdr:row>
      <xdr:rowOff>9190</xdr:rowOff>
    </xdr:from>
    <xdr:to>
      <xdr:col>7</xdr:col>
      <xdr:colOff>1723392</xdr:colOff>
      <xdr:row>228</xdr:row>
      <xdr:rowOff>180975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78602CD1-B5C8-4CF1-ABD6-D176FA3F3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4267200" y="23631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228</xdr:row>
      <xdr:rowOff>9190</xdr:rowOff>
    </xdr:from>
    <xdr:to>
      <xdr:col>26</xdr:col>
      <xdr:colOff>809551</xdr:colOff>
      <xdr:row>228</xdr:row>
      <xdr:rowOff>180975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E2A3165B-7FF1-4DB7-90ED-822D553D9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3631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229</xdr:row>
      <xdr:rowOff>9190</xdr:rowOff>
    </xdr:from>
    <xdr:to>
      <xdr:col>7</xdr:col>
      <xdr:colOff>1723392</xdr:colOff>
      <xdr:row>229</xdr:row>
      <xdr:rowOff>180975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F39AB561-1D8C-4DF6-850A-E73D71C3F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4267200" y="23821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229</xdr:row>
      <xdr:rowOff>9190</xdr:rowOff>
    </xdr:from>
    <xdr:to>
      <xdr:col>26</xdr:col>
      <xdr:colOff>809551</xdr:colOff>
      <xdr:row>229</xdr:row>
      <xdr:rowOff>180975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17DECDEB-1875-4EAE-8A37-0D569D143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5849600" y="23821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230</xdr:row>
      <xdr:rowOff>9190</xdr:rowOff>
    </xdr:from>
    <xdr:to>
      <xdr:col>7</xdr:col>
      <xdr:colOff>1723392</xdr:colOff>
      <xdr:row>230</xdr:row>
      <xdr:rowOff>180975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9EA0EFA8-D88B-45C5-AD4F-AEEFF3DC2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4267200" y="24012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230</xdr:row>
      <xdr:rowOff>9190</xdr:rowOff>
    </xdr:from>
    <xdr:to>
      <xdr:col>26</xdr:col>
      <xdr:colOff>809551</xdr:colOff>
      <xdr:row>230</xdr:row>
      <xdr:rowOff>180975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89B61E1E-6BE6-4A44-B589-E095D0B49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4012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231</xdr:row>
      <xdr:rowOff>9190</xdr:rowOff>
    </xdr:from>
    <xdr:to>
      <xdr:col>7</xdr:col>
      <xdr:colOff>1723392</xdr:colOff>
      <xdr:row>231</xdr:row>
      <xdr:rowOff>180975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BA0654C3-41B6-4572-BC2B-5EB5DFDE6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4267200" y="24202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231</xdr:row>
      <xdr:rowOff>9190</xdr:rowOff>
    </xdr:from>
    <xdr:to>
      <xdr:col>26</xdr:col>
      <xdr:colOff>809551</xdr:colOff>
      <xdr:row>231</xdr:row>
      <xdr:rowOff>180975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D5C000DD-20E7-4BD2-99E2-7161E835C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5849600" y="24202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107</xdr:row>
      <xdr:rowOff>9190</xdr:rowOff>
    </xdr:from>
    <xdr:to>
      <xdr:col>7</xdr:col>
      <xdr:colOff>1723392</xdr:colOff>
      <xdr:row>107</xdr:row>
      <xdr:rowOff>180975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F46C7998-11A5-4442-9FB6-F57374425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67200" y="24393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107</xdr:row>
      <xdr:rowOff>9190</xdr:rowOff>
    </xdr:from>
    <xdr:to>
      <xdr:col>26</xdr:col>
      <xdr:colOff>809551</xdr:colOff>
      <xdr:row>107</xdr:row>
      <xdr:rowOff>180975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154EB560-8BFC-42C2-91E7-926A893AB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4393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108</xdr:row>
      <xdr:rowOff>9190</xdr:rowOff>
    </xdr:from>
    <xdr:to>
      <xdr:col>7</xdr:col>
      <xdr:colOff>1723392</xdr:colOff>
      <xdr:row>108</xdr:row>
      <xdr:rowOff>180975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D0A31536-3F55-44C5-A50F-F40462F6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67200" y="24583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108</xdr:row>
      <xdr:rowOff>9190</xdr:rowOff>
    </xdr:from>
    <xdr:to>
      <xdr:col>26</xdr:col>
      <xdr:colOff>809551</xdr:colOff>
      <xdr:row>108</xdr:row>
      <xdr:rowOff>180975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550275CD-CF2A-4D10-85DB-B3628C905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4583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232</xdr:row>
      <xdr:rowOff>9190</xdr:rowOff>
    </xdr:from>
    <xdr:to>
      <xdr:col>7</xdr:col>
      <xdr:colOff>1723392</xdr:colOff>
      <xdr:row>232</xdr:row>
      <xdr:rowOff>180975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D58B619E-C11B-4CF2-B773-C04D9E9E2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4267200" y="24774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232</xdr:row>
      <xdr:rowOff>9190</xdr:rowOff>
    </xdr:from>
    <xdr:to>
      <xdr:col>26</xdr:col>
      <xdr:colOff>809551</xdr:colOff>
      <xdr:row>232</xdr:row>
      <xdr:rowOff>180975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F25C6912-B195-400E-AD3B-63A611B2D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5849600" y="24774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71</xdr:row>
      <xdr:rowOff>9190</xdr:rowOff>
    </xdr:from>
    <xdr:to>
      <xdr:col>7</xdr:col>
      <xdr:colOff>1723392</xdr:colOff>
      <xdr:row>71</xdr:row>
      <xdr:rowOff>180975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5D71F96D-C02F-445F-977E-ED52207A1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4267200" y="24964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71</xdr:row>
      <xdr:rowOff>9190</xdr:rowOff>
    </xdr:from>
    <xdr:to>
      <xdr:col>26</xdr:col>
      <xdr:colOff>809551</xdr:colOff>
      <xdr:row>71</xdr:row>
      <xdr:rowOff>180975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49DFF177-B13D-4635-A515-AF7FCD448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4964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233</xdr:row>
      <xdr:rowOff>9190</xdr:rowOff>
    </xdr:from>
    <xdr:to>
      <xdr:col>7</xdr:col>
      <xdr:colOff>1723392</xdr:colOff>
      <xdr:row>233</xdr:row>
      <xdr:rowOff>180975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CAACB6FB-8D2C-4323-ABBE-79B73F399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4267200" y="25155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233</xdr:row>
      <xdr:rowOff>9190</xdr:rowOff>
    </xdr:from>
    <xdr:to>
      <xdr:col>26</xdr:col>
      <xdr:colOff>809551</xdr:colOff>
      <xdr:row>233</xdr:row>
      <xdr:rowOff>180975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1FE1DFE4-47C9-4DF2-9F53-2E3CFB0E6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5155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234</xdr:row>
      <xdr:rowOff>9190</xdr:rowOff>
    </xdr:from>
    <xdr:to>
      <xdr:col>7</xdr:col>
      <xdr:colOff>1723392</xdr:colOff>
      <xdr:row>234</xdr:row>
      <xdr:rowOff>180975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36FFA5D2-45EC-43D9-86E6-393B25150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4267200" y="25345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234</xdr:row>
      <xdr:rowOff>9190</xdr:rowOff>
    </xdr:from>
    <xdr:to>
      <xdr:col>26</xdr:col>
      <xdr:colOff>809551</xdr:colOff>
      <xdr:row>234</xdr:row>
      <xdr:rowOff>180975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95D62856-2D3D-4E2C-BD99-39D814DE2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5849600" y="25345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235</xdr:row>
      <xdr:rowOff>9190</xdr:rowOff>
    </xdr:from>
    <xdr:to>
      <xdr:col>7</xdr:col>
      <xdr:colOff>1723392</xdr:colOff>
      <xdr:row>235</xdr:row>
      <xdr:rowOff>180975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6506CD64-4E90-46D4-90D3-04C4E4B6F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4267200" y="25536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235</xdr:row>
      <xdr:rowOff>9190</xdr:rowOff>
    </xdr:from>
    <xdr:to>
      <xdr:col>26</xdr:col>
      <xdr:colOff>809551</xdr:colOff>
      <xdr:row>235</xdr:row>
      <xdr:rowOff>180975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77930F97-9393-4BAD-ABD8-2F6BC65CD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5536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236</xdr:row>
      <xdr:rowOff>9190</xdr:rowOff>
    </xdr:from>
    <xdr:to>
      <xdr:col>7</xdr:col>
      <xdr:colOff>1723392</xdr:colOff>
      <xdr:row>236</xdr:row>
      <xdr:rowOff>180975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83D1B4D4-B5B0-4A0A-8471-DC0DFCEEF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4267200" y="25726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236</xdr:row>
      <xdr:rowOff>9190</xdr:rowOff>
    </xdr:from>
    <xdr:to>
      <xdr:col>26</xdr:col>
      <xdr:colOff>809551</xdr:colOff>
      <xdr:row>236</xdr:row>
      <xdr:rowOff>180975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68FA8751-7F46-40D0-ABD6-47D4B0AA0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5726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237</xdr:row>
      <xdr:rowOff>9190</xdr:rowOff>
    </xdr:from>
    <xdr:to>
      <xdr:col>7</xdr:col>
      <xdr:colOff>1723392</xdr:colOff>
      <xdr:row>237</xdr:row>
      <xdr:rowOff>180975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B7809910-7F6E-4899-8F1B-695E3EAFE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4267200" y="25917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237</xdr:row>
      <xdr:rowOff>9190</xdr:rowOff>
    </xdr:from>
    <xdr:to>
      <xdr:col>26</xdr:col>
      <xdr:colOff>809551</xdr:colOff>
      <xdr:row>237</xdr:row>
      <xdr:rowOff>180975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95A89B20-E329-4217-81DC-96CA8433B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5917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238</xdr:row>
      <xdr:rowOff>9190</xdr:rowOff>
    </xdr:from>
    <xdr:to>
      <xdr:col>7</xdr:col>
      <xdr:colOff>1723392</xdr:colOff>
      <xdr:row>238</xdr:row>
      <xdr:rowOff>180975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611AE4AF-BDE9-4896-8EF8-50ECB1069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4267200" y="26107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238</xdr:row>
      <xdr:rowOff>9190</xdr:rowOff>
    </xdr:from>
    <xdr:to>
      <xdr:col>26</xdr:col>
      <xdr:colOff>809551</xdr:colOff>
      <xdr:row>238</xdr:row>
      <xdr:rowOff>180975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864F9D97-E019-4C17-A28D-DB8AF9FEE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6107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132</xdr:row>
      <xdr:rowOff>9190</xdr:rowOff>
    </xdr:from>
    <xdr:to>
      <xdr:col>7</xdr:col>
      <xdr:colOff>1723392</xdr:colOff>
      <xdr:row>132</xdr:row>
      <xdr:rowOff>180975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CF4AFF12-DC36-4C31-88FB-9801AF033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4267200" y="26298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132</xdr:row>
      <xdr:rowOff>9190</xdr:rowOff>
    </xdr:from>
    <xdr:to>
      <xdr:col>26</xdr:col>
      <xdr:colOff>809551</xdr:colOff>
      <xdr:row>132</xdr:row>
      <xdr:rowOff>180975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B6CCBB4C-F356-4D1D-B2EA-0D1A5F441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5849600" y="26298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239</xdr:row>
      <xdr:rowOff>9190</xdr:rowOff>
    </xdr:from>
    <xdr:to>
      <xdr:col>7</xdr:col>
      <xdr:colOff>1723392</xdr:colOff>
      <xdr:row>239</xdr:row>
      <xdr:rowOff>180975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14C930F0-4C3D-4DFA-80EF-36E094634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4267200" y="26488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239</xdr:row>
      <xdr:rowOff>9190</xdr:rowOff>
    </xdr:from>
    <xdr:to>
      <xdr:col>26</xdr:col>
      <xdr:colOff>809551</xdr:colOff>
      <xdr:row>239</xdr:row>
      <xdr:rowOff>180975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A795E5F0-4EB9-4166-B28B-B01B53943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6488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240</xdr:row>
      <xdr:rowOff>9190</xdr:rowOff>
    </xdr:from>
    <xdr:to>
      <xdr:col>7</xdr:col>
      <xdr:colOff>1723392</xdr:colOff>
      <xdr:row>240</xdr:row>
      <xdr:rowOff>180975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61A1B904-9CA4-4F96-B730-559BEF6DF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67200" y="26679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240</xdr:row>
      <xdr:rowOff>9190</xdr:rowOff>
    </xdr:from>
    <xdr:to>
      <xdr:col>26</xdr:col>
      <xdr:colOff>809551</xdr:colOff>
      <xdr:row>240</xdr:row>
      <xdr:rowOff>180975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91FC833A-1B68-4B83-9BED-51C4D01BE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6679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241</xdr:row>
      <xdr:rowOff>9190</xdr:rowOff>
    </xdr:from>
    <xdr:to>
      <xdr:col>7</xdr:col>
      <xdr:colOff>1723392</xdr:colOff>
      <xdr:row>241</xdr:row>
      <xdr:rowOff>180975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0EE6F561-E2A9-41B8-B8D7-97A6720A8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4267200" y="26869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241</xdr:row>
      <xdr:rowOff>9190</xdr:rowOff>
    </xdr:from>
    <xdr:to>
      <xdr:col>26</xdr:col>
      <xdr:colOff>809551</xdr:colOff>
      <xdr:row>241</xdr:row>
      <xdr:rowOff>180975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27A8773A-E944-4508-BC94-E1CE2375D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6869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242</xdr:row>
      <xdr:rowOff>9190</xdr:rowOff>
    </xdr:from>
    <xdr:to>
      <xdr:col>7</xdr:col>
      <xdr:colOff>1723392</xdr:colOff>
      <xdr:row>242</xdr:row>
      <xdr:rowOff>180975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5577A59F-E0C2-4999-8BEE-00495E95A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4267200" y="27060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242</xdr:row>
      <xdr:rowOff>9190</xdr:rowOff>
    </xdr:from>
    <xdr:to>
      <xdr:col>26</xdr:col>
      <xdr:colOff>809551</xdr:colOff>
      <xdr:row>242</xdr:row>
      <xdr:rowOff>180975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72A097A1-CE32-4C7E-834A-ADC824C30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5849600" y="27060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88</xdr:row>
      <xdr:rowOff>9190</xdr:rowOff>
    </xdr:from>
    <xdr:to>
      <xdr:col>7</xdr:col>
      <xdr:colOff>1723392</xdr:colOff>
      <xdr:row>88</xdr:row>
      <xdr:rowOff>180975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FFBFAA95-0AD8-4298-A4E6-B092BA813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4267200" y="27250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88</xdr:row>
      <xdr:rowOff>9190</xdr:rowOff>
    </xdr:from>
    <xdr:to>
      <xdr:col>26</xdr:col>
      <xdr:colOff>809551</xdr:colOff>
      <xdr:row>88</xdr:row>
      <xdr:rowOff>180975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B015DF23-B29C-4180-AE6D-D8C3EAC6D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7250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152</xdr:row>
      <xdr:rowOff>9190</xdr:rowOff>
    </xdr:from>
    <xdr:to>
      <xdr:col>7</xdr:col>
      <xdr:colOff>1723392</xdr:colOff>
      <xdr:row>152</xdr:row>
      <xdr:rowOff>180975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1AFE3083-C57F-47C0-929B-6C0B561AD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4267200" y="27441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152</xdr:row>
      <xdr:rowOff>9190</xdr:rowOff>
    </xdr:from>
    <xdr:to>
      <xdr:col>26</xdr:col>
      <xdr:colOff>809551</xdr:colOff>
      <xdr:row>152</xdr:row>
      <xdr:rowOff>180975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8F67B1CD-B5CB-4353-A06E-9B70F0EA7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5849600" y="27441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243</xdr:row>
      <xdr:rowOff>9190</xdr:rowOff>
    </xdr:from>
    <xdr:to>
      <xdr:col>7</xdr:col>
      <xdr:colOff>1723392</xdr:colOff>
      <xdr:row>243</xdr:row>
      <xdr:rowOff>180975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35802A38-398A-4A24-A8B9-15F3B9D82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4267200" y="27631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243</xdr:row>
      <xdr:rowOff>9190</xdr:rowOff>
    </xdr:from>
    <xdr:to>
      <xdr:col>26</xdr:col>
      <xdr:colOff>809551</xdr:colOff>
      <xdr:row>243</xdr:row>
      <xdr:rowOff>180975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0AC4501E-76A2-4C2F-A924-96820EB13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7631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145</xdr:row>
      <xdr:rowOff>9190</xdr:rowOff>
    </xdr:from>
    <xdr:to>
      <xdr:col>7</xdr:col>
      <xdr:colOff>1723392</xdr:colOff>
      <xdr:row>145</xdr:row>
      <xdr:rowOff>180975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D9DEA31E-4792-4F26-B3D1-FBECBA6E9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4267200" y="27822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145</xdr:row>
      <xdr:rowOff>9190</xdr:rowOff>
    </xdr:from>
    <xdr:to>
      <xdr:col>26</xdr:col>
      <xdr:colOff>809551</xdr:colOff>
      <xdr:row>145</xdr:row>
      <xdr:rowOff>180975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AE3EAD72-2469-4968-83FD-96106FEC4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7822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136</xdr:row>
      <xdr:rowOff>9190</xdr:rowOff>
    </xdr:from>
    <xdr:to>
      <xdr:col>7</xdr:col>
      <xdr:colOff>1723392</xdr:colOff>
      <xdr:row>136</xdr:row>
      <xdr:rowOff>180975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31319ACE-69FB-4D9D-BA67-D2F8212E4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4267200" y="28012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136</xdr:row>
      <xdr:rowOff>9190</xdr:rowOff>
    </xdr:from>
    <xdr:to>
      <xdr:col>26</xdr:col>
      <xdr:colOff>809551</xdr:colOff>
      <xdr:row>136</xdr:row>
      <xdr:rowOff>180975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BBF94576-3D0C-4DBC-9042-003B4AC5B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5849600" y="28012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166</xdr:row>
      <xdr:rowOff>9190</xdr:rowOff>
    </xdr:from>
    <xdr:to>
      <xdr:col>7</xdr:col>
      <xdr:colOff>1723392</xdr:colOff>
      <xdr:row>166</xdr:row>
      <xdr:rowOff>180975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CFD34CBD-B21F-4C3A-8EAD-BCD017F87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4267200" y="28203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166</xdr:row>
      <xdr:rowOff>9190</xdr:rowOff>
    </xdr:from>
    <xdr:to>
      <xdr:col>26</xdr:col>
      <xdr:colOff>809551</xdr:colOff>
      <xdr:row>166</xdr:row>
      <xdr:rowOff>180975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A510D83E-724B-4E11-9874-C316E2F05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8203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69</xdr:row>
      <xdr:rowOff>9190</xdr:rowOff>
    </xdr:from>
    <xdr:to>
      <xdr:col>7</xdr:col>
      <xdr:colOff>1723392</xdr:colOff>
      <xdr:row>69</xdr:row>
      <xdr:rowOff>180975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9E69005E-6936-48F6-AA1C-7A50115E8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4267200" y="28393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69</xdr:row>
      <xdr:rowOff>9190</xdr:rowOff>
    </xdr:from>
    <xdr:to>
      <xdr:col>26</xdr:col>
      <xdr:colOff>809551</xdr:colOff>
      <xdr:row>69</xdr:row>
      <xdr:rowOff>180975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B4B2CC6A-6EB2-44E3-B8C7-7D8AD4E74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8393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244</xdr:row>
      <xdr:rowOff>9190</xdr:rowOff>
    </xdr:from>
    <xdr:to>
      <xdr:col>7</xdr:col>
      <xdr:colOff>1723392</xdr:colOff>
      <xdr:row>244</xdr:row>
      <xdr:rowOff>180975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44B3FBDB-545F-4988-A01C-8F93D2FFC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4267200" y="28584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244</xdr:row>
      <xdr:rowOff>9190</xdr:rowOff>
    </xdr:from>
    <xdr:to>
      <xdr:col>26</xdr:col>
      <xdr:colOff>809551</xdr:colOff>
      <xdr:row>244</xdr:row>
      <xdr:rowOff>180975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38F44BD8-5B3E-4794-95AB-A96D7B1F3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8584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160</xdr:row>
      <xdr:rowOff>9190</xdr:rowOff>
    </xdr:from>
    <xdr:to>
      <xdr:col>7</xdr:col>
      <xdr:colOff>1723392</xdr:colOff>
      <xdr:row>160</xdr:row>
      <xdr:rowOff>180975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0A871B57-45BA-4759-9770-7BB42F3B5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4267200" y="28774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160</xdr:row>
      <xdr:rowOff>9190</xdr:rowOff>
    </xdr:from>
    <xdr:to>
      <xdr:col>26</xdr:col>
      <xdr:colOff>809551</xdr:colOff>
      <xdr:row>160</xdr:row>
      <xdr:rowOff>180975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9B857E87-0410-4A7A-A04A-01CD3488B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5849600" y="28774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245</xdr:row>
      <xdr:rowOff>9190</xdr:rowOff>
    </xdr:from>
    <xdr:to>
      <xdr:col>7</xdr:col>
      <xdr:colOff>1723392</xdr:colOff>
      <xdr:row>245</xdr:row>
      <xdr:rowOff>180975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9D00FD20-CD80-4F18-9946-2CF53C009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4267200" y="28965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245</xdr:row>
      <xdr:rowOff>9190</xdr:rowOff>
    </xdr:from>
    <xdr:to>
      <xdr:col>26</xdr:col>
      <xdr:colOff>809551</xdr:colOff>
      <xdr:row>245</xdr:row>
      <xdr:rowOff>180975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457BE7B2-1EB3-48F5-AB1E-CCBB4C702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8965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172</xdr:row>
      <xdr:rowOff>9190</xdr:rowOff>
    </xdr:from>
    <xdr:to>
      <xdr:col>7</xdr:col>
      <xdr:colOff>1723392</xdr:colOff>
      <xdr:row>172</xdr:row>
      <xdr:rowOff>180975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E9BFFFBB-9B12-459D-878C-90675027E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4267200" y="29155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172</xdr:row>
      <xdr:rowOff>9190</xdr:rowOff>
    </xdr:from>
    <xdr:to>
      <xdr:col>26</xdr:col>
      <xdr:colOff>809551</xdr:colOff>
      <xdr:row>172</xdr:row>
      <xdr:rowOff>180975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9975C8BB-0C32-4DCA-83FA-95F25CA86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9155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167</xdr:row>
      <xdr:rowOff>9190</xdr:rowOff>
    </xdr:from>
    <xdr:to>
      <xdr:col>7</xdr:col>
      <xdr:colOff>1723392</xdr:colOff>
      <xdr:row>167</xdr:row>
      <xdr:rowOff>180975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9625AFD8-A206-4771-A2AE-60B348E3B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4267200" y="29346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167</xdr:row>
      <xdr:rowOff>9190</xdr:rowOff>
    </xdr:from>
    <xdr:to>
      <xdr:col>26</xdr:col>
      <xdr:colOff>809551</xdr:colOff>
      <xdr:row>167</xdr:row>
      <xdr:rowOff>180975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020E1ED9-0FA1-4B8E-8324-6B7E6DFC9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9346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246</xdr:row>
      <xdr:rowOff>9190</xdr:rowOff>
    </xdr:from>
    <xdr:to>
      <xdr:col>7</xdr:col>
      <xdr:colOff>1723392</xdr:colOff>
      <xdr:row>246</xdr:row>
      <xdr:rowOff>180975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DC97EC6A-969E-47E7-B735-B76836C3C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4267200" y="29536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246</xdr:row>
      <xdr:rowOff>9190</xdr:rowOff>
    </xdr:from>
    <xdr:to>
      <xdr:col>26</xdr:col>
      <xdr:colOff>809551</xdr:colOff>
      <xdr:row>246</xdr:row>
      <xdr:rowOff>180975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ED639592-7119-4648-8E10-70E316000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9536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6</xdr:row>
      <xdr:rowOff>9190</xdr:rowOff>
    </xdr:from>
    <xdr:to>
      <xdr:col>7</xdr:col>
      <xdr:colOff>1723392</xdr:colOff>
      <xdr:row>6</xdr:row>
      <xdr:rowOff>180975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FC43BFB3-54CE-41EB-AF7F-15F14E879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4267200" y="29727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6</xdr:row>
      <xdr:rowOff>9190</xdr:rowOff>
    </xdr:from>
    <xdr:to>
      <xdr:col>26</xdr:col>
      <xdr:colOff>809551</xdr:colOff>
      <xdr:row>6</xdr:row>
      <xdr:rowOff>180975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AF304950-B364-4A95-ADC3-33200C2ED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29727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247</xdr:row>
      <xdr:rowOff>9190</xdr:rowOff>
    </xdr:from>
    <xdr:to>
      <xdr:col>7</xdr:col>
      <xdr:colOff>1723392</xdr:colOff>
      <xdr:row>247</xdr:row>
      <xdr:rowOff>180975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6D48B0D7-AFB4-493E-BE64-DFF882546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4267200" y="29917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247</xdr:row>
      <xdr:rowOff>9190</xdr:rowOff>
    </xdr:from>
    <xdr:to>
      <xdr:col>26</xdr:col>
      <xdr:colOff>809551</xdr:colOff>
      <xdr:row>247</xdr:row>
      <xdr:rowOff>180975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9D70B5CE-6FED-465F-AEC6-3BAE382A8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5849600" y="29917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248</xdr:row>
      <xdr:rowOff>9190</xdr:rowOff>
    </xdr:from>
    <xdr:to>
      <xdr:col>7</xdr:col>
      <xdr:colOff>1723392</xdr:colOff>
      <xdr:row>248</xdr:row>
      <xdr:rowOff>180975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623BCEEB-5B4A-4754-81DB-53861605E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4267200" y="30108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248</xdr:row>
      <xdr:rowOff>9190</xdr:rowOff>
    </xdr:from>
    <xdr:to>
      <xdr:col>26</xdr:col>
      <xdr:colOff>809551</xdr:colOff>
      <xdr:row>248</xdr:row>
      <xdr:rowOff>180975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FDF022F7-C0D2-49E1-BCDD-3C2B74670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0108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15</xdr:row>
      <xdr:rowOff>9190</xdr:rowOff>
    </xdr:from>
    <xdr:to>
      <xdr:col>7</xdr:col>
      <xdr:colOff>1723392</xdr:colOff>
      <xdr:row>15</xdr:row>
      <xdr:rowOff>180975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B1F34BD6-4CEA-4C56-A68C-383E593F9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4267200" y="30298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15</xdr:row>
      <xdr:rowOff>9190</xdr:rowOff>
    </xdr:from>
    <xdr:to>
      <xdr:col>26</xdr:col>
      <xdr:colOff>809551</xdr:colOff>
      <xdr:row>15</xdr:row>
      <xdr:rowOff>180975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D78054C9-7843-459C-90E8-4324AF526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5849600" y="30298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249</xdr:row>
      <xdr:rowOff>9190</xdr:rowOff>
    </xdr:from>
    <xdr:to>
      <xdr:col>7</xdr:col>
      <xdr:colOff>1723392</xdr:colOff>
      <xdr:row>249</xdr:row>
      <xdr:rowOff>180975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E3421A28-0EF9-43DF-A962-D132AB799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4267200" y="30489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249</xdr:row>
      <xdr:rowOff>9190</xdr:rowOff>
    </xdr:from>
    <xdr:to>
      <xdr:col>26</xdr:col>
      <xdr:colOff>809551</xdr:colOff>
      <xdr:row>249</xdr:row>
      <xdr:rowOff>180975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8F43BEF7-BDD1-4621-8555-9F55E7741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0489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250</xdr:row>
      <xdr:rowOff>9190</xdr:rowOff>
    </xdr:from>
    <xdr:to>
      <xdr:col>7</xdr:col>
      <xdr:colOff>1723392</xdr:colOff>
      <xdr:row>250</xdr:row>
      <xdr:rowOff>180975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273D7C90-7C06-49AC-9E7A-B08D9696F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4267200" y="30679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250</xdr:row>
      <xdr:rowOff>9190</xdr:rowOff>
    </xdr:from>
    <xdr:to>
      <xdr:col>26</xdr:col>
      <xdr:colOff>809551</xdr:colOff>
      <xdr:row>250</xdr:row>
      <xdr:rowOff>180975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42061358-7062-458D-814D-5517E02CA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0679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251</xdr:row>
      <xdr:rowOff>9190</xdr:rowOff>
    </xdr:from>
    <xdr:to>
      <xdr:col>7</xdr:col>
      <xdr:colOff>1723392</xdr:colOff>
      <xdr:row>251</xdr:row>
      <xdr:rowOff>180975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642CA2BD-7AC7-45A1-AA68-6381C8130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4267200" y="30870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251</xdr:row>
      <xdr:rowOff>9190</xdr:rowOff>
    </xdr:from>
    <xdr:to>
      <xdr:col>26</xdr:col>
      <xdr:colOff>809551</xdr:colOff>
      <xdr:row>251</xdr:row>
      <xdr:rowOff>180975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B495E968-A0E1-43BF-AE69-36D9AC866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5849600" y="30870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252</xdr:row>
      <xdr:rowOff>9190</xdr:rowOff>
    </xdr:from>
    <xdr:to>
      <xdr:col>7</xdr:col>
      <xdr:colOff>1723392</xdr:colOff>
      <xdr:row>252</xdr:row>
      <xdr:rowOff>180975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A41A82CD-8CE0-4B27-8F63-5D4B9E104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4267200" y="31060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252</xdr:row>
      <xdr:rowOff>9190</xdr:rowOff>
    </xdr:from>
    <xdr:to>
      <xdr:col>26</xdr:col>
      <xdr:colOff>809551</xdr:colOff>
      <xdr:row>252</xdr:row>
      <xdr:rowOff>180975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43CF726D-A1DE-4E8F-BE47-3A8A994AA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1060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253</xdr:row>
      <xdr:rowOff>9190</xdr:rowOff>
    </xdr:from>
    <xdr:to>
      <xdr:col>7</xdr:col>
      <xdr:colOff>1723392</xdr:colOff>
      <xdr:row>253</xdr:row>
      <xdr:rowOff>180975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FC3DACD0-4A90-4185-9D5A-86B3951F6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4267200" y="31251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253</xdr:row>
      <xdr:rowOff>9190</xdr:rowOff>
    </xdr:from>
    <xdr:to>
      <xdr:col>26</xdr:col>
      <xdr:colOff>809551</xdr:colOff>
      <xdr:row>253</xdr:row>
      <xdr:rowOff>180975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304E236C-9EDA-4F32-829D-756F154CF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1251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53</xdr:row>
      <xdr:rowOff>9190</xdr:rowOff>
    </xdr:from>
    <xdr:to>
      <xdr:col>7</xdr:col>
      <xdr:colOff>1723392</xdr:colOff>
      <xdr:row>53</xdr:row>
      <xdr:rowOff>180975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0F733D0C-451A-4295-899B-30AADCD7A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4267200" y="31441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53</xdr:row>
      <xdr:rowOff>9190</xdr:rowOff>
    </xdr:from>
    <xdr:to>
      <xdr:col>26</xdr:col>
      <xdr:colOff>809551</xdr:colOff>
      <xdr:row>53</xdr:row>
      <xdr:rowOff>180975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4A62B97D-866E-49F5-B3FE-6915E220D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1441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254</xdr:row>
      <xdr:rowOff>9190</xdr:rowOff>
    </xdr:from>
    <xdr:to>
      <xdr:col>7</xdr:col>
      <xdr:colOff>1723392</xdr:colOff>
      <xdr:row>254</xdr:row>
      <xdr:rowOff>180975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B180E410-5A3A-4CC7-AAE4-CBE63A47D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4267200" y="31632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254</xdr:row>
      <xdr:rowOff>9190</xdr:rowOff>
    </xdr:from>
    <xdr:to>
      <xdr:col>26</xdr:col>
      <xdr:colOff>809551</xdr:colOff>
      <xdr:row>254</xdr:row>
      <xdr:rowOff>180975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16C93A94-DBB3-46A7-BC08-92E7E98B7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1632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255</xdr:row>
      <xdr:rowOff>9190</xdr:rowOff>
    </xdr:from>
    <xdr:to>
      <xdr:col>7</xdr:col>
      <xdr:colOff>1723392</xdr:colOff>
      <xdr:row>255</xdr:row>
      <xdr:rowOff>180975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A537C81D-B97D-4ED5-ACD1-8E11A7302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4267200" y="31822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255</xdr:row>
      <xdr:rowOff>9190</xdr:rowOff>
    </xdr:from>
    <xdr:to>
      <xdr:col>26</xdr:col>
      <xdr:colOff>809551</xdr:colOff>
      <xdr:row>255</xdr:row>
      <xdr:rowOff>180975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6B32213C-2971-4B7B-AEA9-9A451BEE2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1822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256</xdr:row>
      <xdr:rowOff>9190</xdr:rowOff>
    </xdr:from>
    <xdr:to>
      <xdr:col>7</xdr:col>
      <xdr:colOff>1723392</xdr:colOff>
      <xdr:row>256</xdr:row>
      <xdr:rowOff>180975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EC57AB88-1C2D-45FE-B05B-F35EB5747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4267200" y="32013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256</xdr:row>
      <xdr:rowOff>9190</xdr:rowOff>
    </xdr:from>
    <xdr:to>
      <xdr:col>26</xdr:col>
      <xdr:colOff>809551</xdr:colOff>
      <xdr:row>256</xdr:row>
      <xdr:rowOff>180975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F7BBE8A3-2F09-4A55-8603-ECE44292F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2013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257</xdr:row>
      <xdr:rowOff>9190</xdr:rowOff>
    </xdr:from>
    <xdr:to>
      <xdr:col>7</xdr:col>
      <xdr:colOff>1723392</xdr:colOff>
      <xdr:row>257</xdr:row>
      <xdr:rowOff>180975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F6B8E717-271E-4DF3-8F43-6E339BEBF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4267200" y="32203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257</xdr:row>
      <xdr:rowOff>9190</xdr:rowOff>
    </xdr:from>
    <xdr:to>
      <xdr:col>26</xdr:col>
      <xdr:colOff>809551</xdr:colOff>
      <xdr:row>257</xdr:row>
      <xdr:rowOff>180975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C0676F05-3A55-4798-9447-56E5EB272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5849600" y="32203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258</xdr:row>
      <xdr:rowOff>9190</xdr:rowOff>
    </xdr:from>
    <xdr:to>
      <xdr:col>7</xdr:col>
      <xdr:colOff>1723392</xdr:colOff>
      <xdr:row>258</xdr:row>
      <xdr:rowOff>180975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0A83BF61-F88C-4052-94C6-B1F377D43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4267200" y="32394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258</xdr:row>
      <xdr:rowOff>9190</xdr:rowOff>
    </xdr:from>
    <xdr:to>
      <xdr:col>26</xdr:col>
      <xdr:colOff>809551</xdr:colOff>
      <xdr:row>258</xdr:row>
      <xdr:rowOff>180975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A3CA3379-666E-4DF8-82B8-EB2667B66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5849600" y="32394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91</xdr:row>
      <xdr:rowOff>9190</xdr:rowOff>
    </xdr:from>
    <xdr:to>
      <xdr:col>7</xdr:col>
      <xdr:colOff>1723392</xdr:colOff>
      <xdr:row>91</xdr:row>
      <xdr:rowOff>180975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1A76E395-D66C-4420-B70C-B8140C96D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4267200" y="32584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91</xdr:row>
      <xdr:rowOff>9190</xdr:rowOff>
    </xdr:from>
    <xdr:to>
      <xdr:col>26</xdr:col>
      <xdr:colOff>809551</xdr:colOff>
      <xdr:row>91</xdr:row>
      <xdr:rowOff>180975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B7CFF3B6-E90E-4DEC-9A5D-202940824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2584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259</xdr:row>
      <xdr:rowOff>9190</xdr:rowOff>
    </xdr:from>
    <xdr:to>
      <xdr:col>7</xdr:col>
      <xdr:colOff>1723392</xdr:colOff>
      <xdr:row>259</xdr:row>
      <xdr:rowOff>180975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2D911CAD-C9AC-45A4-92FE-188013780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4267200" y="32775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259</xdr:row>
      <xdr:rowOff>9190</xdr:rowOff>
    </xdr:from>
    <xdr:to>
      <xdr:col>26</xdr:col>
      <xdr:colOff>809551</xdr:colOff>
      <xdr:row>259</xdr:row>
      <xdr:rowOff>180975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595B968C-DBDD-4269-B484-9F989A41C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2775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92</xdr:row>
      <xdr:rowOff>9190</xdr:rowOff>
    </xdr:from>
    <xdr:to>
      <xdr:col>7</xdr:col>
      <xdr:colOff>1723392</xdr:colOff>
      <xdr:row>92</xdr:row>
      <xdr:rowOff>180975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A1D7FFDA-BBFD-4761-9C71-1B84F295A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4267200" y="32965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92</xdr:row>
      <xdr:rowOff>9190</xdr:rowOff>
    </xdr:from>
    <xdr:to>
      <xdr:col>26</xdr:col>
      <xdr:colOff>809551</xdr:colOff>
      <xdr:row>92</xdr:row>
      <xdr:rowOff>180975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D260AF60-E460-4C31-9E86-C4805BFB1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2965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260</xdr:row>
      <xdr:rowOff>9190</xdr:rowOff>
    </xdr:from>
    <xdr:to>
      <xdr:col>7</xdr:col>
      <xdr:colOff>1723392</xdr:colOff>
      <xdr:row>260</xdr:row>
      <xdr:rowOff>180975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AB91CB98-1410-4A38-84E0-BCC9849C8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4267200" y="33156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260</xdr:row>
      <xdr:rowOff>9190</xdr:rowOff>
    </xdr:from>
    <xdr:to>
      <xdr:col>26</xdr:col>
      <xdr:colOff>809551</xdr:colOff>
      <xdr:row>260</xdr:row>
      <xdr:rowOff>180975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07D45B85-DD82-41C5-8C56-9049043B7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5849600" y="33156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261</xdr:row>
      <xdr:rowOff>9190</xdr:rowOff>
    </xdr:from>
    <xdr:to>
      <xdr:col>7</xdr:col>
      <xdr:colOff>1723392</xdr:colOff>
      <xdr:row>261</xdr:row>
      <xdr:rowOff>180975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B7191C72-64B2-4C9B-9B1E-82369C0BD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4267200" y="33346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261</xdr:row>
      <xdr:rowOff>9190</xdr:rowOff>
    </xdr:from>
    <xdr:to>
      <xdr:col>26</xdr:col>
      <xdr:colOff>809551</xdr:colOff>
      <xdr:row>261</xdr:row>
      <xdr:rowOff>180975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D66BAAEC-FCED-4FAB-A332-4523C3D7D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3346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144</xdr:row>
      <xdr:rowOff>9190</xdr:rowOff>
    </xdr:from>
    <xdr:to>
      <xdr:col>7</xdr:col>
      <xdr:colOff>1723392</xdr:colOff>
      <xdr:row>144</xdr:row>
      <xdr:rowOff>180975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4F6C8A6A-251B-4F8A-A3F7-459023C04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4267200" y="33537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144</xdr:row>
      <xdr:rowOff>9190</xdr:rowOff>
    </xdr:from>
    <xdr:to>
      <xdr:col>26</xdr:col>
      <xdr:colOff>809551</xdr:colOff>
      <xdr:row>144</xdr:row>
      <xdr:rowOff>180975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791CF58E-A806-41EE-A351-4F618724E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5849600" y="33537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262</xdr:row>
      <xdr:rowOff>9190</xdr:rowOff>
    </xdr:from>
    <xdr:to>
      <xdr:col>7</xdr:col>
      <xdr:colOff>1723392</xdr:colOff>
      <xdr:row>262</xdr:row>
      <xdr:rowOff>180975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EC2821FC-D69C-4AD8-9E2C-8ABA7E0C0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4267200" y="33727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262</xdr:row>
      <xdr:rowOff>9190</xdr:rowOff>
    </xdr:from>
    <xdr:to>
      <xdr:col>26</xdr:col>
      <xdr:colOff>809551</xdr:colOff>
      <xdr:row>262</xdr:row>
      <xdr:rowOff>180975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CA621CBE-D8C0-4362-992F-70C42023E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3727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34</xdr:row>
      <xdr:rowOff>9190</xdr:rowOff>
    </xdr:from>
    <xdr:to>
      <xdr:col>7</xdr:col>
      <xdr:colOff>1723392</xdr:colOff>
      <xdr:row>34</xdr:row>
      <xdr:rowOff>180975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B30E9777-E44D-4F83-84B1-03CB96CCC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4267200" y="33918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34</xdr:row>
      <xdr:rowOff>9190</xdr:rowOff>
    </xdr:from>
    <xdr:to>
      <xdr:col>26</xdr:col>
      <xdr:colOff>809551</xdr:colOff>
      <xdr:row>34</xdr:row>
      <xdr:rowOff>180975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4F7F7BC5-2B3B-48C1-8D1F-2FB6A4C3F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3918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263</xdr:row>
      <xdr:rowOff>9190</xdr:rowOff>
    </xdr:from>
    <xdr:to>
      <xdr:col>7</xdr:col>
      <xdr:colOff>1723392</xdr:colOff>
      <xdr:row>263</xdr:row>
      <xdr:rowOff>180975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67EC0793-C904-427B-8EC4-65D56DA36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4267200" y="34108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263</xdr:row>
      <xdr:rowOff>9190</xdr:rowOff>
    </xdr:from>
    <xdr:to>
      <xdr:col>26</xdr:col>
      <xdr:colOff>809551</xdr:colOff>
      <xdr:row>263</xdr:row>
      <xdr:rowOff>180975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4F4FA590-B804-47C5-A13A-7044270F9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4108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51</xdr:row>
      <xdr:rowOff>9190</xdr:rowOff>
    </xdr:from>
    <xdr:to>
      <xdr:col>7</xdr:col>
      <xdr:colOff>1723392</xdr:colOff>
      <xdr:row>51</xdr:row>
      <xdr:rowOff>180975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DD7E3355-FBF7-4F1C-B146-93B4C385D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4267200" y="34299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51</xdr:row>
      <xdr:rowOff>9190</xdr:rowOff>
    </xdr:from>
    <xdr:to>
      <xdr:col>26</xdr:col>
      <xdr:colOff>809551</xdr:colOff>
      <xdr:row>51</xdr:row>
      <xdr:rowOff>180975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1DDD3022-0736-46FA-9EDB-D40DC47CC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4299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78</xdr:row>
      <xdr:rowOff>9190</xdr:rowOff>
    </xdr:from>
    <xdr:to>
      <xdr:col>7</xdr:col>
      <xdr:colOff>1723392</xdr:colOff>
      <xdr:row>78</xdr:row>
      <xdr:rowOff>180975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CF940BF1-C422-4BB8-B58A-5D337DB33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4267200" y="34489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78</xdr:row>
      <xdr:rowOff>9190</xdr:rowOff>
    </xdr:from>
    <xdr:to>
      <xdr:col>26</xdr:col>
      <xdr:colOff>809551</xdr:colOff>
      <xdr:row>78</xdr:row>
      <xdr:rowOff>180975</xdr:rowOff>
    </xdr:to>
    <xdr:pic>
      <xdr:nvPicPr>
        <xdr:cNvPr id="363" name="Picture 362">
          <a:extLst>
            <a:ext uri="{FF2B5EF4-FFF2-40B4-BE49-F238E27FC236}">
              <a16:creationId xmlns:a16="http://schemas.microsoft.com/office/drawing/2014/main" id="{383D8BD6-607C-4EED-9C9B-9480902CA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4489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93</xdr:row>
      <xdr:rowOff>9190</xdr:rowOff>
    </xdr:from>
    <xdr:to>
      <xdr:col>7</xdr:col>
      <xdr:colOff>1723392</xdr:colOff>
      <xdr:row>93</xdr:row>
      <xdr:rowOff>180975</xdr:rowOff>
    </xdr:to>
    <xdr:pic>
      <xdr:nvPicPr>
        <xdr:cNvPr id="364" name="Picture 363">
          <a:extLst>
            <a:ext uri="{FF2B5EF4-FFF2-40B4-BE49-F238E27FC236}">
              <a16:creationId xmlns:a16="http://schemas.microsoft.com/office/drawing/2014/main" id="{6C113910-1951-4F86-B217-5E943F992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4267200" y="34680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93</xdr:row>
      <xdr:rowOff>9190</xdr:rowOff>
    </xdr:from>
    <xdr:to>
      <xdr:col>26</xdr:col>
      <xdr:colOff>809551</xdr:colOff>
      <xdr:row>93</xdr:row>
      <xdr:rowOff>180975</xdr:rowOff>
    </xdr:to>
    <xdr:pic>
      <xdr:nvPicPr>
        <xdr:cNvPr id="365" name="Picture 364">
          <a:extLst>
            <a:ext uri="{FF2B5EF4-FFF2-40B4-BE49-F238E27FC236}">
              <a16:creationId xmlns:a16="http://schemas.microsoft.com/office/drawing/2014/main" id="{E124A9A4-3A57-47DC-9B8D-EFAAD2EB4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4680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112</xdr:row>
      <xdr:rowOff>9190</xdr:rowOff>
    </xdr:from>
    <xdr:to>
      <xdr:col>7</xdr:col>
      <xdr:colOff>1723392</xdr:colOff>
      <xdr:row>112</xdr:row>
      <xdr:rowOff>180975</xdr:rowOff>
    </xdr:to>
    <xdr:pic>
      <xdr:nvPicPr>
        <xdr:cNvPr id="366" name="Picture 365">
          <a:extLst>
            <a:ext uri="{FF2B5EF4-FFF2-40B4-BE49-F238E27FC236}">
              <a16:creationId xmlns:a16="http://schemas.microsoft.com/office/drawing/2014/main" id="{6A71AD49-73FC-4549-9640-D3357E568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4267200" y="34870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112</xdr:row>
      <xdr:rowOff>9190</xdr:rowOff>
    </xdr:from>
    <xdr:to>
      <xdr:col>26</xdr:col>
      <xdr:colOff>809551</xdr:colOff>
      <xdr:row>112</xdr:row>
      <xdr:rowOff>180975</xdr:rowOff>
    </xdr:to>
    <xdr:pic>
      <xdr:nvPicPr>
        <xdr:cNvPr id="367" name="Picture 366">
          <a:extLst>
            <a:ext uri="{FF2B5EF4-FFF2-40B4-BE49-F238E27FC236}">
              <a16:creationId xmlns:a16="http://schemas.microsoft.com/office/drawing/2014/main" id="{CF2C629D-DDFF-494F-9943-729331A20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4870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80</xdr:row>
      <xdr:rowOff>9190</xdr:rowOff>
    </xdr:from>
    <xdr:to>
      <xdr:col>7</xdr:col>
      <xdr:colOff>1723392</xdr:colOff>
      <xdr:row>80</xdr:row>
      <xdr:rowOff>180975</xdr:rowOff>
    </xdr:to>
    <xdr:pic>
      <xdr:nvPicPr>
        <xdr:cNvPr id="368" name="Picture 367">
          <a:extLst>
            <a:ext uri="{FF2B5EF4-FFF2-40B4-BE49-F238E27FC236}">
              <a16:creationId xmlns:a16="http://schemas.microsoft.com/office/drawing/2014/main" id="{DE73D3E3-A354-47E0-8008-922052D40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4267200" y="35061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80</xdr:row>
      <xdr:rowOff>9190</xdr:rowOff>
    </xdr:from>
    <xdr:to>
      <xdr:col>26</xdr:col>
      <xdr:colOff>809551</xdr:colOff>
      <xdr:row>80</xdr:row>
      <xdr:rowOff>180975</xdr:rowOff>
    </xdr:to>
    <xdr:pic>
      <xdr:nvPicPr>
        <xdr:cNvPr id="369" name="Picture 368">
          <a:extLst>
            <a:ext uri="{FF2B5EF4-FFF2-40B4-BE49-F238E27FC236}">
              <a16:creationId xmlns:a16="http://schemas.microsoft.com/office/drawing/2014/main" id="{07C00513-BB07-4DE7-B261-569228FD5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5061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264</xdr:row>
      <xdr:rowOff>9190</xdr:rowOff>
    </xdr:from>
    <xdr:to>
      <xdr:col>7</xdr:col>
      <xdr:colOff>1723392</xdr:colOff>
      <xdr:row>264</xdr:row>
      <xdr:rowOff>180975</xdr:rowOff>
    </xdr:to>
    <xdr:pic>
      <xdr:nvPicPr>
        <xdr:cNvPr id="370" name="Picture 369">
          <a:extLst>
            <a:ext uri="{FF2B5EF4-FFF2-40B4-BE49-F238E27FC236}">
              <a16:creationId xmlns:a16="http://schemas.microsoft.com/office/drawing/2014/main" id="{1DB72280-DC2A-4946-9B6D-4AB7B32DE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4267200" y="35251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264</xdr:row>
      <xdr:rowOff>9190</xdr:rowOff>
    </xdr:from>
    <xdr:to>
      <xdr:col>26</xdr:col>
      <xdr:colOff>809551</xdr:colOff>
      <xdr:row>264</xdr:row>
      <xdr:rowOff>180975</xdr:rowOff>
    </xdr:to>
    <xdr:pic>
      <xdr:nvPicPr>
        <xdr:cNvPr id="371" name="Picture 370">
          <a:extLst>
            <a:ext uri="{FF2B5EF4-FFF2-40B4-BE49-F238E27FC236}">
              <a16:creationId xmlns:a16="http://schemas.microsoft.com/office/drawing/2014/main" id="{8A7EE94C-B20F-4113-8AF0-846471638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5251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265</xdr:row>
      <xdr:rowOff>9190</xdr:rowOff>
    </xdr:from>
    <xdr:to>
      <xdr:col>7</xdr:col>
      <xdr:colOff>1723392</xdr:colOff>
      <xdr:row>265</xdr:row>
      <xdr:rowOff>180975</xdr:rowOff>
    </xdr:to>
    <xdr:pic>
      <xdr:nvPicPr>
        <xdr:cNvPr id="372" name="Picture 371">
          <a:extLst>
            <a:ext uri="{FF2B5EF4-FFF2-40B4-BE49-F238E27FC236}">
              <a16:creationId xmlns:a16="http://schemas.microsoft.com/office/drawing/2014/main" id="{7A89F2AD-B46D-4817-AA11-85D6A3AA9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4267200" y="35442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265</xdr:row>
      <xdr:rowOff>9190</xdr:rowOff>
    </xdr:from>
    <xdr:to>
      <xdr:col>26</xdr:col>
      <xdr:colOff>809551</xdr:colOff>
      <xdr:row>265</xdr:row>
      <xdr:rowOff>180975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id="{0C775D6A-5D9C-4F0B-848D-51D9B7C40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5442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266</xdr:row>
      <xdr:rowOff>9190</xdr:rowOff>
    </xdr:from>
    <xdr:to>
      <xdr:col>7</xdr:col>
      <xdr:colOff>1723392</xdr:colOff>
      <xdr:row>266</xdr:row>
      <xdr:rowOff>180975</xdr:rowOff>
    </xdr:to>
    <xdr:pic>
      <xdr:nvPicPr>
        <xdr:cNvPr id="374" name="Picture 373">
          <a:extLst>
            <a:ext uri="{FF2B5EF4-FFF2-40B4-BE49-F238E27FC236}">
              <a16:creationId xmlns:a16="http://schemas.microsoft.com/office/drawing/2014/main" id="{A4BF571F-8F74-4DA6-B411-88CBDFD36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4267200" y="35632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266</xdr:row>
      <xdr:rowOff>9190</xdr:rowOff>
    </xdr:from>
    <xdr:to>
      <xdr:col>26</xdr:col>
      <xdr:colOff>809551</xdr:colOff>
      <xdr:row>266</xdr:row>
      <xdr:rowOff>180975</xdr:rowOff>
    </xdr:to>
    <xdr:pic>
      <xdr:nvPicPr>
        <xdr:cNvPr id="375" name="Picture 374">
          <a:extLst>
            <a:ext uri="{FF2B5EF4-FFF2-40B4-BE49-F238E27FC236}">
              <a16:creationId xmlns:a16="http://schemas.microsoft.com/office/drawing/2014/main" id="{70C1C883-66D3-4704-BABB-96E9AA8CB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5632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113</xdr:row>
      <xdr:rowOff>9190</xdr:rowOff>
    </xdr:from>
    <xdr:to>
      <xdr:col>7</xdr:col>
      <xdr:colOff>1723392</xdr:colOff>
      <xdr:row>113</xdr:row>
      <xdr:rowOff>180975</xdr:rowOff>
    </xdr:to>
    <xdr:pic>
      <xdr:nvPicPr>
        <xdr:cNvPr id="376" name="Picture 375">
          <a:extLst>
            <a:ext uri="{FF2B5EF4-FFF2-40B4-BE49-F238E27FC236}">
              <a16:creationId xmlns:a16="http://schemas.microsoft.com/office/drawing/2014/main" id="{1C2E1F30-5E56-46B0-BD00-074366B9C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4267200" y="35823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113</xdr:row>
      <xdr:rowOff>9190</xdr:rowOff>
    </xdr:from>
    <xdr:to>
      <xdr:col>26</xdr:col>
      <xdr:colOff>809551</xdr:colOff>
      <xdr:row>113</xdr:row>
      <xdr:rowOff>180975</xdr:rowOff>
    </xdr:to>
    <xdr:pic>
      <xdr:nvPicPr>
        <xdr:cNvPr id="377" name="Picture 376">
          <a:extLst>
            <a:ext uri="{FF2B5EF4-FFF2-40B4-BE49-F238E27FC236}">
              <a16:creationId xmlns:a16="http://schemas.microsoft.com/office/drawing/2014/main" id="{F6AC17EC-739A-4796-A0D7-CF06D9073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5823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267</xdr:row>
      <xdr:rowOff>9190</xdr:rowOff>
    </xdr:from>
    <xdr:to>
      <xdr:col>7</xdr:col>
      <xdr:colOff>1723392</xdr:colOff>
      <xdr:row>267</xdr:row>
      <xdr:rowOff>180975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id="{6A87B5E4-53C2-4FFD-BCD5-BDC070565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4267200" y="36013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267</xdr:row>
      <xdr:rowOff>9190</xdr:rowOff>
    </xdr:from>
    <xdr:to>
      <xdr:col>26</xdr:col>
      <xdr:colOff>809551</xdr:colOff>
      <xdr:row>267</xdr:row>
      <xdr:rowOff>180975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4BE51A99-38F3-427F-822C-6732F233B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6013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102</xdr:row>
      <xdr:rowOff>9190</xdr:rowOff>
    </xdr:from>
    <xdr:to>
      <xdr:col>7</xdr:col>
      <xdr:colOff>1723392</xdr:colOff>
      <xdr:row>102</xdr:row>
      <xdr:rowOff>180975</xdr:rowOff>
    </xdr:to>
    <xdr:pic>
      <xdr:nvPicPr>
        <xdr:cNvPr id="380" name="Picture 379">
          <a:extLst>
            <a:ext uri="{FF2B5EF4-FFF2-40B4-BE49-F238E27FC236}">
              <a16:creationId xmlns:a16="http://schemas.microsoft.com/office/drawing/2014/main" id="{05DCE668-E8A1-4F2C-8668-32C8D97B1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4267200" y="36204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102</xdr:row>
      <xdr:rowOff>9190</xdr:rowOff>
    </xdr:from>
    <xdr:to>
      <xdr:col>26</xdr:col>
      <xdr:colOff>809551</xdr:colOff>
      <xdr:row>102</xdr:row>
      <xdr:rowOff>180975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DF843BCA-0367-4117-888C-0A9FD5964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6204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104</xdr:row>
      <xdr:rowOff>9190</xdr:rowOff>
    </xdr:from>
    <xdr:to>
      <xdr:col>7</xdr:col>
      <xdr:colOff>1723392</xdr:colOff>
      <xdr:row>104</xdr:row>
      <xdr:rowOff>180975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487290D0-104D-412B-823E-EF8DC3D8E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4267200" y="36394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104</xdr:row>
      <xdr:rowOff>9190</xdr:rowOff>
    </xdr:from>
    <xdr:to>
      <xdr:col>26</xdr:col>
      <xdr:colOff>809551</xdr:colOff>
      <xdr:row>104</xdr:row>
      <xdr:rowOff>180975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0AEA6215-EABF-480E-9E0C-234E93A84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6394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105</xdr:row>
      <xdr:rowOff>9190</xdr:rowOff>
    </xdr:from>
    <xdr:to>
      <xdr:col>7</xdr:col>
      <xdr:colOff>1723392</xdr:colOff>
      <xdr:row>105</xdr:row>
      <xdr:rowOff>180975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28E78046-1CB3-4A6C-8C5C-AE5B79CE6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4267200" y="36585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105</xdr:row>
      <xdr:rowOff>9190</xdr:rowOff>
    </xdr:from>
    <xdr:to>
      <xdr:col>26</xdr:col>
      <xdr:colOff>809551</xdr:colOff>
      <xdr:row>105</xdr:row>
      <xdr:rowOff>180975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4196EC9E-B3C6-4ED9-893B-028211872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6585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268</xdr:row>
      <xdr:rowOff>9190</xdr:rowOff>
    </xdr:from>
    <xdr:to>
      <xdr:col>7</xdr:col>
      <xdr:colOff>1723392</xdr:colOff>
      <xdr:row>268</xdr:row>
      <xdr:rowOff>180975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AC6FB35C-761C-46B4-BE1E-507218536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4267200" y="36775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268</xdr:row>
      <xdr:rowOff>9190</xdr:rowOff>
    </xdr:from>
    <xdr:to>
      <xdr:col>26</xdr:col>
      <xdr:colOff>809551</xdr:colOff>
      <xdr:row>268</xdr:row>
      <xdr:rowOff>180975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4274A865-55BD-402A-96BC-315C42379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6775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109</xdr:row>
      <xdr:rowOff>9190</xdr:rowOff>
    </xdr:from>
    <xdr:to>
      <xdr:col>7</xdr:col>
      <xdr:colOff>1723392</xdr:colOff>
      <xdr:row>109</xdr:row>
      <xdr:rowOff>180975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004D78D0-073C-4092-9BF4-001406E81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4267200" y="36966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109</xdr:row>
      <xdr:rowOff>9190</xdr:rowOff>
    </xdr:from>
    <xdr:to>
      <xdr:col>26</xdr:col>
      <xdr:colOff>809551</xdr:colOff>
      <xdr:row>109</xdr:row>
      <xdr:rowOff>180975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E15D9989-79B6-4C88-9DE2-AFE335ACE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6966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114</xdr:row>
      <xdr:rowOff>9190</xdr:rowOff>
    </xdr:from>
    <xdr:to>
      <xdr:col>7</xdr:col>
      <xdr:colOff>1723392</xdr:colOff>
      <xdr:row>114</xdr:row>
      <xdr:rowOff>180975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98DC5C2A-0649-45FC-8FCC-8F341781D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4267200" y="37156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114</xdr:row>
      <xdr:rowOff>9190</xdr:rowOff>
    </xdr:from>
    <xdr:to>
      <xdr:col>26</xdr:col>
      <xdr:colOff>809551</xdr:colOff>
      <xdr:row>114</xdr:row>
      <xdr:rowOff>180975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170CD930-8D2F-4D3C-9189-9621CBF97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7156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115</xdr:row>
      <xdr:rowOff>9190</xdr:rowOff>
    </xdr:from>
    <xdr:to>
      <xdr:col>7</xdr:col>
      <xdr:colOff>1723392</xdr:colOff>
      <xdr:row>115</xdr:row>
      <xdr:rowOff>180975</xdr:rowOff>
    </xdr:to>
    <xdr:pic>
      <xdr:nvPicPr>
        <xdr:cNvPr id="392" name="Picture 391">
          <a:extLst>
            <a:ext uri="{FF2B5EF4-FFF2-40B4-BE49-F238E27FC236}">
              <a16:creationId xmlns:a16="http://schemas.microsoft.com/office/drawing/2014/main" id="{A8FFF6FD-4C6B-469E-969C-AAD669876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4267200" y="37347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115</xdr:row>
      <xdr:rowOff>9190</xdr:rowOff>
    </xdr:from>
    <xdr:to>
      <xdr:col>26</xdr:col>
      <xdr:colOff>809551</xdr:colOff>
      <xdr:row>115</xdr:row>
      <xdr:rowOff>180975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399A5A8A-B6F1-4AA9-A296-E180D5D61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7347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116</xdr:row>
      <xdr:rowOff>9190</xdr:rowOff>
    </xdr:from>
    <xdr:to>
      <xdr:col>7</xdr:col>
      <xdr:colOff>1723392</xdr:colOff>
      <xdr:row>116</xdr:row>
      <xdr:rowOff>180975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7D15EFF5-4539-4887-86D3-FC6C875BB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4267200" y="37537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116</xdr:row>
      <xdr:rowOff>9190</xdr:rowOff>
    </xdr:from>
    <xdr:to>
      <xdr:col>26</xdr:col>
      <xdr:colOff>809551</xdr:colOff>
      <xdr:row>116</xdr:row>
      <xdr:rowOff>180975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D0750934-A731-4C68-B818-C082C6914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7537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89</xdr:row>
      <xdr:rowOff>9190</xdr:rowOff>
    </xdr:from>
    <xdr:to>
      <xdr:col>7</xdr:col>
      <xdr:colOff>1723392</xdr:colOff>
      <xdr:row>89</xdr:row>
      <xdr:rowOff>180975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1AB5B3F8-1C8A-4FE6-BA95-BC1A1D13A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4267200" y="37728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89</xdr:row>
      <xdr:rowOff>9190</xdr:rowOff>
    </xdr:from>
    <xdr:to>
      <xdr:col>26</xdr:col>
      <xdr:colOff>809551</xdr:colOff>
      <xdr:row>89</xdr:row>
      <xdr:rowOff>180975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84904DF2-71DC-4262-95F8-E94B7B430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7728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269</xdr:row>
      <xdr:rowOff>9190</xdr:rowOff>
    </xdr:from>
    <xdr:to>
      <xdr:col>7</xdr:col>
      <xdr:colOff>1723392</xdr:colOff>
      <xdr:row>269</xdr:row>
      <xdr:rowOff>180975</xdr:rowOff>
    </xdr:to>
    <xdr:pic>
      <xdr:nvPicPr>
        <xdr:cNvPr id="398" name="Picture 397">
          <a:extLst>
            <a:ext uri="{FF2B5EF4-FFF2-40B4-BE49-F238E27FC236}">
              <a16:creationId xmlns:a16="http://schemas.microsoft.com/office/drawing/2014/main" id="{55526F7E-7DFA-4081-98B8-951E69841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4267200" y="37918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269</xdr:row>
      <xdr:rowOff>9190</xdr:rowOff>
    </xdr:from>
    <xdr:to>
      <xdr:col>26</xdr:col>
      <xdr:colOff>809551</xdr:colOff>
      <xdr:row>269</xdr:row>
      <xdr:rowOff>180975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61C44DF2-0E31-4E35-A84D-07222AA2F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7918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121</xdr:row>
      <xdr:rowOff>9190</xdr:rowOff>
    </xdr:from>
    <xdr:to>
      <xdr:col>7</xdr:col>
      <xdr:colOff>1723392</xdr:colOff>
      <xdr:row>121</xdr:row>
      <xdr:rowOff>180975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id="{CE051F22-F6B0-4AE7-A551-E886A4D9D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4267200" y="38109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121</xdr:row>
      <xdr:rowOff>9190</xdr:rowOff>
    </xdr:from>
    <xdr:to>
      <xdr:col>26</xdr:col>
      <xdr:colOff>809551</xdr:colOff>
      <xdr:row>121</xdr:row>
      <xdr:rowOff>180975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13F21D6B-1BE7-461C-82F7-BF6716549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8109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123</xdr:row>
      <xdr:rowOff>9190</xdr:rowOff>
    </xdr:from>
    <xdr:to>
      <xdr:col>7</xdr:col>
      <xdr:colOff>1723392</xdr:colOff>
      <xdr:row>123</xdr:row>
      <xdr:rowOff>180975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20529281-D5E4-4867-924C-C65AB8386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4267200" y="38299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123</xdr:row>
      <xdr:rowOff>9190</xdr:rowOff>
    </xdr:from>
    <xdr:to>
      <xdr:col>26</xdr:col>
      <xdr:colOff>809551</xdr:colOff>
      <xdr:row>123</xdr:row>
      <xdr:rowOff>180975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93FA8112-04D3-483E-9441-11113BD07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8299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125</xdr:row>
      <xdr:rowOff>9190</xdr:rowOff>
    </xdr:from>
    <xdr:to>
      <xdr:col>7</xdr:col>
      <xdr:colOff>1723392</xdr:colOff>
      <xdr:row>125</xdr:row>
      <xdr:rowOff>180975</xdr:rowOff>
    </xdr:to>
    <xdr:pic>
      <xdr:nvPicPr>
        <xdr:cNvPr id="404" name="Picture 403">
          <a:extLst>
            <a:ext uri="{FF2B5EF4-FFF2-40B4-BE49-F238E27FC236}">
              <a16:creationId xmlns:a16="http://schemas.microsoft.com/office/drawing/2014/main" id="{967D95B5-5481-4BDE-A61F-7BFDF7924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4267200" y="38490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125</xdr:row>
      <xdr:rowOff>9190</xdr:rowOff>
    </xdr:from>
    <xdr:to>
      <xdr:col>26</xdr:col>
      <xdr:colOff>809551</xdr:colOff>
      <xdr:row>125</xdr:row>
      <xdr:rowOff>180975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FF2031E2-9C66-4B3E-BB77-0F58289A3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8490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126</xdr:row>
      <xdr:rowOff>9190</xdr:rowOff>
    </xdr:from>
    <xdr:to>
      <xdr:col>7</xdr:col>
      <xdr:colOff>1723392</xdr:colOff>
      <xdr:row>126</xdr:row>
      <xdr:rowOff>180975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id="{EA72C864-4175-4D47-8E18-59679DDE2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4267200" y="38680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126</xdr:row>
      <xdr:rowOff>9190</xdr:rowOff>
    </xdr:from>
    <xdr:to>
      <xdr:col>26</xdr:col>
      <xdr:colOff>809551</xdr:colOff>
      <xdr:row>126</xdr:row>
      <xdr:rowOff>180975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DD9B0AD8-3C85-41D9-B64E-EF7ACF7DC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8680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127</xdr:row>
      <xdr:rowOff>9190</xdr:rowOff>
    </xdr:from>
    <xdr:to>
      <xdr:col>7</xdr:col>
      <xdr:colOff>1723392</xdr:colOff>
      <xdr:row>127</xdr:row>
      <xdr:rowOff>180975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5E4BFA4C-FD74-45EA-9356-4358354B4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4267200" y="38871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127</xdr:row>
      <xdr:rowOff>9190</xdr:rowOff>
    </xdr:from>
    <xdr:to>
      <xdr:col>26</xdr:col>
      <xdr:colOff>809551</xdr:colOff>
      <xdr:row>127</xdr:row>
      <xdr:rowOff>180975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A9361F4A-6E3E-4B7A-BDE3-5CBF3F841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8871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129</xdr:row>
      <xdr:rowOff>9190</xdr:rowOff>
    </xdr:from>
    <xdr:to>
      <xdr:col>7</xdr:col>
      <xdr:colOff>1723392</xdr:colOff>
      <xdr:row>129</xdr:row>
      <xdr:rowOff>180975</xdr:rowOff>
    </xdr:to>
    <xdr:pic>
      <xdr:nvPicPr>
        <xdr:cNvPr id="410" name="Picture 409">
          <a:extLst>
            <a:ext uri="{FF2B5EF4-FFF2-40B4-BE49-F238E27FC236}">
              <a16:creationId xmlns:a16="http://schemas.microsoft.com/office/drawing/2014/main" id="{C1419321-391B-4769-98AA-BD2A0D260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4267200" y="39061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129</xdr:row>
      <xdr:rowOff>9190</xdr:rowOff>
    </xdr:from>
    <xdr:to>
      <xdr:col>26</xdr:col>
      <xdr:colOff>809551</xdr:colOff>
      <xdr:row>129</xdr:row>
      <xdr:rowOff>180975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1AD7C8C0-7808-434A-9681-D7F66EF14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9061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130</xdr:row>
      <xdr:rowOff>9190</xdr:rowOff>
    </xdr:from>
    <xdr:to>
      <xdr:col>7</xdr:col>
      <xdr:colOff>1723392</xdr:colOff>
      <xdr:row>130</xdr:row>
      <xdr:rowOff>180975</xdr:rowOff>
    </xdr:to>
    <xdr:pic>
      <xdr:nvPicPr>
        <xdr:cNvPr id="412" name="Picture 411">
          <a:extLst>
            <a:ext uri="{FF2B5EF4-FFF2-40B4-BE49-F238E27FC236}">
              <a16:creationId xmlns:a16="http://schemas.microsoft.com/office/drawing/2014/main" id="{50CF9BA8-CEA0-4FCF-9614-F77C00A78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4267200" y="39252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130</xdr:row>
      <xdr:rowOff>9190</xdr:rowOff>
    </xdr:from>
    <xdr:to>
      <xdr:col>26</xdr:col>
      <xdr:colOff>809551</xdr:colOff>
      <xdr:row>130</xdr:row>
      <xdr:rowOff>180975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id="{CA698C73-06FD-49D3-AB0A-D85D8FDEB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9252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139</xdr:row>
      <xdr:rowOff>9190</xdr:rowOff>
    </xdr:from>
    <xdr:to>
      <xdr:col>7</xdr:col>
      <xdr:colOff>1723392</xdr:colOff>
      <xdr:row>139</xdr:row>
      <xdr:rowOff>180975</xdr:rowOff>
    </xdr:to>
    <xdr:pic>
      <xdr:nvPicPr>
        <xdr:cNvPr id="414" name="Picture 413">
          <a:extLst>
            <a:ext uri="{FF2B5EF4-FFF2-40B4-BE49-F238E27FC236}">
              <a16:creationId xmlns:a16="http://schemas.microsoft.com/office/drawing/2014/main" id="{AE4CBC54-569E-4578-9B4B-C16FD4A64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4267200" y="39442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139</xdr:row>
      <xdr:rowOff>9190</xdr:rowOff>
    </xdr:from>
    <xdr:to>
      <xdr:col>26</xdr:col>
      <xdr:colOff>809551</xdr:colOff>
      <xdr:row>139</xdr:row>
      <xdr:rowOff>180975</xdr:rowOff>
    </xdr:to>
    <xdr:pic>
      <xdr:nvPicPr>
        <xdr:cNvPr id="415" name="Picture 414">
          <a:extLst>
            <a:ext uri="{FF2B5EF4-FFF2-40B4-BE49-F238E27FC236}">
              <a16:creationId xmlns:a16="http://schemas.microsoft.com/office/drawing/2014/main" id="{20A9FA07-F4C3-4F55-9ABB-E48B66A30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9442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131</xdr:row>
      <xdr:rowOff>9190</xdr:rowOff>
    </xdr:from>
    <xdr:to>
      <xdr:col>7</xdr:col>
      <xdr:colOff>1723392</xdr:colOff>
      <xdr:row>131</xdr:row>
      <xdr:rowOff>180975</xdr:rowOff>
    </xdr:to>
    <xdr:pic>
      <xdr:nvPicPr>
        <xdr:cNvPr id="416" name="Picture 415">
          <a:extLst>
            <a:ext uri="{FF2B5EF4-FFF2-40B4-BE49-F238E27FC236}">
              <a16:creationId xmlns:a16="http://schemas.microsoft.com/office/drawing/2014/main" id="{2D06B3C5-F486-4CFF-8ABF-758F2ACBB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4267200" y="39633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131</xdr:row>
      <xdr:rowOff>9190</xdr:rowOff>
    </xdr:from>
    <xdr:to>
      <xdr:col>26</xdr:col>
      <xdr:colOff>809551</xdr:colOff>
      <xdr:row>131</xdr:row>
      <xdr:rowOff>180975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id="{2CF2C800-2BA5-42D9-9131-9A12C1031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9633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134</xdr:row>
      <xdr:rowOff>9190</xdr:rowOff>
    </xdr:from>
    <xdr:to>
      <xdr:col>7</xdr:col>
      <xdr:colOff>1723392</xdr:colOff>
      <xdr:row>134</xdr:row>
      <xdr:rowOff>180975</xdr:rowOff>
    </xdr:to>
    <xdr:pic>
      <xdr:nvPicPr>
        <xdr:cNvPr id="418" name="Picture 417">
          <a:extLst>
            <a:ext uri="{FF2B5EF4-FFF2-40B4-BE49-F238E27FC236}">
              <a16:creationId xmlns:a16="http://schemas.microsoft.com/office/drawing/2014/main" id="{6E91533C-A310-4C10-A37F-A678990CF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4267200" y="39823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134</xdr:row>
      <xdr:rowOff>9190</xdr:rowOff>
    </xdr:from>
    <xdr:to>
      <xdr:col>26</xdr:col>
      <xdr:colOff>809551</xdr:colOff>
      <xdr:row>134</xdr:row>
      <xdr:rowOff>180975</xdr:rowOff>
    </xdr:to>
    <xdr:pic>
      <xdr:nvPicPr>
        <xdr:cNvPr id="419" name="Picture 418">
          <a:extLst>
            <a:ext uri="{FF2B5EF4-FFF2-40B4-BE49-F238E27FC236}">
              <a16:creationId xmlns:a16="http://schemas.microsoft.com/office/drawing/2014/main" id="{E9C700F9-05C2-4EDE-A9D6-3B7C02C7B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9823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270</xdr:row>
      <xdr:rowOff>9190</xdr:rowOff>
    </xdr:from>
    <xdr:to>
      <xdr:col>7</xdr:col>
      <xdr:colOff>1723392</xdr:colOff>
      <xdr:row>270</xdr:row>
      <xdr:rowOff>180975</xdr:rowOff>
    </xdr:to>
    <xdr:pic>
      <xdr:nvPicPr>
        <xdr:cNvPr id="420" name="Picture 419">
          <a:extLst>
            <a:ext uri="{FF2B5EF4-FFF2-40B4-BE49-F238E27FC236}">
              <a16:creationId xmlns:a16="http://schemas.microsoft.com/office/drawing/2014/main" id="{2AA64EDC-4CA1-4E84-97AF-A61141583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4267200" y="40014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270</xdr:row>
      <xdr:rowOff>9190</xdr:rowOff>
    </xdr:from>
    <xdr:to>
      <xdr:col>26</xdr:col>
      <xdr:colOff>809551</xdr:colOff>
      <xdr:row>270</xdr:row>
      <xdr:rowOff>180975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id="{762ED718-7D02-4892-8132-A4203409C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5849600" y="40014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146</xdr:row>
      <xdr:rowOff>9190</xdr:rowOff>
    </xdr:from>
    <xdr:to>
      <xdr:col>7</xdr:col>
      <xdr:colOff>1723392</xdr:colOff>
      <xdr:row>146</xdr:row>
      <xdr:rowOff>180975</xdr:rowOff>
    </xdr:to>
    <xdr:pic>
      <xdr:nvPicPr>
        <xdr:cNvPr id="422" name="Picture 421">
          <a:extLst>
            <a:ext uri="{FF2B5EF4-FFF2-40B4-BE49-F238E27FC236}">
              <a16:creationId xmlns:a16="http://schemas.microsoft.com/office/drawing/2014/main" id="{018B2577-A861-4B36-B95E-56980672B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4267200" y="40204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146</xdr:row>
      <xdr:rowOff>9190</xdr:rowOff>
    </xdr:from>
    <xdr:to>
      <xdr:col>26</xdr:col>
      <xdr:colOff>809551</xdr:colOff>
      <xdr:row>146</xdr:row>
      <xdr:rowOff>180975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id="{2CE21EA2-2E1B-41D7-8269-FE896ECEA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0204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141</xdr:row>
      <xdr:rowOff>9190</xdr:rowOff>
    </xdr:from>
    <xdr:to>
      <xdr:col>7</xdr:col>
      <xdr:colOff>1723392</xdr:colOff>
      <xdr:row>141</xdr:row>
      <xdr:rowOff>180975</xdr:rowOff>
    </xdr:to>
    <xdr:pic>
      <xdr:nvPicPr>
        <xdr:cNvPr id="424" name="Picture 423">
          <a:extLst>
            <a:ext uri="{FF2B5EF4-FFF2-40B4-BE49-F238E27FC236}">
              <a16:creationId xmlns:a16="http://schemas.microsoft.com/office/drawing/2014/main" id="{333040F9-20EF-43CA-B1EA-D7488B527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4267200" y="40395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141</xdr:row>
      <xdr:rowOff>9190</xdr:rowOff>
    </xdr:from>
    <xdr:to>
      <xdr:col>26</xdr:col>
      <xdr:colOff>809551</xdr:colOff>
      <xdr:row>141</xdr:row>
      <xdr:rowOff>180975</xdr:rowOff>
    </xdr:to>
    <xdr:pic>
      <xdr:nvPicPr>
        <xdr:cNvPr id="425" name="Picture 424">
          <a:extLst>
            <a:ext uri="{FF2B5EF4-FFF2-40B4-BE49-F238E27FC236}">
              <a16:creationId xmlns:a16="http://schemas.microsoft.com/office/drawing/2014/main" id="{FC57BB46-A448-42AA-99CB-E1F86EBFA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5849600" y="40395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140</xdr:row>
      <xdr:rowOff>9190</xdr:rowOff>
    </xdr:from>
    <xdr:to>
      <xdr:col>7</xdr:col>
      <xdr:colOff>1723392</xdr:colOff>
      <xdr:row>140</xdr:row>
      <xdr:rowOff>180975</xdr:rowOff>
    </xdr:to>
    <xdr:pic>
      <xdr:nvPicPr>
        <xdr:cNvPr id="426" name="Picture 425">
          <a:extLst>
            <a:ext uri="{FF2B5EF4-FFF2-40B4-BE49-F238E27FC236}">
              <a16:creationId xmlns:a16="http://schemas.microsoft.com/office/drawing/2014/main" id="{5E4E3F1B-442C-4199-97A4-B3688D07F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4267200" y="40585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140</xdr:row>
      <xdr:rowOff>9190</xdr:rowOff>
    </xdr:from>
    <xdr:to>
      <xdr:col>26</xdr:col>
      <xdr:colOff>809551</xdr:colOff>
      <xdr:row>140</xdr:row>
      <xdr:rowOff>180975</xdr:rowOff>
    </xdr:to>
    <xdr:pic>
      <xdr:nvPicPr>
        <xdr:cNvPr id="427" name="Picture 426">
          <a:extLst>
            <a:ext uri="{FF2B5EF4-FFF2-40B4-BE49-F238E27FC236}">
              <a16:creationId xmlns:a16="http://schemas.microsoft.com/office/drawing/2014/main" id="{DF167F03-22EE-4164-91AD-480ADDC2C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0585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142</xdr:row>
      <xdr:rowOff>9190</xdr:rowOff>
    </xdr:from>
    <xdr:to>
      <xdr:col>7</xdr:col>
      <xdr:colOff>1723392</xdr:colOff>
      <xdr:row>142</xdr:row>
      <xdr:rowOff>180975</xdr:rowOff>
    </xdr:to>
    <xdr:pic>
      <xdr:nvPicPr>
        <xdr:cNvPr id="428" name="Picture 427">
          <a:extLst>
            <a:ext uri="{FF2B5EF4-FFF2-40B4-BE49-F238E27FC236}">
              <a16:creationId xmlns:a16="http://schemas.microsoft.com/office/drawing/2014/main" id="{03B69834-4CCB-4D1F-8FD5-8D425233F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4267200" y="40776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142</xdr:row>
      <xdr:rowOff>9190</xdr:rowOff>
    </xdr:from>
    <xdr:to>
      <xdr:col>26</xdr:col>
      <xdr:colOff>809551</xdr:colOff>
      <xdr:row>142</xdr:row>
      <xdr:rowOff>180975</xdr:rowOff>
    </xdr:to>
    <xdr:pic>
      <xdr:nvPicPr>
        <xdr:cNvPr id="429" name="Picture 428">
          <a:extLst>
            <a:ext uri="{FF2B5EF4-FFF2-40B4-BE49-F238E27FC236}">
              <a16:creationId xmlns:a16="http://schemas.microsoft.com/office/drawing/2014/main" id="{741A7644-35DB-41AA-B61F-A96007399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0776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147</xdr:row>
      <xdr:rowOff>9190</xdr:rowOff>
    </xdr:from>
    <xdr:to>
      <xdr:col>7</xdr:col>
      <xdr:colOff>1723392</xdr:colOff>
      <xdr:row>147</xdr:row>
      <xdr:rowOff>180975</xdr:rowOff>
    </xdr:to>
    <xdr:pic>
      <xdr:nvPicPr>
        <xdr:cNvPr id="430" name="Picture 429">
          <a:extLst>
            <a:ext uri="{FF2B5EF4-FFF2-40B4-BE49-F238E27FC236}">
              <a16:creationId xmlns:a16="http://schemas.microsoft.com/office/drawing/2014/main" id="{2C8678E5-83DA-42A1-9AD8-EBE371AE7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4267200" y="40966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147</xdr:row>
      <xdr:rowOff>9190</xdr:rowOff>
    </xdr:from>
    <xdr:to>
      <xdr:col>26</xdr:col>
      <xdr:colOff>809551</xdr:colOff>
      <xdr:row>147</xdr:row>
      <xdr:rowOff>180975</xdr:rowOff>
    </xdr:to>
    <xdr:pic>
      <xdr:nvPicPr>
        <xdr:cNvPr id="431" name="Picture 430">
          <a:extLst>
            <a:ext uri="{FF2B5EF4-FFF2-40B4-BE49-F238E27FC236}">
              <a16:creationId xmlns:a16="http://schemas.microsoft.com/office/drawing/2014/main" id="{4142084A-80AE-4667-BC90-31E831B95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0966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149</xdr:row>
      <xdr:rowOff>9190</xdr:rowOff>
    </xdr:from>
    <xdr:to>
      <xdr:col>7</xdr:col>
      <xdr:colOff>1723392</xdr:colOff>
      <xdr:row>149</xdr:row>
      <xdr:rowOff>180975</xdr:rowOff>
    </xdr:to>
    <xdr:pic>
      <xdr:nvPicPr>
        <xdr:cNvPr id="432" name="Picture 431">
          <a:extLst>
            <a:ext uri="{FF2B5EF4-FFF2-40B4-BE49-F238E27FC236}">
              <a16:creationId xmlns:a16="http://schemas.microsoft.com/office/drawing/2014/main" id="{03F272E0-6781-44D2-B625-14DBAF431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4267200" y="41157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149</xdr:row>
      <xdr:rowOff>9190</xdr:rowOff>
    </xdr:from>
    <xdr:to>
      <xdr:col>26</xdr:col>
      <xdr:colOff>809551</xdr:colOff>
      <xdr:row>149</xdr:row>
      <xdr:rowOff>180975</xdr:rowOff>
    </xdr:to>
    <xdr:pic>
      <xdr:nvPicPr>
        <xdr:cNvPr id="433" name="Picture 432">
          <a:extLst>
            <a:ext uri="{FF2B5EF4-FFF2-40B4-BE49-F238E27FC236}">
              <a16:creationId xmlns:a16="http://schemas.microsoft.com/office/drawing/2014/main" id="{D3002BF7-7828-40DC-BDD4-E55180D06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1157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148</xdr:row>
      <xdr:rowOff>9190</xdr:rowOff>
    </xdr:from>
    <xdr:to>
      <xdr:col>7</xdr:col>
      <xdr:colOff>1723392</xdr:colOff>
      <xdr:row>148</xdr:row>
      <xdr:rowOff>180975</xdr:rowOff>
    </xdr:to>
    <xdr:pic>
      <xdr:nvPicPr>
        <xdr:cNvPr id="434" name="Picture 433">
          <a:extLst>
            <a:ext uri="{FF2B5EF4-FFF2-40B4-BE49-F238E27FC236}">
              <a16:creationId xmlns:a16="http://schemas.microsoft.com/office/drawing/2014/main" id="{6FBFE70D-190A-4079-9FFE-FDCD3CDBE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4267200" y="41347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148</xdr:row>
      <xdr:rowOff>9190</xdr:rowOff>
    </xdr:from>
    <xdr:to>
      <xdr:col>26</xdr:col>
      <xdr:colOff>809551</xdr:colOff>
      <xdr:row>148</xdr:row>
      <xdr:rowOff>180975</xdr:rowOff>
    </xdr:to>
    <xdr:pic>
      <xdr:nvPicPr>
        <xdr:cNvPr id="435" name="Picture 434">
          <a:extLst>
            <a:ext uri="{FF2B5EF4-FFF2-40B4-BE49-F238E27FC236}">
              <a16:creationId xmlns:a16="http://schemas.microsoft.com/office/drawing/2014/main" id="{58B3DDCC-0DB6-4395-9921-50B9B70FA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1347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153</xdr:row>
      <xdr:rowOff>9190</xdr:rowOff>
    </xdr:from>
    <xdr:to>
      <xdr:col>7</xdr:col>
      <xdr:colOff>1723392</xdr:colOff>
      <xdr:row>153</xdr:row>
      <xdr:rowOff>180975</xdr:rowOff>
    </xdr:to>
    <xdr:pic>
      <xdr:nvPicPr>
        <xdr:cNvPr id="436" name="Picture 435">
          <a:extLst>
            <a:ext uri="{FF2B5EF4-FFF2-40B4-BE49-F238E27FC236}">
              <a16:creationId xmlns:a16="http://schemas.microsoft.com/office/drawing/2014/main" id="{15ECC892-038A-4408-AFA9-07F59101C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4267200" y="41538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153</xdr:row>
      <xdr:rowOff>9190</xdr:rowOff>
    </xdr:from>
    <xdr:to>
      <xdr:col>26</xdr:col>
      <xdr:colOff>809551</xdr:colOff>
      <xdr:row>153</xdr:row>
      <xdr:rowOff>180975</xdr:rowOff>
    </xdr:to>
    <xdr:pic>
      <xdr:nvPicPr>
        <xdr:cNvPr id="437" name="Picture 436">
          <a:extLst>
            <a:ext uri="{FF2B5EF4-FFF2-40B4-BE49-F238E27FC236}">
              <a16:creationId xmlns:a16="http://schemas.microsoft.com/office/drawing/2014/main" id="{69890F3D-7049-4459-8CE1-2B8669EDD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1538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154</xdr:row>
      <xdr:rowOff>9190</xdr:rowOff>
    </xdr:from>
    <xdr:to>
      <xdr:col>7</xdr:col>
      <xdr:colOff>1723392</xdr:colOff>
      <xdr:row>154</xdr:row>
      <xdr:rowOff>180975</xdr:rowOff>
    </xdr:to>
    <xdr:pic>
      <xdr:nvPicPr>
        <xdr:cNvPr id="438" name="Picture 437">
          <a:extLst>
            <a:ext uri="{FF2B5EF4-FFF2-40B4-BE49-F238E27FC236}">
              <a16:creationId xmlns:a16="http://schemas.microsoft.com/office/drawing/2014/main" id="{5B217EB6-2B60-49F0-B4BA-22BEDD6EA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4267200" y="41728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154</xdr:row>
      <xdr:rowOff>9190</xdr:rowOff>
    </xdr:from>
    <xdr:to>
      <xdr:col>26</xdr:col>
      <xdr:colOff>809551</xdr:colOff>
      <xdr:row>154</xdr:row>
      <xdr:rowOff>180975</xdr:rowOff>
    </xdr:to>
    <xdr:pic>
      <xdr:nvPicPr>
        <xdr:cNvPr id="439" name="Picture 438">
          <a:extLst>
            <a:ext uri="{FF2B5EF4-FFF2-40B4-BE49-F238E27FC236}">
              <a16:creationId xmlns:a16="http://schemas.microsoft.com/office/drawing/2014/main" id="{09F938B7-964F-493F-8224-43C814E69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1728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155</xdr:row>
      <xdr:rowOff>9190</xdr:rowOff>
    </xdr:from>
    <xdr:to>
      <xdr:col>7</xdr:col>
      <xdr:colOff>1723392</xdr:colOff>
      <xdr:row>155</xdr:row>
      <xdr:rowOff>180975</xdr:rowOff>
    </xdr:to>
    <xdr:pic>
      <xdr:nvPicPr>
        <xdr:cNvPr id="440" name="Picture 439">
          <a:extLst>
            <a:ext uri="{FF2B5EF4-FFF2-40B4-BE49-F238E27FC236}">
              <a16:creationId xmlns:a16="http://schemas.microsoft.com/office/drawing/2014/main" id="{D3F6BBB1-CAB8-4101-9815-FB9923D83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4267200" y="41919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155</xdr:row>
      <xdr:rowOff>9190</xdr:rowOff>
    </xdr:from>
    <xdr:to>
      <xdr:col>26</xdr:col>
      <xdr:colOff>809551</xdr:colOff>
      <xdr:row>155</xdr:row>
      <xdr:rowOff>180975</xdr:rowOff>
    </xdr:to>
    <xdr:pic>
      <xdr:nvPicPr>
        <xdr:cNvPr id="441" name="Picture 440">
          <a:extLst>
            <a:ext uri="{FF2B5EF4-FFF2-40B4-BE49-F238E27FC236}">
              <a16:creationId xmlns:a16="http://schemas.microsoft.com/office/drawing/2014/main" id="{D46143E3-9218-4ED3-842D-F781332AD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1919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158</xdr:row>
      <xdr:rowOff>9190</xdr:rowOff>
    </xdr:from>
    <xdr:to>
      <xdr:col>7</xdr:col>
      <xdr:colOff>1723392</xdr:colOff>
      <xdr:row>158</xdr:row>
      <xdr:rowOff>180975</xdr:rowOff>
    </xdr:to>
    <xdr:pic>
      <xdr:nvPicPr>
        <xdr:cNvPr id="442" name="Picture 441">
          <a:extLst>
            <a:ext uri="{FF2B5EF4-FFF2-40B4-BE49-F238E27FC236}">
              <a16:creationId xmlns:a16="http://schemas.microsoft.com/office/drawing/2014/main" id="{37EBD5CF-E7A7-4A79-AD5D-78FDAB8E9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4267200" y="42109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158</xdr:row>
      <xdr:rowOff>9190</xdr:rowOff>
    </xdr:from>
    <xdr:to>
      <xdr:col>26</xdr:col>
      <xdr:colOff>809551</xdr:colOff>
      <xdr:row>158</xdr:row>
      <xdr:rowOff>180975</xdr:rowOff>
    </xdr:to>
    <xdr:pic>
      <xdr:nvPicPr>
        <xdr:cNvPr id="443" name="Picture 442">
          <a:extLst>
            <a:ext uri="{FF2B5EF4-FFF2-40B4-BE49-F238E27FC236}">
              <a16:creationId xmlns:a16="http://schemas.microsoft.com/office/drawing/2014/main" id="{129DEF79-0C27-434C-8FE3-FE13A8F19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2109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161</xdr:row>
      <xdr:rowOff>9190</xdr:rowOff>
    </xdr:from>
    <xdr:to>
      <xdr:col>7</xdr:col>
      <xdr:colOff>1723392</xdr:colOff>
      <xdr:row>161</xdr:row>
      <xdr:rowOff>180975</xdr:rowOff>
    </xdr:to>
    <xdr:pic>
      <xdr:nvPicPr>
        <xdr:cNvPr id="444" name="Picture 443">
          <a:extLst>
            <a:ext uri="{FF2B5EF4-FFF2-40B4-BE49-F238E27FC236}">
              <a16:creationId xmlns:a16="http://schemas.microsoft.com/office/drawing/2014/main" id="{F6A02FDE-1BEE-4BB8-817C-6CC4F135D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4267200" y="42300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161</xdr:row>
      <xdr:rowOff>9190</xdr:rowOff>
    </xdr:from>
    <xdr:to>
      <xdr:col>26</xdr:col>
      <xdr:colOff>809551</xdr:colOff>
      <xdr:row>161</xdr:row>
      <xdr:rowOff>180975</xdr:rowOff>
    </xdr:to>
    <xdr:pic>
      <xdr:nvPicPr>
        <xdr:cNvPr id="445" name="Picture 444">
          <a:extLst>
            <a:ext uri="{FF2B5EF4-FFF2-40B4-BE49-F238E27FC236}">
              <a16:creationId xmlns:a16="http://schemas.microsoft.com/office/drawing/2014/main" id="{11795A62-AEBA-4954-A217-FDBD2048D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2300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162</xdr:row>
      <xdr:rowOff>9190</xdr:rowOff>
    </xdr:from>
    <xdr:to>
      <xdr:col>7</xdr:col>
      <xdr:colOff>1723392</xdr:colOff>
      <xdr:row>162</xdr:row>
      <xdr:rowOff>180975</xdr:rowOff>
    </xdr:to>
    <xdr:pic>
      <xdr:nvPicPr>
        <xdr:cNvPr id="446" name="Picture 445">
          <a:extLst>
            <a:ext uri="{FF2B5EF4-FFF2-40B4-BE49-F238E27FC236}">
              <a16:creationId xmlns:a16="http://schemas.microsoft.com/office/drawing/2014/main" id="{2878009A-02ED-49E2-BDC9-EBA813B6B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4267200" y="42490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162</xdr:row>
      <xdr:rowOff>9190</xdr:rowOff>
    </xdr:from>
    <xdr:to>
      <xdr:col>26</xdr:col>
      <xdr:colOff>809551</xdr:colOff>
      <xdr:row>162</xdr:row>
      <xdr:rowOff>180975</xdr:rowOff>
    </xdr:to>
    <xdr:pic>
      <xdr:nvPicPr>
        <xdr:cNvPr id="447" name="Picture 446">
          <a:extLst>
            <a:ext uri="{FF2B5EF4-FFF2-40B4-BE49-F238E27FC236}">
              <a16:creationId xmlns:a16="http://schemas.microsoft.com/office/drawing/2014/main" id="{9BF1069F-3212-45E6-95DE-D0B7CEA33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2490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163</xdr:row>
      <xdr:rowOff>9190</xdr:rowOff>
    </xdr:from>
    <xdr:to>
      <xdr:col>7</xdr:col>
      <xdr:colOff>1723392</xdr:colOff>
      <xdr:row>163</xdr:row>
      <xdr:rowOff>180975</xdr:rowOff>
    </xdr:to>
    <xdr:pic>
      <xdr:nvPicPr>
        <xdr:cNvPr id="448" name="Picture 447">
          <a:extLst>
            <a:ext uri="{FF2B5EF4-FFF2-40B4-BE49-F238E27FC236}">
              <a16:creationId xmlns:a16="http://schemas.microsoft.com/office/drawing/2014/main" id="{3BFB73EC-4562-4743-83BD-D59F82D6C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4267200" y="42681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163</xdr:row>
      <xdr:rowOff>9190</xdr:rowOff>
    </xdr:from>
    <xdr:to>
      <xdr:col>26</xdr:col>
      <xdr:colOff>809551</xdr:colOff>
      <xdr:row>163</xdr:row>
      <xdr:rowOff>180975</xdr:rowOff>
    </xdr:to>
    <xdr:pic>
      <xdr:nvPicPr>
        <xdr:cNvPr id="449" name="Picture 448">
          <a:extLst>
            <a:ext uri="{FF2B5EF4-FFF2-40B4-BE49-F238E27FC236}">
              <a16:creationId xmlns:a16="http://schemas.microsoft.com/office/drawing/2014/main" id="{58E22144-1301-4809-B72C-79F56C249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2681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164</xdr:row>
      <xdr:rowOff>9190</xdr:rowOff>
    </xdr:from>
    <xdr:to>
      <xdr:col>7</xdr:col>
      <xdr:colOff>1723392</xdr:colOff>
      <xdr:row>164</xdr:row>
      <xdr:rowOff>180975</xdr:rowOff>
    </xdr:to>
    <xdr:pic>
      <xdr:nvPicPr>
        <xdr:cNvPr id="450" name="Picture 449">
          <a:extLst>
            <a:ext uri="{FF2B5EF4-FFF2-40B4-BE49-F238E27FC236}">
              <a16:creationId xmlns:a16="http://schemas.microsoft.com/office/drawing/2014/main" id="{40ACD8F1-FB3F-4F24-8434-CDBCB6911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4267200" y="42871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164</xdr:row>
      <xdr:rowOff>9190</xdr:rowOff>
    </xdr:from>
    <xdr:to>
      <xdr:col>26</xdr:col>
      <xdr:colOff>809551</xdr:colOff>
      <xdr:row>164</xdr:row>
      <xdr:rowOff>180975</xdr:rowOff>
    </xdr:to>
    <xdr:pic>
      <xdr:nvPicPr>
        <xdr:cNvPr id="451" name="Picture 450">
          <a:extLst>
            <a:ext uri="{FF2B5EF4-FFF2-40B4-BE49-F238E27FC236}">
              <a16:creationId xmlns:a16="http://schemas.microsoft.com/office/drawing/2014/main" id="{0FC16FF1-697B-4353-BEA2-286958023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2871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165</xdr:row>
      <xdr:rowOff>9190</xdr:rowOff>
    </xdr:from>
    <xdr:to>
      <xdr:col>7</xdr:col>
      <xdr:colOff>1723392</xdr:colOff>
      <xdr:row>165</xdr:row>
      <xdr:rowOff>180975</xdr:rowOff>
    </xdr:to>
    <xdr:pic>
      <xdr:nvPicPr>
        <xdr:cNvPr id="452" name="Picture 451">
          <a:extLst>
            <a:ext uri="{FF2B5EF4-FFF2-40B4-BE49-F238E27FC236}">
              <a16:creationId xmlns:a16="http://schemas.microsoft.com/office/drawing/2014/main" id="{3B54553E-2DDA-45EF-A30E-5DDFFE9CC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4267200" y="43062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165</xdr:row>
      <xdr:rowOff>9190</xdr:rowOff>
    </xdr:from>
    <xdr:to>
      <xdr:col>26</xdr:col>
      <xdr:colOff>809551</xdr:colOff>
      <xdr:row>165</xdr:row>
      <xdr:rowOff>180975</xdr:rowOff>
    </xdr:to>
    <xdr:pic>
      <xdr:nvPicPr>
        <xdr:cNvPr id="453" name="Picture 452">
          <a:extLst>
            <a:ext uri="{FF2B5EF4-FFF2-40B4-BE49-F238E27FC236}">
              <a16:creationId xmlns:a16="http://schemas.microsoft.com/office/drawing/2014/main" id="{383CBE53-45CC-4901-9032-483E13ED7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3062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168</xdr:row>
      <xdr:rowOff>9190</xdr:rowOff>
    </xdr:from>
    <xdr:to>
      <xdr:col>7</xdr:col>
      <xdr:colOff>1723392</xdr:colOff>
      <xdr:row>168</xdr:row>
      <xdr:rowOff>180975</xdr:rowOff>
    </xdr:to>
    <xdr:pic>
      <xdr:nvPicPr>
        <xdr:cNvPr id="454" name="Picture 453">
          <a:extLst>
            <a:ext uri="{FF2B5EF4-FFF2-40B4-BE49-F238E27FC236}">
              <a16:creationId xmlns:a16="http://schemas.microsoft.com/office/drawing/2014/main" id="{D53E87CD-835C-4C0D-87FC-ED791056A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4267200" y="43252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168</xdr:row>
      <xdr:rowOff>9190</xdr:rowOff>
    </xdr:from>
    <xdr:to>
      <xdr:col>26</xdr:col>
      <xdr:colOff>809551</xdr:colOff>
      <xdr:row>168</xdr:row>
      <xdr:rowOff>180975</xdr:rowOff>
    </xdr:to>
    <xdr:pic>
      <xdr:nvPicPr>
        <xdr:cNvPr id="455" name="Picture 454">
          <a:extLst>
            <a:ext uri="{FF2B5EF4-FFF2-40B4-BE49-F238E27FC236}">
              <a16:creationId xmlns:a16="http://schemas.microsoft.com/office/drawing/2014/main" id="{C199817D-83D7-4A9A-93D9-27C77562A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3252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170</xdr:row>
      <xdr:rowOff>9190</xdr:rowOff>
    </xdr:from>
    <xdr:to>
      <xdr:col>7</xdr:col>
      <xdr:colOff>1723392</xdr:colOff>
      <xdr:row>170</xdr:row>
      <xdr:rowOff>180975</xdr:rowOff>
    </xdr:to>
    <xdr:pic>
      <xdr:nvPicPr>
        <xdr:cNvPr id="456" name="Picture 455">
          <a:extLst>
            <a:ext uri="{FF2B5EF4-FFF2-40B4-BE49-F238E27FC236}">
              <a16:creationId xmlns:a16="http://schemas.microsoft.com/office/drawing/2014/main" id="{DE6556F0-8684-4A44-9B9B-D9B6271E0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4267200" y="43443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170</xdr:row>
      <xdr:rowOff>9190</xdr:rowOff>
    </xdr:from>
    <xdr:to>
      <xdr:col>26</xdr:col>
      <xdr:colOff>809551</xdr:colOff>
      <xdr:row>170</xdr:row>
      <xdr:rowOff>180975</xdr:rowOff>
    </xdr:to>
    <xdr:pic>
      <xdr:nvPicPr>
        <xdr:cNvPr id="457" name="Picture 456">
          <a:extLst>
            <a:ext uri="{FF2B5EF4-FFF2-40B4-BE49-F238E27FC236}">
              <a16:creationId xmlns:a16="http://schemas.microsoft.com/office/drawing/2014/main" id="{DF095B5E-D925-4CC4-8890-AE69085C0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3443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169</xdr:row>
      <xdr:rowOff>9190</xdr:rowOff>
    </xdr:from>
    <xdr:to>
      <xdr:col>7</xdr:col>
      <xdr:colOff>1723392</xdr:colOff>
      <xdr:row>169</xdr:row>
      <xdr:rowOff>180975</xdr:rowOff>
    </xdr:to>
    <xdr:pic>
      <xdr:nvPicPr>
        <xdr:cNvPr id="458" name="Picture 457">
          <a:extLst>
            <a:ext uri="{FF2B5EF4-FFF2-40B4-BE49-F238E27FC236}">
              <a16:creationId xmlns:a16="http://schemas.microsoft.com/office/drawing/2014/main" id="{4ADBA6EB-6610-4DF4-9FB1-34078EEBA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4267200" y="43633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169</xdr:row>
      <xdr:rowOff>9190</xdr:rowOff>
    </xdr:from>
    <xdr:to>
      <xdr:col>26</xdr:col>
      <xdr:colOff>809551</xdr:colOff>
      <xdr:row>169</xdr:row>
      <xdr:rowOff>180975</xdr:rowOff>
    </xdr:to>
    <xdr:pic>
      <xdr:nvPicPr>
        <xdr:cNvPr id="459" name="Picture 458">
          <a:extLst>
            <a:ext uri="{FF2B5EF4-FFF2-40B4-BE49-F238E27FC236}">
              <a16:creationId xmlns:a16="http://schemas.microsoft.com/office/drawing/2014/main" id="{22C79436-6B99-4ACE-AA2A-72276E012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3633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171</xdr:row>
      <xdr:rowOff>9190</xdr:rowOff>
    </xdr:from>
    <xdr:to>
      <xdr:col>7</xdr:col>
      <xdr:colOff>1723392</xdr:colOff>
      <xdr:row>171</xdr:row>
      <xdr:rowOff>180975</xdr:rowOff>
    </xdr:to>
    <xdr:pic>
      <xdr:nvPicPr>
        <xdr:cNvPr id="460" name="Picture 459">
          <a:extLst>
            <a:ext uri="{FF2B5EF4-FFF2-40B4-BE49-F238E27FC236}">
              <a16:creationId xmlns:a16="http://schemas.microsoft.com/office/drawing/2014/main" id="{CA82D6E3-6F75-4CF2-85E5-F35026AD3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4267200" y="43824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171</xdr:row>
      <xdr:rowOff>9190</xdr:rowOff>
    </xdr:from>
    <xdr:to>
      <xdr:col>26</xdr:col>
      <xdr:colOff>809551</xdr:colOff>
      <xdr:row>171</xdr:row>
      <xdr:rowOff>180975</xdr:rowOff>
    </xdr:to>
    <xdr:pic>
      <xdr:nvPicPr>
        <xdr:cNvPr id="461" name="Picture 460">
          <a:extLst>
            <a:ext uri="{FF2B5EF4-FFF2-40B4-BE49-F238E27FC236}">
              <a16:creationId xmlns:a16="http://schemas.microsoft.com/office/drawing/2014/main" id="{53384894-DDA9-4F43-82DC-6F04FAFE0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3824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173</xdr:row>
      <xdr:rowOff>9190</xdr:rowOff>
    </xdr:from>
    <xdr:to>
      <xdr:col>7</xdr:col>
      <xdr:colOff>1723392</xdr:colOff>
      <xdr:row>173</xdr:row>
      <xdr:rowOff>180975</xdr:rowOff>
    </xdr:to>
    <xdr:pic>
      <xdr:nvPicPr>
        <xdr:cNvPr id="462" name="Picture 461">
          <a:extLst>
            <a:ext uri="{FF2B5EF4-FFF2-40B4-BE49-F238E27FC236}">
              <a16:creationId xmlns:a16="http://schemas.microsoft.com/office/drawing/2014/main" id="{1B43D6B9-19DF-455D-9F4E-CE5BD40E6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4267200" y="44014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173</xdr:row>
      <xdr:rowOff>9190</xdr:rowOff>
    </xdr:from>
    <xdr:to>
      <xdr:col>26</xdr:col>
      <xdr:colOff>809551</xdr:colOff>
      <xdr:row>173</xdr:row>
      <xdr:rowOff>180975</xdr:rowOff>
    </xdr:to>
    <xdr:pic>
      <xdr:nvPicPr>
        <xdr:cNvPr id="463" name="Picture 462">
          <a:extLst>
            <a:ext uri="{FF2B5EF4-FFF2-40B4-BE49-F238E27FC236}">
              <a16:creationId xmlns:a16="http://schemas.microsoft.com/office/drawing/2014/main" id="{765E75F7-5632-4852-90DC-C5B960D72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4014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174</xdr:row>
      <xdr:rowOff>9190</xdr:rowOff>
    </xdr:from>
    <xdr:to>
      <xdr:col>7</xdr:col>
      <xdr:colOff>1723392</xdr:colOff>
      <xdr:row>174</xdr:row>
      <xdr:rowOff>180975</xdr:rowOff>
    </xdr:to>
    <xdr:pic>
      <xdr:nvPicPr>
        <xdr:cNvPr id="464" name="Picture 463">
          <a:extLst>
            <a:ext uri="{FF2B5EF4-FFF2-40B4-BE49-F238E27FC236}">
              <a16:creationId xmlns:a16="http://schemas.microsoft.com/office/drawing/2014/main" id="{C9762C4C-00FF-4A36-A657-B72CC8AAF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4267200" y="44205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174</xdr:row>
      <xdr:rowOff>9190</xdr:rowOff>
    </xdr:from>
    <xdr:to>
      <xdr:col>26</xdr:col>
      <xdr:colOff>809551</xdr:colOff>
      <xdr:row>174</xdr:row>
      <xdr:rowOff>180975</xdr:rowOff>
    </xdr:to>
    <xdr:pic>
      <xdr:nvPicPr>
        <xdr:cNvPr id="465" name="Picture 464">
          <a:extLst>
            <a:ext uri="{FF2B5EF4-FFF2-40B4-BE49-F238E27FC236}">
              <a16:creationId xmlns:a16="http://schemas.microsoft.com/office/drawing/2014/main" id="{F96A28C5-EF88-4003-B938-59784887B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4205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175</xdr:row>
      <xdr:rowOff>9190</xdr:rowOff>
    </xdr:from>
    <xdr:to>
      <xdr:col>7</xdr:col>
      <xdr:colOff>1723392</xdr:colOff>
      <xdr:row>175</xdr:row>
      <xdr:rowOff>180975</xdr:rowOff>
    </xdr:to>
    <xdr:pic>
      <xdr:nvPicPr>
        <xdr:cNvPr id="466" name="Picture 465">
          <a:extLst>
            <a:ext uri="{FF2B5EF4-FFF2-40B4-BE49-F238E27FC236}">
              <a16:creationId xmlns:a16="http://schemas.microsoft.com/office/drawing/2014/main" id="{B66EAF4A-5D9D-4568-B104-CC7659DF0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4267200" y="44395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175</xdr:row>
      <xdr:rowOff>9190</xdr:rowOff>
    </xdr:from>
    <xdr:to>
      <xdr:col>26</xdr:col>
      <xdr:colOff>809551</xdr:colOff>
      <xdr:row>175</xdr:row>
      <xdr:rowOff>180975</xdr:rowOff>
    </xdr:to>
    <xdr:pic>
      <xdr:nvPicPr>
        <xdr:cNvPr id="467" name="Picture 466">
          <a:extLst>
            <a:ext uri="{FF2B5EF4-FFF2-40B4-BE49-F238E27FC236}">
              <a16:creationId xmlns:a16="http://schemas.microsoft.com/office/drawing/2014/main" id="{AD025179-4184-498D-B22F-939365ED6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4395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177</xdr:row>
      <xdr:rowOff>9190</xdr:rowOff>
    </xdr:from>
    <xdr:to>
      <xdr:col>7</xdr:col>
      <xdr:colOff>1723392</xdr:colOff>
      <xdr:row>177</xdr:row>
      <xdr:rowOff>180975</xdr:rowOff>
    </xdr:to>
    <xdr:pic>
      <xdr:nvPicPr>
        <xdr:cNvPr id="468" name="Picture 467">
          <a:extLst>
            <a:ext uri="{FF2B5EF4-FFF2-40B4-BE49-F238E27FC236}">
              <a16:creationId xmlns:a16="http://schemas.microsoft.com/office/drawing/2014/main" id="{8578903E-1AE8-48FF-8621-CCA1BEB51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4267200" y="44586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177</xdr:row>
      <xdr:rowOff>9190</xdr:rowOff>
    </xdr:from>
    <xdr:to>
      <xdr:col>26</xdr:col>
      <xdr:colOff>809551</xdr:colOff>
      <xdr:row>177</xdr:row>
      <xdr:rowOff>180975</xdr:rowOff>
    </xdr:to>
    <xdr:pic>
      <xdr:nvPicPr>
        <xdr:cNvPr id="469" name="Picture 468">
          <a:extLst>
            <a:ext uri="{FF2B5EF4-FFF2-40B4-BE49-F238E27FC236}">
              <a16:creationId xmlns:a16="http://schemas.microsoft.com/office/drawing/2014/main" id="{A7F87A89-8A4C-4D13-A6CC-904660CD2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4586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178</xdr:row>
      <xdr:rowOff>9190</xdr:rowOff>
    </xdr:from>
    <xdr:to>
      <xdr:col>7</xdr:col>
      <xdr:colOff>1723392</xdr:colOff>
      <xdr:row>178</xdr:row>
      <xdr:rowOff>180975</xdr:rowOff>
    </xdr:to>
    <xdr:pic>
      <xdr:nvPicPr>
        <xdr:cNvPr id="470" name="Picture 469">
          <a:extLst>
            <a:ext uri="{FF2B5EF4-FFF2-40B4-BE49-F238E27FC236}">
              <a16:creationId xmlns:a16="http://schemas.microsoft.com/office/drawing/2014/main" id="{7FA1A571-E76A-4C6F-A5B0-BF855D215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4267200" y="44776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178</xdr:row>
      <xdr:rowOff>9190</xdr:rowOff>
    </xdr:from>
    <xdr:to>
      <xdr:col>26</xdr:col>
      <xdr:colOff>809551</xdr:colOff>
      <xdr:row>178</xdr:row>
      <xdr:rowOff>180975</xdr:rowOff>
    </xdr:to>
    <xdr:pic>
      <xdr:nvPicPr>
        <xdr:cNvPr id="471" name="Picture 470">
          <a:extLst>
            <a:ext uri="{FF2B5EF4-FFF2-40B4-BE49-F238E27FC236}">
              <a16:creationId xmlns:a16="http://schemas.microsoft.com/office/drawing/2014/main" id="{0EB169F1-78C0-423E-9CE7-1CC6940EA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4776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271</xdr:row>
      <xdr:rowOff>9190</xdr:rowOff>
    </xdr:from>
    <xdr:to>
      <xdr:col>7</xdr:col>
      <xdr:colOff>1723392</xdr:colOff>
      <xdr:row>271</xdr:row>
      <xdr:rowOff>180975</xdr:rowOff>
    </xdr:to>
    <xdr:pic>
      <xdr:nvPicPr>
        <xdr:cNvPr id="472" name="Picture 471">
          <a:extLst>
            <a:ext uri="{FF2B5EF4-FFF2-40B4-BE49-F238E27FC236}">
              <a16:creationId xmlns:a16="http://schemas.microsoft.com/office/drawing/2014/main" id="{3FDA6A70-FF0B-405B-8094-D8AE5B4FA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4267200" y="44967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271</xdr:row>
      <xdr:rowOff>9190</xdr:rowOff>
    </xdr:from>
    <xdr:to>
      <xdr:col>26</xdr:col>
      <xdr:colOff>809551</xdr:colOff>
      <xdr:row>271</xdr:row>
      <xdr:rowOff>180975</xdr:rowOff>
    </xdr:to>
    <xdr:pic>
      <xdr:nvPicPr>
        <xdr:cNvPr id="473" name="Picture 472">
          <a:extLst>
            <a:ext uri="{FF2B5EF4-FFF2-40B4-BE49-F238E27FC236}">
              <a16:creationId xmlns:a16="http://schemas.microsoft.com/office/drawing/2014/main" id="{4614D2DE-3EC9-4BD2-903E-20C706CDB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4967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98</xdr:row>
      <xdr:rowOff>9190</xdr:rowOff>
    </xdr:from>
    <xdr:to>
      <xdr:col>7</xdr:col>
      <xdr:colOff>1723392</xdr:colOff>
      <xdr:row>98</xdr:row>
      <xdr:rowOff>180975</xdr:rowOff>
    </xdr:to>
    <xdr:pic>
      <xdr:nvPicPr>
        <xdr:cNvPr id="474" name="Picture 473">
          <a:extLst>
            <a:ext uri="{FF2B5EF4-FFF2-40B4-BE49-F238E27FC236}">
              <a16:creationId xmlns:a16="http://schemas.microsoft.com/office/drawing/2014/main" id="{EDCBB74A-9F12-4B76-A71E-A0D1C52B9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4267200" y="45157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98</xdr:row>
      <xdr:rowOff>9190</xdr:rowOff>
    </xdr:from>
    <xdr:to>
      <xdr:col>26</xdr:col>
      <xdr:colOff>809551</xdr:colOff>
      <xdr:row>98</xdr:row>
      <xdr:rowOff>180975</xdr:rowOff>
    </xdr:to>
    <xdr:pic>
      <xdr:nvPicPr>
        <xdr:cNvPr id="475" name="Picture 474">
          <a:extLst>
            <a:ext uri="{FF2B5EF4-FFF2-40B4-BE49-F238E27FC236}">
              <a16:creationId xmlns:a16="http://schemas.microsoft.com/office/drawing/2014/main" id="{EF53C331-8E24-444A-A8D0-690FC4994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5157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94</xdr:row>
      <xdr:rowOff>9190</xdr:rowOff>
    </xdr:from>
    <xdr:to>
      <xdr:col>7</xdr:col>
      <xdr:colOff>1723392</xdr:colOff>
      <xdr:row>94</xdr:row>
      <xdr:rowOff>180975</xdr:rowOff>
    </xdr:to>
    <xdr:pic>
      <xdr:nvPicPr>
        <xdr:cNvPr id="476" name="Picture 475">
          <a:extLst>
            <a:ext uri="{FF2B5EF4-FFF2-40B4-BE49-F238E27FC236}">
              <a16:creationId xmlns:a16="http://schemas.microsoft.com/office/drawing/2014/main" id="{91837C03-00D9-49A9-A0C9-7B72FB32F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4267200" y="45348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94</xdr:row>
      <xdr:rowOff>9190</xdr:rowOff>
    </xdr:from>
    <xdr:to>
      <xdr:col>26</xdr:col>
      <xdr:colOff>809551</xdr:colOff>
      <xdr:row>94</xdr:row>
      <xdr:rowOff>180975</xdr:rowOff>
    </xdr:to>
    <xdr:pic>
      <xdr:nvPicPr>
        <xdr:cNvPr id="477" name="Picture 476">
          <a:extLst>
            <a:ext uri="{FF2B5EF4-FFF2-40B4-BE49-F238E27FC236}">
              <a16:creationId xmlns:a16="http://schemas.microsoft.com/office/drawing/2014/main" id="{6EBA2C46-55BB-4F1E-A966-6E3A7AF42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5348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272</xdr:row>
      <xdr:rowOff>9190</xdr:rowOff>
    </xdr:from>
    <xdr:to>
      <xdr:col>7</xdr:col>
      <xdr:colOff>1723392</xdr:colOff>
      <xdr:row>272</xdr:row>
      <xdr:rowOff>180975</xdr:rowOff>
    </xdr:to>
    <xdr:pic>
      <xdr:nvPicPr>
        <xdr:cNvPr id="478" name="Picture 477">
          <a:extLst>
            <a:ext uri="{FF2B5EF4-FFF2-40B4-BE49-F238E27FC236}">
              <a16:creationId xmlns:a16="http://schemas.microsoft.com/office/drawing/2014/main" id="{0068DC90-2801-453C-8519-0D1D869E4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4267200" y="45538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272</xdr:row>
      <xdr:rowOff>9190</xdr:rowOff>
    </xdr:from>
    <xdr:to>
      <xdr:col>26</xdr:col>
      <xdr:colOff>809551</xdr:colOff>
      <xdr:row>272</xdr:row>
      <xdr:rowOff>180975</xdr:rowOff>
    </xdr:to>
    <xdr:pic>
      <xdr:nvPicPr>
        <xdr:cNvPr id="479" name="Picture 478">
          <a:extLst>
            <a:ext uri="{FF2B5EF4-FFF2-40B4-BE49-F238E27FC236}">
              <a16:creationId xmlns:a16="http://schemas.microsoft.com/office/drawing/2014/main" id="{0EB4C2B3-9B20-409A-AB86-2B728E75C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5538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5</xdr:row>
      <xdr:rowOff>9190</xdr:rowOff>
    </xdr:from>
    <xdr:to>
      <xdr:col>7</xdr:col>
      <xdr:colOff>1723392</xdr:colOff>
      <xdr:row>5</xdr:row>
      <xdr:rowOff>180975</xdr:rowOff>
    </xdr:to>
    <xdr:pic>
      <xdr:nvPicPr>
        <xdr:cNvPr id="480" name="Picture 479">
          <a:extLst>
            <a:ext uri="{FF2B5EF4-FFF2-40B4-BE49-F238E27FC236}">
              <a16:creationId xmlns:a16="http://schemas.microsoft.com/office/drawing/2014/main" id="{013AC0AD-4E2E-49F8-88D1-CFFD68FEE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4267200" y="45729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5</xdr:row>
      <xdr:rowOff>9190</xdr:rowOff>
    </xdr:from>
    <xdr:to>
      <xdr:col>26</xdr:col>
      <xdr:colOff>809551</xdr:colOff>
      <xdr:row>5</xdr:row>
      <xdr:rowOff>180975</xdr:rowOff>
    </xdr:to>
    <xdr:pic>
      <xdr:nvPicPr>
        <xdr:cNvPr id="481" name="Picture 480">
          <a:extLst>
            <a:ext uri="{FF2B5EF4-FFF2-40B4-BE49-F238E27FC236}">
              <a16:creationId xmlns:a16="http://schemas.microsoft.com/office/drawing/2014/main" id="{C11445DF-0686-42BE-9A1E-3D2378915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5729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41</xdr:row>
      <xdr:rowOff>9190</xdr:rowOff>
    </xdr:from>
    <xdr:to>
      <xdr:col>7</xdr:col>
      <xdr:colOff>1723392</xdr:colOff>
      <xdr:row>41</xdr:row>
      <xdr:rowOff>180975</xdr:rowOff>
    </xdr:to>
    <xdr:pic>
      <xdr:nvPicPr>
        <xdr:cNvPr id="482" name="Picture 481">
          <a:extLst>
            <a:ext uri="{FF2B5EF4-FFF2-40B4-BE49-F238E27FC236}">
              <a16:creationId xmlns:a16="http://schemas.microsoft.com/office/drawing/2014/main" id="{3D47C42B-F950-49D9-B80D-62DCA9BAD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4267200" y="45919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41</xdr:row>
      <xdr:rowOff>9190</xdr:rowOff>
    </xdr:from>
    <xdr:to>
      <xdr:col>26</xdr:col>
      <xdr:colOff>809551</xdr:colOff>
      <xdr:row>41</xdr:row>
      <xdr:rowOff>180975</xdr:rowOff>
    </xdr:to>
    <xdr:pic>
      <xdr:nvPicPr>
        <xdr:cNvPr id="483" name="Picture 482">
          <a:extLst>
            <a:ext uri="{FF2B5EF4-FFF2-40B4-BE49-F238E27FC236}">
              <a16:creationId xmlns:a16="http://schemas.microsoft.com/office/drawing/2014/main" id="{2AF884C4-DD82-4EC0-9B2A-2CCEE104E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5849600" y="45919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73</xdr:row>
      <xdr:rowOff>9190</xdr:rowOff>
    </xdr:from>
    <xdr:to>
      <xdr:col>7</xdr:col>
      <xdr:colOff>1723392</xdr:colOff>
      <xdr:row>73</xdr:row>
      <xdr:rowOff>180975</xdr:rowOff>
    </xdr:to>
    <xdr:pic>
      <xdr:nvPicPr>
        <xdr:cNvPr id="484" name="Picture 483">
          <a:extLst>
            <a:ext uri="{FF2B5EF4-FFF2-40B4-BE49-F238E27FC236}">
              <a16:creationId xmlns:a16="http://schemas.microsoft.com/office/drawing/2014/main" id="{E8B213ED-D64E-4762-B905-9B99C62E8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4267200" y="46110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73</xdr:row>
      <xdr:rowOff>9190</xdr:rowOff>
    </xdr:from>
    <xdr:to>
      <xdr:col>26</xdr:col>
      <xdr:colOff>809551</xdr:colOff>
      <xdr:row>73</xdr:row>
      <xdr:rowOff>180975</xdr:rowOff>
    </xdr:to>
    <xdr:pic>
      <xdr:nvPicPr>
        <xdr:cNvPr id="485" name="Picture 484">
          <a:extLst>
            <a:ext uri="{FF2B5EF4-FFF2-40B4-BE49-F238E27FC236}">
              <a16:creationId xmlns:a16="http://schemas.microsoft.com/office/drawing/2014/main" id="{917B4151-6282-427B-A218-B352E1F09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6110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62</xdr:row>
      <xdr:rowOff>9190</xdr:rowOff>
    </xdr:from>
    <xdr:to>
      <xdr:col>7</xdr:col>
      <xdr:colOff>1723392</xdr:colOff>
      <xdr:row>62</xdr:row>
      <xdr:rowOff>180975</xdr:rowOff>
    </xdr:to>
    <xdr:pic>
      <xdr:nvPicPr>
        <xdr:cNvPr id="486" name="Picture 485">
          <a:extLst>
            <a:ext uri="{FF2B5EF4-FFF2-40B4-BE49-F238E27FC236}">
              <a16:creationId xmlns:a16="http://schemas.microsoft.com/office/drawing/2014/main" id="{F4AC1D4D-6D8C-40B9-9A3D-D01AFD290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4267200" y="46300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62</xdr:row>
      <xdr:rowOff>9190</xdr:rowOff>
    </xdr:from>
    <xdr:to>
      <xdr:col>26</xdr:col>
      <xdr:colOff>809551</xdr:colOff>
      <xdr:row>62</xdr:row>
      <xdr:rowOff>180975</xdr:rowOff>
    </xdr:to>
    <xdr:pic>
      <xdr:nvPicPr>
        <xdr:cNvPr id="487" name="Picture 486">
          <a:extLst>
            <a:ext uri="{FF2B5EF4-FFF2-40B4-BE49-F238E27FC236}">
              <a16:creationId xmlns:a16="http://schemas.microsoft.com/office/drawing/2014/main" id="{470D7FC3-E49A-4044-A115-38E4F491E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6300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75</xdr:row>
      <xdr:rowOff>9190</xdr:rowOff>
    </xdr:from>
    <xdr:to>
      <xdr:col>7</xdr:col>
      <xdr:colOff>1723392</xdr:colOff>
      <xdr:row>75</xdr:row>
      <xdr:rowOff>180975</xdr:rowOff>
    </xdr:to>
    <xdr:pic>
      <xdr:nvPicPr>
        <xdr:cNvPr id="488" name="Picture 487">
          <a:extLst>
            <a:ext uri="{FF2B5EF4-FFF2-40B4-BE49-F238E27FC236}">
              <a16:creationId xmlns:a16="http://schemas.microsoft.com/office/drawing/2014/main" id="{1AF4A957-60FD-472E-9310-E1EF399EA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4267200" y="46491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75</xdr:row>
      <xdr:rowOff>9190</xdr:rowOff>
    </xdr:from>
    <xdr:to>
      <xdr:col>26</xdr:col>
      <xdr:colOff>809551</xdr:colOff>
      <xdr:row>75</xdr:row>
      <xdr:rowOff>180975</xdr:rowOff>
    </xdr:to>
    <xdr:pic>
      <xdr:nvPicPr>
        <xdr:cNvPr id="489" name="Picture 488">
          <a:extLst>
            <a:ext uri="{FF2B5EF4-FFF2-40B4-BE49-F238E27FC236}">
              <a16:creationId xmlns:a16="http://schemas.microsoft.com/office/drawing/2014/main" id="{788185BD-3FA5-4363-B633-649894E2A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6491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103</xdr:row>
      <xdr:rowOff>9190</xdr:rowOff>
    </xdr:from>
    <xdr:to>
      <xdr:col>7</xdr:col>
      <xdr:colOff>1723392</xdr:colOff>
      <xdr:row>103</xdr:row>
      <xdr:rowOff>180975</xdr:rowOff>
    </xdr:to>
    <xdr:pic>
      <xdr:nvPicPr>
        <xdr:cNvPr id="490" name="Picture 489">
          <a:extLst>
            <a:ext uri="{FF2B5EF4-FFF2-40B4-BE49-F238E27FC236}">
              <a16:creationId xmlns:a16="http://schemas.microsoft.com/office/drawing/2014/main" id="{24F02192-9E71-4FD8-B90B-F7386CDD2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4267200" y="46681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103</xdr:row>
      <xdr:rowOff>9190</xdr:rowOff>
    </xdr:from>
    <xdr:to>
      <xdr:col>26</xdr:col>
      <xdr:colOff>809551</xdr:colOff>
      <xdr:row>103</xdr:row>
      <xdr:rowOff>180975</xdr:rowOff>
    </xdr:to>
    <xdr:pic>
      <xdr:nvPicPr>
        <xdr:cNvPr id="491" name="Picture 490">
          <a:extLst>
            <a:ext uri="{FF2B5EF4-FFF2-40B4-BE49-F238E27FC236}">
              <a16:creationId xmlns:a16="http://schemas.microsoft.com/office/drawing/2014/main" id="{60FC9B5B-9B13-42C8-A7C2-A2704BF3F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6681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273</xdr:row>
      <xdr:rowOff>9190</xdr:rowOff>
    </xdr:from>
    <xdr:to>
      <xdr:col>7</xdr:col>
      <xdr:colOff>1723392</xdr:colOff>
      <xdr:row>273</xdr:row>
      <xdr:rowOff>180975</xdr:rowOff>
    </xdr:to>
    <xdr:pic>
      <xdr:nvPicPr>
        <xdr:cNvPr id="492" name="Picture 491">
          <a:extLst>
            <a:ext uri="{FF2B5EF4-FFF2-40B4-BE49-F238E27FC236}">
              <a16:creationId xmlns:a16="http://schemas.microsoft.com/office/drawing/2014/main" id="{5CBDB8E7-CC10-4241-A766-101789C44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4267200" y="46872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273</xdr:row>
      <xdr:rowOff>9190</xdr:rowOff>
    </xdr:from>
    <xdr:to>
      <xdr:col>26</xdr:col>
      <xdr:colOff>809551</xdr:colOff>
      <xdr:row>273</xdr:row>
      <xdr:rowOff>180975</xdr:rowOff>
    </xdr:to>
    <xdr:pic>
      <xdr:nvPicPr>
        <xdr:cNvPr id="493" name="Picture 492">
          <a:extLst>
            <a:ext uri="{FF2B5EF4-FFF2-40B4-BE49-F238E27FC236}">
              <a16:creationId xmlns:a16="http://schemas.microsoft.com/office/drawing/2014/main" id="{2E1CBB97-616C-4382-857D-FEDE09A6C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6872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111</xdr:row>
      <xdr:rowOff>9190</xdr:rowOff>
    </xdr:from>
    <xdr:to>
      <xdr:col>7</xdr:col>
      <xdr:colOff>1723392</xdr:colOff>
      <xdr:row>111</xdr:row>
      <xdr:rowOff>180975</xdr:rowOff>
    </xdr:to>
    <xdr:pic>
      <xdr:nvPicPr>
        <xdr:cNvPr id="494" name="Picture 493">
          <a:extLst>
            <a:ext uri="{FF2B5EF4-FFF2-40B4-BE49-F238E27FC236}">
              <a16:creationId xmlns:a16="http://schemas.microsoft.com/office/drawing/2014/main" id="{E42712A9-0E9F-475B-A473-676026E52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4267200" y="47062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111</xdr:row>
      <xdr:rowOff>9190</xdr:rowOff>
    </xdr:from>
    <xdr:to>
      <xdr:col>26</xdr:col>
      <xdr:colOff>809551</xdr:colOff>
      <xdr:row>111</xdr:row>
      <xdr:rowOff>180975</xdr:rowOff>
    </xdr:to>
    <xdr:pic>
      <xdr:nvPicPr>
        <xdr:cNvPr id="495" name="Picture 494">
          <a:extLst>
            <a:ext uri="{FF2B5EF4-FFF2-40B4-BE49-F238E27FC236}">
              <a16:creationId xmlns:a16="http://schemas.microsoft.com/office/drawing/2014/main" id="{A7D30DBF-2511-4E42-A944-07DF6246B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7062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118</xdr:row>
      <xdr:rowOff>9190</xdr:rowOff>
    </xdr:from>
    <xdr:to>
      <xdr:col>7</xdr:col>
      <xdr:colOff>1723392</xdr:colOff>
      <xdr:row>118</xdr:row>
      <xdr:rowOff>180975</xdr:rowOff>
    </xdr:to>
    <xdr:pic>
      <xdr:nvPicPr>
        <xdr:cNvPr id="496" name="Picture 495">
          <a:extLst>
            <a:ext uri="{FF2B5EF4-FFF2-40B4-BE49-F238E27FC236}">
              <a16:creationId xmlns:a16="http://schemas.microsoft.com/office/drawing/2014/main" id="{0049EC69-E093-4079-BAE2-E197E2556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4267200" y="47253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118</xdr:row>
      <xdr:rowOff>9190</xdr:rowOff>
    </xdr:from>
    <xdr:to>
      <xdr:col>26</xdr:col>
      <xdr:colOff>809551</xdr:colOff>
      <xdr:row>118</xdr:row>
      <xdr:rowOff>180975</xdr:rowOff>
    </xdr:to>
    <xdr:pic>
      <xdr:nvPicPr>
        <xdr:cNvPr id="497" name="Picture 496">
          <a:extLst>
            <a:ext uri="{FF2B5EF4-FFF2-40B4-BE49-F238E27FC236}">
              <a16:creationId xmlns:a16="http://schemas.microsoft.com/office/drawing/2014/main" id="{975701FD-39D9-469D-8B1C-027FDAD17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7253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124</xdr:row>
      <xdr:rowOff>9190</xdr:rowOff>
    </xdr:from>
    <xdr:to>
      <xdr:col>7</xdr:col>
      <xdr:colOff>1723392</xdr:colOff>
      <xdr:row>124</xdr:row>
      <xdr:rowOff>180975</xdr:rowOff>
    </xdr:to>
    <xdr:pic>
      <xdr:nvPicPr>
        <xdr:cNvPr id="498" name="Picture 497">
          <a:extLst>
            <a:ext uri="{FF2B5EF4-FFF2-40B4-BE49-F238E27FC236}">
              <a16:creationId xmlns:a16="http://schemas.microsoft.com/office/drawing/2014/main" id="{357BA9C8-FCC3-4CD2-BF09-D4F8C5F85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4267200" y="47443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124</xdr:row>
      <xdr:rowOff>9190</xdr:rowOff>
    </xdr:from>
    <xdr:to>
      <xdr:col>26</xdr:col>
      <xdr:colOff>809551</xdr:colOff>
      <xdr:row>124</xdr:row>
      <xdr:rowOff>180975</xdr:rowOff>
    </xdr:to>
    <xdr:pic>
      <xdr:nvPicPr>
        <xdr:cNvPr id="499" name="Picture 498">
          <a:extLst>
            <a:ext uri="{FF2B5EF4-FFF2-40B4-BE49-F238E27FC236}">
              <a16:creationId xmlns:a16="http://schemas.microsoft.com/office/drawing/2014/main" id="{4A95831C-691E-4205-A319-DD269EAC0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7443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133</xdr:row>
      <xdr:rowOff>9190</xdr:rowOff>
    </xdr:from>
    <xdr:to>
      <xdr:col>7</xdr:col>
      <xdr:colOff>1723392</xdr:colOff>
      <xdr:row>133</xdr:row>
      <xdr:rowOff>180975</xdr:rowOff>
    </xdr:to>
    <xdr:pic>
      <xdr:nvPicPr>
        <xdr:cNvPr id="500" name="Picture 499">
          <a:extLst>
            <a:ext uri="{FF2B5EF4-FFF2-40B4-BE49-F238E27FC236}">
              <a16:creationId xmlns:a16="http://schemas.microsoft.com/office/drawing/2014/main" id="{468EFFC3-9750-4E6D-9F17-6481CC2A7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4267200" y="47634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133</xdr:row>
      <xdr:rowOff>9190</xdr:rowOff>
    </xdr:from>
    <xdr:to>
      <xdr:col>26</xdr:col>
      <xdr:colOff>809551</xdr:colOff>
      <xdr:row>133</xdr:row>
      <xdr:rowOff>180975</xdr:rowOff>
    </xdr:to>
    <xdr:pic>
      <xdr:nvPicPr>
        <xdr:cNvPr id="501" name="Picture 500">
          <a:extLst>
            <a:ext uri="{FF2B5EF4-FFF2-40B4-BE49-F238E27FC236}">
              <a16:creationId xmlns:a16="http://schemas.microsoft.com/office/drawing/2014/main" id="{E6858F1F-1147-4FF9-B144-EE1F648B8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7634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274</xdr:row>
      <xdr:rowOff>9190</xdr:rowOff>
    </xdr:from>
    <xdr:to>
      <xdr:col>7</xdr:col>
      <xdr:colOff>1723392</xdr:colOff>
      <xdr:row>274</xdr:row>
      <xdr:rowOff>180975</xdr:rowOff>
    </xdr:to>
    <xdr:pic>
      <xdr:nvPicPr>
        <xdr:cNvPr id="502" name="Picture 501">
          <a:extLst>
            <a:ext uri="{FF2B5EF4-FFF2-40B4-BE49-F238E27FC236}">
              <a16:creationId xmlns:a16="http://schemas.microsoft.com/office/drawing/2014/main" id="{1C956635-D3A7-4FD4-BCAC-C3F190C87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4267200" y="47824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274</xdr:row>
      <xdr:rowOff>9190</xdr:rowOff>
    </xdr:from>
    <xdr:to>
      <xdr:col>26</xdr:col>
      <xdr:colOff>809551</xdr:colOff>
      <xdr:row>274</xdr:row>
      <xdr:rowOff>180975</xdr:rowOff>
    </xdr:to>
    <xdr:pic>
      <xdr:nvPicPr>
        <xdr:cNvPr id="503" name="Picture 502">
          <a:extLst>
            <a:ext uri="{FF2B5EF4-FFF2-40B4-BE49-F238E27FC236}">
              <a16:creationId xmlns:a16="http://schemas.microsoft.com/office/drawing/2014/main" id="{763AB0E0-1B25-4FF3-911C-1CC30EDB8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5849600" y="47824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90</xdr:row>
      <xdr:rowOff>9190</xdr:rowOff>
    </xdr:from>
    <xdr:to>
      <xdr:col>7</xdr:col>
      <xdr:colOff>1723392</xdr:colOff>
      <xdr:row>90</xdr:row>
      <xdr:rowOff>180975</xdr:rowOff>
    </xdr:to>
    <xdr:pic>
      <xdr:nvPicPr>
        <xdr:cNvPr id="504" name="Picture 503">
          <a:extLst>
            <a:ext uri="{FF2B5EF4-FFF2-40B4-BE49-F238E27FC236}">
              <a16:creationId xmlns:a16="http://schemas.microsoft.com/office/drawing/2014/main" id="{C5E106D4-969B-4576-9E09-0B9D208F1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4267200" y="48015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90</xdr:row>
      <xdr:rowOff>9190</xdr:rowOff>
    </xdr:from>
    <xdr:to>
      <xdr:col>26</xdr:col>
      <xdr:colOff>809551</xdr:colOff>
      <xdr:row>90</xdr:row>
      <xdr:rowOff>180975</xdr:rowOff>
    </xdr:to>
    <xdr:pic>
      <xdr:nvPicPr>
        <xdr:cNvPr id="505" name="Picture 504">
          <a:extLst>
            <a:ext uri="{FF2B5EF4-FFF2-40B4-BE49-F238E27FC236}">
              <a16:creationId xmlns:a16="http://schemas.microsoft.com/office/drawing/2014/main" id="{B30754DB-05FD-41DD-BBA8-FB39C8D70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8015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275</xdr:row>
      <xdr:rowOff>9190</xdr:rowOff>
    </xdr:from>
    <xdr:to>
      <xdr:col>7</xdr:col>
      <xdr:colOff>1723392</xdr:colOff>
      <xdr:row>275</xdr:row>
      <xdr:rowOff>180975</xdr:rowOff>
    </xdr:to>
    <xdr:pic>
      <xdr:nvPicPr>
        <xdr:cNvPr id="506" name="Picture 505">
          <a:extLst>
            <a:ext uri="{FF2B5EF4-FFF2-40B4-BE49-F238E27FC236}">
              <a16:creationId xmlns:a16="http://schemas.microsoft.com/office/drawing/2014/main" id="{0BDE6858-903C-416D-A184-A6F4CE78F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4267200" y="48205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275</xdr:row>
      <xdr:rowOff>9190</xdr:rowOff>
    </xdr:from>
    <xdr:to>
      <xdr:col>26</xdr:col>
      <xdr:colOff>809551</xdr:colOff>
      <xdr:row>275</xdr:row>
      <xdr:rowOff>180975</xdr:rowOff>
    </xdr:to>
    <xdr:pic>
      <xdr:nvPicPr>
        <xdr:cNvPr id="507" name="Picture 506">
          <a:extLst>
            <a:ext uri="{FF2B5EF4-FFF2-40B4-BE49-F238E27FC236}">
              <a16:creationId xmlns:a16="http://schemas.microsoft.com/office/drawing/2014/main" id="{0F3C2882-B224-4744-BFC3-3F4E35721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8205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276</xdr:row>
      <xdr:rowOff>9190</xdr:rowOff>
    </xdr:from>
    <xdr:to>
      <xdr:col>7</xdr:col>
      <xdr:colOff>1723392</xdr:colOff>
      <xdr:row>276</xdr:row>
      <xdr:rowOff>180975</xdr:rowOff>
    </xdr:to>
    <xdr:pic>
      <xdr:nvPicPr>
        <xdr:cNvPr id="508" name="Picture 507">
          <a:extLst>
            <a:ext uri="{FF2B5EF4-FFF2-40B4-BE49-F238E27FC236}">
              <a16:creationId xmlns:a16="http://schemas.microsoft.com/office/drawing/2014/main" id="{2B9E5FB9-DF0D-4517-A79D-DC54D2406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4267200" y="48396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276</xdr:row>
      <xdr:rowOff>9190</xdr:rowOff>
    </xdr:from>
    <xdr:to>
      <xdr:col>26</xdr:col>
      <xdr:colOff>809551</xdr:colOff>
      <xdr:row>276</xdr:row>
      <xdr:rowOff>180975</xdr:rowOff>
    </xdr:to>
    <xdr:pic>
      <xdr:nvPicPr>
        <xdr:cNvPr id="509" name="Picture 508">
          <a:extLst>
            <a:ext uri="{FF2B5EF4-FFF2-40B4-BE49-F238E27FC236}">
              <a16:creationId xmlns:a16="http://schemas.microsoft.com/office/drawing/2014/main" id="{2A424F08-2555-40C2-AD5D-E2DB17F2F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8396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277</xdr:row>
      <xdr:rowOff>9190</xdr:rowOff>
    </xdr:from>
    <xdr:to>
      <xdr:col>7</xdr:col>
      <xdr:colOff>1723392</xdr:colOff>
      <xdr:row>277</xdr:row>
      <xdr:rowOff>180975</xdr:rowOff>
    </xdr:to>
    <xdr:pic>
      <xdr:nvPicPr>
        <xdr:cNvPr id="510" name="Picture 509">
          <a:extLst>
            <a:ext uri="{FF2B5EF4-FFF2-40B4-BE49-F238E27FC236}">
              <a16:creationId xmlns:a16="http://schemas.microsoft.com/office/drawing/2014/main" id="{5FFE9725-EC25-4301-97FA-DF0D68A9C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4267200" y="48586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277</xdr:row>
      <xdr:rowOff>9190</xdr:rowOff>
    </xdr:from>
    <xdr:to>
      <xdr:col>26</xdr:col>
      <xdr:colOff>809551</xdr:colOff>
      <xdr:row>277</xdr:row>
      <xdr:rowOff>180975</xdr:rowOff>
    </xdr:to>
    <xdr:pic>
      <xdr:nvPicPr>
        <xdr:cNvPr id="511" name="Picture 510">
          <a:extLst>
            <a:ext uri="{FF2B5EF4-FFF2-40B4-BE49-F238E27FC236}">
              <a16:creationId xmlns:a16="http://schemas.microsoft.com/office/drawing/2014/main" id="{FDDC2894-F001-4C80-BE72-A29EB8599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8586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278</xdr:row>
      <xdr:rowOff>9190</xdr:rowOff>
    </xdr:from>
    <xdr:to>
      <xdr:col>7</xdr:col>
      <xdr:colOff>1723392</xdr:colOff>
      <xdr:row>278</xdr:row>
      <xdr:rowOff>180975</xdr:rowOff>
    </xdr:to>
    <xdr:pic>
      <xdr:nvPicPr>
        <xdr:cNvPr id="512" name="Picture 511">
          <a:extLst>
            <a:ext uri="{FF2B5EF4-FFF2-40B4-BE49-F238E27FC236}">
              <a16:creationId xmlns:a16="http://schemas.microsoft.com/office/drawing/2014/main" id="{C4E7BEFF-D723-4C01-8899-62E9FFA58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4267200" y="48777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278</xdr:row>
      <xdr:rowOff>9190</xdr:rowOff>
    </xdr:from>
    <xdr:to>
      <xdr:col>26</xdr:col>
      <xdr:colOff>809551</xdr:colOff>
      <xdr:row>278</xdr:row>
      <xdr:rowOff>180975</xdr:rowOff>
    </xdr:to>
    <xdr:pic>
      <xdr:nvPicPr>
        <xdr:cNvPr id="513" name="Picture 512">
          <a:extLst>
            <a:ext uri="{FF2B5EF4-FFF2-40B4-BE49-F238E27FC236}">
              <a16:creationId xmlns:a16="http://schemas.microsoft.com/office/drawing/2014/main" id="{44FD9998-710E-4ACF-A908-8B63F4E9E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8777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135</xdr:row>
      <xdr:rowOff>9190</xdr:rowOff>
    </xdr:from>
    <xdr:to>
      <xdr:col>7</xdr:col>
      <xdr:colOff>1723392</xdr:colOff>
      <xdr:row>135</xdr:row>
      <xdr:rowOff>180975</xdr:rowOff>
    </xdr:to>
    <xdr:pic>
      <xdr:nvPicPr>
        <xdr:cNvPr id="514" name="Picture 513">
          <a:extLst>
            <a:ext uri="{FF2B5EF4-FFF2-40B4-BE49-F238E27FC236}">
              <a16:creationId xmlns:a16="http://schemas.microsoft.com/office/drawing/2014/main" id="{4BFC4F5F-F92D-47EC-9544-661682883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4267200" y="48967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135</xdr:row>
      <xdr:rowOff>9190</xdr:rowOff>
    </xdr:from>
    <xdr:to>
      <xdr:col>26</xdr:col>
      <xdr:colOff>809551</xdr:colOff>
      <xdr:row>135</xdr:row>
      <xdr:rowOff>180975</xdr:rowOff>
    </xdr:to>
    <xdr:pic>
      <xdr:nvPicPr>
        <xdr:cNvPr id="515" name="Picture 514">
          <a:extLst>
            <a:ext uri="{FF2B5EF4-FFF2-40B4-BE49-F238E27FC236}">
              <a16:creationId xmlns:a16="http://schemas.microsoft.com/office/drawing/2014/main" id="{9239B9B4-F339-41D6-9DA6-3C04E740C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8967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156</xdr:row>
      <xdr:rowOff>9190</xdr:rowOff>
    </xdr:from>
    <xdr:to>
      <xdr:col>7</xdr:col>
      <xdr:colOff>1723392</xdr:colOff>
      <xdr:row>156</xdr:row>
      <xdr:rowOff>180975</xdr:rowOff>
    </xdr:to>
    <xdr:pic>
      <xdr:nvPicPr>
        <xdr:cNvPr id="516" name="Picture 515">
          <a:extLst>
            <a:ext uri="{FF2B5EF4-FFF2-40B4-BE49-F238E27FC236}">
              <a16:creationId xmlns:a16="http://schemas.microsoft.com/office/drawing/2014/main" id="{3A5A26A3-0775-42DB-A84E-5F615D53F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4267200" y="49158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156</xdr:row>
      <xdr:rowOff>9190</xdr:rowOff>
    </xdr:from>
    <xdr:to>
      <xdr:col>26</xdr:col>
      <xdr:colOff>809551</xdr:colOff>
      <xdr:row>156</xdr:row>
      <xdr:rowOff>180975</xdr:rowOff>
    </xdr:to>
    <xdr:pic>
      <xdr:nvPicPr>
        <xdr:cNvPr id="517" name="Picture 516">
          <a:extLst>
            <a:ext uri="{FF2B5EF4-FFF2-40B4-BE49-F238E27FC236}">
              <a16:creationId xmlns:a16="http://schemas.microsoft.com/office/drawing/2014/main" id="{811F23BE-477A-4490-8873-0DD5E732A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9158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279</xdr:row>
      <xdr:rowOff>9190</xdr:rowOff>
    </xdr:from>
    <xdr:to>
      <xdr:col>7</xdr:col>
      <xdr:colOff>1723392</xdr:colOff>
      <xdr:row>279</xdr:row>
      <xdr:rowOff>180975</xdr:rowOff>
    </xdr:to>
    <xdr:pic>
      <xdr:nvPicPr>
        <xdr:cNvPr id="518" name="Picture 517">
          <a:extLst>
            <a:ext uri="{FF2B5EF4-FFF2-40B4-BE49-F238E27FC236}">
              <a16:creationId xmlns:a16="http://schemas.microsoft.com/office/drawing/2014/main" id="{A8BF2B6E-F6CD-46DF-9277-36D94C5AD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4267200" y="49348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279</xdr:row>
      <xdr:rowOff>9190</xdr:rowOff>
    </xdr:from>
    <xdr:to>
      <xdr:col>26</xdr:col>
      <xdr:colOff>809551</xdr:colOff>
      <xdr:row>279</xdr:row>
      <xdr:rowOff>180975</xdr:rowOff>
    </xdr:to>
    <xdr:pic>
      <xdr:nvPicPr>
        <xdr:cNvPr id="519" name="Picture 518">
          <a:extLst>
            <a:ext uri="{FF2B5EF4-FFF2-40B4-BE49-F238E27FC236}">
              <a16:creationId xmlns:a16="http://schemas.microsoft.com/office/drawing/2014/main" id="{6C50B3D6-61F8-4524-A130-EB3AB1BF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9348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117</xdr:row>
      <xdr:rowOff>9190</xdr:rowOff>
    </xdr:from>
    <xdr:to>
      <xdr:col>7</xdr:col>
      <xdr:colOff>1723392</xdr:colOff>
      <xdr:row>117</xdr:row>
      <xdr:rowOff>180975</xdr:rowOff>
    </xdr:to>
    <xdr:pic>
      <xdr:nvPicPr>
        <xdr:cNvPr id="520" name="Picture 519">
          <a:extLst>
            <a:ext uri="{FF2B5EF4-FFF2-40B4-BE49-F238E27FC236}">
              <a16:creationId xmlns:a16="http://schemas.microsoft.com/office/drawing/2014/main" id="{BFDC5C51-93E8-4AB1-8DBB-0C85862E0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4267200" y="49539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117</xdr:row>
      <xdr:rowOff>9190</xdr:rowOff>
    </xdr:from>
    <xdr:to>
      <xdr:col>26</xdr:col>
      <xdr:colOff>809551</xdr:colOff>
      <xdr:row>117</xdr:row>
      <xdr:rowOff>180975</xdr:rowOff>
    </xdr:to>
    <xdr:pic>
      <xdr:nvPicPr>
        <xdr:cNvPr id="521" name="Picture 520">
          <a:extLst>
            <a:ext uri="{FF2B5EF4-FFF2-40B4-BE49-F238E27FC236}">
              <a16:creationId xmlns:a16="http://schemas.microsoft.com/office/drawing/2014/main" id="{ED97602D-05B0-4E09-A1C6-BD77E6E7B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9539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43</xdr:row>
      <xdr:rowOff>9190</xdr:rowOff>
    </xdr:from>
    <xdr:to>
      <xdr:col>7</xdr:col>
      <xdr:colOff>1723392</xdr:colOff>
      <xdr:row>43</xdr:row>
      <xdr:rowOff>180975</xdr:rowOff>
    </xdr:to>
    <xdr:pic>
      <xdr:nvPicPr>
        <xdr:cNvPr id="522" name="Picture 521">
          <a:extLst>
            <a:ext uri="{FF2B5EF4-FFF2-40B4-BE49-F238E27FC236}">
              <a16:creationId xmlns:a16="http://schemas.microsoft.com/office/drawing/2014/main" id="{D04A70B3-5543-43D5-825B-916C6B6F1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4267200" y="49729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43</xdr:row>
      <xdr:rowOff>9190</xdr:rowOff>
    </xdr:from>
    <xdr:to>
      <xdr:col>26</xdr:col>
      <xdr:colOff>809551</xdr:colOff>
      <xdr:row>43</xdr:row>
      <xdr:rowOff>180975</xdr:rowOff>
    </xdr:to>
    <xdr:pic>
      <xdr:nvPicPr>
        <xdr:cNvPr id="523" name="Picture 522">
          <a:extLst>
            <a:ext uri="{FF2B5EF4-FFF2-40B4-BE49-F238E27FC236}">
              <a16:creationId xmlns:a16="http://schemas.microsoft.com/office/drawing/2014/main" id="{8696A441-A989-4D6B-9D97-F068F25D6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9729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74</xdr:row>
      <xdr:rowOff>9190</xdr:rowOff>
    </xdr:from>
    <xdr:to>
      <xdr:col>7</xdr:col>
      <xdr:colOff>1723392</xdr:colOff>
      <xdr:row>74</xdr:row>
      <xdr:rowOff>180975</xdr:rowOff>
    </xdr:to>
    <xdr:pic>
      <xdr:nvPicPr>
        <xdr:cNvPr id="524" name="Picture 523">
          <a:extLst>
            <a:ext uri="{FF2B5EF4-FFF2-40B4-BE49-F238E27FC236}">
              <a16:creationId xmlns:a16="http://schemas.microsoft.com/office/drawing/2014/main" id="{EDED91FC-44E1-40F8-9297-66C2F21A3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4267200" y="49920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74</xdr:row>
      <xdr:rowOff>9190</xdr:rowOff>
    </xdr:from>
    <xdr:to>
      <xdr:col>26</xdr:col>
      <xdr:colOff>809551</xdr:colOff>
      <xdr:row>74</xdr:row>
      <xdr:rowOff>180975</xdr:rowOff>
    </xdr:to>
    <xdr:pic>
      <xdr:nvPicPr>
        <xdr:cNvPr id="525" name="Picture 524">
          <a:extLst>
            <a:ext uri="{FF2B5EF4-FFF2-40B4-BE49-F238E27FC236}">
              <a16:creationId xmlns:a16="http://schemas.microsoft.com/office/drawing/2014/main" id="{C7AFD984-B0BC-4E76-A253-47787E80B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49920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81</xdr:row>
      <xdr:rowOff>9190</xdr:rowOff>
    </xdr:from>
    <xdr:to>
      <xdr:col>7</xdr:col>
      <xdr:colOff>1723392</xdr:colOff>
      <xdr:row>81</xdr:row>
      <xdr:rowOff>180975</xdr:rowOff>
    </xdr:to>
    <xdr:pic>
      <xdr:nvPicPr>
        <xdr:cNvPr id="526" name="Picture 525">
          <a:extLst>
            <a:ext uri="{FF2B5EF4-FFF2-40B4-BE49-F238E27FC236}">
              <a16:creationId xmlns:a16="http://schemas.microsoft.com/office/drawing/2014/main" id="{9157F9F2-B8EB-4B5D-8DCF-E4194FDAB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4267200" y="50110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81</xdr:row>
      <xdr:rowOff>9190</xdr:rowOff>
    </xdr:from>
    <xdr:to>
      <xdr:col>26</xdr:col>
      <xdr:colOff>809551</xdr:colOff>
      <xdr:row>81</xdr:row>
      <xdr:rowOff>180975</xdr:rowOff>
    </xdr:to>
    <xdr:pic>
      <xdr:nvPicPr>
        <xdr:cNvPr id="527" name="Picture 526">
          <a:extLst>
            <a:ext uri="{FF2B5EF4-FFF2-40B4-BE49-F238E27FC236}">
              <a16:creationId xmlns:a16="http://schemas.microsoft.com/office/drawing/2014/main" id="{9559B2A7-D5B1-40D4-99DF-A6BED930E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0110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99</xdr:row>
      <xdr:rowOff>9190</xdr:rowOff>
    </xdr:from>
    <xdr:to>
      <xdr:col>7</xdr:col>
      <xdr:colOff>1723392</xdr:colOff>
      <xdr:row>99</xdr:row>
      <xdr:rowOff>180975</xdr:rowOff>
    </xdr:to>
    <xdr:pic>
      <xdr:nvPicPr>
        <xdr:cNvPr id="528" name="Picture 527">
          <a:extLst>
            <a:ext uri="{FF2B5EF4-FFF2-40B4-BE49-F238E27FC236}">
              <a16:creationId xmlns:a16="http://schemas.microsoft.com/office/drawing/2014/main" id="{456E7CC5-9D48-43FD-97CF-B001C66A5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4267200" y="50301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99</xdr:row>
      <xdr:rowOff>9190</xdr:rowOff>
    </xdr:from>
    <xdr:to>
      <xdr:col>26</xdr:col>
      <xdr:colOff>809551</xdr:colOff>
      <xdr:row>99</xdr:row>
      <xdr:rowOff>180975</xdr:rowOff>
    </xdr:to>
    <xdr:pic>
      <xdr:nvPicPr>
        <xdr:cNvPr id="529" name="Picture 528">
          <a:extLst>
            <a:ext uri="{FF2B5EF4-FFF2-40B4-BE49-F238E27FC236}">
              <a16:creationId xmlns:a16="http://schemas.microsoft.com/office/drawing/2014/main" id="{6ECA3D86-1C5A-4ABA-902F-F0CDF56F4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0301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100</xdr:row>
      <xdr:rowOff>9190</xdr:rowOff>
    </xdr:from>
    <xdr:to>
      <xdr:col>7</xdr:col>
      <xdr:colOff>1723392</xdr:colOff>
      <xdr:row>100</xdr:row>
      <xdr:rowOff>180975</xdr:rowOff>
    </xdr:to>
    <xdr:pic>
      <xdr:nvPicPr>
        <xdr:cNvPr id="530" name="Picture 529">
          <a:extLst>
            <a:ext uri="{FF2B5EF4-FFF2-40B4-BE49-F238E27FC236}">
              <a16:creationId xmlns:a16="http://schemas.microsoft.com/office/drawing/2014/main" id="{51329A76-F45C-4BF7-9127-87CAB1AE4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4267200" y="50491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100</xdr:row>
      <xdr:rowOff>9190</xdr:rowOff>
    </xdr:from>
    <xdr:to>
      <xdr:col>26</xdr:col>
      <xdr:colOff>809551</xdr:colOff>
      <xdr:row>100</xdr:row>
      <xdr:rowOff>180975</xdr:rowOff>
    </xdr:to>
    <xdr:pic>
      <xdr:nvPicPr>
        <xdr:cNvPr id="531" name="Picture 530">
          <a:extLst>
            <a:ext uri="{FF2B5EF4-FFF2-40B4-BE49-F238E27FC236}">
              <a16:creationId xmlns:a16="http://schemas.microsoft.com/office/drawing/2014/main" id="{E9712987-3DA5-4EDB-B01F-04D1C2C09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0491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101</xdr:row>
      <xdr:rowOff>9190</xdr:rowOff>
    </xdr:from>
    <xdr:to>
      <xdr:col>7</xdr:col>
      <xdr:colOff>1723392</xdr:colOff>
      <xdr:row>101</xdr:row>
      <xdr:rowOff>180975</xdr:rowOff>
    </xdr:to>
    <xdr:pic>
      <xdr:nvPicPr>
        <xdr:cNvPr id="532" name="Picture 531">
          <a:extLst>
            <a:ext uri="{FF2B5EF4-FFF2-40B4-BE49-F238E27FC236}">
              <a16:creationId xmlns:a16="http://schemas.microsoft.com/office/drawing/2014/main" id="{D481BFAC-C529-4567-AE21-D0E827E29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4267200" y="50682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101</xdr:row>
      <xdr:rowOff>9190</xdr:rowOff>
    </xdr:from>
    <xdr:to>
      <xdr:col>26</xdr:col>
      <xdr:colOff>809551</xdr:colOff>
      <xdr:row>101</xdr:row>
      <xdr:rowOff>180975</xdr:rowOff>
    </xdr:to>
    <xdr:pic>
      <xdr:nvPicPr>
        <xdr:cNvPr id="533" name="Picture 532">
          <a:extLst>
            <a:ext uri="{FF2B5EF4-FFF2-40B4-BE49-F238E27FC236}">
              <a16:creationId xmlns:a16="http://schemas.microsoft.com/office/drawing/2014/main" id="{0B131CE1-F54C-42EF-8D73-AF34629BE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0682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119</xdr:row>
      <xdr:rowOff>9190</xdr:rowOff>
    </xdr:from>
    <xdr:to>
      <xdr:col>7</xdr:col>
      <xdr:colOff>1723392</xdr:colOff>
      <xdr:row>119</xdr:row>
      <xdr:rowOff>180975</xdr:rowOff>
    </xdr:to>
    <xdr:pic>
      <xdr:nvPicPr>
        <xdr:cNvPr id="534" name="Picture 533">
          <a:extLst>
            <a:ext uri="{FF2B5EF4-FFF2-40B4-BE49-F238E27FC236}">
              <a16:creationId xmlns:a16="http://schemas.microsoft.com/office/drawing/2014/main" id="{AC5AECB2-D15C-487E-9B1E-FB9EEC832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4267200" y="50872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119</xdr:row>
      <xdr:rowOff>9190</xdr:rowOff>
    </xdr:from>
    <xdr:to>
      <xdr:col>26</xdr:col>
      <xdr:colOff>809551</xdr:colOff>
      <xdr:row>119</xdr:row>
      <xdr:rowOff>180975</xdr:rowOff>
    </xdr:to>
    <xdr:pic>
      <xdr:nvPicPr>
        <xdr:cNvPr id="535" name="Picture 534">
          <a:extLst>
            <a:ext uri="{FF2B5EF4-FFF2-40B4-BE49-F238E27FC236}">
              <a16:creationId xmlns:a16="http://schemas.microsoft.com/office/drawing/2014/main" id="{849C53C6-32F7-40B0-998D-B41544183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0872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176</xdr:row>
      <xdr:rowOff>9190</xdr:rowOff>
    </xdr:from>
    <xdr:to>
      <xdr:col>7</xdr:col>
      <xdr:colOff>1723392</xdr:colOff>
      <xdr:row>176</xdr:row>
      <xdr:rowOff>180975</xdr:rowOff>
    </xdr:to>
    <xdr:pic>
      <xdr:nvPicPr>
        <xdr:cNvPr id="536" name="Picture 535">
          <a:extLst>
            <a:ext uri="{FF2B5EF4-FFF2-40B4-BE49-F238E27FC236}">
              <a16:creationId xmlns:a16="http://schemas.microsoft.com/office/drawing/2014/main" id="{B943FAEA-6CFF-4864-87AA-229D84CC8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4267200" y="51063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176</xdr:row>
      <xdr:rowOff>9190</xdr:rowOff>
    </xdr:from>
    <xdr:to>
      <xdr:col>26</xdr:col>
      <xdr:colOff>809551</xdr:colOff>
      <xdr:row>176</xdr:row>
      <xdr:rowOff>180975</xdr:rowOff>
    </xdr:to>
    <xdr:pic>
      <xdr:nvPicPr>
        <xdr:cNvPr id="537" name="Picture 536">
          <a:extLst>
            <a:ext uri="{FF2B5EF4-FFF2-40B4-BE49-F238E27FC236}">
              <a16:creationId xmlns:a16="http://schemas.microsoft.com/office/drawing/2014/main" id="{D3AFD1BF-596F-4DC9-B18F-A7A55B0F2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1063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280</xdr:row>
      <xdr:rowOff>9190</xdr:rowOff>
    </xdr:from>
    <xdr:to>
      <xdr:col>7</xdr:col>
      <xdr:colOff>1723392</xdr:colOff>
      <xdr:row>280</xdr:row>
      <xdr:rowOff>180975</xdr:rowOff>
    </xdr:to>
    <xdr:pic>
      <xdr:nvPicPr>
        <xdr:cNvPr id="538" name="Picture 537">
          <a:extLst>
            <a:ext uri="{FF2B5EF4-FFF2-40B4-BE49-F238E27FC236}">
              <a16:creationId xmlns:a16="http://schemas.microsoft.com/office/drawing/2014/main" id="{EFBBBE08-B570-4AD3-80D1-BB10E3411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4267200" y="51253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280</xdr:row>
      <xdr:rowOff>9190</xdr:rowOff>
    </xdr:from>
    <xdr:to>
      <xdr:col>26</xdr:col>
      <xdr:colOff>809551</xdr:colOff>
      <xdr:row>280</xdr:row>
      <xdr:rowOff>180975</xdr:rowOff>
    </xdr:to>
    <xdr:pic>
      <xdr:nvPicPr>
        <xdr:cNvPr id="539" name="Picture 538">
          <a:extLst>
            <a:ext uri="{FF2B5EF4-FFF2-40B4-BE49-F238E27FC236}">
              <a16:creationId xmlns:a16="http://schemas.microsoft.com/office/drawing/2014/main" id="{4B45734B-EF30-44F3-B767-26F4A14B2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1253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281</xdr:row>
      <xdr:rowOff>9190</xdr:rowOff>
    </xdr:from>
    <xdr:to>
      <xdr:col>7</xdr:col>
      <xdr:colOff>1723392</xdr:colOff>
      <xdr:row>281</xdr:row>
      <xdr:rowOff>180975</xdr:rowOff>
    </xdr:to>
    <xdr:pic>
      <xdr:nvPicPr>
        <xdr:cNvPr id="540" name="Picture 539">
          <a:extLst>
            <a:ext uri="{FF2B5EF4-FFF2-40B4-BE49-F238E27FC236}">
              <a16:creationId xmlns:a16="http://schemas.microsoft.com/office/drawing/2014/main" id="{D9A92016-C14C-43FE-9FEB-B9C97217B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4267200" y="51444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281</xdr:row>
      <xdr:rowOff>9190</xdr:rowOff>
    </xdr:from>
    <xdr:to>
      <xdr:col>26</xdr:col>
      <xdr:colOff>809551</xdr:colOff>
      <xdr:row>281</xdr:row>
      <xdr:rowOff>180975</xdr:rowOff>
    </xdr:to>
    <xdr:pic>
      <xdr:nvPicPr>
        <xdr:cNvPr id="541" name="Picture 540">
          <a:extLst>
            <a:ext uri="{FF2B5EF4-FFF2-40B4-BE49-F238E27FC236}">
              <a16:creationId xmlns:a16="http://schemas.microsoft.com/office/drawing/2014/main" id="{D92BA129-24E5-4B65-A85A-4D0B09F86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1444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282</xdr:row>
      <xdr:rowOff>9190</xdr:rowOff>
    </xdr:from>
    <xdr:to>
      <xdr:col>7</xdr:col>
      <xdr:colOff>1723392</xdr:colOff>
      <xdr:row>282</xdr:row>
      <xdr:rowOff>180975</xdr:rowOff>
    </xdr:to>
    <xdr:pic>
      <xdr:nvPicPr>
        <xdr:cNvPr id="542" name="Picture 541">
          <a:extLst>
            <a:ext uri="{FF2B5EF4-FFF2-40B4-BE49-F238E27FC236}">
              <a16:creationId xmlns:a16="http://schemas.microsoft.com/office/drawing/2014/main" id="{90BF1914-26DB-4923-B612-F90F40866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4267200" y="51634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282</xdr:row>
      <xdr:rowOff>9190</xdr:rowOff>
    </xdr:from>
    <xdr:to>
      <xdr:col>26</xdr:col>
      <xdr:colOff>809551</xdr:colOff>
      <xdr:row>282</xdr:row>
      <xdr:rowOff>180975</xdr:rowOff>
    </xdr:to>
    <xdr:pic>
      <xdr:nvPicPr>
        <xdr:cNvPr id="543" name="Picture 542">
          <a:extLst>
            <a:ext uri="{FF2B5EF4-FFF2-40B4-BE49-F238E27FC236}">
              <a16:creationId xmlns:a16="http://schemas.microsoft.com/office/drawing/2014/main" id="{AEBF3AC2-1D1F-4757-A42A-EC314BA7B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1634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283</xdr:row>
      <xdr:rowOff>9190</xdr:rowOff>
    </xdr:from>
    <xdr:to>
      <xdr:col>7</xdr:col>
      <xdr:colOff>1723392</xdr:colOff>
      <xdr:row>283</xdr:row>
      <xdr:rowOff>180975</xdr:rowOff>
    </xdr:to>
    <xdr:pic>
      <xdr:nvPicPr>
        <xdr:cNvPr id="544" name="Picture 543">
          <a:extLst>
            <a:ext uri="{FF2B5EF4-FFF2-40B4-BE49-F238E27FC236}">
              <a16:creationId xmlns:a16="http://schemas.microsoft.com/office/drawing/2014/main" id="{113211C8-814E-4250-B421-435659252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4267200" y="51825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283</xdr:row>
      <xdr:rowOff>9190</xdr:rowOff>
    </xdr:from>
    <xdr:to>
      <xdr:col>26</xdr:col>
      <xdr:colOff>809551</xdr:colOff>
      <xdr:row>283</xdr:row>
      <xdr:rowOff>180975</xdr:rowOff>
    </xdr:to>
    <xdr:pic>
      <xdr:nvPicPr>
        <xdr:cNvPr id="545" name="Picture 544">
          <a:extLst>
            <a:ext uri="{FF2B5EF4-FFF2-40B4-BE49-F238E27FC236}">
              <a16:creationId xmlns:a16="http://schemas.microsoft.com/office/drawing/2014/main" id="{DD9AD8B9-FD29-46D1-96F1-F48F6EFD9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1825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284</xdr:row>
      <xdr:rowOff>9190</xdr:rowOff>
    </xdr:from>
    <xdr:to>
      <xdr:col>7</xdr:col>
      <xdr:colOff>1723392</xdr:colOff>
      <xdr:row>284</xdr:row>
      <xdr:rowOff>180975</xdr:rowOff>
    </xdr:to>
    <xdr:pic>
      <xdr:nvPicPr>
        <xdr:cNvPr id="546" name="Picture 545">
          <a:extLst>
            <a:ext uri="{FF2B5EF4-FFF2-40B4-BE49-F238E27FC236}">
              <a16:creationId xmlns:a16="http://schemas.microsoft.com/office/drawing/2014/main" id="{91AA8F28-C807-4EE0-B7DC-9E1FB831F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4267200" y="52015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284</xdr:row>
      <xdr:rowOff>9190</xdr:rowOff>
    </xdr:from>
    <xdr:to>
      <xdr:col>26</xdr:col>
      <xdr:colOff>809551</xdr:colOff>
      <xdr:row>284</xdr:row>
      <xdr:rowOff>180975</xdr:rowOff>
    </xdr:to>
    <xdr:pic>
      <xdr:nvPicPr>
        <xdr:cNvPr id="547" name="Picture 546">
          <a:extLst>
            <a:ext uri="{FF2B5EF4-FFF2-40B4-BE49-F238E27FC236}">
              <a16:creationId xmlns:a16="http://schemas.microsoft.com/office/drawing/2014/main" id="{54421278-739C-48AC-9950-B31ECBA63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2015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285</xdr:row>
      <xdr:rowOff>9190</xdr:rowOff>
    </xdr:from>
    <xdr:to>
      <xdr:col>7</xdr:col>
      <xdr:colOff>1723392</xdr:colOff>
      <xdr:row>285</xdr:row>
      <xdr:rowOff>180975</xdr:rowOff>
    </xdr:to>
    <xdr:pic>
      <xdr:nvPicPr>
        <xdr:cNvPr id="548" name="Picture 547">
          <a:extLst>
            <a:ext uri="{FF2B5EF4-FFF2-40B4-BE49-F238E27FC236}">
              <a16:creationId xmlns:a16="http://schemas.microsoft.com/office/drawing/2014/main" id="{E0B8CB72-3D77-4F85-B078-E17AB418F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4267200" y="52206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285</xdr:row>
      <xdr:rowOff>9190</xdr:rowOff>
    </xdr:from>
    <xdr:to>
      <xdr:col>26</xdr:col>
      <xdr:colOff>809551</xdr:colOff>
      <xdr:row>285</xdr:row>
      <xdr:rowOff>180975</xdr:rowOff>
    </xdr:to>
    <xdr:pic>
      <xdr:nvPicPr>
        <xdr:cNvPr id="549" name="Picture 548">
          <a:extLst>
            <a:ext uri="{FF2B5EF4-FFF2-40B4-BE49-F238E27FC236}">
              <a16:creationId xmlns:a16="http://schemas.microsoft.com/office/drawing/2014/main" id="{ED8B6761-56EF-489E-9187-EC57972DD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5849600" y="52206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286</xdr:row>
      <xdr:rowOff>9190</xdr:rowOff>
    </xdr:from>
    <xdr:to>
      <xdr:col>7</xdr:col>
      <xdr:colOff>1723392</xdr:colOff>
      <xdr:row>286</xdr:row>
      <xdr:rowOff>180975</xdr:rowOff>
    </xdr:to>
    <xdr:pic>
      <xdr:nvPicPr>
        <xdr:cNvPr id="550" name="Picture 549">
          <a:extLst>
            <a:ext uri="{FF2B5EF4-FFF2-40B4-BE49-F238E27FC236}">
              <a16:creationId xmlns:a16="http://schemas.microsoft.com/office/drawing/2014/main" id="{B0222C47-5D60-4F55-BC05-4FD395C1B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4267200" y="52396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286</xdr:row>
      <xdr:rowOff>9190</xdr:rowOff>
    </xdr:from>
    <xdr:to>
      <xdr:col>26</xdr:col>
      <xdr:colOff>809551</xdr:colOff>
      <xdr:row>286</xdr:row>
      <xdr:rowOff>180975</xdr:rowOff>
    </xdr:to>
    <xdr:pic>
      <xdr:nvPicPr>
        <xdr:cNvPr id="551" name="Picture 550">
          <a:extLst>
            <a:ext uri="{FF2B5EF4-FFF2-40B4-BE49-F238E27FC236}">
              <a16:creationId xmlns:a16="http://schemas.microsoft.com/office/drawing/2014/main" id="{1E4B4095-2A94-4105-AB39-B8EBCF943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5849600" y="52396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287</xdr:row>
      <xdr:rowOff>9190</xdr:rowOff>
    </xdr:from>
    <xdr:to>
      <xdr:col>7</xdr:col>
      <xdr:colOff>1723392</xdr:colOff>
      <xdr:row>287</xdr:row>
      <xdr:rowOff>180975</xdr:rowOff>
    </xdr:to>
    <xdr:pic>
      <xdr:nvPicPr>
        <xdr:cNvPr id="552" name="Picture 551">
          <a:extLst>
            <a:ext uri="{FF2B5EF4-FFF2-40B4-BE49-F238E27FC236}">
              <a16:creationId xmlns:a16="http://schemas.microsoft.com/office/drawing/2014/main" id="{845B4233-4790-4887-B08D-DF522A3CD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4267200" y="52587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287</xdr:row>
      <xdr:rowOff>9190</xdr:rowOff>
    </xdr:from>
    <xdr:to>
      <xdr:col>26</xdr:col>
      <xdr:colOff>809551</xdr:colOff>
      <xdr:row>287</xdr:row>
      <xdr:rowOff>180975</xdr:rowOff>
    </xdr:to>
    <xdr:pic>
      <xdr:nvPicPr>
        <xdr:cNvPr id="553" name="Picture 552">
          <a:extLst>
            <a:ext uri="{FF2B5EF4-FFF2-40B4-BE49-F238E27FC236}">
              <a16:creationId xmlns:a16="http://schemas.microsoft.com/office/drawing/2014/main" id="{E4E7B819-01E2-41C3-90BD-42FA30861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2587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288</xdr:row>
      <xdr:rowOff>9190</xdr:rowOff>
    </xdr:from>
    <xdr:to>
      <xdr:col>7</xdr:col>
      <xdr:colOff>1723392</xdr:colOff>
      <xdr:row>288</xdr:row>
      <xdr:rowOff>180975</xdr:rowOff>
    </xdr:to>
    <xdr:pic>
      <xdr:nvPicPr>
        <xdr:cNvPr id="554" name="Picture 553">
          <a:extLst>
            <a:ext uri="{FF2B5EF4-FFF2-40B4-BE49-F238E27FC236}">
              <a16:creationId xmlns:a16="http://schemas.microsoft.com/office/drawing/2014/main" id="{48B1422C-27B1-4BAE-B7C4-5AB1E8010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4267200" y="52777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288</xdr:row>
      <xdr:rowOff>9190</xdr:rowOff>
    </xdr:from>
    <xdr:to>
      <xdr:col>26</xdr:col>
      <xdr:colOff>809551</xdr:colOff>
      <xdr:row>288</xdr:row>
      <xdr:rowOff>180975</xdr:rowOff>
    </xdr:to>
    <xdr:pic>
      <xdr:nvPicPr>
        <xdr:cNvPr id="555" name="Picture 554">
          <a:extLst>
            <a:ext uri="{FF2B5EF4-FFF2-40B4-BE49-F238E27FC236}">
              <a16:creationId xmlns:a16="http://schemas.microsoft.com/office/drawing/2014/main" id="{E64FF7A1-CAD0-4F8E-9C23-FB5CE327E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2777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289</xdr:row>
      <xdr:rowOff>9190</xdr:rowOff>
    </xdr:from>
    <xdr:to>
      <xdr:col>7</xdr:col>
      <xdr:colOff>1723392</xdr:colOff>
      <xdr:row>289</xdr:row>
      <xdr:rowOff>180975</xdr:rowOff>
    </xdr:to>
    <xdr:pic>
      <xdr:nvPicPr>
        <xdr:cNvPr id="556" name="Picture 555">
          <a:extLst>
            <a:ext uri="{FF2B5EF4-FFF2-40B4-BE49-F238E27FC236}">
              <a16:creationId xmlns:a16="http://schemas.microsoft.com/office/drawing/2014/main" id="{C2CA5E13-C2CC-436C-9048-651853BEA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4267200" y="52968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289</xdr:row>
      <xdr:rowOff>9190</xdr:rowOff>
    </xdr:from>
    <xdr:to>
      <xdr:col>26</xdr:col>
      <xdr:colOff>809551</xdr:colOff>
      <xdr:row>289</xdr:row>
      <xdr:rowOff>180975</xdr:rowOff>
    </xdr:to>
    <xdr:pic>
      <xdr:nvPicPr>
        <xdr:cNvPr id="557" name="Picture 556">
          <a:extLst>
            <a:ext uri="{FF2B5EF4-FFF2-40B4-BE49-F238E27FC236}">
              <a16:creationId xmlns:a16="http://schemas.microsoft.com/office/drawing/2014/main" id="{66CFFBAF-D86E-46F6-8CD3-CC0D3142D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2968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290</xdr:row>
      <xdr:rowOff>9190</xdr:rowOff>
    </xdr:from>
    <xdr:to>
      <xdr:col>7</xdr:col>
      <xdr:colOff>1723392</xdr:colOff>
      <xdr:row>290</xdr:row>
      <xdr:rowOff>180975</xdr:rowOff>
    </xdr:to>
    <xdr:pic>
      <xdr:nvPicPr>
        <xdr:cNvPr id="558" name="Picture 557">
          <a:extLst>
            <a:ext uri="{FF2B5EF4-FFF2-40B4-BE49-F238E27FC236}">
              <a16:creationId xmlns:a16="http://schemas.microsoft.com/office/drawing/2014/main" id="{58851216-F790-49F4-AAFB-74D9E17FE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4267200" y="53158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290</xdr:row>
      <xdr:rowOff>9190</xdr:rowOff>
    </xdr:from>
    <xdr:to>
      <xdr:col>26</xdr:col>
      <xdr:colOff>809551</xdr:colOff>
      <xdr:row>290</xdr:row>
      <xdr:rowOff>180975</xdr:rowOff>
    </xdr:to>
    <xdr:pic>
      <xdr:nvPicPr>
        <xdr:cNvPr id="559" name="Picture 558">
          <a:extLst>
            <a:ext uri="{FF2B5EF4-FFF2-40B4-BE49-F238E27FC236}">
              <a16:creationId xmlns:a16="http://schemas.microsoft.com/office/drawing/2014/main" id="{8DE974CE-EB99-4D51-A98F-FCA5C57F3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3158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291</xdr:row>
      <xdr:rowOff>9190</xdr:rowOff>
    </xdr:from>
    <xdr:to>
      <xdr:col>7</xdr:col>
      <xdr:colOff>1723392</xdr:colOff>
      <xdr:row>291</xdr:row>
      <xdr:rowOff>180975</xdr:rowOff>
    </xdr:to>
    <xdr:pic>
      <xdr:nvPicPr>
        <xdr:cNvPr id="560" name="Picture 559">
          <a:extLst>
            <a:ext uri="{FF2B5EF4-FFF2-40B4-BE49-F238E27FC236}">
              <a16:creationId xmlns:a16="http://schemas.microsoft.com/office/drawing/2014/main" id="{A8E870BA-E7A9-45F5-AF73-013EEB226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4267200" y="53349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291</xdr:row>
      <xdr:rowOff>9190</xdr:rowOff>
    </xdr:from>
    <xdr:to>
      <xdr:col>26</xdr:col>
      <xdr:colOff>809551</xdr:colOff>
      <xdr:row>291</xdr:row>
      <xdr:rowOff>180975</xdr:rowOff>
    </xdr:to>
    <xdr:pic>
      <xdr:nvPicPr>
        <xdr:cNvPr id="561" name="Picture 560">
          <a:extLst>
            <a:ext uri="{FF2B5EF4-FFF2-40B4-BE49-F238E27FC236}">
              <a16:creationId xmlns:a16="http://schemas.microsoft.com/office/drawing/2014/main" id="{5BA3F16B-7D59-4915-ABC8-A5B31D7A2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3349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292</xdr:row>
      <xdr:rowOff>9190</xdr:rowOff>
    </xdr:from>
    <xdr:to>
      <xdr:col>7</xdr:col>
      <xdr:colOff>1723392</xdr:colOff>
      <xdr:row>292</xdr:row>
      <xdr:rowOff>180975</xdr:rowOff>
    </xdr:to>
    <xdr:pic>
      <xdr:nvPicPr>
        <xdr:cNvPr id="562" name="Picture 561">
          <a:extLst>
            <a:ext uri="{FF2B5EF4-FFF2-40B4-BE49-F238E27FC236}">
              <a16:creationId xmlns:a16="http://schemas.microsoft.com/office/drawing/2014/main" id="{48922D17-CC31-4EAD-AABA-C6CE6456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4267200" y="53539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292</xdr:row>
      <xdr:rowOff>9190</xdr:rowOff>
    </xdr:from>
    <xdr:to>
      <xdr:col>26</xdr:col>
      <xdr:colOff>809551</xdr:colOff>
      <xdr:row>292</xdr:row>
      <xdr:rowOff>180975</xdr:rowOff>
    </xdr:to>
    <xdr:pic>
      <xdr:nvPicPr>
        <xdr:cNvPr id="563" name="Picture 562">
          <a:extLst>
            <a:ext uri="{FF2B5EF4-FFF2-40B4-BE49-F238E27FC236}">
              <a16:creationId xmlns:a16="http://schemas.microsoft.com/office/drawing/2014/main" id="{9387FFEA-728D-43AE-920A-717B81359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3539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293</xdr:row>
      <xdr:rowOff>9190</xdr:rowOff>
    </xdr:from>
    <xdr:to>
      <xdr:col>7</xdr:col>
      <xdr:colOff>1723392</xdr:colOff>
      <xdr:row>293</xdr:row>
      <xdr:rowOff>180975</xdr:rowOff>
    </xdr:to>
    <xdr:pic>
      <xdr:nvPicPr>
        <xdr:cNvPr id="564" name="Picture 563">
          <a:extLst>
            <a:ext uri="{FF2B5EF4-FFF2-40B4-BE49-F238E27FC236}">
              <a16:creationId xmlns:a16="http://schemas.microsoft.com/office/drawing/2014/main" id="{7789FD89-C484-4B99-B902-B1DAC5593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4267200" y="53730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293</xdr:row>
      <xdr:rowOff>9190</xdr:rowOff>
    </xdr:from>
    <xdr:to>
      <xdr:col>26</xdr:col>
      <xdr:colOff>809551</xdr:colOff>
      <xdr:row>293</xdr:row>
      <xdr:rowOff>180975</xdr:rowOff>
    </xdr:to>
    <xdr:pic>
      <xdr:nvPicPr>
        <xdr:cNvPr id="565" name="Picture 564">
          <a:extLst>
            <a:ext uri="{FF2B5EF4-FFF2-40B4-BE49-F238E27FC236}">
              <a16:creationId xmlns:a16="http://schemas.microsoft.com/office/drawing/2014/main" id="{E42F01B1-D429-4E50-9EBD-64C94DDE3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3730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294</xdr:row>
      <xdr:rowOff>9190</xdr:rowOff>
    </xdr:from>
    <xdr:to>
      <xdr:col>7</xdr:col>
      <xdr:colOff>1723392</xdr:colOff>
      <xdr:row>294</xdr:row>
      <xdr:rowOff>180975</xdr:rowOff>
    </xdr:to>
    <xdr:pic>
      <xdr:nvPicPr>
        <xdr:cNvPr id="566" name="Picture 565">
          <a:extLst>
            <a:ext uri="{FF2B5EF4-FFF2-40B4-BE49-F238E27FC236}">
              <a16:creationId xmlns:a16="http://schemas.microsoft.com/office/drawing/2014/main" id="{003F5B5F-6634-4125-89DC-F2B4EFC3C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4267200" y="53920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294</xdr:row>
      <xdr:rowOff>9190</xdr:rowOff>
    </xdr:from>
    <xdr:to>
      <xdr:col>26</xdr:col>
      <xdr:colOff>809551</xdr:colOff>
      <xdr:row>294</xdr:row>
      <xdr:rowOff>180975</xdr:rowOff>
    </xdr:to>
    <xdr:pic>
      <xdr:nvPicPr>
        <xdr:cNvPr id="567" name="Picture 566">
          <a:extLst>
            <a:ext uri="{FF2B5EF4-FFF2-40B4-BE49-F238E27FC236}">
              <a16:creationId xmlns:a16="http://schemas.microsoft.com/office/drawing/2014/main" id="{B16A24DA-36C7-47A8-8491-B97226E77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3920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85</xdr:row>
      <xdr:rowOff>9190</xdr:rowOff>
    </xdr:from>
    <xdr:to>
      <xdr:col>7</xdr:col>
      <xdr:colOff>1723392</xdr:colOff>
      <xdr:row>85</xdr:row>
      <xdr:rowOff>180975</xdr:rowOff>
    </xdr:to>
    <xdr:pic>
      <xdr:nvPicPr>
        <xdr:cNvPr id="568" name="Picture 567">
          <a:extLst>
            <a:ext uri="{FF2B5EF4-FFF2-40B4-BE49-F238E27FC236}">
              <a16:creationId xmlns:a16="http://schemas.microsoft.com/office/drawing/2014/main" id="{8B0B4210-9237-4E77-811E-5D7927A86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4267200" y="54111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85</xdr:row>
      <xdr:rowOff>9190</xdr:rowOff>
    </xdr:from>
    <xdr:to>
      <xdr:col>26</xdr:col>
      <xdr:colOff>809551</xdr:colOff>
      <xdr:row>85</xdr:row>
      <xdr:rowOff>180975</xdr:rowOff>
    </xdr:to>
    <xdr:pic>
      <xdr:nvPicPr>
        <xdr:cNvPr id="569" name="Picture 568">
          <a:extLst>
            <a:ext uri="{FF2B5EF4-FFF2-40B4-BE49-F238E27FC236}">
              <a16:creationId xmlns:a16="http://schemas.microsoft.com/office/drawing/2014/main" id="{B9016EF5-8694-4236-B445-F56396549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4111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83</xdr:row>
      <xdr:rowOff>9190</xdr:rowOff>
    </xdr:from>
    <xdr:to>
      <xdr:col>7</xdr:col>
      <xdr:colOff>1723392</xdr:colOff>
      <xdr:row>83</xdr:row>
      <xdr:rowOff>180975</xdr:rowOff>
    </xdr:to>
    <xdr:pic>
      <xdr:nvPicPr>
        <xdr:cNvPr id="570" name="Picture 569">
          <a:extLst>
            <a:ext uri="{FF2B5EF4-FFF2-40B4-BE49-F238E27FC236}">
              <a16:creationId xmlns:a16="http://schemas.microsoft.com/office/drawing/2014/main" id="{58C515FC-8FE5-4083-BAE8-0EBDB218C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4267200" y="54301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83</xdr:row>
      <xdr:rowOff>9190</xdr:rowOff>
    </xdr:from>
    <xdr:to>
      <xdr:col>26</xdr:col>
      <xdr:colOff>809551</xdr:colOff>
      <xdr:row>83</xdr:row>
      <xdr:rowOff>180975</xdr:rowOff>
    </xdr:to>
    <xdr:pic>
      <xdr:nvPicPr>
        <xdr:cNvPr id="571" name="Picture 570">
          <a:extLst>
            <a:ext uri="{FF2B5EF4-FFF2-40B4-BE49-F238E27FC236}">
              <a16:creationId xmlns:a16="http://schemas.microsoft.com/office/drawing/2014/main" id="{01135CD7-C8E4-4A51-B1CC-FB225BFC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4301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295</xdr:row>
      <xdr:rowOff>9190</xdr:rowOff>
    </xdr:from>
    <xdr:to>
      <xdr:col>7</xdr:col>
      <xdr:colOff>1723392</xdr:colOff>
      <xdr:row>295</xdr:row>
      <xdr:rowOff>180975</xdr:rowOff>
    </xdr:to>
    <xdr:pic>
      <xdr:nvPicPr>
        <xdr:cNvPr id="572" name="Picture 571">
          <a:extLst>
            <a:ext uri="{FF2B5EF4-FFF2-40B4-BE49-F238E27FC236}">
              <a16:creationId xmlns:a16="http://schemas.microsoft.com/office/drawing/2014/main" id="{89765DB1-6A45-442C-A5A8-41B6A9D88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67200" y="54492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295</xdr:row>
      <xdr:rowOff>9190</xdr:rowOff>
    </xdr:from>
    <xdr:to>
      <xdr:col>26</xdr:col>
      <xdr:colOff>809551</xdr:colOff>
      <xdr:row>295</xdr:row>
      <xdr:rowOff>180975</xdr:rowOff>
    </xdr:to>
    <xdr:pic>
      <xdr:nvPicPr>
        <xdr:cNvPr id="573" name="Picture 572">
          <a:extLst>
            <a:ext uri="{FF2B5EF4-FFF2-40B4-BE49-F238E27FC236}">
              <a16:creationId xmlns:a16="http://schemas.microsoft.com/office/drawing/2014/main" id="{4DB4A750-FB10-4F42-81C8-CF6D5225B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4492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106</xdr:row>
      <xdr:rowOff>9190</xdr:rowOff>
    </xdr:from>
    <xdr:to>
      <xdr:col>7</xdr:col>
      <xdr:colOff>1723392</xdr:colOff>
      <xdr:row>106</xdr:row>
      <xdr:rowOff>180975</xdr:rowOff>
    </xdr:to>
    <xdr:pic>
      <xdr:nvPicPr>
        <xdr:cNvPr id="574" name="Picture 573">
          <a:extLst>
            <a:ext uri="{FF2B5EF4-FFF2-40B4-BE49-F238E27FC236}">
              <a16:creationId xmlns:a16="http://schemas.microsoft.com/office/drawing/2014/main" id="{04663DAF-4410-43A8-8C4A-3CDA58D51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4267200" y="54682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106</xdr:row>
      <xdr:rowOff>9190</xdr:rowOff>
    </xdr:from>
    <xdr:to>
      <xdr:col>26</xdr:col>
      <xdr:colOff>809551</xdr:colOff>
      <xdr:row>106</xdr:row>
      <xdr:rowOff>180975</xdr:rowOff>
    </xdr:to>
    <xdr:pic>
      <xdr:nvPicPr>
        <xdr:cNvPr id="575" name="Picture 574">
          <a:extLst>
            <a:ext uri="{FF2B5EF4-FFF2-40B4-BE49-F238E27FC236}">
              <a16:creationId xmlns:a16="http://schemas.microsoft.com/office/drawing/2014/main" id="{2C38687A-6C46-407D-B515-89E267840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4682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110</xdr:row>
      <xdr:rowOff>9190</xdr:rowOff>
    </xdr:from>
    <xdr:to>
      <xdr:col>7</xdr:col>
      <xdr:colOff>1723392</xdr:colOff>
      <xdr:row>110</xdr:row>
      <xdr:rowOff>180975</xdr:rowOff>
    </xdr:to>
    <xdr:pic>
      <xdr:nvPicPr>
        <xdr:cNvPr id="576" name="Picture 575">
          <a:extLst>
            <a:ext uri="{FF2B5EF4-FFF2-40B4-BE49-F238E27FC236}">
              <a16:creationId xmlns:a16="http://schemas.microsoft.com/office/drawing/2014/main" id="{3B599126-4F9E-4653-ADAC-36B7E9834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4267200" y="54873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110</xdr:row>
      <xdr:rowOff>9190</xdr:rowOff>
    </xdr:from>
    <xdr:to>
      <xdr:col>26</xdr:col>
      <xdr:colOff>809551</xdr:colOff>
      <xdr:row>110</xdr:row>
      <xdr:rowOff>180975</xdr:rowOff>
    </xdr:to>
    <xdr:pic>
      <xdr:nvPicPr>
        <xdr:cNvPr id="577" name="Picture 576">
          <a:extLst>
            <a:ext uri="{FF2B5EF4-FFF2-40B4-BE49-F238E27FC236}">
              <a16:creationId xmlns:a16="http://schemas.microsoft.com/office/drawing/2014/main" id="{F081DDF3-A8D4-431B-B41E-DC120F78A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4873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296</xdr:row>
      <xdr:rowOff>9190</xdr:rowOff>
    </xdr:from>
    <xdr:to>
      <xdr:col>7</xdr:col>
      <xdr:colOff>1723392</xdr:colOff>
      <xdr:row>296</xdr:row>
      <xdr:rowOff>180975</xdr:rowOff>
    </xdr:to>
    <xdr:pic>
      <xdr:nvPicPr>
        <xdr:cNvPr id="578" name="Picture 577">
          <a:extLst>
            <a:ext uri="{FF2B5EF4-FFF2-40B4-BE49-F238E27FC236}">
              <a16:creationId xmlns:a16="http://schemas.microsoft.com/office/drawing/2014/main" id="{8EE1482F-3ADD-41AF-A65A-2CB7C859E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4267200" y="55063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296</xdr:row>
      <xdr:rowOff>9190</xdr:rowOff>
    </xdr:from>
    <xdr:to>
      <xdr:col>26</xdr:col>
      <xdr:colOff>809551</xdr:colOff>
      <xdr:row>296</xdr:row>
      <xdr:rowOff>180975</xdr:rowOff>
    </xdr:to>
    <xdr:pic>
      <xdr:nvPicPr>
        <xdr:cNvPr id="579" name="Picture 578">
          <a:extLst>
            <a:ext uri="{FF2B5EF4-FFF2-40B4-BE49-F238E27FC236}">
              <a16:creationId xmlns:a16="http://schemas.microsoft.com/office/drawing/2014/main" id="{56A73600-56C7-4E1C-8F39-D2F0BDEC8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5063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138</xdr:row>
      <xdr:rowOff>9190</xdr:rowOff>
    </xdr:from>
    <xdr:to>
      <xdr:col>7</xdr:col>
      <xdr:colOff>1723392</xdr:colOff>
      <xdr:row>138</xdr:row>
      <xdr:rowOff>180975</xdr:rowOff>
    </xdr:to>
    <xdr:pic>
      <xdr:nvPicPr>
        <xdr:cNvPr id="580" name="Picture 579">
          <a:extLst>
            <a:ext uri="{FF2B5EF4-FFF2-40B4-BE49-F238E27FC236}">
              <a16:creationId xmlns:a16="http://schemas.microsoft.com/office/drawing/2014/main" id="{30325228-A15B-4BA0-9F6F-903922753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4267200" y="55254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138</xdr:row>
      <xdr:rowOff>9190</xdr:rowOff>
    </xdr:from>
    <xdr:to>
      <xdr:col>26</xdr:col>
      <xdr:colOff>809551</xdr:colOff>
      <xdr:row>138</xdr:row>
      <xdr:rowOff>180975</xdr:rowOff>
    </xdr:to>
    <xdr:pic>
      <xdr:nvPicPr>
        <xdr:cNvPr id="581" name="Picture 580">
          <a:extLst>
            <a:ext uri="{FF2B5EF4-FFF2-40B4-BE49-F238E27FC236}">
              <a16:creationId xmlns:a16="http://schemas.microsoft.com/office/drawing/2014/main" id="{96127298-4FF9-4209-8681-F97DD6DFC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5254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297</xdr:row>
      <xdr:rowOff>9190</xdr:rowOff>
    </xdr:from>
    <xdr:to>
      <xdr:col>7</xdr:col>
      <xdr:colOff>1723392</xdr:colOff>
      <xdr:row>297</xdr:row>
      <xdr:rowOff>180975</xdr:rowOff>
    </xdr:to>
    <xdr:pic>
      <xdr:nvPicPr>
        <xdr:cNvPr id="582" name="Picture 581">
          <a:extLst>
            <a:ext uri="{FF2B5EF4-FFF2-40B4-BE49-F238E27FC236}">
              <a16:creationId xmlns:a16="http://schemas.microsoft.com/office/drawing/2014/main" id="{9497113D-5006-461D-92AB-E5D95BDA6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4267200" y="55444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297</xdr:row>
      <xdr:rowOff>9190</xdr:rowOff>
    </xdr:from>
    <xdr:to>
      <xdr:col>26</xdr:col>
      <xdr:colOff>809551</xdr:colOff>
      <xdr:row>297</xdr:row>
      <xdr:rowOff>180975</xdr:rowOff>
    </xdr:to>
    <xdr:pic>
      <xdr:nvPicPr>
        <xdr:cNvPr id="583" name="Picture 582">
          <a:extLst>
            <a:ext uri="{FF2B5EF4-FFF2-40B4-BE49-F238E27FC236}">
              <a16:creationId xmlns:a16="http://schemas.microsoft.com/office/drawing/2014/main" id="{B1F3021F-FC5E-4B0F-90C0-EF165AD7B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5444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143</xdr:row>
      <xdr:rowOff>9190</xdr:rowOff>
    </xdr:from>
    <xdr:to>
      <xdr:col>7</xdr:col>
      <xdr:colOff>1723392</xdr:colOff>
      <xdr:row>143</xdr:row>
      <xdr:rowOff>180975</xdr:rowOff>
    </xdr:to>
    <xdr:pic>
      <xdr:nvPicPr>
        <xdr:cNvPr id="584" name="Picture 583">
          <a:extLst>
            <a:ext uri="{FF2B5EF4-FFF2-40B4-BE49-F238E27FC236}">
              <a16:creationId xmlns:a16="http://schemas.microsoft.com/office/drawing/2014/main" id="{1512380B-07B8-4C25-A27E-4AE4FA746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4267200" y="55635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143</xdr:row>
      <xdr:rowOff>9190</xdr:rowOff>
    </xdr:from>
    <xdr:to>
      <xdr:col>26</xdr:col>
      <xdr:colOff>809551</xdr:colOff>
      <xdr:row>143</xdr:row>
      <xdr:rowOff>180975</xdr:rowOff>
    </xdr:to>
    <xdr:pic>
      <xdr:nvPicPr>
        <xdr:cNvPr id="585" name="Picture 584">
          <a:extLst>
            <a:ext uri="{FF2B5EF4-FFF2-40B4-BE49-F238E27FC236}">
              <a16:creationId xmlns:a16="http://schemas.microsoft.com/office/drawing/2014/main" id="{26CB389F-E0D1-47A4-A204-CEB19EDAE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5635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298</xdr:row>
      <xdr:rowOff>9190</xdr:rowOff>
    </xdr:from>
    <xdr:to>
      <xdr:col>7</xdr:col>
      <xdr:colOff>1723392</xdr:colOff>
      <xdr:row>298</xdr:row>
      <xdr:rowOff>180975</xdr:rowOff>
    </xdr:to>
    <xdr:pic>
      <xdr:nvPicPr>
        <xdr:cNvPr id="586" name="Picture 585">
          <a:extLst>
            <a:ext uri="{FF2B5EF4-FFF2-40B4-BE49-F238E27FC236}">
              <a16:creationId xmlns:a16="http://schemas.microsoft.com/office/drawing/2014/main" id="{84B424F4-B195-4456-A38B-FE6D48814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4267200" y="55825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298</xdr:row>
      <xdr:rowOff>9190</xdr:rowOff>
    </xdr:from>
    <xdr:to>
      <xdr:col>26</xdr:col>
      <xdr:colOff>809551</xdr:colOff>
      <xdr:row>298</xdr:row>
      <xdr:rowOff>180975</xdr:rowOff>
    </xdr:to>
    <xdr:pic>
      <xdr:nvPicPr>
        <xdr:cNvPr id="587" name="Picture 586">
          <a:extLst>
            <a:ext uri="{FF2B5EF4-FFF2-40B4-BE49-F238E27FC236}">
              <a16:creationId xmlns:a16="http://schemas.microsoft.com/office/drawing/2014/main" id="{6A9C4880-72E1-4170-BA8C-A9C05C863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5825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157</xdr:row>
      <xdr:rowOff>9190</xdr:rowOff>
    </xdr:from>
    <xdr:to>
      <xdr:col>7</xdr:col>
      <xdr:colOff>1723392</xdr:colOff>
      <xdr:row>157</xdr:row>
      <xdr:rowOff>180975</xdr:rowOff>
    </xdr:to>
    <xdr:pic>
      <xdr:nvPicPr>
        <xdr:cNvPr id="588" name="Picture 587">
          <a:extLst>
            <a:ext uri="{FF2B5EF4-FFF2-40B4-BE49-F238E27FC236}">
              <a16:creationId xmlns:a16="http://schemas.microsoft.com/office/drawing/2014/main" id="{329ABB2F-D665-4384-AE46-F7F0FF59C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4267200" y="56016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157</xdr:row>
      <xdr:rowOff>9190</xdr:rowOff>
    </xdr:from>
    <xdr:to>
      <xdr:col>26</xdr:col>
      <xdr:colOff>809551</xdr:colOff>
      <xdr:row>157</xdr:row>
      <xdr:rowOff>180975</xdr:rowOff>
    </xdr:to>
    <xdr:pic>
      <xdr:nvPicPr>
        <xdr:cNvPr id="589" name="Picture 588">
          <a:extLst>
            <a:ext uri="{FF2B5EF4-FFF2-40B4-BE49-F238E27FC236}">
              <a16:creationId xmlns:a16="http://schemas.microsoft.com/office/drawing/2014/main" id="{55A1D15B-C6BC-4D4C-B4F5-347FDE7E5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6016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159</xdr:row>
      <xdr:rowOff>9190</xdr:rowOff>
    </xdr:from>
    <xdr:to>
      <xdr:col>7</xdr:col>
      <xdr:colOff>1723392</xdr:colOff>
      <xdr:row>159</xdr:row>
      <xdr:rowOff>180975</xdr:rowOff>
    </xdr:to>
    <xdr:pic>
      <xdr:nvPicPr>
        <xdr:cNvPr id="590" name="Picture 589">
          <a:extLst>
            <a:ext uri="{FF2B5EF4-FFF2-40B4-BE49-F238E27FC236}">
              <a16:creationId xmlns:a16="http://schemas.microsoft.com/office/drawing/2014/main" id="{4378C54A-4B17-49FF-ACD6-714661960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4267200" y="56206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159</xdr:row>
      <xdr:rowOff>9190</xdr:rowOff>
    </xdr:from>
    <xdr:to>
      <xdr:col>26</xdr:col>
      <xdr:colOff>809551</xdr:colOff>
      <xdr:row>159</xdr:row>
      <xdr:rowOff>180975</xdr:rowOff>
    </xdr:to>
    <xdr:pic>
      <xdr:nvPicPr>
        <xdr:cNvPr id="591" name="Picture 590">
          <a:extLst>
            <a:ext uri="{FF2B5EF4-FFF2-40B4-BE49-F238E27FC236}">
              <a16:creationId xmlns:a16="http://schemas.microsoft.com/office/drawing/2014/main" id="{6B1BE435-D490-49D7-9D3B-929FA93CD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6206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122</xdr:row>
      <xdr:rowOff>9190</xdr:rowOff>
    </xdr:from>
    <xdr:to>
      <xdr:col>7</xdr:col>
      <xdr:colOff>1723392</xdr:colOff>
      <xdr:row>122</xdr:row>
      <xdr:rowOff>180975</xdr:rowOff>
    </xdr:to>
    <xdr:pic>
      <xdr:nvPicPr>
        <xdr:cNvPr id="592" name="Picture 591">
          <a:extLst>
            <a:ext uri="{FF2B5EF4-FFF2-40B4-BE49-F238E27FC236}">
              <a16:creationId xmlns:a16="http://schemas.microsoft.com/office/drawing/2014/main" id="{07A11560-EC82-496D-A713-ABB18445A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4267200" y="563971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122</xdr:row>
      <xdr:rowOff>9190</xdr:rowOff>
    </xdr:from>
    <xdr:to>
      <xdr:col>26</xdr:col>
      <xdr:colOff>809551</xdr:colOff>
      <xdr:row>122</xdr:row>
      <xdr:rowOff>180975</xdr:rowOff>
    </xdr:to>
    <xdr:pic>
      <xdr:nvPicPr>
        <xdr:cNvPr id="593" name="Picture 592">
          <a:extLst>
            <a:ext uri="{FF2B5EF4-FFF2-40B4-BE49-F238E27FC236}">
              <a16:creationId xmlns:a16="http://schemas.microsoft.com/office/drawing/2014/main" id="{E43D0797-7791-435E-A91B-2D64A49FB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63971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7</xdr:col>
      <xdr:colOff>0</xdr:colOff>
      <xdr:row>151</xdr:row>
      <xdr:rowOff>9190</xdr:rowOff>
    </xdr:from>
    <xdr:to>
      <xdr:col>7</xdr:col>
      <xdr:colOff>1723392</xdr:colOff>
      <xdr:row>151</xdr:row>
      <xdr:rowOff>180975</xdr:rowOff>
    </xdr:to>
    <xdr:pic>
      <xdr:nvPicPr>
        <xdr:cNvPr id="594" name="Picture 593">
          <a:extLst>
            <a:ext uri="{FF2B5EF4-FFF2-40B4-BE49-F238E27FC236}">
              <a16:creationId xmlns:a16="http://schemas.microsoft.com/office/drawing/2014/main" id="{E0D40D0F-EC9B-4791-BAC1-FE6BB605E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4267200" y="56587690"/>
          <a:ext cx="608967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26</xdr:col>
      <xdr:colOff>0</xdr:colOff>
      <xdr:row>151</xdr:row>
      <xdr:rowOff>9190</xdr:rowOff>
    </xdr:from>
    <xdr:to>
      <xdr:col>26</xdr:col>
      <xdr:colOff>809551</xdr:colOff>
      <xdr:row>151</xdr:row>
      <xdr:rowOff>180975</xdr:rowOff>
    </xdr:to>
    <xdr:pic>
      <xdr:nvPicPr>
        <xdr:cNvPr id="595" name="Picture 594">
          <a:extLst>
            <a:ext uri="{FF2B5EF4-FFF2-40B4-BE49-F238E27FC236}">
              <a16:creationId xmlns:a16="http://schemas.microsoft.com/office/drawing/2014/main" id="{78756ED3-4B0B-423C-AF1E-D8BB06834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6587690"/>
          <a:ext cx="609526" cy="17178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holyoake@chesteram.com.au" TargetMode="External"/><Relationship Id="rId2" Type="http://schemas.openxmlformats.org/officeDocument/2006/relationships/hyperlink" Target="mailto:michael.kordick@cbussuper.com.au" TargetMode="External"/><Relationship Id="rId1" Type="http://schemas.openxmlformats.org/officeDocument/2006/relationships/hyperlink" Target="mailto:edward.pham@cbussuper.com.au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ames@qvgcapital.com.au" TargetMode="External"/><Relationship Id="rId2" Type="http://schemas.openxmlformats.org/officeDocument/2006/relationships/hyperlink" Target="mailto:jbriggs@ellerstoncapital.com" TargetMode="External"/><Relationship Id="rId1" Type="http://schemas.openxmlformats.org/officeDocument/2006/relationships/hyperlink" Target="mailto:michael.mewburn@hyperion.com.au" TargetMode="Externa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Sivaram@lnw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7E8A-9FE5-4463-800A-D1FCC9DD2FCC}">
  <sheetPr>
    <tabColor rgb="FFC00000"/>
  </sheetPr>
  <dimension ref="B1:R374"/>
  <sheetViews>
    <sheetView zoomScaleNormal="100" workbookViewId="0">
      <pane ySplit="1" topLeftCell="A23" activePane="bottomLeft" state="frozen"/>
      <selection activeCell="C9" sqref="C9"/>
      <selection pane="bottomLeft" activeCell="H42" sqref="H42"/>
    </sheetView>
  </sheetViews>
  <sheetFormatPr defaultRowHeight="11.25" x14ac:dyDescent="0.2"/>
  <cols>
    <col min="1" max="1" width="2.7109375" style="11" customWidth="1"/>
    <col min="2" max="2" width="17.28515625" style="11" customWidth="1"/>
    <col min="3" max="3" width="47.28515625" style="11" bestFit="1" customWidth="1"/>
    <col min="4" max="4" width="22.28515625" style="11" customWidth="1"/>
    <col min="5" max="5" width="32.140625" style="11" customWidth="1"/>
    <col min="6" max="6" width="48.28515625" style="11" bestFit="1" customWidth="1"/>
    <col min="7" max="7" width="5.7109375" style="11" customWidth="1"/>
    <col min="8" max="8" width="2.7109375" style="11" customWidth="1"/>
    <col min="9" max="16" width="5.7109375" style="11" customWidth="1"/>
    <col min="17" max="17" width="2.7109375" style="11" customWidth="1"/>
    <col min="18" max="18" width="30.85546875" style="11" bestFit="1" customWidth="1"/>
    <col min="19" max="16384" width="9.140625" style="11"/>
  </cols>
  <sheetData>
    <row r="1" spans="2:18" s="10" customFormat="1" x14ac:dyDescent="0.2">
      <c r="B1" s="7" t="s">
        <v>997</v>
      </c>
      <c r="C1" s="7" t="s">
        <v>996</v>
      </c>
      <c r="D1" s="7" t="s">
        <v>1057</v>
      </c>
      <c r="E1" s="7" t="s">
        <v>1058</v>
      </c>
      <c r="F1" s="7" t="s">
        <v>986</v>
      </c>
      <c r="G1" s="9" t="s">
        <v>472</v>
      </c>
      <c r="H1" s="8"/>
      <c r="I1" s="7" t="s">
        <v>3</v>
      </c>
      <c r="J1" s="7" t="s">
        <v>959</v>
      </c>
      <c r="K1" s="9" t="s">
        <v>972</v>
      </c>
      <c r="L1" s="9" t="s">
        <v>973</v>
      </c>
      <c r="M1" s="9" t="s">
        <v>982</v>
      </c>
      <c r="N1" s="9" t="s">
        <v>983</v>
      </c>
      <c r="O1" s="9" t="s">
        <v>984</v>
      </c>
      <c r="P1" s="9" t="s">
        <v>985</v>
      </c>
      <c r="Q1" s="8"/>
      <c r="R1" s="7" t="s">
        <v>1056</v>
      </c>
    </row>
    <row r="2" spans="2:18" x14ac:dyDescent="0.2">
      <c r="B2" s="11" t="s">
        <v>30</v>
      </c>
      <c r="C2" s="11" t="s">
        <v>32</v>
      </c>
      <c r="D2" s="11" t="s">
        <v>1009</v>
      </c>
      <c r="F2" s="12" t="s">
        <v>31</v>
      </c>
      <c r="G2" s="13">
        <v>1</v>
      </c>
      <c r="I2" s="13">
        <v>1</v>
      </c>
      <c r="J2" s="13">
        <v>1</v>
      </c>
      <c r="K2" s="13">
        <v>1</v>
      </c>
      <c r="L2" s="13">
        <v>1</v>
      </c>
      <c r="M2" s="13">
        <v>1</v>
      </c>
      <c r="N2" s="13">
        <v>1</v>
      </c>
      <c r="O2" s="13">
        <v>1</v>
      </c>
      <c r="P2" s="13">
        <v>1</v>
      </c>
      <c r="R2" s="11" t="str">
        <f t="shared" ref="R2:R38" si="0">F2&amp;";"</f>
        <v>matt@trippgroup.com.au;</v>
      </c>
    </row>
    <row r="3" spans="2:18" x14ac:dyDescent="0.2">
      <c r="B3" s="11" t="s">
        <v>823</v>
      </c>
      <c r="C3" s="11" t="s">
        <v>787</v>
      </c>
      <c r="D3" s="11" t="s">
        <v>998</v>
      </c>
      <c r="F3" s="12" t="s">
        <v>822</v>
      </c>
      <c r="G3" s="13">
        <v>1</v>
      </c>
      <c r="I3" s="13">
        <v>1</v>
      </c>
      <c r="J3" s="13">
        <v>1</v>
      </c>
      <c r="K3" s="13">
        <v>1</v>
      </c>
      <c r="L3" s="13">
        <v>1</v>
      </c>
      <c r="M3" s="13">
        <v>1</v>
      </c>
      <c r="N3" s="13">
        <v>1</v>
      </c>
      <c r="O3" s="13">
        <v>1</v>
      </c>
      <c r="P3" s="13">
        <v>1</v>
      </c>
      <c r="R3" s="11" t="str">
        <f t="shared" si="0"/>
        <v>tim.hall@fairviewequity.com.au;</v>
      </c>
    </row>
    <row r="4" spans="2:18" x14ac:dyDescent="0.2">
      <c r="B4" s="11" t="s">
        <v>333</v>
      </c>
      <c r="C4" s="11" t="s">
        <v>335</v>
      </c>
      <c r="D4" s="11" t="s">
        <v>998</v>
      </c>
      <c r="F4" s="12" t="s">
        <v>334</v>
      </c>
      <c r="G4" s="13">
        <v>1</v>
      </c>
      <c r="I4" s="13">
        <v>1</v>
      </c>
      <c r="J4" s="13">
        <v>1</v>
      </c>
      <c r="K4" s="13">
        <v>1</v>
      </c>
      <c r="L4" s="13">
        <v>1</v>
      </c>
      <c r="M4" s="13">
        <v>1</v>
      </c>
      <c r="N4" s="13">
        <v>1</v>
      </c>
      <c r="O4" s="13">
        <v>1</v>
      </c>
      <c r="P4" s="13">
        <v>1</v>
      </c>
      <c r="R4" s="11" t="str">
        <f t="shared" si="0"/>
        <v>william.earnshaw@solariswealth.com.au;</v>
      </c>
    </row>
    <row r="5" spans="2:18" x14ac:dyDescent="0.2">
      <c r="B5" s="11" t="s">
        <v>432</v>
      </c>
      <c r="C5" s="11" t="s">
        <v>335</v>
      </c>
      <c r="D5" s="11" t="s">
        <v>998</v>
      </c>
      <c r="F5" s="12" t="s">
        <v>433</v>
      </c>
      <c r="G5" s="13">
        <v>1</v>
      </c>
      <c r="I5" s="13">
        <v>1</v>
      </c>
      <c r="J5" s="13">
        <v>1</v>
      </c>
      <c r="K5" s="13">
        <v>1</v>
      </c>
      <c r="L5" s="13">
        <v>1</v>
      </c>
      <c r="M5" s="13">
        <v>1</v>
      </c>
      <c r="N5" s="13">
        <v>1</v>
      </c>
      <c r="O5" s="13">
        <v>1</v>
      </c>
      <c r="P5" s="13">
        <v>1</v>
      </c>
      <c r="R5" s="11" t="str">
        <f t="shared" si="0"/>
        <v>andrew.mclennan@solariswealth.com.au;</v>
      </c>
    </row>
    <row r="6" spans="2:18" x14ac:dyDescent="0.2">
      <c r="B6" s="11" t="s">
        <v>387</v>
      </c>
      <c r="C6" s="11" t="s">
        <v>103</v>
      </c>
      <c r="F6" s="12" t="s">
        <v>388</v>
      </c>
      <c r="G6" s="13">
        <v>1</v>
      </c>
      <c r="I6" s="13">
        <v>1</v>
      </c>
      <c r="J6" s="13">
        <v>1</v>
      </c>
      <c r="K6" s="13">
        <v>1</v>
      </c>
      <c r="L6" s="13">
        <v>1</v>
      </c>
      <c r="M6" s="13">
        <v>1</v>
      </c>
      <c r="N6" s="13">
        <v>1</v>
      </c>
      <c r="O6" s="13">
        <v>1</v>
      </c>
      <c r="P6" s="13">
        <v>1</v>
      </c>
      <c r="R6" s="11" t="str">
        <f t="shared" si="0"/>
        <v>guy.robinson@acc.co.nz;</v>
      </c>
    </row>
    <row r="7" spans="2:18" x14ac:dyDescent="0.2">
      <c r="B7" s="11" t="s">
        <v>218</v>
      </c>
      <c r="C7" s="11" t="s">
        <v>220</v>
      </c>
      <c r="F7" s="12" t="s">
        <v>219</v>
      </c>
      <c r="G7" s="13">
        <v>1</v>
      </c>
      <c r="I7" s="13">
        <v>1</v>
      </c>
      <c r="J7" s="13">
        <v>1</v>
      </c>
      <c r="K7" s="13">
        <v>1</v>
      </c>
      <c r="L7" s="13">
        <v>1</v>
      </c>
      <c r="M7" s="13">
        <v>1</v>
      </c>
      <c r="N7" s="13">
        <v>1</v>
      </c>
      <c r="O7" s="13">
        <v>1</v>
      </c>
      <c r="P7" s="13">
        <v>1</v>
      </c>
      <c r="R7" s="11" t="str">
        <f t="shared" si="0"/>
        <v>matt.williams@airliefm.com.au;</v>
      </c>
    </row>
    <row r="8" spans="2:18" x14ac:dyDescent="0.2">
      <c r="B8" s="11" t="s">
        <v>494</v>
      </c>
      <c r="C8" s="11" t="s">
        <v>220</v>
      </c>
      <c r="F8" s="12" t="s">
        <v>493</v>
      </c>
      <c r="G8" s="13">
        <v>1</v>
      </c>
      <c r="I8" s="13">
        <v>1</v>
      </c>
      <c r="J8" s="13">
        <v>1</v>
      </c>
      <c r="K8" s="13">
        <v>1</v>
      </c>
      <c r="L8" s="13">
        <v>1</v>
      </c>
      <c r="M8" s="13">
        <v>1</v>
      </c>
      <c r="N8" s="13">
        <v>1</v>
      </c>
      <c r="O8" s="13">
        <v>1</v>
      </c>
      <c r="P8" s="13">
        <v>1</v>
      </c>
      <c r="R8" s="11" t="str">
        <f t="shared" si="0"/>
        <v>jack.mcnally@airliefm.com.au;</v>
      </c>
    </row>
    <row r="9" spans="2:18" x14ac:dyDescent="0.2">
      <c r="B9" s="11" t="s">
        <v>999</v>
      </c>
      <c r="C9" s="11" t="s">
        <v>220</v>
      </c>
      <c r="F9" s="12" t="s">
        <v>990</v>
      </c>
      <c r="G9" s="13">
        <v>1</v>
      </c>
      <c r="I9" s="13">
        <v>1</v>
      </c>
      <c r="J9" s="13">
        <v>1</v>
      </c>
      <c r="K9" s="13">
        <v>1</v>
      </c>
      <c r="L9" s="13">
        <v>1</v>
      </c>
      <c r="M9" s="13">
        <v>1</v>
      </c>
      <c r="N9" s="13">
        <v>1</v>
      </c>
      <c r="O9" s="13">
        <v>1</v>
      </c>
      <c r="P9" s="13">
        <v>1</v>
      </c>
      <c r="R9" s="11" t="str">
        <f t="shared" si="0"/>
        <v>will.granger@airliefm.com.au;</v>
      </c>
    </row>
    <row r="10" spans="2:18" x14ac:dyDescent="0.2">
      <c r="B10" s="11" t="s">
        <v>1013</v>
      </c>
      <c r="C10" s="11" t="s">
        <v>1014</v>
      </c>
      <c r="F10" s="12" t="s">
        <v>992</v>
      </c>
      <c r="G10" s="13">
        <v>1</v>
      </c>
      <c r="I10" s="13">
        <v>1</v>
      </c>
      <c r="J10" s="13">
        <v>1</v>
      </c>
      <c r="K10" s="13">
        <v>1</v>
      </c>
      <c r="L10" s="13">
        <v>1</v>
      </c>
      <c r="M10" s="13">
        <v>1</v>
      </c>
      <c r="N10" s="13">
        <v>1</v>
      </c>
      <c r="O10" s="13">
        <v>1</v>
      </c>
      <c r="P10" s="13">
        <v>1</v>
      </c>
      <c r="R10" s="11" t="str">
        <f t="shared" si="0"/>
        <v>yipeng.liu@allangray.com.au;</v>
      </c>
    </row>
    <row r="11" spans="2:18" x14ac:dyDescent="0.2">
      <c r="B11" s="11" t="s">
        <v>2016</v>
      </c>
      <c r="C11" s="11" t="s">
        <v>1014</v>
      </c>
      <c r="F11" s="12" t="s">
        <v>2019</v>
      </c>
      <c r="G11" s="13">
        <v>1</v>
      </c>
      <c r="I11" s="13">
        <v>1</v>
      </c>
      <c r="J11" s="13">
        <v>1</v>
      </c>
      <c r="K11" s="13">
        <v>1</v>
      </c>
      <c r="L11" s="13">
        <v>1</v>
      </c>
      <c r="M11" s="13">
        <v>1</v>
      </c>
      <c r="N11" s="13">
        <v>1</v>
      </c>
      <c r="O11" s="13">
        <v>1</v>
      </c>
      <c r="P11" s="13">
        <v>1</v>
      </c>
      <c r="R11" s="11" t="str">
        <f t="shared" si="0"/>
        <v>tim.morrison@allangray.com.au;</v>
      </c>
    </row>
    <row r="12" spans="2:18" x14ac:dyDescent="0.2">
      <c r="B12" s="11" t="s">
        <v>803</v>
      </c>
      <c r="C12" s="11" t="s">
        <v>801</v>
      </c>
      <c r="F12" s="12" t="s">
        <v>802</v>
      </c>
      <c r="G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  <c r="P12" s="13">
        <v>1</v>
      </c>
      <c r="R12" s="11" t="str">
        <f t="shared" si="0"/>
        <v>rg@aliumcap.com;</v>
      </c>
    </row>
    <row r="13" spans="2:18" x14ac:dyDescent="0.2">
      <c r="B13" s="11" t="s">
        <v>165</v>
      </c>
      <c r="C13" s="11" t="s">
        <v>167</v>
      </c>
      <c r="F13" s="12" t="s">
        <v>166</v>
      </c>
      <c r="G13" s="13">
        <v>1</v>
      </c>
      <c r="I13" s="13">
        <v>1</v>
      </c>
      <c r="J13" s="13">
        <v>1</v>
      </c>
      <c r="K13" s="13">
        <v>1</v>
      </c>
      <c r="L13" s="13">
        <v>1</v>
      </c>
      <c r="M13" s="13">
        <v>1</v>
      </c>
      <c r="N13" s="13">
        <v>1</v>
      </c>
      <c r="O13" s="13">
        <v>1</v>
      </c>
      <c r="P13" s="13">
        <v>1</v>
      </c>
      <c r="R13" s="11" t="str">
        <f t="shared" si="0"/>
        <v>james.robertson@bernstein.com;</v>
      </c>
    </row>
    <row r="14" spans="2:18" x14ac:dyDescent="0.2">
      <c r="B14" s="11" t="s">
        <v>779</v>
      </c>
      <c r="C14" s="11" t="s">
        <v>167</v>
      </c>
      <c r="F14" s="12" t="s">
        <v>778</v>
      </c>
      <c r="G14" s="13">
        <v>1</v>
      </c>
      <c r="I14" s="13">
        <v>1</v>
      </c>
      <c r="J14" s="13">
        <v>1</v>
      </c>
      <c r="K14" s="13">
        <v>1</v>
      </c>
      <c r="L14" s="13">
        <v>1</v>
      </c>
      <c r="M14" s="13">
        <v>1</v>
      </c>
      <c r="N14" s="13">
        <v>1</v>
      </c>
      <c r="O14" s="13">
        <v>1</v>
      </c>
      <c r="P14" s="13">
        <v>1</v>
      </c>
      <c r="R14" s="11" t="str">
        <f t="shared" si="0"/>
        <v>hamish.fitzsimons@bernstein.com;</v>
      </c>
    </row>
    <row r="15" spans="2:18" x14ac:dyDescent="0.2">
      <c r="B15" s="11" t="s">
        <v>98</v>
      </c>
      <c r="C15" s="11" t="s">
        <v>100</v>
      </c>
      <c r="F15" s="12" t="s">
        <v>99</v>
      </c>
      <c r="G15" s="13">
        <v>1</v>
      </c>
      <c r="I15" s="13">
        <v>1</v>
      </c>
      <c r="J15" s="13">
        <v>1</v>
      </c>
      <c r="K15" s="13">
        <v>1</v>
      </c>
      <c r="L15" s="13">
        <v>1</v>
      </c>
      <c r="M15" s="13">
        <v>1</v>
      </c>
      <c r="N15" s="13">
        <v>1</v>
      </c>
      <c r="O15" s="13">
        <v>1</v>
      </c>
      <c r="P15" s="13">
        <v>1</v>
      </c>
      <c r="R15" s="11" t="str">
        <f t="shared" si="0"/>
        <v>jacob.barnes@alphinity.com.au;</v>
      </c>
    </row>
    <row r="16" spans="2:18" x14ac:dyDescent="0.2">
      <c r="B16" s="11" t="s">
        <v>141</v>
      </c>
      <c r="C16" s="11" t="s">
        <v>68</v>
      </c>
      <c r="F16" s="12" t="s">
        <v>142</v>
      </c>
      <c r="G16" s="13">
        <v>1</v>
      </c>
      <c r="I16" s="13">
        <v>1</v>
      </c>
      <c r="J16" s="13">
        <v>1</v>
      </c>
      <c r="K16" s="13">
        <v>1</v>
      </c>
      <c r="L16" s="13">
        <v>1</v>
      </c>
      <c r="M16" s="13">
        <v>1</v>
      </c>
      <c r="N16" s="13">
        <v>1</v>
      </c>
      <c r="O16" s="13">
        <v>1</v>
      </c>
      <c r="P16" s="13">
        <v>1</v>
      </c>
      <c r="R16" s="11" t="str">
        <f t="shared" si="0"/>
        <v>nick.pashias@antaresequities.com.au;</v>
      </c>
    </row>
    <row r="17" spans="2:18" x14ac:dyDescent="0.2">
      <c r="B17" s="11" t="s">
        <v>83</v>
      </c>
      <c r="C17" s="11" t="s">
        <v>68</v>
      </c>
      <c r="F17" s="12" t="s">
        <v>84</v>
      </c>
      <c r="G17" s="13">
        <v>1</v>
      </c>
      <c r="I17" s="13">
        <v>1</v>
      </c>
      <c r="J17" s="13">
        <v>1</v>
      </c>
      <c r="K17" s="13">
        <v>1</v>
      </c>
      <c r="L17" s="13">
        <v>1</v>
      </c>
      <c r="M17" s="13">
        <v>1</v>
      </c>
      <c r="N17" s="13">
        <v>1</v>
      </c>
      <c r="O17" s="13">
        <v>1</v>
      </c>
      <c r="P17" s="13">
        <v>1</v>
      </c>
      <c r="R17" s="11" t="str">
        <f t="shared" si="0"/>
        <v>jennifer.lam@antaresequities.com.au;</v>
      </c>
    </row>
    <row r="18" spans="2:18" x14ac:dyDescent="0.2">
      <c r="B18" s="11" t="s">
        <v>173</v>
      </c>
      <c r="C18" s="11" t="s">
        <v>68</v>
      </c>
      <c r="F18" s="12" t="s">
        <v>174</v>
      </c>
      <c r="G18" s="13">
        <v>1</v>
      </c>
      <c r="I18" s="13">
        <v>1</v>
      </c>
      <c r="J18" s="13">
        <v>1</v>
      </c>
      <c r="K18" s="13">
        <v>1</v>
      </c>
      <c r="L18" s="13">
        <v>1</v>
      </c>
      <c r="M18" s="13">
        <v>1</v>
      </c>
      <c r="N18" s="13">
        <v>1</v>
      </c>
      <c r="O18" s="13">
        <v>1</v>
      </c>
      <c r="P18" s="13">
        <v>1</v>
      </c>
      <c r="R18" s="11" t="str">
        <f t="shared" si="0"/>
        <v>john.guadagnuolo@antaresequities.com.au;</v>
      </c>
    </row>
    <row r="19" spans="2:18" x14ac:dyDescent="0.2">
      <c r="B19" s="11" t="s">
        <v>2030</v>
      </c>
      <c r="C19" s="11" t="s">
        <v>68</v>
      </c>
      <c r="F19" s="12" t="s">
        <v>2031</v>
      </c>
      <c r="G19" s="13">
        <v>1</v>
      </c>
      <c r="I19" s="13">
        <v>1</v>
      </c>
      <c r="J19" s="13">
        <v>1</v>
      </c>
      <c r="K19" s="13">
        <v>1</v>
      </c>
      <c r="L19" s="13">
        <v>1</v>
      </c>
      <c r="M19" s="13">
        <v>1</v>
      </c>
      <c r="N19" s="13">
        <v>1</v>
      </c>
      <c r="O19" s="13">
        <v>1</v>
      </c>
      <c r="P19" s="13">
        <v>1</v>
      </c>
      <c r="R19" s="11" t="str">
        <f t="shared" si="0"/>
        <v>hutch.ozdil@antaresequities.com.au;</v>
      </c>
    </row>
    <row r="20" spans="2:18" x14ac:dyDescent="0.2">
      <c r="B20" s="11" t="s">
        <v>764</v>
      </c>
      <c r="C20" s="11" t="s">
        <v>239</v>
      </c>
      <c r="F20" s="12" t="s">
        <v>763</v>
      </c>
      <c r="G20" s="13">
        <v>1</v>
      </c>
      <c r="I20" s="13">
        <v>1</v>
      </c>
      <c r="J20" s="13">
        <v>1</v>
      </c>
      <c r="K20" s="13">
        <v>1</v>
      </c>
      <c r="L20" s="13">
        <v>1</v>
      </c>
      <c r="M20" s="13">
        <v>1</v>
      </c>
      <c r="N20" s="13">
        <v>1</v>
      </c>
      <c r="O20" s="13">
        <v>1</v>
      </c>
      <c r="P20" s="13">
        <v>1</v>
      </c>
      <c r="R20" s="11" t="str">
        <f t="shared" si="0"/>
        <v>brydie.lloyd-roberts@argoinvestments.com.au;</v>
      </c>
    </row>
    <row r="21" spans="2:18" x14ac:dyDescent="0.2">
      <c r="B21" s="11" t="s">
        <v>2130</v>
      </c>
      <c r="C21" s="11" t="s">
        <v>239</v>
      </c>
      <c r="F21" s="12" t="s">
        <v>2129</v>
      </c>
      <c r="G21" s="13">
        <v>1</v>
      </c>
      <c r="I21" s="13">
        <v>1</v>
      </c>
      <c r="J21" s="13">
        <v>1</v>
      </c>
      <c r="K21" s="13">
        <v>1</v>
      </c>
      <c r="L21" s="13">
        <v>1</v>
      </c>
      <c r="M21" s="13">
        <v>1</v>
      </c>
      <c r="N21" s="13">
        <v>1</v>
      </c>
      <c r="O21" s="13">
        <v>1</v>
      </c>
      <c r="P21" s="13">
        <v>1</v>
      </c>
      <c r="R21" s="11" t="str">
        <f t="shared" si="0"/>
        <v>andrew.moller@argoinvestments.com.au ;</v>
      </c>
    </row>
    <row r="22" spans="2:18" x14ac:dyDescent="0.2">
      <c r="B22" s="11" t="s">
        <v>291</v>
      </c>
      <c r="C22" s="11" t="s">
        <v>2009</v>
      </c>
      <c r="F22" s="12" t="s">
        <v>2010</v>
      </c>
      <c r="G22" s="13">
        <v>1</v>
      </c>
      <c r="I22" s="13">
        <v>1</v>
      </c>
      <c r="J22" s="13">
        <v>1</v>
      </c>
      <c r="K22" s="13">
        <v>1</v>
      </c>
      <c r="L22" s="13">
        <v>1</v>
      </c>
      <c r="M22" s="13">
        <v>1</v>
      </c>
      <c r="N22" s="13">
        <v>1</v>
      </c>
      <c r="O22" s="13">
        <v>1</v>
      </c>
      <c r="P22" s="13">
        <v>1</v>
      </c>
      <c r="R22" s="11" t="str">
        <f t="shared" si="0"/>
        <v>dm@arrow-cap.com;</v>
      </c>
    </row>
    <row r="23" spans="2:18" x14ac:dyDescent="0.2">
      <c r="B23" s="11" t="s">
        <v>2011</v>
      </c>
      <c r="C23" s="11" t="s">
        <v>2009</v>
      </c>
      <c r="F23" s="12" t="s">
        <v>2012</v>
      </c>
      <c r="G23" s="13">
        <v>1</v>
      </c>
      <c r="I23" s="13">
        <v>1</v>
      </c>
      <c r="J23" s="13">
        <v>1</v>
      </c>
      <c r="K23" s="13">
        <v>1</v>
      </c>
      <c r="L23" s="13">
        <v>1</v>
      </c>
      <c r="M23" s="13">
        <v>1</v>
      </c>
      <c r="N23" s="13">
        <v>1</v>
      </c>
      <c r="O23" s="13">
        <v>1</v>
      </c>
      <c r="P23" s="13">
        <v>1</v>
      </c>
      <c r="R23" s="11" t="str">
        <f t="shared" si="0"/>
        <v>mr@arrow-cap.com;</v>
      </c>
    </row>
    <row r="24" spans="2:18" x14ac:dyDescent="0.2">
      <c r="B24" s="11" t="s">
        <v>1079</v>
      </c>
      <c r="C24" s="11" t="s">
        <v>2009</v>
      </c>
      <c r="F24" s="12" t="s">
        <v>1077</v>
      </c>
      <c r="G24" s="13">
        <v>1</v>
      </c>
      <c r="I24" s="13">
        <v>1</v>
      </c>
      <c r="J24" s="13">
        <v>1</v>
      </c>
      <c r="K24" s="13">
        <v>1</v>
      </c>
      <c r="L24" s="13">
        <v>1</v>
      </c>
      <c r="M24" s="13">
        <v>1</v>
      </c>
      <c r="N24" s="13">
        <v>1</v>
      </c>
      <c r="O24" s="13">
        <v>1</v>
      </c>
      <c r="P24" s="13">
        <v>1</v>
      </c>
      <c r="R24" s="11" t="str">
        <f t="shared" si="0"/>
        <v>jm@arrow-cap.com;</v>
      </c>
    </row>
    <row r="25" spans="2:18" x14ac:dyDescent="0.2">
      <c r="B25" s="11" t="s">
        <v>2013</v>
      </c>
      <c r="C25" s="11" t="s">
        <v>2009</v>
      </c>
      <c r="F25" s="12" t="s">
        <v>2014</v>
      </c>
      <c r="G25" s="13">
        <v>1</v>
      </c>
      <c r="I25" s="13">
        <v>1</v>
      </c>
      <c r="J25" s="13">
        <v>1</v>
      </c>
      <c r="K25" s="13">
        <v>1</v>
      </c>
      <c r="L25" s="13">
        <v>1</v>
      </c>
      <c r="M25" s="13">
        <v>1</v>
      </c>
      <c r="N25" s="13">
        <v>1</v>
      </c>
      <c r="O25" s="13">
        <v>1</v>
      </c>
      <c r="P25" s="13">
        <v>1</v>
      </c>
      <c r="R25" s="11" t="str">
        <f t="shared" si="0"/>
        <v>as@arrow-cap.com;</v>
      </c>
    </row>
    <row r="26" spans="2:18" x14ac:dyDescent="0.2">
      <c r="B26" s="11" t="s">
        <v>826</v>
      </c>
      <c r="C26" s="11" t="s">
        <v>824</v>
      </c>
      <c r="D26" s="16"/>
      <c r="F26" s="12" t="s">
        <v>825</v>
      </c>
      <c r="G26" s="13">
        <v>1</v>
      </c>
      <c r="I26" s="13">
        <v>1</v>
      </c>
      <c r="J26" s="13">
        <v>1</v>
      </c>
      <c r="K26" s="13">
        <v>1</v>
      </c>
      <c r="L26" s="13">
        <v>1</v>
      </c>
      <c r="M26" s="13">
        <v>1</v>
      </c>
      <c r="N26" s="13">
        <v>1</v>
      </c>
      <c r="O26" s="13">
        <v>1</v>
      </c>
      <c r="P26" s="13">
        <v>1</v>
      </c>
      <c r="R26" s="11" t="str">
        <f t="shared" si="0"/>
        <v>tony.edwards@atriuminvest.com.au;</v>
      </c>
    </row>
    <row r="27" spans="2:18" x14ac:dyDescent="0.2">
      <c r="B27" s="11" t="s">
        <v>939</v>
      </c>
      <c r="C27" s="11" t="s">
        <v>290</v>
      </c>
      <c r="D27" s="16"/>
      <c r="F27" s="12" t="s">
        <v>938</v>
      </c>
      <c r="G27" s="13">
        <v>1</v>
      </c>
      <c r="I27" s="13">
        <v>1</v>
      </c>
      <c r="J27" s="13">
        <v>1</v>
      </c>
      <c r="K27" s="13">
        <v>1</v>
      </c>
      <c r="L27" s="13">
        <v>1</v>
      </c>
      <c r="M27" s="13">
        <v>1</v>
      </c>
      <c r="N27" s="13">
        <v>1</v>
      </c>
      <c r="O27" s="13">
        <v>1</v>
      </c>
      <c r="P27" s="13">
        <v>1</v>
      </c>
      <c r="R27" s="11" t="str">
        <f t="shared" si="0"/>
        <v>chris.smith@ausbil.com.au;</v>
      </c>
    </row>
    <row r="28" spans="2:18" x14ac:dyDescent="0.2">
      <c r="B28" s="11" t="s">
        <v>402</v>
      </c>
      <c r="C28" s="11" t="s">
        <v>290</v>
      </c>
      <c r="F28" s="12" t="s">
        <v>403</v>
      </c>
      <c r="G28" s="13">
        <v>1</v>
      </c>
      <c r="I28" s="13">
        <v>1</v>
      </c>
      <c r="J28" s="13">
        <v>1</v>
      </c>
      <c r="K28" s="13">
        <v>1</v>
      </c>
      <c r="L28" s="13">
        <v>1</v>
      </c>
      <c r="M28" s="13">
        <v>1</v>
      </c>
      <c r="N28" s="13">
        <v>1</v>
      </c>
      <c r="O28" s="13">
        <v>1</v>
      </c>
      <c r="P28" s="13">
        <v>1</v>
      </c>
      <c r="R28" s="11" t="str">
        <f t="shared" si="0"/>
        <v>andrew.peros@ausbil.com.au;</v>
      </c>
    </row>
    <row r="29" spans="2:18" x14ac:dyDescent="0.2">
      <c r="B29" s="11" t="s">
        <v>288</v>
      </c>
      <c r="C29" s="11" t="s">
        <v>290</v>
      </c>
      <c r="F29" s="12" t="s">
        <v>289</v>
      </c>
      <c r="G29" s="13">
        <v>1</v>
      </c>
      <c r="I29" s="13">
        <v>1</v>
      </c>
      <c r="J29" s="13">
        <v>1</v>
      </c>
      <c r="K29" s="13">
        <v>1</v>
      </c>
      <c r="L29" s="13">
        <v>1</v>
      </c>
      <c r="M29" s="13">
        <v>1</v>
      </c>
      <c r="N29" s="13">
        <v>1</v>
      </c>
      <c r="O29" s="13">
        <v>1</v>
      </c>
      <c r="P29" s="13">
        <v>1</v>
      </c>
      <c r="R29" s="11" t="str">
        <f t="shared" si="0"/>
        <v>gian.pandit@ausbil.com.au;</v>
      </c>
    </row>
    <row r="30" spans="2:18" x14ac:dyDescent="0.2">
      <c r="B30" s="11" t="s">
        <v>466</v>
      </c>
      <c r="C30" s="11" t="s">
        <v>290</v>
      </c>
      <c r="F30" s="12" t="s">
        <v>467</v>
      </c>
      <c r="G30" s="13">
        <v>1</v>
      </c>
      <c r="I30" s="13">
        <v>1</v>
      </c>
      <c r="J30" s="13">
        <v>1</v>
      </c>
      <c r="K30" s="13">
        <v>1</v>
      </c>
      <c r="L30" s="13">
        <v>1</v>
      </c>
      <c r="M30" s="13">
        <v>1</v>
      </c>
      <c r="N30" s="13">
        <v>1</v>
      </c>
      <c r="O30" s="13">
        <v>1</v>
      </c>
      <c r="P30" s="13">
        <v>1</v>
      </c>
      <c r="R30" s="11" t="str">
        <f t="shared" si="0"/>
        <v>stella.mcmullen@ausbil.com.au;</v>
      </c>
    </row>
    <row r="31" spans="2:18" x14ac:dyDescent="0.2">
      <c r="B31" s="11" t="s">
        <v>135</v>
      </c>
      <c r="C31" s="11" t="s">
        <v>137</v>
      </c>
      <c r="F31" s="12" t="s">
        <v>136</v>
      </c>
      <c r="G31" s="13">
        <v>1</v>
      </c>
      <c r="I31" s="13">
        <v>1</v>
      </c>
      <c r="J31" s="13">
        <v>1</v>
      </c>
      <c r="K31" s="13">
        <v>1</v>
      </c>
      <c r="L31" s="13">
        <v>1</v>
      </c>
      <c r="M31" s="13">
        <v>1</v>
      </c>
      <c r="N31" s="13">
        <v>1</v>
      </c>
      <c r="O31" s="13">
        <v>1</v>
      </c>
      <c r="P31" s="13">
        <v>1</v>
      </c>
      <c r="R31" s="11" t="str">
        <f t="shared" si="0"/>
        <v>tim.carleton@auscapam.com;</v>
      </c>
    </row>
    <row r="32" spans="2:18" x14ac:dyDescent="0.2">
      <c r="B32" s="11" t="s">
        <v>138</v>
      </c>
      <c r="C32" s="11" t="s">
        <v>137</v>
      </c>
      <c r="F32" s="12" t="s">
        <v>139</v>
      </c>
      <c r="G32" s="13">
        <v>1</v>
      </c>
      <c r="I32" s="13">
        <v>1</v>
      </c>
      <c r="J32" s="13">
        <v>1</v>
      </c>
      <c r="K32" s="13">
        <v>1</v>
      </c>
      <c r="L32" s="13">
        <v>1</v>
      </c>
      <c r="M32" s="13">
        <v>1</v>
      </c>
      <c r="N32" s="13">
        <v>1</v>
      </c>
      <c r="O32" s="13">
        <v>1</v>
      </c>
      <c r="P32" s="13">
        <v>1</v>
      </c>
      <c r="R32" s="11" t="str">
        <f t="shared" si="0"/>
        <v>matthew.parker@auscapam.com;</v>
      </c>
    </row>
    <row r="33" spans="2:18" x14ac:dyDescent="0.2">
      <c r="B33" s="11" t="s">
        <v>851</v>
      </c>
      <c r="C33" s="11" t="s">
        <v>393</v>
      </c>
      <c r="F33" s="12" t="s">
        <v>850</v>
      </c>
      <c r="G33" s="13">
        <v>1</v>
      </c>
      <c r="I33" s="13">
        <v>1</v>
      </c>
      <c r="J33" s="13">
        <v>1</v>
      </c>
      <c r="K33" s="13">
        <v>1</v>
      </c>
      <c r="L33" s="13">
        <v>1</v>
      </c>
      <c r="M33" s="13">
        <v>1</v>
      </c>
      <c r="N33" s="13">
        <v>1</v>
      </c>
      <c r="O33" s="13">
        <v>1</v>
      </c>
      <c r="P33" s="13">
        <v>1</v>
      </c>
      <c r="R33" s="11" t="str">
        <f t="shared" si="0"/>
        <v>kkennedy@afi.com.au;</v>
      </c>
    </row>
    <row r="34" spans="2:18" x14ac:dyDescent="0.2">
      <c r="B34" s="11" t="s">
        <v>741</v>
      </c>
      <c r="C34" s="11" t="s">
        <v>393</v>
      </c>
      <c r="F34" s="12" t="s">
        <v>740</v>
      </c>
      <c r="G34" s="13">
        <v>1</v>
      </c>
      <c r="I34" s="13">
        <v>1</v>
      </c>
      <c r="J34" s="13">
        <v>1</v>
      </c>
      <c r="K34" s="13">
        <v>1</v>
      </c>
      <c r="L34" s="13">
        <v>1</v>
      </c>
      <c r="M34" s="13">
        <v>1</v>
      </c>
      <c r="N34" s="13">
        <v>1</v>
      </c>
      <c r="O34" s="13">
        <v>1</v>
      </c>
      <c r="P34" s="13">
        <v>1</v>
      </c>
      <c r="R34" s="11" t="str">
        <f t="shared" si="0"/>
        <v>sjlow@afi.com.au;</v>
      </c>
    </row>
    <row r="35" spans="2:18" x14ac:dyDescent="0.2">
      <c r="B35" s="11" t="s">
        <v>710</v>
      </c>
      <c r="C35" s="11" t="s">
        <v>393</v>
      </c>
      <c r="F35" s="12" t="s">
        <v>709</v>
      </c>
      <c r="G35" s="13">
        <v>1</v>
      </c>
      <c r="I35" s="13">
        <v>1</v>
      </c>
      <c r="J35" s="13">
        <v>1</v>
      </c>
      <c r="K35" s="13">
        <v>1</v>
      </c>
      <c r="L35" s="13">
        <v>1</v>
      </c>
      <c r="M35" s="13">
        <v>1</v>
      </c>
      <c r="N35" s="13">
        <v>1</v>
      </c>
      <c r="O35" s="13">
        <v>1</v>
      </c>
      <c r="P35" s="13">
        <v>1</v>
      </c>
      <c r="R35" s="11" t="str">
        <f t="shared" si="0"/>
        <v>mfreeman@afi.com.au;</v>
      </c>
    </row>
    <row r="36" spans="2:18" x14ac:dyDescent="0.2">
      <c r="B36" s="11" t="s">
        <v>391</v>
      </c>
      <c r="C36" s="11" t="s">
        <v>393</v>
      </c>
      <c r="F36" s="12" t="s">
        <v>392</v>
      </c>
      <c r="G36" s="13">
        <v>1</v>
      </c>
      <c r="I36" s="13">
        <v>1</v>
      </c>
      <c r="J36" s="13">
        <v>1</v>
      </c>
      <c r="K36" s="13">
        <v>1</v>
      </c>
      <c r="L36" s="13">
        <v>1</v>
      </c>
      <c r="M36" s="13">
        <v>1</v>
      </c>
      <c r="N36" s="13">
        <v>1</v>
      </c>
      <c r="O36" s="13">
        <v>1</v>
      </c>
      <c r="P36" s="13">
        <v>1</v>
      </c>
      <c r="R36" s="11" t="str">
        <f t="shared" si="0"/>
        <v>dgrace@afi.com.au;</v>
      </c>
    </row>
    <row r="37" spans="2:18" x14ac:dyDescent="0.2">
      <c r="B37" s="11" t="s">
        <v>199</v>
      </c>
      <c r="C37" s="11" t="s">
        <v>393</v>
      </c>
      <c r="F37" s="12" t="s">
        <v>981</v>
      </c>
      <c r="G37" s="13">
        <v>1</v>
      </c>
      <c r="I37" s="13">
        <v>1</v>
      </c>
      <c r="J37" s="13">
        <v>1</v>
      </c>
      <c r="K37" s="13">
        <v>1</v>
      </c>
      <c r="L37" s="13">
        <v>1</v>
      </c>
      <c r="M37" s="13">
        <v>1</v>
      </c>
      <c r="N37" s="13">
        <v>1</v>
      </c>
      <c r="O37" s="13">
        <v>1</v>
      </c>
      <c r="P37" s="13">
        <v>1</v>
      </c>
      <c r="R37" s="11" t="str">
        <f t="shared" si="0"/>
        <v>wchong@afi.com.au;</v>
      </c>
    </row>
    <row r="38" spans="2:18" x14ac:dyDescent="0.2">
      <c r="B38" s="11" t="s">
        <v>930</v>
      </c>
      <c r="C38" s="11" t="s">
        <v>97</v>
      </c>
      <c r="F38" s="12" t="s">
        <v>929</v>
      </c>
      <c r="G38" s="13">
        <v>1</v>
      </c>
      <c r="I38" s="13">
        <v>1</v>
      </c>
      <c r="J38" s="13">
        <v>1</v>
      </c>
      <c r="K38" s="13">
        <v>1</v>
      </c>
      <c r="L38" s="13">
        <v>1</v>
      </c>
      <c r="M38" s="13">
        <v>1</v>
      </c>
      <c r="N38" s="13">
        <v>1</v>
      </c>
      <c r="O38" s="13">
        <v>1</v>
      </c>
      <c r="P38" s="13">
        <v>1</v>
      </c>
      <c r="R38" s="11" t="str">
        <f t="shared" si="0"/>
        <v>jlee@australiansuper.com;</v>
      </c>
    </row>
    <row r="39" spans="2:18" x14ac:dyDescent="0.2">
      <c r="B39" s="11" t="s">
        <v>181</v>
      </c>
      <c r="C39" s="11" t="s">
        <v>97</v>
      </c>
      <c r="F39" s="12" t="s">
        <v>182</v>
      </c>
      <c r="G39" s="13">
        <v>1</v>
      </c>
      <c r="I39" s="13">
        <v>1</v>
      </c>
      <c r="J39" s="13">
        <v>1</v>
      </c>
      <c r="K39" s="13">
        <v>1</v>
      </c>
      <c r="L39" s="13">
        <v>1</v>
      </c>
      <c r="M39" s="13">
        <v>1</v>
      </c>
      <c r="N39" s="13">
        <v>1</v>
      </c>
      <c r="O39" s="13">
        <v>1</v>
      </c>
      <c r="P39" s="13">
        <v>1</v>
      </c>
      <c r="R39" s="11" t="str">
        <f t="shared" ref="R39:R63" si="1">F39&amp;";"</f>
        <v>asmith@australiansuper.com;</v>
      </c>
    </row>
    <row r="40" spans="2:18" x14ac:dyDescent="0.2">
      <c r="B40" s="11" t="s">
        <v>859</v>
      </c>
      <c r="C40" s="11" t="s">
        <v>97</v>
      </c>
      <c r="F40" s="12" t="s">
        <v>858</v>
      </c>
      <c r="G40" s="13">
        <v>1</v>
      </c>
      <c r="I40" s="13">
        <v>1</v>
      </c>
      <c r="J40" s="13">
        <v>1</v>
      </c>
      <c r="K40" s="13">
        <v>1</v>
      </c>
      <c r="L40" s="13">
        <v>1</v>
      </c>
      <c r="M40" s="13">
        <v>1</v>
      </c>
      <c r="N40" s="13">
        <v>1</v>
      </c>
      <c r="O40" s="13">
        <v>1</v>
      </c>
      <c r="P40" s="13">
        <v>1</v>
      </c>
      <c r="R40" s="11" t="str">
        <f t="shared" si="1"/>
        <v>jgodsil@australiansuper.com;</v>
      </c>
    </row>
    <row r="41" spans="2:18" x14ac:dyDescent="0.2">
      <c r="B41" s="11" t="s">
        <v>857</v>
      </c>
      <c r="C41" s="11" t="s">
        <v>97</v>
      </c>
      <c r="F41" s="12" t="s">
        <v>856</v>
      </c>
      <c r="G41" s="13">
        <v>1</v>
      </c>
      <c r="I41" s="13">
        <v>1</v>
      </c>
      <c r="J41" s="13">
        <v>1</v>
      </c>
      <c r="K41" s="13">
        <v>1</v>
      </c>
      <c r="L41" s="13">
        <v>1</v>
      </c>
      <c r="M41" s="13">
        <v>1</v>
      </c>
      <c r="N41" s="13">
        <v>1</v>
      </c>
      <c r="O41" s="13">
        <v>1</v>
      </c>
      <c r="P41" s="13">
        <v>1</v>
      </c>
      <c r="R41" s="11" t="str">
        <f t="shared" si="1"/>
        <v>ldsmith@australiansuper.com;</v>
      </c>
    </row>
    <row r="42" spans="2:18" x14ac:dyDescent="0.2">
      <c r="B42" s="11" t="s">
        <v>684</v>
      </c>
      <c r="C42" s="11" t="s">
        <v>97</v>
      </c>
      <c r="F42" s="12" t="s">
        <v>683</v>
      </c>
      <c r="G42" s="13">
        <v>1</v>
      </c>
      <c r="I42" s="13">
        <v>1</v>
      </c>
      <c r="J42" s="13">
        <v>1</v>
      </c>
      <c r="K42" s="13">
        <v>1</v>
      </c>
      <c r="L42" s="13">
        <v>1</v>
      </c>
      <c r="M42" s="13">
        <v>1</v>
      </c>
      <c r="N42" s="13">
        <v>1</v>
      </c>
      <c r="O42" s="13">
        <v>1</v>
      </c>
      <c r="P42" s="13">
        <v>1</v>
      </c>
      <c r="R42" s="11" t="str">
        <f t="shared" si="1"/>
        <v>jthai@australiansuper.com;</v>
      </c>
    </row>
    <row r="43" spans="2:18" x14ac:dyDescent="0.2">
      <c r="B43" s="11" t="s">
        <v>676</v>
      </c>
      <c r="C43" s="11" t="s">
        <v>97</v>
      </c>
      <c r="F43" s="12" t="s">
        <v>675</v>
      </c>
      <c r="G43" s="13">
        <v>1</v>
      </c>
      <c r="I43" s="13">
        <v>1</v>
      </c>
      <c r="J43" s="13">
        <v>1</v>
      </c>
      <c r="K43" s="13">
        <v>1</v>
      </c>
      <c r="L43" s="13">
        <v>1</v>
      </c>
      <c r="M43" s="13">
        <v>1</v>
      </c>
      <c r="N43" s="13">
        <v>1</v>
      </c>
      <c r="O43" s="13">
        <v>1</v>
      </c>
      <c r="P43" s="13">
        <v>1</v>
      </c>
      <c r="R43" s="11" t="str">
        <f t="shared" si="1"/>
        <v>gbatsakis@australiansuper.com;</v>
      </c>
    </row>
    <row r="44" spans="2:18" x14ac:dyDescent="0.2">
      <c r="B44" s="11" t="s">
        <v>621</v>
      </c>
      <c r="C44" s="11" t="s">
        <v>97</v>
      </c>
      <c r="F44" s="12" t="s">
        <v>620</v>
      </c>
      <c r="G44" s="13">
        <v>1</v>
      </c>
      <c r="I44" s="13">
        <v>1</v>
      </c>
      <c r="J44" s="13">
        <v>1</v>
      </c>
      <c r="K44" s="13">
        <v>1</v>
      </c>
      <c r="L44" s="13">
        <v>1</v>
      </c>
      <c r="M44" s="13">
        <v>1</v>
      </c>
      <c r="N44" s="13">
        <v>1</v>
      </c>
      <c r="O44" s="13">
        <v>1</v>
      </c>
      <c r="P44" s="13">
        <v>1</v>
      </c>
      <c r="R44" s="11" t="str">
        <f t="shared" si="1"/>
        <v>achong@australiansuper.com;</v>
      </c>
    </row>
    <row r="45" spans="2:18" x14ac:dyDescent="0.2">
      <c r="B45" s="11" t="s">
        <v>462</v>
      </c>
      <c r="C45" s="11" t="s">
        <v>94</v>
      </c>
      <c r="F45" s="12" t="s">
        <v>463</v>
      </c>
      <c r="G45" s="13">
        <v>1</v>
      </c>
      <c r="I45" s="13">
        <v>1</v>
      </c>
      <c r="J45" s="13">
        <v>1</v>
      </c>
      <c r="K45" s="13">
        <v>1</v>
      </c>
      <c r="L45" s="13">
        <v>1</v>
      </c>
      <c r="M45" s="13">
        <v>1</v>
      </c>
      <c r="N45" s="13">
        <v>1</v>
      </c>
      <c r="O45" s="13">
        <v>1</v>
      </c>
      <c r="P45" s="13">
        <v>1</v>
      </c>
      <c r="R45" s="11" t="str">
        <f t="shared" si="1"/>
        <v>luke.macnab@aware.com.au;</v>
      </c>
    </row>
    <row r="46" spans="2:18" x14ac:dyDescent="0.2">
      <c r="B46" s="11" t="s">
        <v>815</v>
      </c>
      <c r="C46" s="11" t="s">
        <v>813</v>
      </c>
      <c r="F46" s="12" t="s">
        <v>814</v>
      </c>
      <c r="G46" s="13">
        <v>1</v>
      </c>
      <c r="I46" s="13">
        <v>1</v>
      </c>
      <c r="J46" s="13">
        <v>1</v>
      </c>
      <c r="K46" s="13">
        <v>1</v>
      </c>
      <c r="L46" s="13">
        <v>1</v>
      </c>
      <c r="M46" s="13">
        <v>1</v>
      </c>
      <c r="N46" s="13">
        <v>1</v>
      </c>
      <c r="O46" s="13">
        <v>1</v>
      </c>
      <c r="P46" s="13">
        <v>1</v>
      </c>
      <c r="R46" s="11" t="str">
        <f t="shared" si="1"/>
        <v>sbaron@baroncorp.com.au;</v>
      </c>
    </row>
    <row r="47" spans="2:18" x14ac:dyDescent="0.2">
      <c r="B47" s="11" t="s">
        <v>277</v>
      </c>
      <c r="C47" s="11" t="s">
        <v>279</v>
      </c>
      <c r="F47" s="12" t="s">
        <v>278</v>
      </c>
      <c r="G47" s="13">
        <v>1</v>
      </c>
      <c r="I47" s="13">
        <v>1</v>
      </c>
      <c r="J47" s="13">
        <v>1</v>
      </c>
      <c r="K47" s="13">
        <v>1</v>
      </c>
      <c r="L47" s="13">
        <v>1</v>
      </c>
      <c r="M47" s="13">
        <v>1</v>
      </c>
      <c r="N47" s="13">
        <v>1</v>
      </c>
      <c r="O47" s="13">
        <v>1</v>
      </c>
      <c r="P47" s="13">
        <v>1</v>
      </c>
      <c r="R47" s="11" t="str">
        <f t="shared" si="1"/>
        <v>mark.east@baep.com.au;</v>
      </c>
    </row>
    <row r="48" spans="2:18" x14ac:dyDescent="0.2">
      <c r="B48" s="11" t="s">
        <v>912</v>
      </c>
      <c r="C48" s="11" t="s">
        <v>279</v>
      </c>
      <c r="F48" s="12" t="s">
        <v>911</v>
      </c>
      <c r="G48" s="13">
        <v>1</v>
      </c>
      <c r="I48" s="13">
        <v>1</v>
      </c>
      <c r="J48" s="13">
        <v>1</v>
      </c>
      <c r="K48" s="13">
        <v>1</v>
      </c>
      <c r="L48" s="13">
        <v>1</v>
      </c>
      <c r="M48" s="13">
        <v>1</v>
      </c>
      <c r="N48" s="13">
        <v>1</v>
      </c>
      <c r="O48" s="13">
        <v>1</v>
      </c>
      <c r="P48" s="13">
        <v>1</v>
      </c>
      <c r="R48" s="11" t="str">
        <f t="shared" si="1"/>
        <v>jbriggs@ellerstoncapital.com;</v>
      </c>
    </row>
    <row r="49" spans="2:18" x14ac:dyDescent="0.2">
      <c r="B49" s="11" t="s">
        <v>686</v>
      </c>
      <c r="C49" s="11" t="s">
        <v>279</v>
      </c>
      <c r="F49" s="12" t="s">
        <v>685</v>
      </c>
      <c r="G49" s="13">
        <v>1</v>
      </c>
      <c r="I49" s="13">
        <v>1</v>
      </c>
      <c r="J49" s="13">
        <v>1</v>
      </c>
      <c r="K49" s="13">
        <v>1</v>
      </c>
      <c r="L49" s="13">
        <v>1</v>
      </c>
      <c r="M49" s="13">
        <v>1</v>
      </c>
      <c r="N49" s="13">
        <v>1</v>
      </c>
      <c r="O49" s="13">
        <v>1</v>
      </c>
      <c r="P49" s="13">
        <v>1</v>
      </c>
      <c r="R49" s="11" t="str">
        <f t="shared" si="1"/>
        <v>kieran.sisson@baep.com.au;</v>
      </c>
    </row>
    <row r="50" spans="2:18" x14ac:dyDescent="0.2">
      <c r="B50" s="11" t="s">
        <v>468</v>
      </c>
      <c r="C50" s="11" t="s">
        <v>279</v>
      </c>
      <c r="F50" s="12" t="s">
        <v>469</v>
      </c>
      <c r="G50" s="13">
        <v>1</v>
      </c>
      <c r="I50" s="13">
        <v>1</v>
      </c>
      <c r="J50" s="13">
        <v>1</v>
      </c>
      <c r="K50" s="13">
        <v>1</v>
      </c>
      <c r="L50" s="13">
        <v>1</v>
      </c>
      <c r="M50" s="13">
        <v>1</v>
      </c>
      <c r="N50" s="13">
        <v>1</v>
      </c>
      <c r="O50" s="13">
        <v>1</v>
      </c>
      <c r="P50" s="13">
        <v>1</v>
      </c>
      <c r="R50" s="11" t="str">
        <f t="shared" si="1"/>
        <v>kurt.gelsomino@baep.com.au;</v>
      </c>
    </row>
    <row r="51" spans="2:18" x14ac:dyDescent="0.2">
      <c r="B51" s="11" t="s">
        <v>2119</v>
      </c>
      <c r="C51" s="11" t="s">
        <v>279</v>
      </c>
      <c r="F51" s="12" t="s">
        <v>2120</v>
      </c>
      <c r="G51" s="13">
        <v>1</v>
      </c>
      <c r="I51" s="13">
        <v>1</v>
      </c>
      <c r="J51" s="13">
        <v>1</v>
      </c>
      <c r="K51" s="13">
        <v>1</v>
      </c>
      <c r="L51" s="13">
        <v>1</v>
      </c>
      <c r="M51" s="13">
        <v>1</v>
      </c>
      <c r="N51" s="13">
        <v>1</v>
      </c>
      <c r="O51" s="13">
        <v>1</v>
      </c>
      <c r="P51" s="13">
        <v>1</v>
      </c>
      <c r="R51" s="11" t="str">
        <f t="shared" si="1"/>
        <v>michael.ward@baep.com.au;</v>
      </c>
    </row>
    <row r="52" spans="2:18" x14ac:dyDescent="0.2">
      <c r="B52" s="11" t="s">
        <v>319</v>
      </c>
      <c r="C52" s="11" t="s">
        <v>134</v>
      </c>
      <c r="F52" s="12" t="s">
        <v>320</v>
      </c>
      <c r="G52" s="13">
        <v>1</v>
      </c>
      <c r="I52" s="13">
        <v>1</v>
      </c>
      <c r="J52" s="13">
        <v>1</v>
      </c>
      <c r="K52" s="13">
        <v>1</v>
      </c>
      <c r="L52" s="13">
        <v>1</v>
      </c>
      <c r="M52" s="13">
        <v>1</v>
      </c>
      <c r="N52" s="13">
        <v>1</v>
      </c>
      <c r="O52" s="13">
        <v>1</v>
      </c>
      <c r="P52" s="13">
        <v>1</v>
      </c>
      <c r="R52" s="11" t="str">
        <f t="shared" si="1"/>
        <v>daniel@blsem.com.au;</v>
      </c>
    </row>
    <row r="53" spans="2:18" x14ac:dyDescent="0.2">
      <c r="B53" s="11" t="s">
        <v>132</v>
      </c>
      <c r="C53" s="11" t="s">
        <v>134</v>
      </c>
      <c r="F53" s="12" t="s">
        <v>133</v>
      </c>
      <c r="G53" s="13">
        <v>1</v>
      </c>
      <c r="I53" s="13">
        <v>1</v>
      </c>
      <c r="J53" s="13">
        <v>1</v>
      </c>
      <c r="K53" s="13">
        <v>1</v>
      </c>
      <c r="L53" s="13">
        <v>1</v>
      </c>
      <c r="M53" s="13">
        <v>1</v>
      </c>
      <c r="N53" s="13">
        <v>1</v>
      </c>
      <c r="O53" s="13">
        <v>1</v>
      </c>
      <c r="P53" s="13">
        <v>1</v>
      </c>
      <c r="R53" s="11" t="str">
        <f t="shared" si="1"/>
        <v>sam.shepherd@blsem.com.au;</v>
      </c>
    </row>
    <row r="54" spans="2:18" x14ac:dyDescent="0.2">
      <c r="B54" s="11" t="s">
        <v>253</v>
      </c>
      <c r="C54" s="11" t="s">
        <v>134</v>
      </c>
      <c r="F54" s="12" t="s">
        <v>254</v>
      </c>
      <c r="G54" s="13">
        <v>1</v>
      </c>
      <c r="I54" s="13">
        <v>1</v>
      </c>
      <c r="J54" s="13">
        <v>1</v>
      </c>
      <c r="K54" s="13">
        <v>1</v>
      </c>
      <c r="L54" s="13">
        <v>1</v>
      </c>
      <c r="M54" s="13">
        <v>1</v>
      </c>
      <c r="N54" s="13">
        <v>1</v>
      </c>
      <c r="O54" s="13">
        <v>1</v>
      </c>
      <c r="P54" s="13">
        <v>1</v>
      </c>
      <c r="R54" s="11" t="str">
        <f t="shared" si="1"/>
        <v>sam@blsem.com.au;</v>
      </c>
    </row>
    <row r="55" spans="2:18" x14ac:dyDescent="0.2">
      <c r="B55" s="11" t="s">
        <v>492</v>
      </c>
      <c r="C55" s="11" t="s">
        <v>490</v>
      </c>
      <c r="F55" s="12" t="s">
        <v>491</v>
      </c>
      <c r="G55" s="13">
        <v>1</v>
      </c>
      <c r="I55" s="13">
        <v>1</v>
      </c>
      <c r="J55" s="13">
        <v>1</v>
      </c>
      <c r="K55" s="13">
        <v>1</v>
      </c>
      <c r="L55" s="13">
        <v>1</v>
      </c>
      <c r="M55" s="13">
        <v>1</v>
      </c>
      <c r="N55" s="13">
        <v>1</v>
      </c>
      <c r="O55" s="13">
        <v>1</v>
      </c>
      <c r="P55" s="13">
        <v>1</v>
      </c>
      <c r="R55" s="11" t="str">
        <f t="shared" si="1"/>
        <v>achuk@blackwattlepartners.com;</v>
      </c>
    </row>
    <row r="56" spans="2:18" x14ac:dyDescent="0.2">
      <c r="B56" s="11" t="s">
        <v>1025</v>
      </c>
      <c r="C56" s="11" t="s">
        <v>490</v>
      </c>
      <c r="F56" s="12" t="s">
        <v>1024</v>
      </c>
      <c r="G56" s="13">
        <v>1</v>
      </c>
      <c r="I56" s="13">
        <v>1</v>
      </c>
      <c r="J56" s="13">
        <v>1</v>
      </c>
      <c r="K56" s="13">
        <v>1</v>
      </c>
      <c r="L56" s="13">
        <v>1</v>
      </c>
      <c r="M56" s="13">
        <v>1</v>
      </c>
      <c r="N56" s="13">
        <v>1</v>
      </c>
      <c r="O56" s="13">
        <v>1</v>
      </c>
      <c r="P56" s="13">
        <v>1</v>
      </c>
      <c r="R56" s="11" t="str">
        <f t="shared" si="1"/>
        <v>dmeehan@blackwattlepartners.com;</v>
      </c>
    </row>
    <row r="57" spans="2:18" x14ac:dyDescent="0.2">
      <c r="B57" s="11" t="s">
        <v>1046</v>
      </c>
      <c r="C57" s="11" t="s">
        <v>490</v>
      </c>
      <c r="F57" s="12" t="s">
        <v>1047</v>
      </c>
      <c r="G57" s="13">
        <v>1</v>
      </c>
      <c r="I57" s="13">
        <v>1</v>
      </c>
      <c r="J57" s="13">
        <v>1</v>
      </c>
      <c r="K57" s="13">
        <v>1</v>
      </c>
      <c r="L57" s="13">
        <v>1</v>
      </c>
      <c r="M57" s="13">
        <v>1</v>
      </c>
      <c r="N57" s="13">
        <v>1</v>
      </c>
      <c r="O57" s="13">
        <v>1</v>
      </c>
      <c r="P57" s="13">
        <v>1</v>
      </c>
      <c r="R57" s="11" t="str">
        <f t="shared" si="1"/>
        <v>mteran@blackwattlepartners.com;</v>
      </c>
    </row>
    <row r="58" spans="2:18" x14ac:dyDescent="0.2">
      <c r="B58" s="11" t="s">
        <v>863</v>
      </c>
      <c r="C58" s="11" t="s">
        <v>490</v>
      </c>
      <c r="F58" s="12" t="s">
        <v>862</v>
      </c>
      <c r="G58" s="13">
        <v>1</v>
      </c>
      <c r="I58" s="13">
        <v>1</v>
      </c>
      <c r="J58" s="13">
        <v>1</v>
      </c>
      <c r="K58" s="13">
        <v>1</v>
      </c>
      <c r="L58" s="13">
        <v>1</v>
      </c>
      <c r="M58" s="13">
        <v>1</v>
      </c>
      <c r="N58" s="13">
        <v>1</v>
      </c>
      <c r="O58" s="13">
        <v>1</v>
      </c>
      <c r="P58" s="13">
        <v>1</v>
      </c>
      <c r="R58" s="11" t="str">
        <f t="shared" si="1"/>
        <v>cgray@centennialfunds.com.au;</v>
      </c>
    </row>
    <row r="59" spans="2:18" x14ac:dyDescent="0.2">
      <c r="B59" s="11" t="s">
        <v>861</v>
      </c>
      <c r="C59" s="11" t="s">
        <v>327</v>
      </c>
      <c r="F59" s="12" t="s">
        <v>860</v>
      </c>
      <c r="G59" s="13">
        <v>1</v>
      </c>
      <c r="I59" s="13">
        <v>1</v>
      </c>
      <c r="J59" s="13">
        <v>1</v>
      </c>
      <c r="K59" s="13">
        <v>1</v>
      </c>
      <c r="L59" s="13">
        <v>1</v>
      </c>
      <c r="M59" s="13">
        <v>1</v>
      </c>
      <c r="N59" s="13">
        <v>1</v>
      </c>
      <c r="O59" s="13">
        <v>1</v>
      </c>
      <c r="P59" s="13">
        <v>1</v>
      </c>
      <c r="R59" s="11" t="str">
        <f t="shared" si="1"/>
        <v>jackson.aldridge@regalfm.com;</v>
      </c>
    </row>
    <row r="60" spans="2:18" x14ac:dyDescent="0.2">
      <c r="B60" s="11" t="s">
        <v>16</v>
      </c>
      <c r="C60" s="11" t="s">
        <v>18</v>
      </c>
      <c r="F60" s="12" t="s">
        <v>17</v>
      </c>
      <c r="G60" s="13">
        <v>1</v>
      </c>
      <c r="I60" s="13">
        <v>1</v>
      </c>
      <c r="J60" s="13">
        <v>1</v>
      </c>
      <c r="K60" s="13">
        <v>1</v>
      </c>
      <c r="L60" s="13">
        <v>1</v>
      </c>
      <c r="M60" s="13">
        <v>1</v>
      </c>
      <c r="N60" s="13">
        <v>1</v>
      </c>
      <c r="O60" s="13">
        <v>1</v>
      </c>
      <c r="P60" s="13">
        <v>1</v>
      </c>
      <c r="R60" s="11" t="str">
        <f t="shared" si="1"/>
        <v>sanjay.magotra@cbussuper.com.au;</v>
      </c>
    </row>
    <row r="61" spans="2:18" x14ac:dyDescent="0.2">
      <c r="B61" s="11" t="s">
        <v>293</v>
      </c>
      <c r="C61" s="11" t="s">
        <v>18</v>
      </c>
      <c r="F61" s="12" t="s">
        <v>294</v>
      </c>
      <c r="G61" s="13">
        <v>1</v>
      </c>
      <c r="I61" s="13">
        <v>1</v>
      </c>
      <c r="J61" s="13">
        <v>1</v>
      </c>
      <c r="K61" s="13">
        <v>1</v>
      </c>
      <c r="L61" s="13">
        <v>1</v>
      </c>
      <c r="M61" s="13">
        <v>1</v>
      </c>
      <c r="N61" s="13">
        <v>1</v>
      </c>
      <c r="O61" s="13">
        <v>1</v>
      </c>
      <c r="P61" s="13">
        <v>1</v>
      </c>
      <c r="R61" s="11" t="str">
        <f t="shared" si="1"/>
        <v>clyde.haldane@cbussuper.com.au;</v>
      </c>
    </row>
    <row r="62" spans="2:18" x14ac:dyDescent="0.2">
      <c r="B62" s="11" t="s">
        <v>625</v>
      </c>
      <c r="C62" s="11" t="s">
        <v>18</v>
      </c>
      <c r="F62" s="12" t="s">
        <v>624</v>
      </c>
      <c r="G62" s="13">
        <v>1</v>
      </c>
      <c r="I62" s="13">
        <v>1</v>
      </c>
      <c r="J62" s="13">
        <v>1</v>
      </c>
      <c r="K62" s="13">
        <v>1</v>
      </c>
      <c r="L62" s="13">
        <v>1</v>
      </c>
      <c r="M62" s="13">
        <v>1</v>
      </c>
      <c r="N62" s="13">
        <v>1</v>
      </c>
      <c r="O62" s="13">
        <v>1</v>
      </c>
      <c r="P62" s="13">
        <v>1</v>
      </c>
      <c r="R62" s="11" t="str">
        <f t="shared" si="1"/>
        <v>justin.puli@cbussuper.com.au;</v>
      </c>
    </row>
    <row r="63" spans="2:18" x14ac:dyDescent="0.2">
      <c r="B63" s="11" t="s">
        <v>615</v>
      </c>
      <c r="C63" s="11" t="s">
        <v>18</v>
      </c>
      <c r="F63" s="12" t="s">
        <v>614</v>
      </c>
      <c r="G63" s="13">
        <v>1</v>
      </c>
      <c r="I63" s="13">
        <v>1</v>
      </c>
      <c r="J63" s="13">
        <v>1</v>
      </c>
      <c r="K63" s="13">
        <v>1</v>
      </c>
      <c r="L63" s="13">
        <v>1</v>
      </c>
      <c r="M63" s="13">
        <v>1</v>
      </c>
      <c r="N63" s="13">
        <v>1</v>
      </c>
      <c r="O63" s="13">
        <v>1</v>
      </c>
      <c r="P63" s="13">
        <v>1</v>
      </c>
      <c r="R63" s="11" t="str">
        <f t="shared" si="1"/>
        <v>stephen.croft@cbussuper.com.au;</v>
      </c>
    </row>
    <row r="64" spans="2:18" x14ac:dyDescent="0.2">
      <c r="B64" s="11" t="s">
        <v>603</v>
      </c>
      <c r="C64" s="11" t="s">
        <v>18</v>
      </c>
      <c r="F64" s="12" t="s">
        <v>602</v>
      </c>
      <c r="G64" s="13">
        <v>1</v>
      </c>
      <c r="I64" s="13">
        <v>1</v>
      </c>
      <c r="J64" s="13">
        <v>1</v>
      </c>
      <c r="K64" s="13">
        <v>1</v>
      </c>
      <c r="L64" s="13">
        <v>1</v>
      </c>
      <c r="M64" s="13">
        <v>1</v>
      </c>
      <c r="N64" s="13">
        <v>1</v>
      </c>
      <c r="O64" s="13">
        <v>1</v>
      </c>
      <c r="P64" s="13">
        <v>1</v>
      </c>
      <c r="R64" s="11" t="str">
        <f t="shared" ref="R64:R127" si="2">F64&amp;";"</f>
        <v>paul.dewar@cbussuper.com.au;</v>
      </c>
    </row>
    <row r="65" spans="2:18" x14ac:dyDescent="0.2">
      <c r="B65" s="11" t="s">
        <v>581</v>
      </c>
      <c r="C65" s="11" t="s">
        <v>18</v>
      </c>
      <c r="F65" s="12" t="s">
        <v>580</v>
      </c>
      <c r="G65" s="13">
        <v>1</v>
      </c>
      <c r="I65" s="13">
        <v>1</v>
      </c>
      <c r="J65" s="13">
        <v>1</v>
      </c>
      <c r="K65" s="13">
        <v>1</v>
      </c>
      <c r="L65" s="13">
        <v>1</v>
      </c>
      <c r="M65" s="13">
        <v>1</v>
      </c>
      <c r="N65" s="13">
        <v>1</v>
      </c>
      <c r="O65" s="13">
        <v>1</v>
      </c>
      <c r="P65" s="13">
        <v>1</v>
      </c>
      <c r="R65" s="11" t="str">
        <f t="shared" si="2"/>
        <v>joel.small@cbussuper.com.au;</v>
      </c>
    </row>
    <row r="66" spans="2:18" x14ac:dyDescent="0.2">
      <c r="B66" s="11" t="s">
        <v>1044</v>
      </c>
      <c r="C66" s="11" t="s">
        <v>18</v>
      </c>
      <c r="F66" s="12" t="s">
        <v>1103</v>
      </c>
      <c r="G66" s="13">
        <v>1</v>
      </c>
      <c r="I66" s="13">
        <v>1</v>
      </c>
      <c r="J66" s="13">
        <v>1</v>
      </c>
      <c r="K66" s="13">
        <v>1</v>
      </c>
      <c r="L66" s="13">
        <v>1</v>
      </c>
      <c r="M66" s="13">
        <v>1</v>
      </c>
      <c r="N66" s="13">
        <v>1</v>
      </c>
      <c r="O66" s="13">
        <v>1</v>
      </c>
      <c r="P66" s="13">
        <v>1</v>
      </c>
      <c r="R66" s="11" t="str">
        <f t="shared" si="2"/>
        <v>edward.pham@cbussuper.com.au;</v>
      </c>
    </row>
    <row r="67" spans="2:18" x14ac:dyDescent="0.2">
      <c r="B67" s="11" t="s">
        <v>2082</v>
      </c>
      <c r="C67" s="11" t="s">
        <v>18</v>
      </c>
      <c r="F67" s="12" t="s">
        <v>2081</v>
      </c>
      <c r="G67" s="13">
        <v>1</v>
      </c>
      <c r="I67" s="13">
        <v>1</v>
      </c>
      <c r="J67" s="13">
        <v>1</v>
      </c>
      <c r="K67" s="13">
        <v>1</v>
      </c>
      <c r="L67" s="13">
        <v>1</v>
      </c>
      <c r="M67" s="13">
        <v>1</v>
      </c>
      <c r="N67" s="13">
        <v>1</v>
      </c>
      <c r="O67" s="13">
        <v>1</v>
      </c>
      <c r="P67" s="13">
        <v>1</v>
      </c>
      <c r="R67" s="11" t="str">
        <f t="shared" si="2"/>
        <v>ryan.riedler@cbussuper.com.au;</v>
      </c>
    </row>
    <row r="68" spans="2:18" x14ac:dyDescent="0.2">
      <c r="B68" s="11" t="s">
        <v>187</v>
      </c>
      <c r="C68" s="11" t="s">
        <v>18</v>
      </c>
      <c r="F68" s="12" t="s">
        <v>2083</v>
      </c>
      <c r="G68" s="13">
        <v>1</v>
      </c>
      <c r="I68" s="13">
        <v>1</v>
      </c>
      <c r="J68" s="13">
        <v>1</v>
      </c>
      <c r="K68" s="13">
        <v>1</v>
      </c>
      <c r="L68" s="13">
        <v>1</v>
      </c>
      <c r="M68" s="13">
        <v>1</v>
      </c>
      <c r="N68" s="13">
        <v>1</v>
      </c>
      <c r="O68" s="13">
        <v>1</v>
      </c>
      <c r="P68" s="13">
        <v>1</v>
      </c>
      <c r="R68" s="11" t="str">
        <f t="shared" si="2"/>
        <v>michael.kordick@cbussuper.com.au;</v>
      </c>
    </row>
    <row r="69" spans="2:18" x14ac:dyDescent="0.2">
      <c r="B69" s="11" t="s">
        <v>221</v>
      </c>
      <c r="C69" s="11" t="s">
        <v>223</v>
      </c>
      <c r="F69" s="12" t="s">
        <v>222</v>
      </c>
      <c r="G69" s="13">
        <v>1</v>
      </c>
      <c r="I69" s="13">
        <v>1</v>
      </c>
      <c r="J69" s="13">
        <v>1</v>
      </c>
      <c r="K69" s="13">
        <v>1</v>
      </c>
      <c r="L69" s="13">
        <v>1</v>
      </c>
      <c r="M69" s="13">
        <v>1</v>
      </c>
      <c r="N69" s="13">
        <v>1</v>
      </c>
      <c r="O69" s="13">
        <v>1</v>
      </c>
      <c r="P69" s="13">
        <v>1</v>
      </c>
      <c r="R69" s="11" t="str">
        <f t="shared" si="2"/>
        <v>lhoward@chesteram.com.au;</v>
      </c>
    </row>
    <row r="70" spans="2:18" x14ac:dyDescent="0.2">
      <c r="B70" s="11" t="s">
        <v>2131</v>
      </c>
      <c r="C70" s="11" t="s">
        <v>223</v>
      </c>
      <c r="F70" s="12" t="s">
        <v>2132</v>
      </c>
      <c r="G70" s="13">
        <v>1</v>
      </c>
      <c r="I70" s="13">
        <v>1</v>
      </c>
      <c r="J70" s="13">
        <v>1</v>
      </c>
      <c r="K70" s="13">
        <v>1</v>
      </c>
      <c r="L70" s="13">
        <v>1</v>
      </c>
      <c r="M70" s="13">
        <v>1</v>
      </c>
      <c r="N70" s="13">
        <v>1</v>
      </c>
      <c r="O70" s="13">
        <v>1</v>
      </c>
      <c r="P70" s="13">
        <v>1</v>
      </c>
      <c r="R70" s="11" t="str">
        <f t="shared" si="2"/>
        <v>kholyoake@chesteram.com.au;</v>
      </c>
    </row>
    <row r="71" spans="2:18" x14ac:dyDescent="0.2">
      <c r="B71" s="11" t="s">
        <v>1015</v>
      </c>
      <c r="C71" s="11" t="s">
        <v>223</v>
      </c>
      <c r="F71" s="12" t="s">
        <v>1016</v>
      </c>
      <c r="G71" s="13">
        <v>1</v>
      </c>
      <c r="I71" s="13">
        <v>1</v>
      </c>
      <c r="J71" s="13">
        <v>1</v>
      </c>
      <c r="K71" s="13">
        <v>1</v>
      </c>
      <c r="L71" s="13">
        <v>1</v>
      </c>
      <c r="M71" s="13">
        <v>1</v>
      </c>
      <c r="N71" s="13">
        <v>1</v>
      </c>
      <c r="O71" s="13">
        <v>1</v>
      </c>
      <c r="P71" s="13">
        <v>1</v>
      </c>
      <c r="R71" s="11" t="str">
        <f t="shared" si="2"/>
        <v>akavanagh@chesteram.com.au;</v>
      </c>
    </row>
    <row r="72" spans="2:18" x14ac:dyDescent="0.2">
      <c r="B72" s="11" t="s">
        <v>291</v>
      </c>
      <c r="C72" s="11" t="s">
        <v>970</v>
      </c>
      <c r="F72" s="12" t="s">
        <v>292</v>
      </c>
      <c r="G72" s="13">
        <v>1</v>
      </c>
      <c r="I72" s="13">
        <v>1</v>
      </c>
      <c r="J72" s="13">
        <v>1</v>
      </c>
      <c r="K72" s="13">
        <v>1</v>
      </c>
      <c r="L72" s="13">
        <v>1</v>
      </c>
      <c r="M72" s="13">
        <v>1</v>
      </c>
      <c r="N72" s="13">
        <v>1</v>
      </c>
      <c r="O72" s="13">
        <v>1</v>
      </c>
      <c r="P72" s="13">
        <v>1</v>
      </c>
      <c r="R72" s="11" t="str">
        <f t="shared" si="2"/>
        <v>david.moberley@clearlifecapital.com;</v>
      </c>
    </row>
    <row r="73" spans="2:18" x14ac:dyDescent="0.2">
      <c r="B73" s="11" t="s">
        <v>381</v>
      </c>
      <c r="C73" s="11" t="s">
        <v>970</v>
      </c>
      <c r="F73" s="12" t="s">
        <v>382</v>
      </c>
      <c r="G73" s="13">
        <v>1</v>
      </c>
      <c r="I73" s="13">
        <v>1</v>
      </c>
      <c r="J73" s="13">
        <v>1</v>
      </c>
      <c r="K73" s="13">
        <v>1</v>
      </c>
      <c r="L73" s="13">
        <v>1</v>
      </c>
      <c r="M73" s="13">
        <v>1</v>
      </c>
      <c r="N73" s="13">
        <v>1</v>
      </c>
      <c r="O73" s="13">
        <v>1</v>
      </c>
      <c r="P73" s="13">
        <v>1</v>
      </c>
      <c r="R73" s="11" t="str">
        <f t="shared" si="2"/>
        <v>james.mcbeath@clearlifecapital.com;</v>
      </c>
    </row>
    <row r="74" spans="2:18" x14ac:dyDescent="0.2">
      <c r="B74" s="11" t="s">
        <v>245</v>
      </c>
      <c r="C74" s="11" t="s">
        <v>1032</v>
      </c>
      <c r="F74" s="12" t="s">
        <v>246</v>
      </c>
      <c r="G74" s="13">
        <v>1</v>
      </c>
      <c r="I74" s="13">
        <v>1</v>
      </c>
      <c r="J74" s="13">
        <v>1</v>
      </c>
      <c r="K74" s="13">
        <v>1</v>
      </c>
      <c r="L74" s="13">
        <v>1</v>
      </c>
      <c r="M74" s="13">
        <v>1</v>
      </c>
      <c r="N74" s="13">
        <v>1</v>
      </c>
      <c r="O74" s="13">
        <v>1</v>
      </c>
      <c r="P74" s="13">
        <v>1</v>
      </c>
      <c r="R74" s="11" t="str">
        <f t="shared" si="2"/>
        <v>slambeth@clime.com.au;</v>
      </c>
    </row>
    <row r="75" spans="2:18" x14ac:dyDescent="0.2">
      <c r="B75" s="11" t="s">
        <v>1033</v>
      </c>
      <c r="C75" s="11" t="s">
        <v>1032</v>
      </c>
      <c r="F75" s="12" t="s">
        <v>1034</v>
      </c>
      <c r="G75" s="13">
        <v>1</v>
      </c>
      <c r="I75" s="13">
        <v>1</v>
      </c>
      <c r="J75" s="13">
        <v>1</v>
      </c>
      <c r="K75" s="13">
        <v>1</v>
      </c>
      <c r="L75" s="13">
        <v>1</v>
      </c>
      <c r="M75" s="13">
        <v>1</v>
      </c>
      <c r="N75" s="13">
        <v>1</v>
      </c>
      <c r="O75" s="13">
        <v>1</v>
      </c>
      <c r="P75" s="13">
        <v>1</v>
      </c>
      <c r="R75" s="11" t="str">
        <f t="shared" si="2"/>
        <v>oscar@clime.com.au;</v>
      </c>
    </row>
    <row r="76" spans="2:18" x14ac:dyDescent="0.2">
      <c r="B76" s="11" t="s">
        <v>400</v>
      </c>
      <c r="C76" s="11" t="s">
        <v>41</v>
      </c>
      <c r="F76" s="12" t="s">
        <v>401</v>
      </c>
      <c r="G76" s="13">
        <v>1</v>
      </c>
      <c r="I76" s="13">
        <v>1</v>
      </c>
      <c r="J76" s="13">
        <v>1</v>
      </c>
      <c r="K76" s="13">
        <v>1</v>
      </c>
      <c r="L76" s="13">
        <v>1</v>
      </c>
      <c r="M76" s="13">
        <v>1</v>
      </c>
      <c r="N76" s="13">
        <v>1</v>
      </c>
      <c r="O76" s="13">
        <v>1</v>
      </c>
      <c r="P76" s="13">
        <v>1</v>
      </c>
      <c r="R76" s="11" t="str">
        <f t="shared" si="2"/>
        <v>aswan@cooperinvestors.com;</v>
      </c>
    </row>
    <row r="77" spans="2:18" x14ac:dyDescent="0.2">
      <c r="B77" s="11" t="s">
        <v>42</v>
      </c>
      <c r="C77" s="11" t="s">
        <v>42</v>
      </c>
      <c r="F77" s="12" t="s">
        <v>43</v>
      </c>
      <c r="G77" s="13">
        <v>1</v>
      </c>
      <c r="I77" s="13">
        <v>1</v>
      </c>
      <c r="J77" s="13">
        <v>1</v>
      </c>
      <c r="K77" s="13">
        <v>1</v>
      </c>
      <c r="L77" s="13">
        <v>1</v>
      </c>
      <c r="M77" s="13">
        <v>1</v>
      </c>
      <c r="N77" s="13">
        <v>1</v>
      </c>
      <c r="O77" s="13">
        <v>1</v>
      </c>
      <c r="P77" s="13">
        <v>1</v>
      </c>
      <c r="R77" s="11" t="str">
        <f t="shared" si="2"/>
        <v>craigdnugent@gmail.com;</v>
      </c>
    </row>
    <row r="78" spans="2:18" x14ac:dyDescent="0.2">
      <c r="B78" s="11" t="s">
        <v>201</v>
      </c>
      <c r="C78" s="11" t="s">
        <v>203</v>
      </c>
      <c r="F78" s="12" t="s">
        <v>202</v>
      </c>
      <c r="G78" s="13">
        <v>1</v>
      </c>
      <c r="I78" s="13">
        <v>1</v>
      </c>
      <c r="J78" s="13">
        <v>1</v>
      </c>
      <c r="K78" s="13">
        <v>1</v>
      </c>
      <c r="L78" s="13">
        <v>1</v>
      </c>
      <c r="M78" s="13">
        <v>1</v>
      </c>
      <c r="N78" s="13">
        <v>1</v>
      </c>
      <c r="O78" s="13">
        <v>1</v>
      </c>
      <c r="P78" s="13">
        <v>1</v>
      </c>
      <c r="R78" s="11" t="str">
        <f t="shared" si="2"/>
        <v>twillis@devonfunds.co.nz;</v>
      </c>
    </row>
    <row r="79" spans="2:18" x14ac:dyDescent="0.2">
      <c r="B79" s="11" t="s">
        <v>1064</v>
      </c>
      <c r="C79" s="11" t="s">
        <v>203</v>
      </c>
      <c r="F79" s="12" t="s">
        <v>1065</v>
      </c>
      <c r="G79" s="13">
        <v>1</v>
      </c>
      <c r="I79" s="13">
        <v>1</v>
      </c>
      <c r="J79" s="13">
        <v>1</v>
      </c>
      <c r="K79" s="13">
        <v>1</v>
      </c>
      <c r="L79" s="13">
        <v>1</v>
      </c>
      <c r="M79" s="13">
        <v>1</v>
      </c>
      <c r="N79" s="13">
        <v>1</v>
      </c>
      <c r="O79" s="13">
        <v>1</v>
      </c>
      <c r="P79" s="13">
        <v>1</v>
      </c>
      <c r="R79" s="11" t="str">
        <f t="shared" si="2"/>
        <v>bjenkin@devonfunds.co.nz;</v>
      </c>
    </row>
    <row r="80" spans="2:18" x14ac:dyDescent="0.2">
      <c r="B80" s="11" t="s">
        <v>2008</v>
      </c>
      <c r="C80" s="11" t="s">
        <v>1071</v>
      </c>
      <c r="F80" s="12" t="s">
        <v>2003</v>
      </c>
      <c r="G80" s="13">
        <v>1</v>
      </c>
      <c r="I80" s="13">
        <v>1</v>
      </c>
      <c r="J80" s="13">
        <v>1</v>
      </c>
      <c r="K80" s="13">
        <v>1</v>
      </c>
      <c r="L80" s="13">
        <v>1</v>
      </c>
      <c r="M80" s="13">
        <v>1</v>
      </c>
      <c r="N80" s="13">
        <v>1</v>
      </c>
      <c r="O80" s="13">
        <v>1</v>
      </c>
      <c r="P80" s="13">
        <v>1</v>
      </c>
      <c r="R80" s="11" t="str">
        <f t="shared" si="2"/>
        <v>mark@discoveryfunds.co.nz;</v>
      </c>
    </row>
    <row r="81" spans="2:18" x14ac:dyDescent="0.2">
      <c r="B81" s="11" t="s">
        <v>865</v>
      </c>
      <c r="C81" s="11" t="s">
        <v>351</v>
      </c>
      <c r="F81" s="12" t="s">
        <v>864</v>
      </c>
      <c r="G81" s="13">
        <v>1</v>
      </c>
      <c r="I81" s="13">
        <v>1</v>
      </c>
      <c r="J81" s="13">
        <v>1</v>
      </c>
      <c r="K81" s="13">
        <v>1</v>
      </c>
      <c r="L81" s="13">
        <v>1</v>
      </c>
      <c r="M81" s="13">
        <v>1</v>
      </c>
      <c r="N81" s="13">
        <v>1</v>
      </c>
      <c r="O81" s="13">
        <v>1</v>
      </c>
      <c r="P81" s="13">
        <v>1</v>
      </c>
      <c r="R81" s="11" t="str">
        <f t="shared" si="2"/>
        <v>tim.bingham@dnrcapital.com.au;</v>
      </c>
    </row>
    <row r="82" spans="2:18" x14ac:dyDescent="0.2">
      <c r="B82" s="11" t="s">
        <v>595</v>
      </c>
      <c r="C82" s="11" t="s">
        <v>351</v>
      </c>
      <c r="F82" s="12" t="s">
        <v>594</v>
      </c>
      <c r="G82" s="13">
        <v>1</v>
      </c>
      <c r="I82" s="13">
        <v>1</v>
      </c>
      <c r="J82" s="13">
        <v>1</v>
      </c>
      <c r="K82" s="13">
        <v>1</v>
      </c>
      <c r="L82" s="13">
        <v>1</v>
      </c>
      <c r="M82" s="13">
        <v>1</v>
      </c>
      <c r="N82" s="13">
        <v>1</v>
      </c>
      <c r="O82" s="13">
        <v>1</v>
      </c>
      <c r="P82" s="13">
        <v>1</v>
      </c>
      <c r="R82" s="11" t="str">
        <f t="shared" si="2"/>
        <v>mark.sedawie@dnr.com.au;</v>
      </c>
    </row>
    <row r="83" spans="2:18" x14ac:dyDescent="0.2">
      <c r="B83" s="11" t="s">
        <v>349</v>
      </c>
      <c r="C83" s="11" t="s">
        <v>351</v>
      </c>
      <c r="F83" s="12" t="s">
        <v>350</v>
      </c>
      <c r="G83" s="13">
        <v>1</v>
      </c>
      <c r="I83" s="13">
        <v>1</v>
      </c>
      <c r="J83" s="13">
        <v>1</v>
      </c>
      <c r="K83" s="13">
        <v>1</v>
      </c>
      <c r="L83" s="13">
        <v>1</v>
      </c>
      <c r="M83" s="13">
        <v>1</v>
      </c>
      <c r="N83" s="13">
        <v>1</v>
      </c>
      <c r="O83" s="13">
        <v>1</v>
      </c>
      <c r="P83" s="13">
        <v>1</v>
      </c>
      <c r="R83" s="11" t="str">
        <f t="shared" si="2"/>
        <v>scott.bender@dnr.com.au;</v>
      </c>
    </row>
    <row r="84" spans="2:18" x14ac:dyDescent="0.2">
      <c r="B84" s="11" t="s">
        <v>589</v>
      </c>
      <c r="C84" s="11" t="s">
        <v>351</v>
      </c>
      <c r="F84" s="12" t="s">
        <v>588</v>
      </c>
      <c r="G84" s="13">
        <v>1</v>
      </c>
      <c r="I84" s="13">
        <v>1</v>
      </c>
      <c r="J84" s="13">
        <v>1</v>
      </c>
      <c r="K84" s="13">
        <v>1</v>
      </c>
      <c r="L84" s="13">
        <v>1</v>
      </c>
      <c r="M84" s="13">
        <v>1</v>
      </c>
      <c r="N84" s="13">
        <v>1</v>
      </c>
      <c r="O84" s="13">
        <v>1</v>
      </c>
      <c r="P84" s="13">
        <v>1</v>
      </c>
      <c r="R84" s="11" t="str">
        <f t="shared" si="2"/>
        <v>sam.twidale@dnrcapital.com.au;</v>
      </c>
    </row>
    <row r="85" spans="2:18" x14ac:dyDescent="0.2">
      <c r="B85" s="11" t="s">
        <v>587</v>
      </c>
      <c r="C85" s="11" t="s">
        <v>351</v>
      </c>
      <c r="F85" s="12" t="s">
        <v>586</v>
      </c>
      <c r="G85" s="13">
        <v>1</v>
      </c>
      <c r="I85" s="13">
        <v>1</v>
      </c>
      <c r="J85" s="13">
        <v>1</v>
      </c>
      <c r="K85" s="13">
        <v>1</v>
      </c>
      <c r="L85" s="13">
        <v>1</v>
      </c>
      <c r="M85" s="13">
        <v>1</v>
      </c>
      <c r="N85" s="13">
        <v>1</v>
      </c>
      <c r="O85" s="13">
        <v>1</v>
      </c>
      <c r="P85" s="13">
        <v>1</v>
      </c>
      <c r="R85" s="11" t="str">
        <f t="shared" si="2"/>
        <v>sam.seow@dnr.com.au;</v>
      </c>
    </row>
    <row r="86" spans="2:18" x14ac:dyDescent="0.2">
      <c r="B86" s="11" t="s">
        <v>377</v>
      </c>
      <c r="C86" s="11" t="s">
        <v>351</v>
      </c>
      <c r="F86" s="12" t="s">
        <v>378</v>
      </c>
      <c r="G86" s="13">
        <v>1</v>
      </c>
      <c r="I86" s="13">
        <v>1</v>
      </c>
      <c r="J86" s="13">
        <v>1</v>
      </c>
      <c r="K86" s="13">
        <v>1</v>
      </c>
      <c r="L86" s="13">
        <v>1</v>
      </c>
      <c r="M86" s="13">
        <v>1</v>
      </c>
      <c r="N86" s="13">
        <v>1</v>
      </c>
      <c r="O86" s="13">
        <v>1</v>
      </c>
      <c r="P86" s="13">
        <v>1</v>
      </c>
      <c r="R86" s="11" t="str">
        <f t="shared" si="2"/>
        <v>jamie.nicol@dnr.com.au;</v>
      </c>
    </row>
    <row r="87" spans="2:18" x14ac:dyDescent="0.2">
      <c r="B87" s="11" t="s">
        <v>365</v>
      </c>
      <c r="C87" s="11" t="s">
        <v>351</v>
      </c>
      <c r="F87" s="12" t="s">
        <v>366</v>
      </c>
      <c r="G87" s="13">
        <v>1</v>
      </c>
      <c r="I87" s="13">
        <v>1</v>
      </c>
      <c r="J87" s="13">
        <v>1</v>
      </c>
      <c r="K87" s="13">
        <v>1</v>
      </c>
      <c r="L87" s="13">
        <v>1</v>
      </c>
      <c r="M87" s="13">
        <v>1</v>
      </c>
      <c r="N87" s="13">
        <v>1</v>
      </c>
      <c r="O87" s="13">
        <v>1</v>
      </c>
      <c r="P87" s="13">
        <v>1</v>
      </c>
      <c r="R87" s="11" t="str">
        <f t="shared" si="2"/>
        <v>lachlan.mayne@dnrcapital.com.au;</v>
      </c>
    </row>
    <row r="88" spans="2:18" x14ac:dyDescent="0.2">
      <c r="B88" s="11" t="s">
        <v>470</v>
      </c>
      <c r="C88" s="11" t="s">
        <v>351</v>
      </c>
      <c r="F88" s="12" t="s">
        <v>471</v>
      </c>
      <c r="G88" s="13">
        <v>1</v>
      </c>
      <c r="I88" s="13">
        <v>1</v>
      </c>
      <c r="J88" s="13">
        <v>1</v>
      </c>
      <c r="K88" s="13">
        <v>1</v>
      </c>
      <c r="L88" s="13">
        <v>1</v>
      </c>
      <c r="M88" s="13">
        <v>1</v>
      </c>
      <c r="N88" s="13">
        <v>1</v>
      </c>
      <c r="O88" s="13">
        <v>1</v>
      </c>
      <c r="P88" s="13">
        <v>1</v>
      </c>
      <c r="R88" s="11" t="str">
        <f t="shared" si="2"/>
        <v>brendan.mowry@dnrcapital.com.au;</v>
      </c>
    </row>
    <row r="89" spans="2:18" x14ac:dyDescent="0.2">
      <c r="B89" s="11" t="s">
        <v>2076</v>
      </c>
      <c r="C89" s="11" t="s">
        <v>351</v>
      </c>
      <c r="F89" s="12" t="s">
        <v>2077</v>
      </c>
      <c r="G89" s="13">
        <v>1</v>
      </c>
      <c r="I89" s="13">
        <v>1</v>
      </c>
      <c r="J89" s="13">
        <v>1</v>
      </c>
      <c r="K89" s="13">
        <v>1</v>
      </c>
      <c r="L89" s="13">
        <v>1</v>
      </c>
      <c r="M89" s="13">
        <v>1</v>
      </c>
      <c r="N89" s="13">
        <v>1</v>
      </c>
      <c r="O89" s="13">
        <v>1</v>
      </c>
      <c r="P89" s="13">
        <v>1</v>
      </c>
      <c r="R89" s="11" t="str">
        <f t="shared" si="2"/>
        <v>michael.lever@dnrcapital.com;</v>
      </c>
    </row>
    <row r="90" spans="2:18" x14ac:dyDescent="0.2">
      <c r="B90" s="11" t="s">
        <v>474</v>
      </c>
      <c r="C90" s="11" t="s">
        <v>2117</v>
      </c>
      <c r="F90" s="12" t="s">
        <v>2118</v>
      </c>
      <c r="G90" s="13">
        <v>1</v>
      </c>
      <c r="I90" s="13">
        <v>1</v>
      </c>
      <c r="J90" s="13">
        <v>1</v>
      </c>
      <c r="K90" s="13">
        <v>1</v>
      </c>
      <c r="L90" s="13">
        <v>1</v>
      </c>
      <c r="M90" s="13">
        <v>1</v>
      </c>
      <c r="N90" s="13">
        <v>1</v>
      </c>
      <c r="O90" s="13">
        <v>1</v>
      </c>
      <c r="P90" s="13">
        <v>1</v>
      </c>
      <c r="R90" s="11" t="str">
        <f t="shared" si="2"/>
        <v>frank.podrug@dkam.com;</v>
      </c>
    </row>
    <row r="91" spans="2:18" x14ac:dyDescent="0.2">
      <c r="B91" s="11" t="s">
        <v>583</v>
      </c>
      <c r="C91" s="11" t="s">
        <v>573</v>
      </c>
      <c r="F91" s="12" t="s">
        <v>582</v>
      </c>
      <c r="G91" s="13">
        <v>1</v>
      </c>
      <c r="I91" s="13">
        <v>1</v>
      </c>
      <c r="J91" s="13">
        <v>1</v>
      </c>
      <c r="K91" s="13">
        <v>1</v>
      </c>
      <c r="L91" s="13">
        <v>1</v>
      </c>
      <c r="M91" s="13">
        <v>1</v>
      </c>
      <c r="N91" s="13">
        <v>1</v>
      </c>
      <c r="O91" s="13">
        <v>1</v>
      </c>
      <c r="P91" s="13">
        <v>1</v>
      </c>
      <c r="R91" s="11" t="str">
        <f t="shared" si="2"/>
        <v>rodney@dscapital.com.au;</v>
      </c>
    </row>
    <row r="92" spans="2:18" x14ac:dyDescent="0.2">
      <c r="B92" s="11" t="s">
        <v>575</v>
      </c>
      <c r="C92" s="11" t="s">
        <v>573</v>
      </c>
      <c r="F92" s="12" t="s">
        <v>574</v>
      </c>
      <c r="G92" s="13">
        <v>1</v>
      </c>
      <c r="I92" s="13">
        <v>1</v>
      </c>
      <c r="J92" s="13">
        <v>1</v>
      </c>
      <c r="K92" s="13">
        <v>1</v>
      </c>
      <c r="L92" s="13">
        <v>1</v>
      </c>
      <c r="M92" s="13">
        <v>1</v>
      </c>
      <c r="N92" s="13">
        <v>1</v>
      </c>
      <c r="O92" s="13">
        <v>1</v>
      </c>
      <c r="P92" s="13">
        <v>1</v>
      </c>
      <c r="R92" s="11" t="str">
        <f t="shared" si="2"/>
        <v>james@dscapital.com.au;</v>
      </c>
    </row>
    <row r="93" spans="2:18" x14ac:dyDescent="0.2">
      <c r="B93" s="11" t="s">
        <v>869</v>
      </c>
      <c r="C93" s="11" t="s">
        <v>636</v>
      </c>
      <c r="F93" s="12" t="s">
        <v>868</v>
      </c>
      <c r="G93" s="13">
        <v>1</v>
      </c>
      <c r="I93" s="13">
        <v>1</v>
      </c>
      <c r="J93" s="13">
        <v>1</v>
      </c>
      <c r="K93" s="13">
        <v>1</v>
      </c>
      <c r="L93" s="13">
        <v>1</v>
      </c>
      <c r="M93" s="13">
        <v>1</v>
      </c>
      <c r="N93" s="13">
        <v>1</v>
      </c>
      <c r="O93" s="13">
        <v>1</v>
      </c>
      <c r="P93" s="13">
        <v>1</v>
      </c>
      <c r="R93" s="11" t="str">
        <f t="shared" si="2"/>
        <v>jason.pohl@ecpam.com;</v>
      </c>
    </row>
    <row r="94" spans="2:18" x14ac:dyDescent="0.2">
      <c r="B94" s="11" t="s">
        <v>867</v>
      </c>
      <c r="C94" s="11" t="s">
        <v>636</v>
      </c>
      <c r="F94" s="12" t="s">
        <v>866</v>
      </c>
      <c r="G94" s="13">
        <v>1</v>
      </c>
      <c r="I94" s="13">
        <v>1</v>
      </c>
      <c r="J94" s="13">
        <v>1</v>
      </c>
      <c r="K94" s="13">
        <v>1</v>
      </c>
      <c r="L94" s="13">
        <v>1</v>
      </c>
      <c r="M94" s="13">
        <v>1</v>
      </c>
      <c r="N94" s="13">
        <v>1</v>
      </c>
      <c r="O94" s="13">
        <v>1</v>
      </c>
      <c r="P94" s="13">
        <v>1</v>
      </c>
      <c r="R94" s="11" t="str">
        <f t="shared" si="2"/>
        <v>jared.pohl@ecpam.com;</v>
      </c>
    </row>
    <row r="95" spans="2:18" x14ac:dyDescent="0.2">
      <c r="B95" s="11" t="s">
        <v>739</v>
      </c>
      <c r="C95" s="11" t="s">
        <v>636</v>
      </c>
      <c r="F95" s="12" t="s">
        <v>738</v>
      </c>
      <c r="G95" s="13">
        <v>1</v>
      </c>
      <c r="I95" s="13">
        <v>1</v>
      </c>
      <c r="J95" s="13">
        <v>1</v>
      </c>
      <c r="K95" s="13">
        <v>1</v>
      </c>
      <c r="L95" s="13">
        <v>1</v>
      </c>
      <c r="M95" s="13">
        <v>1</v>
      </c>
      <c r="N95" s="13">
        <v>1</v>
      </c>
      <c r="O95" s="13">
        <v>1</v>
      </c>
      <c r="P95" s="13">
        <v>1</v>
      </c>
      <c r="R95" s="11" t="str">
        <f t="shared" si="2"/>
        <v>sam.byrnes@ecpam.com;</v>
      </c>
    </row>
    <row r="96" spans="2:18" x14ac:dyDescent="0.2">
      <c r="B96" s="11" t="s">
        <v>638</v>
      </c>
      <c r="C96" s="11" t="s">
        <v>636</v>
      </c>
      <c r="F96" s="12" t="s">
        <v>637</v>
      </c>
      <c r="G96" s="13">
        <v>1</v>
      </c>
      <c r="I96" s="13">
        <v>1</v>
      </c>
      <c r="J96" s="13">
        <v>1</v>
      </c>
      <c r="K96" s="13">
        <v>1</v>
      </c>
      <c r="L96" s="13">
        <v>1</v>
      </c>
      <c r="M96" s="13">
        <v>1</v>
      </c>
      <c r="N96" s="13">
        <v>1</v>
      </c>
      <c r="O96" s="13">
        <v>1</v>
      </c>
      <c r="P96" s="13">
        <v>1</v>
      </c>
      <c r="R96" s="11" t="str">
        <f t="shared" si="2"/>
        <v>damon.callaghan@ecpam.com;</v>
      </c>
    </row>
    <row r="97" spans="2:18" x14ac:dyDescent="0.2">
      <c r="B97" s="11" t="s">
        <v>146</v>
      </c>
      <c r="C97" s="11" t="s">
        <v>148</v>
      </c>
      <c r="F97" s="12" t="s">
        <v>147</v>
      </c>
      <c r="G97" s="13">
        <v>1</v>
      </c>
      <c r="I97" s="13">
        <v>1</v>
      </c>
      <c r="J97" s="13">
        <v>1</v>
      </c>
      <c r="K97" s="13">
        <v>1</v>
      </c>
      <c r="L97" s="13">
        <v>1</v>
      </c>
      <c r="M97" s="13">
        <v>1</v>
      </c>
      <c r="N97" s="13">
        <v>1</v>
      </c>
      <c r="O97" s="13">
        <v>1</v>
      </c>
      <c r="P97" s="13">
        <v>1</v>
      </c>
      <c r="R97" s="11" t="str">
        <f t="shared" si="2"/>
        <v>damien.abdallah@efmaml.com;</v>
      </c>
    </row>
    <row r="98" spans="2:18" x14ac:dyDescent="0.2">
      <c r="B98" s="11" t="s">
        <v>235</v>
      </c>
      <c r="C98" s="11" t="s">
        <v>148</v>
      </c>
      <c r="F98" s="12" t="s">
        <v>236</v>
      </c>
      <c r="G98" s="13">
        <v>1</v>
      </c>
      <c r="I98" s="13">
        <v>1</v>
      </c>
      <c r="J98" s="13">
        <v>1</v>
      </c>
      <c r="K98" s="13">
        <v>1</v>
      </c>
      <c r="L98" s="13">
        <v>1</v>
      </c>
      <c r="M98" s="13">
        <v>1</v>
      </c>
      <c r="N98" s="13">
        <v>1</v>
      </c>
      <c r="O98" s="13">
        <v>1</v>
      </c>
      <c r="P98" s="13">
        <v>1</v>
      </c>
      <c r="R98" s="11" t="str">
        <f t="shared" si="2"/>
        <v>angus.walker@efmaml.com;</v>
      </c>
    </row>
    <row r="99" spans="2:18" x14ac:dyDescent="0.2">
      <c r="B99" s="11" t="s">
        <v>871</v>
      </c>
      <c r="C99" s="11" t="s">
        <v>644</v>
      </c>
      <c r="F99" s="12" t="s">
        <v>870</v>
      </c>
      <c r="G99" s="13">
        <v>1</v>
      </c>
      <c r="I99" s="13">
        <v>1</v>
      </c>
      <c r="J99" s="13">
        <v>1</v>
      </c>
      <c r="K99" s="13">
        <v>1</v>
      </c>
      <c r="L99" s="13">
        <v>1</v>
      </c>
      <c r="M99" s="13">
        <v>1</v>
      </c>
      <c r="N99" s="13">
        <v>1</v>
      </c>
      <c r="O99" s="13">
        <v>1</v>
      </c>
      <c r="P99" s="13">
        <v>1</v>
      </c>
      <c r="R99" s="11" t="str">
        <f t="shared" si="2"/>
        <v>vgomes@eigercapital.com;</v>
      </c>
    </row>
    <row r="100" spans="2:18" x14ac:dyDescent="0.2">
      <c r="B100" s="11" t="s">
        <v>646</v>
      </c>
      <c r="C100" s="11" t="s">
        <v>644</v>
      </c>
      <c r="F100" s="12" t="s">
        <v>645</v>
      </c>
      <c r="G100" s="13">
        <v>1</v>
      </c>
      <c r="I100" s="13">
        <v>1</v>
      </c>
      <c r="J100" s="13">
        <v>1</v>
      </c>
      <c r="K100" s="13">
        <v>1</v>
      </c>
      <c r="L100" s="13">
        <v>1</v>
      </c>
      <c r="M100" s="13">
        <v>1</v>
      </c>
      <c r="N100" s="13">
        <v>1</v>
      </c>
      <c r="O100" s="13">
        <v>1</v>
      </c>
      <c r="P100" s="13">
        <v>1</v>
      </c>
      <c r="R100" s="11" t="str">
        <f t="shared" si="2"/>
        <v>swood@eigercapital.com;</v>
      </c>
    </row>
    <row r="101" spans="2:18" x14ac:dyDescent="0.2">
      <c r="B101" s="11" t="s">
        <v>708</v>
      </c>
      <c r="C101" s="11" t="s">
        <v>35</v>
      </c>
      <c r="F101" s="12" t="s">
        <v>707</v>
      </c>
      <c r="G101" s="13">
        <v>1</v>
      </c>
      <c r="I101" s="13">
        <v>1</v>
      </c>
      <c r="J101" s="13">
        <v>1</v>
      </c>
      <c r="K101" s="13">
        <v>1</v>
      </c>
      <c r="L101" s="13">
        <v>1</v>
      </c>
      <c r="M101" s="13">
        <v>1</v>
      </c>
      <c r="N101" s="13">
        <v>1</v>
      </c>
      <c r="O101" s="13">
        <v>1</v>
      </c>
      <c r="P101" s="13">
        <v>1</v>
      </c>
      <c r="R101" s="11" t="str">
        <f t="shared" si="2"/>
        <v>mcourtney@ellerstoncapital.com;</v>
      </c>
    </row>
    <row r="102" spans="2:18" x14ac:dyDescent="0.2">
      <c r="B102" s="11" t="s">
        <v>295</v>
      </c>
      <c r="C102" s="11" t="s">
        <v>35</v>
      </c>
      <c r="F102" s="12" t="s">
        <v>296</v>
      </c>
      <c r="G102" s="13">
        <v>1</v>
      </c>
      <c r="I102" s="13">
        <v>1</v>
      </c>
      <c r="J102" s="13">
        <v>1</v>
      </c>
      <c r="K102" s="13">
        <v>1</v>
      </c>
      <c r="L102" s="13">
        <v>1</v>
      </c>
      <c r="M102" s="13">
        <v>1</v>
      </c>
      <c r="N102" s="13">
        <v>1</v>
      </c>
      <c r="O102" s="13">
        <v>1</v>
      </c>
      <c r="P102" s="13">
        <v>1</v>
      </c>
      <c r="R102" s="11" t="str">
        <f t="shared" si="2"/>
        <v>ckourtis@ellerstoncapital.com;</v>
      </c>
    </row>
    <row r="103" spans="2:18" x14ac:dyDescent="0.2">
      <c r="B103" s="11" t="s">
        <v>558</v>
      </c>
      <c r="C103" s="11" t="s">
        <v>35</v>
      </c>
      <c r="F103" s="12" t="s">
        <v>557</v>
      </c>
      <c r="G103" s="13">
        <v>1</v>
      </c>
      <c r="I103" s="13">
        <v>1</v>
      </c>
      <c r="J103" s="13">
        <v>1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1</v>
      </c>
      <c r="R103" s="11" t="str">
        <f t="shared" si="2"/>
        <v>dkeelan@ellerstoncapital.com;</v>
      </c>
    </row>
    <row r="104" spans="2:18" x14ac:dyDescent="0.2">
      <c r="B104" s="11" t="s">
        <v>476</v>
      </c>
      <c r="C104" s="11" t="s">
        <v>35</v>
      </c>
      <c r="F104" s="12" t="s">
        <v>475</v>
      </c>
      <c r="G104" s="13">
        <v>1</v>
      </c>
      <c r="I104" s="13">
        <v>1</v>
      </c>
      <c r="J104" s="13">
        <v>1</v>
      </c>
      <c r="K104" s="13">
        <v>1</v>
      </c>
      <c r="L104" s="13">
        <v>1</v>
      </c>
      <c r="M104" s="13">
        <v>1</v>
      </c>
      <c r="N104" s="13">
        <v>1</v>
      </c>
      <c r="O104" s="13">
        <v>1</v>
      </c>
      <c r="P104" s="13">
        <v>1</v>
      </c>
      <c r="R104" s="11" t="str">
        <f t="shared" si="2"/>
        <v>dragonese@ellerstoncapital.com;</v>
      </c>
    </row>
    <row r="105" spans="2:18" x14ac:dyDescent="0.2">
      <c r="B105" s="11" t="s">
        <v>415</v>
      </c>
      <c r="C105" s="11" t="s">
        <v>35</v>
      </c>
      <c r="F105" s="12" t="s">
        <v>416</v>
      </c>
      <c r="G105" s="13">
        <v>1</v>
      </c>
      <c r="I105" s="13">
        <v>1</v>
      </c>
      <c r="J105" s="13">
        <v>1</v>
      </c>
      <c r="K105" s="13">
        <v>1</v>
      </c>
      <c r="L105" s="13">
        <v>1</v>
      </c>
      <c r="M105" s="13">
        <v>1</v>
      </c>
      <c r="N105" s="13">
        <v>1</v>
      </c>
      <c r="O105" s="13">
        <v>1</v>
      </c>
      <c r="P105" s="13">
        <v>1</v>
      </c>
      <c r="R105" s="11" t="str">
        <f t="shared" si="2"/>
        <v>jbarker@ellerstoncapital.com;</v>
      </c>
    </row>
    <row r="106" spans="2:18" x14ac:dyDescent="0.2">
      <c r="B106" s="11" t="s">
        <v>912</v>
      </c>
      <c r="C106" s="11" t="s">
        <v>35</v>
      </c>
      <c r="F106" s="12" t="s">
        <v>2095</v>
      </c>
      <c r="G106" s="13">
        <v>1</v>
      </c>
      <c r="I106" s="13">
        <v>1</v>
      </c>
      <c r="J106" s="13">
        <v>1</v>
      </c>
      <c r="K106" s="13">
        <v>1</v>
      </c>
      <c r="L106" s="13">
        <v>1</v>
      </c>
      <c r="M106" s="13">
        <v>1</v>
      </c>
      <c r="N106" s="13">
        <v>1</v>
      </c>
      <c r="O106" s="13">
        <v>1</v>
      </c>
      <c r="P106" s="13">
        <v>1</v>
      </c>
      <c r="R106" s="11" t="str">
        <f t="shared" si="2"/>
        <v>jbriggs@ellerstoncapital.com ;</v>
      </c>
    </row>
    <row r="107" spans="2:18" x14ac:dyDescent="0.2">
      <c r="B107" s="11" t="s">
        <v>2079</v>
      </c>
      <c r="C107" s="11" t="s">
        <v>35</v>
      </c>
      <c r="F107" s="12" t="s">
        <v>2080</v>
      </c>
      <c r="G107" s="13">
        <v>1</v>
      </c>
      <c r="I107" s="13">
        <v>1</v>
      </c>
      <c r="J107" s="13">
        <v>1</v>
      </c>
      <c r="K107" s="13">
        <v>1</v>
      </c>
      <c r="L107" s="13">
        <v>1</v>
      </c>
      <c r="M107" s="13">
        <v>1</v>
      </c>
      <c r="N107" s="13">
        <v>1</v>
      </c>
      <c r="O107" s="13">
        <v>1</v>
      </c>
      <c r="P107" s="13">
        <v>1</v>
      </c>
      <c r="R107" s="11" t="str">
        <f t="shared" si="2"/>
        <v>tbriggs@ellerstoncapital.com;</v>
      </c>
    </row>
    <row r="108" spans="2:18" x14ac:dyDescent="0.2">
      <c r="B108" s="11" t="s">
        <v>808</v>
      </c>
      <c r="C108" s="11" t="s">
        <v>806</v>
      </c>
      <c r="F108" s="12" t="s">
        <v>807</v>
      </c>
      <c r="G108" s="13">
        <v>1</v>
      </c>
      <c r="I108" s="13">
        <v>1</v>
      </c>
      <c r="J108" s="13">
        <v>1</v>
      </c>
      <c r="K108" s="13">
        <v>1</v>
      </c>
      <c r="L108" s="13">
        <v>1</v>
      </c>
      <c r="M108" s="13">
        <v>1</v>
      </c>
      <c r="N108" s="13">
        <v>1</v>
      </c>
      <c r="O108" s="13">
        <v>1</v>
      </c>
      <c r="P108" s="13">
        <v>1</v>
      </c>
      <c r="R108" s="11" t="str">
        <f t="shared" si="2"/>
        <v>research@endeavoram.com.au;</v>
      </c>
    </row>
    <row r="109" spans="2:18" x14ac:dyDescent="0.2">
      <c r="B109" s="11" t="s">
        <v>91</v>
      </c>
      <c r="C109" s="11" t="s">
        <v>93</v>
      </c>
      <c r="F109" s="12" t="s">
        <v>92</v>
      </c>
      <c r="G109" s="13">
        <v>1</v>
      </c>
      <c r="I109" s="13">
        <v>1</v>
      </c>
      <c r="J109" s="13">
        <v>1</v>
      </c>
      <c r="K109" s="13">
        <v>1</v>
      </c>
      <c r="L109" s="13">
        <v>1</v>
      </c>
      <c r="M109" s="13">
        <v>1</v>
      </c>
      <c r="N109" s="13">
        <v>1</v>
      </c>
      <c r="O109" s="13">
        <v>1</v>
      </c>
      <c r="P109" s="13">
        <v>1</v>
      </c>
      <c r="R109" s="11" t="str">
        <f t="shared" si="2"/>
        <v>tdoan@eqt.com.au;</v>
      </c>
    </row>
    <row r="110" spans="2:18" x14ac:dyDescent="0.2">
      <c r="B110" s="11" t="s">
        <v>2015</v>
      </c>
      <c r="C110" s="11" t="s">
        <v>93</v>
      </c>
      <c r="F110" s="12" t="s">
        <v>531</v>
      </c>
      <c r="G110" s="13">
        <v>1</v>
      </c>
      <c r="I110" s="13">
        <v>1</v>
      </c>
      <c r="J110" s="13">
        <v>1</v>
      </c>
      <c r="K110" s="13">
        <v>1</v>
      </c>
      <c r="L110" s="13">
        <v>1</v>
      </c>
      <c r="M110" s="13">
        <v>1</v>
      </c>
      <c r="N110" s="13">
        <v>1</v>
      </c>
      <c r="O110" s="13">
        <v>1</v>
      </c>
      <c r="P110" s="13">
        <v>1</v>
      </c>
      <c r="R110" s="11" t="str">
        <f t="shared" si="2"/>
        <v>dthompson@eqt.com.au;</v>
      </c>
    </row>
    <row r="111" spans="2:18" x14ac:dyDescent="0.2">
      <c r="B111" s="11" t="s">
        <v>527</v>
      </c>
      <c r="C111" s="11" t="s">
        <v>93</v>
      </c>
      <c r="F111" s="12" t="s">
        <v>526</v>
      </c>
      <c r="G111" s="13">
        <v>1</v>
      </c>
      <c r="I111" s="13">
        <v>1</v>
      </c>
      <c r="J111" s="13">
        <v>1</v>
      </c>
      <c r="K111" s="13">
        <v>1</v>
      </c>
      <c r="L111" s="13">
        <v>1</v>
      </c>
      <c r="M111" s="13">
        <v>1</v>
      </c>
      <c r="N111" s="13">
        <v>1</v>
      </c>
      <c r="O111" s="13">
        <v>1</v>
      </c>
      <c r="P111" s="13">
        <v>1</v>
      </c>
      <c r="R111" s="11" t="str">
        <f t="shared" si="2"/>
        <v>chaynes@eqt.com.au;</v>
      </c>
    </row>
    <row r="112" spans="2:18" x14ac:dyDescent="0.2">
      <c r="B112" s="11" t="s">
        <v>391</v>
      </c>
      <c r="C112" s="11" t="s">
        <v>2094</v>
      </c>
      <c r="F112" s="12" t="s">
        <v>2093</v>
      </c>
      <c r="G112" s="13">
        <v>1</v>
      </c>
      <c r="I112" s="13">
        <v>1</v>
      </c>
      <c r="J112" s="13">
        <v>1</v>
      </c>
      <c r="K112" s="13">
        <v>1</v>
      </c>
      <c r="L112" s="13">
        <v>1</v>
      </c>
      <c r="M112" s="13">
        <v>1</v>
      </c>
      <c r="N112" s="13">
        <v>1</v>
      </c>
      <c r="O112" s="13">
        <v>1</v>
      </c>
      <c r="P112" s="13">
        <v>1</v>
      </c>
      <c r="R112" s="11" t="str">
        <f t="shared" si="2"/>
        <v>david.grace@evidentiagroup.com;</v>
      </c>
    </row>
    <row r="113" spans="2:18" x14ac:dyDescent="0.2">
      <c r="B113" s="11" t="s">
        <v>410</v>
      </c>
      <c r="C113" s="11" t="s">
        <v>412</v>
      </c>
      <c r="F113" s="12" t="s">
        <v>411</v>
      </c>
      <c r="G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R113" s="11" t="str">
        <f t="shared" si="2"/>
        <v>kevin.francfort@fmr.com;</v>
      </c>
    </row>
    <row r="114" spans="2:18" x14ac:dyDescent="0.2">
      <c r="B114" s="11" t="s">
        <v>744</v>
      </c>
      <c r="C114" s="11" t="s">
        <v>412</v>
      </c>
      <c r="F114" s="12" t="s">
        <v>743</v>
      </c>
      <c r="G114" s="13">
        <v>1</v>
      </c>
      <c r="I114" s="13">
        <v>1</v>
      </c>
      <c r="J114" s="13">
        <v>1</v>
      </c>
      <c r="K114" s="13">
        <v>1</v>
      </c>
      <c r="L114" s="13">
        <v>1</v>
      </c>
      <c r="M114" s="13">
        <v>1</v>
      </c>
      <c r="N114" s="13">
        <v>1</v>
      </c>
      <c r="O114" s="13">
        <v>1</v>
      </c>
      <c r="P114" s="13">
        <v>1</v>
      </c>
      <c r="R114" s="11" t="str">
        <f t="shared" si="2"/>
        <v>james.abela@fil.com;</v>
      </c>
    </row>
    <row r="115" spans="2:18" x14ac:dyDescent="0.2">
      <c r="B115" s="11" t="s">
        <v>303</v>
      </c>
      <c r="C115" s="11" t="s">
        <v>252</v>
      </c>
      <c r="F115" s="12" t="s">
        <v>304</v>
      </c>
      <c r="G115" s="13">
        <v>1</v>
      </c>
      <c r="I115" s="13">
        <v>1</v>
      </c>
      <c r="J115" s="13">
        <v>1</v>
      </c>
      <c r="K115" s="13">
        <v>1</v>
      </c>
      <c r="L115" s="13">
        <v>1</v>
      </c>
      <c r="M115" s="13">
        <v>1</v>
      </c>
      <c r="N115" s="13">
        <v>1</v>
      </c>
      <c r="O115" s="13">
        <v>1</v>
      </c>
      <c r="P115" s="13">
        <v>1</v>
      </c>
      <c r="R115" s="11" t="str">
        <f t="shared" si="2"/>
        <v>blake.henricks@firetrailinvest.com;</v>
      </c>
    </row>
    <row r="116" spans="2:18" x14ac:dyDescent="0.2">
      <c r="B116" s="11" t="s">
        <v>886</v>
      </c>
      <c r="C116" s="11" t="s">
        <v>252</v>
      </c>
      <c r="F116" s="12" t="s">
        <v>885</v>
      </c>
      <c r="G116" s="13">
        <v>1</v>
      </c>
      <c r="I116" s="13">
        <v>1</v>
      </c>
      <c r="J116" s="13">
        <v>1</v>
      </c>
      <c r="K116" s="13">
        <v>1</v>
      </c>
      <c r="L116" s="13">
        <v>1</v>
      </c>
      <c r="M116" s="13">
        <v>1</v>
      </c>
      <c r="N116" s="13">
        <v>1</v>
      </c>
      <c r="O116" s="13">
        <v>1</v>
      </c>
      <c r="P116" s="13">
        <v>1</v>
      </c>
      <c r="R116" s="11" t="str">
        <f t="shared" si="2"/>
        <v>eleanor.swanson@firetrail.com;</v>
      </c>
    </row>
    <row r="117" spans="2:18" x14ac:dyDescent="0.2">
      <c r="B117" s="11" t="s">
        <v>250</v>
      </c>
      <c r="C117" s="11" t="s">
        <v>252</v>
      </c>
      <c r="F117" s="12" t="s">
        <v>251</v>
      </c>
      <c r="G117" s="13">
        <v>1</v>
      </c>
      <c r="I117" s="13">
        <v>1</v>
      </c>
      <c r="J117" s="13">
        <v>1</v>
      </c>
      <c r="K117" s="13">
        <v>1</v>
      </c>
      <c r="L117" s="13">
        <v>1</v>
      </c>
      <c r="M117" s="13">
        <v>1</v>
      </c>
      <c r="N117" s="13">
        <v>1</v>
      </c>
      <c r="O117" s="13">
        <v>1</v>
      </c>
      <c r="P117" s="13">
        <v>1</v>
      </c>
      <c r="R117" s="11" t="str">
        <f t="shared" si="2"/>
        <v>scott.olsson@firetrailinvest.com;</v>
      </c>
    </row>
    <row r="118" spans="2:18" x14ac:dyDescent="0.2">
      <c r="B118" s="11" t="s">
        <v>629</v>
      </c>
      <c r="C118" s="11" t="s">
        <v>252</v>
      </c>
      <c r="F118" s="12" t="s">
        <v>628</v>
      </c>
      <c r="G118" s="13">
        <v>1</v>
      </c>
      <c r="I118" s="13">
        <v>1</v>
      </c>
      <c r="J118" s="13">
        <v>1</v>
      </c>
      <c r="K118" s="13">
        <v>1</v>
      </c>
      <c r="L118" s="13">
        <v>1</v>
      </c>
      <c r="M118" s="13">
        <v>1</v>
      </c>
      <c r="N118" s="13">
        <v>1</v>
      </c>
      <c r="O118" s="13">
        <v>1</v>
      </c>
      <c r="P118" s="13">
        <v>1</v>
      </c>
      <c r="R118" s="11" t="str">
        <f t="shared" si="2"/>
        <v>matthew.fist@firetrailinvest.com;</v>
      </c>
    </row>
    <row r="119" spans="2:18" x14ac:dyDescent="0.2">
      <c r="B119" s="11" t="s">
        <v>359</v>
      </c>
      <c r="C119" s="11" t="s">
        <v>252</v>
      </c>
      <c r="F119" s="12" t="s">
        <v>360</v>
      </c>
      <c r="G119" s="13">
        <v>1</v>
      </c>
      <c r="I119" s="13">
        <v>1</v>
      </c>
      <c r="J119" s="13">
        <v>1</v>
      </c>
      <c r="K119" s="13">
        <v>1</v>
      </c>
      <c r="L119" s="13">
        <v>1</v>
      </c>
      <c r="M119" s="13">
        <v>1</v>
      </c>
      <c r="N119" s="13">
        <v>1</v>
      </c>
      <c r="O119" s="13">
        <v>1</v>
      </c>
      <c r="P119" s="13">
        <v>1</v>
      </c>
      <c r="R119" s="11" t="str">
        <f t="shared" si="2"/>
        <v>patrick.hodgens@firetrailinvest.com;</v>
      </c>
    </row>
    <row r="120" spans="2:18" x14ac:dyDescent="0.2">
      <c r="B120" s="11" t="s">
        <v>379</v>
      </c>
      <c r="C120" s="11" t="s">
        <v>252</v>
      </c>
      <c r="F120" s="12" t="s">
        <v>380</v>
      </c>
      <c r="G120" s="13">
        <v>1</v>
      </c>
      <c r="I120" s="13">
        <v>1</v>
      </c>
      <c r="J120" s="13">
        <v>1</v>
      </c>
      <c r="K120" s="13">
        <v>1</v>
      </c>
      <c r="L120" s="13">
        <v>1</v>
      </c>
      <c r="M120" s="13">
        <v>1</v>
      </c>
      <c r="N120" s="13">
        <v>1</v>
      </c>
      <c r="O120" s="13">
        <v>1</v>
      </c>
      <c r="P120" s="13">
        <v>1</v>
      </c>
      <c r="R120" s="11" t="str">
        <f t="shared" si="2"/>
        <v>james.miller@firetrailinvest.com;</v>
      </c>
    </row>
    <row r="121" spans="2:18" x14ac:dyDescent="0.2">
      <c r="B121" s="11" t="s">
        <v>947</v>
      </c>
      <c r="C121" s="11" t="s">
        <v>9</v>
      </c>
      <c r="F121" s="12" t="s">
        <v>946</v>
      </c>
      <c r="G121" s="13">
        <v>1</v>
      </c>
      <c r="I121" s="13">
        <v>1</v>
      </c>
      <c r="J121" s="13">
        <v>1</v>
      </c>
      <c r="K121" s="13">
        <v>1</v>
      </c>
      <c r="L121" s="13">
        <v>1</v>
      </c>
      <c r="M121" s="13">
        <v>1</v>
      </c>
      <c r="N121" s="13">
        <v>1</v>
      </c>
      <c r="O121" s="13">
        <v>1</v>
      </c>
      <c r="P121" s="13">
        <v>1</v>
      </c>
      <c r="R121" s="11" t="str">
        <f t="shared" si="2"/>
        <v>dawn.kanelleas@firstsentier.com;</v>
      </c>
    </row>
    <row r="122" spans="2:18" x14ac:dyDescent="0.2">
      <c r="B122" s="11" t="s">
        <v>945</v>
      </c>
      <c r="C122" s="11" t="s">
        <v>9</v>
      </c>
      <c r="F122" s="12" t="s">
        <v>944</v>
      </c>
      <c r="G122" s="13">
        <v>1</v>
      </c>
      <c r="I122" s="13">
        <v>1</v>
      </c>
      <c r="J122" s="13">
        <v>1</v>
      </c>
      <c r="K122" s="13">
        <v>1</v>
      </c>
      <c r="L122" s="13">
        <v>1</v>
      </c>
      <c r="M122" s="13">
        <v>1</v>
      </c>
      <c r="N122" s="13">
        <v>1</v>
      </c>
      <c r="O122" s="13">
        <v>1</v>
      </c>
      <c r="P122" s="13">
        <v>1</v>
      </c>
      <c r="R122" s="11" t="str">
        <f t="shared" si="2"/>
        <v>michael.joukhador@firstsentier.com;</v>
      </c>
    </row>
    <row r="123" spans="2:18" x14ac:dyDescent="0.2">
      <c r="B123" s="11" t="s">
        <v>943</v>
      </c>
      <c r="C123" s="11" t="s">
        <v>9</v>
      </c>
      <c r="F123" s="12" t="s">
        <v>942</v>
      </c>
      <c r="G123" s="13">
        <v>1</v>
      </c>
      <c r="I123" s="13">
        <v>1</v>
      </c>
      <c r="J123" s="13">
        <v>1</v>
      </c>
      <c r="K123" s="13">
        <v>1</v>
      </c>
      <c r="L123" s="13">
        <v>1</v>
      </c>
      <c r="M123" s="13">
        <v>1</v>
      </c>
      <c r="N123" s="13">
        <v>1</v>
      </c>
      <c r="O123" s="13">
        <v>1</v>
      </c>
      <c r="P123" s="13">
        <v>1</v>
      </c>
      <c r="R123" s="11" t="str">
        <f t="shared" si="2"/>
        <v>tahlia.gugusheff@firstsentier.com;</v>
      </c>
    </row>
    <row r="124" spans="2:18" x14ac:dyDescent="0.2">
      <c r="B124" s="11" t="s">
        <v>7</v>
      </c>
      <c r="C124" s="11" t="s">
        <v>9</v>
      </c>
      <c r="F124" s="12" t="s">
        <v>8</v>
      </c>
      <c r="G124" s="13">
        <v>1</v>
      </c>
      <c r="I124" s="13">
        <v>1</v>
      </c>
      <c r="J124" s="13">
        <v>1</v>
      </c>
      <c r="K124" s="13">
        <v>1</v>
      </c>
      <c r="L124" s="13">
        <v>1</v>
      </c>
      <c r="M124" s="13">
        <v>1</v>
      </c>
      <c r="N124" s="13">
        <v>1</v>
      </c>
      <c r="O124" s="13">
        <v>1</v>
      </c>
      <c r="P124" s="13">
        <v>1</v>
      </c>
      <c r="R124" s="11" t="str">
        <f t="shared" si="2"/>
        <v>jason.lye@firstsentier.com;</v>
      </c>
    </row>
    <row r="125" spans="2:18" x14ac:dyDescent="0.2">
      <c r="B125" s="11" t="s">
        <v>10</v>
      </c>
      <c r="C125" s="11" t="s">
        <v>9</v>
      </c>
      <c r="F125" s="12" t="s">
        <v>11</v>
      </c>
      <c r="G125" s="13">
        <v>1</v>
      </c>
      <c r="I125" s="13">
        <v>1</v>
      </c>
      <c r="J125" s="13">
        <v>1</v>
      </c>
      <c r="K125" s="13">
        <v>1</v>
      </c>
      <c r="L125" s="13">
        <v>1</v>
      </c>
      <c r="M125" s="13">
        <v>1</v>
      </c>
      <c r="N125" s="13">
        <v>1</v>
      </c>
      <c r="O125" s="13">
        <v>1</v>
      </c>
      <c r="P125" s="13">
        <v>1</v>
      </c>
      <c r="R125" s="11" t="str">
        <f t="shared" si="2"/>
        <v>alex.gallard@firstsentier.com;</v>
      </c>
    </row>
    <row r="126" spans="2:18" x14ac:dyDescent="0.2">
      <c r="B126" s="11" t="s">
        <v>12</v>
      </c>
      <c r="C126" s="11" t="s">
        <v>9</v>
      </c>
      <c r="F126" s="12" t="s">
        <v>13</v>
      </c>
      <c r="G126" s="13">
        <v>1</v>
      </c>
      <c r="I126" s="13">
        <v>1</v>
      </c>
      <c r="J126" s="13">
        <v>1</v>
      </c>
      <c r="K126" s="13">
        <v>1</v>
      </c>
      <c r="L126" s="13">
        <v>1</v>
      </c>
      <c r="M126" s="13">
        <v>1</v>
      </c>
      <c r="N126" s="13">
        <v>1</v>
      </c>
      <c r="O126" s="13">
        <v>1</v>
      </c>
      <c r="P126" s="13">
        <v>1</v>
      </c>
      <c r="R126" s="11" t="str">
        <f t="shared" si="2"/>
        <v>dushko.bajic@firstsentier.com;</v>
      </c>
    </row>
    <row r="127" spans="2:18" x14ac:dyDescent="0.2">
      <c r="B127" s="11" t="s">
        <v>513</v>
      </c>
      <c r="C127" s="11" t="s">
        <v>9</v>
      </c>
      <c r="F127" s="12" t="s">
        <v>512</v>
      </c>
      <c r="G127" s="13">
        <v>1</v>
      </c>
      <c r="I127" s="13">
        <v>1</v>
      </c>
      <c r="J127" s="13">
        <v>1</v>
      </c>
      <c r="K127" s="13">
        <v>1</v>
      </c>
      <c r="L127" s="13">
        <v>1</v>
      </c>
      <c r="M127" s="13">
        <v>1</v>
      </c>
      <c r="N127" s="13">
        <v>1</v>
      </c>
      <c r="O127" s="13">
        <v>1</v>
      </c>
      <c r="P127" s="13">
        <v>1</v>
      </c>
      <c r="R127" s="11" t="str">
        <f t="shared" si="2"/>
        <v>aleksandar.stankovic@firstsentier.com.au;</v>
      </c>
    </row>
    <row r="128" spans="2:18" x14ac:dyDescent="0.2">
      <c r="B128" s="11" t="s">
        <v>904</v>
      </c>
      <c r="C128" s="11" t="s">
        <v>902</v>
      </c>
      <c r="F128" s="12" t="s">
        <v>903</v>
      </c>
      <c r="G128" s="13">
        <v>1</v>
      </c>
      <c r="I128" s="13">
        <v>1</v>
      </c>
      <c r="J128" s="13">
        <v>1</v>
      </c>
      <c r="K128" s="13">
        <v>1</v>
      </c>
      <c r="L128" s="13">
        <v>1</v>
      </c>
      <c r="M128" s="13">
        <v>1</v>
      </c>
      <c r="N128" s="13">
        <v>1</v>
      </c>
      <c r="O128" s="13">
        <v>1</v>
      </c>
      <c r="P128" s="13">
        <v>1</v>
      </c>
      <c r="R128" s="11" t="str">
        <f t="shared" ref="R128:R192" si="3">F128&amp;";"</f>
        <v>terry@fisherfunds.co.nz;</v>
      </c>
    </row>
    <row r="129" spans="2:18" x14ac:dyDescent="0.2">
      <c r="B129" s="11" t="s">
        <v>209</v>
      </c>
      <c r="C129" s="11" t="s">
        <v>211</v>
      </c>
      <c r="F129" s="12" t="s">
        <v>210</v>
      </c>
      <c r="G129" s="13">
        <v>1</v>
      </c>
      <c r="I129" s="13">
        <v>1</v>
      </c>
      <c r="J129" s="13">
        <v>1</v>
      </c>
      <c r="K129" s="13">
        <v>1</v>
      </c>
      <c r="L129" s="13">
        <v>1</v>
      </c>
      <c r="M129" s="13">
        <v>1</v>
      </c>
      <c r="N129" s="13">
        <v>1</v>
      </c>
      <c r="O129" s="13">
        <v>1</v>
      </c>
      <c r="P129" s="13">
        <v>1</v>
      </c>
      <c r="R129" s="11" t="str">
        <f t="shared" si="3"/>
        <v>rmacdougall@flindersinvest.com.au;</v>
      </c>
    </row>
    <row r="130" spans="2:18" x14ac:dyDescent="0.2">
      <c r="B130" s="11" t="s">
        <v>847</v>
      </c>
      <c r="C130" s="11" t="s">
        <v>211</v>
      </c>
      <c r="F130" s="12" t="s">
        <v>846</v>
      </c>
      <c r="G130" s="13">
        <v>1</v>
      </c>
      <c r="I130" s="13">
        <v>1</v>
      </c>
      <c r="J130" s="13">
        <v>1</v>
      </c>
      <c r="K130" s="13">
        <v>1</v>
      </c>
      <c r="L130" s="13">
        <v>1</v>
      </c>
      <c r="M130" s="13">
        <v>1</v>
      </c>
      <c r="N130" s="13">
        <v>1</v>
      </c>
      <c r="O130" s="13">
        <v>1</v>
      </c>
      <c r="P130" s="13">
        <v>1</v>
      </c>
      <c r="R130" s="11" t="str">
        <f t="shared" si="3"/>
        <v>amouchacca@flindersinvest.com.au;</v>
      </c>
    </row>
    <row r="131" spans="2:18" x14ac:dyDescent="0.2">
      <c r="B131" s="11" t="s">
        <v>797</v>
      </c>
      <c r="C131" s="11" t="s">
        <v>211</v>
      </c>
      <c r="F131" s="12" t="s">
        <v>796</v>
      </c>
      <c r="G131" s="13">
        <v>1</v>
      </c>
      <c r="I131" s="13">
        <v>1</v>
      </c>
      <c r="J131" s="13">
        <v>1</v>
      </c>
      <c r="K131" s="13">
        <v>1</v>
      </c>
      <c r="L131" s="13">
        <v>1</v>
      </c>
      <c r="M131" s="13">
        <v>1</v>
      </c>
      <c r="N131" s="13">
        <v>1</v>
      </c>
      <c r="O131" s="13">
        <v>1</v>
      </c>
      <c r="P131" s="13">
        <v>1</v>
      </c>
      <c r="R131" s="11" t="str">
        <f t="shared" si="3"/>
        <v>nrahman@flindersinvest.com.au;</v>
      </c>
    </row>
    <row r="132" spans="2:18" x14ac:dyDescent="0.2">
      <c r="B132" s="11" t="s">
        <v>178</v>
      </c>
      <c r="C132" s="11" t="s">
        <v>180</v>
      </c>
      <c r="F132" s="12" t="s">
        <v>179</v>
      </c>
      <c r="G132" s="13">
        <v>1</v>
      </c>
      <c r="I132" s="13">
        <v>1</v>
      </c>
      <c r="J132" s="13">
        <v>1</v>
      </c>
      <c r="K132" s="13">
        <v>1</v>
      </c>
      <c r="L132" s="13">
        <v>1</v>
      </c>
      <c r="M132" s="13">
        <v>1</v>
      </c>
      <c r="N132" s="13">
        <v>1</v>
      </c>
      <c r="O132" s="13">
        <v>1</v>
      </c>
      <c r="P132" s="13">
        <v>1</v>
      </c>
      <c r="R132" s="11" t="str">
        <f t="shared" si="3"/>
        <v>daniel.luth@mutualtrust.com.au;</v>
      </c>
    </row>
    <row r="133" spans="2:18" x14ac:dyDescent="0.2">
      <c r="B133" s="11" t="s">
        <v>1052</v>
      </c>
      <c r="C133" s="11" t="s">
        <v>1051</v>
      </c>
      <c r="F133" s="12" t="s">
        <v>995</v>
      </c>
      <c r="G133" s="13">
        <v>1</v>
      </c>
      <c r="I133" s="13">
        <v>1</v>
      </c>
      <c r="J133" s="13">
        <v>1</v>
      </c>
      <c r="K133" s="13">
        <v>1</v>
      </c>
      <c r="L133" s="13">
        <v>1</v>
      </c>
      <c r="M133" s="13">
        <v>1</v>
      </c>
      <c r="N133" s="13">
        <v>1</v>
      </c>
      <c r="O133" s="13">
        <v>1</v>
      </c>
      <c r="P133" s="13">
        <v>1</v>
      </c>
      <c r="R133" s="11" t="str">
        <f t="shared" si="3"/>
        <v>alex.shevelev@foragerfunds.com;</v>
      </c>
    </row>
    <row r="134" spans="2:18" x14ac:dyDescent="0.2">
      <c r="B134" s="11" t="s">
        <v>63</v>
      </c>
      <c r="C134" s="11" t="s">
        <v>65</v>
      </c>
      <c r="F134" s="12" t="s">
        <v>64</v>
      </c>
      <c r="G134" s="13">
        <v>1</v>
      </c>
      <c r="I134" s="13">
        <v>1</v>
      </c>
      <c r="J134" s="13">
        <v>1</v>
      </c>
      <c r="K134" s="13">
        <v>1</v>
      </c>
      <c r="L134" s="13">
        <v>1</v>
      </c>
      <c r="M134" s="13">
        <v>1</v>
      </c>
      <c r="N134" s="13">
        <v>1</v>
      </c>
      <c r="O134" s="13">
        <v>1</v>
      </c>
      <c r="P134" s="13">
        <v>1</v>
      </c>
      <c r="R134" s="11" t="str">
        <f t="shared" si="3"/>
        <v>renny@arculus.com.au;</v>
      </c>
    </row>
    <row r="135" spans="2:18" x14ac:dyDescent="0.2">
      <c r="B135" s="11" t="s">
        <v>272</v>
      </c>
      <c r="C135" s="11" t="s">
        <v>274</v>
      </c>
      <c r="F135" s="12" t="s">
        <v>273</v>
      </c>
      <c r="G135" s="13">
        <v>1</v>
      </c>
      <c r="I135" s="13">
        <v>1</v>
      </c>
      <c r="J135" s="13">
        <v>1</v>
      </c>
      <c r="K135" s="13">
        <v>1</v>
      </c>
      <c r="L135" s="13">
        <v>1</v>
      </c>
      <c r="M135" s="13">
        <v>1</v>
      </c>
      <c r="N135" s="13">
        <v>1</v>
      </c>
      <c r="O135" s="13">
        <v>1</v>
      </c>
      <c r="P135" s="13">
        <v>1</v>
      </c>
      <c r="R135" s="11" t="str">
        <f t="shared" si="3"/>
        <v>mryland@greencapecapital.com;</v>
      </c>
    </row>
    <row r="136" spans="2:18" x14ac:dyDescent="0.2">
      <c r="B136" s="11" t="s">
        <v>678</v>
      </c>
      <c r="C136" s="11" t="s">
        <v>274</v>
      </c>
      <c r="F136" s="12" t="s">
        <v>677</v>
      </c>
      <c r="G136" s="13">
        <v>1</v>
      </c>
      <c r="I136" s="13">
        <v>1</v>
      </c>
      <c r="J136" s="13">
        <v>1</v>
      </c>
      <c r="K136" s="13">
        <v>1</v>
      </c>
      <c r="L136" s="13">
        <v>1</v>
      </c>
      <c r="M136" s="13">
        <v>1</v>
      </c>
      <c r="N136" s="13">
        <v>1</v>
      </c>
      <c r="O136" s="13">
        <v>1</v>
      </c>
      <c r="P136" s="13">
        <v>1</v>
      </c>
      <c r="R136" s="11" t="str">
        <f t="shared" si="3"/>
        <v>jkoh@greencapecapital.com;</v>
      </c>
    </row>
    <row r="137" spans="2:18" x14ac:dyDescent="0.2">
      <c r="B137" s="11" t="s">
        <v>363</v>
      </c>
      <c r="C137" s="11" t="s">
        <v>274</v>
      </c>
      <c r="F137" s="12" t="s">
        <v>364</v>
      </c>
      <c r="G137" s="13">
        <v>1</v>
      </c>
      <c r="I137" s="13">
        <v>1</v>
      </c>
      <c r="J137" s="13">
        <v>1</v>
      </c>
      <c r="K137" s="13">
        <v>1</v>
      </c>
      <c r="L137" s="13">
        <v>1</v>
      </c>
      <c r="M137" s="13">
        <v>1</v>
      </c>
      <c r="N137" s="13">
        <v>1</v>
      </c>
      <c r="O137" s="13">
        <v>1</v>
      </c>
      <c r="P137" s="13">
        <v>1</v>
      </c>
      <c r="R137" s="11" t="str">
        <f t="shared" si="3"/>
        <v>mhester@greencapecapital.com;</v>
      </c>
    </row>
    <row r="138" spans="2:18" x14ac:dyDescent="0.2">
      <c r="B138" s="11" t="s">
        <v>114</v>
      </c>
      <c r="C138" s="11" t="s">
        <v>116</v>
      </c>
      <c r="F138" s="12" t="s">
        <v>115</v>
      </c>
      <c r="G138" s="13">
        <v>1</v>
      </c>
      <c r="I138" s="13">
        <v>1</v>
      </c>
      <c r="J138" s="13">
        <v>1</v>
      </c>
      <c r="K138" s="13">
        <v>1</v>
      </c>
      <c r="L138" s="13">
        <v>1</v>
      </c>
      <c r="M138" s="13">
        <v>1</v>
      </c>
      <c r="N138" s="13">
        <v>1</v>
      </c>
      <c r="O138" s="13">
        <v>1</v>
      </c>
      <c r="P138" s="13">
        <v>1</v>
      </c>
      <c r="R138" s="11" t="str">
        <f t="shared" si="3"/>
        <v>craig@harbourasset.co.nz;</v>
      </c>
    </row>
    <row r="139" spans="2:18" x14ac:dyDescent="0.2">
      <c r="B139" s="11" t="s">
        <v>873</v>
      </c>
      <c r="C139" s="11" t="s">
        <v>116</v>
      </c>
      <c r="F139" s="12" t="s">
        <v>872</v>
      </c>
      <c r="G139" s="13">
        <v>1</v>
      </c>
      <c r="I139" s="13">
        <v>1</v>
      </c>
      <c r="J139" s="13">
        <v>1</v>
      </c>
      <c r="K139" s="13">
        <v>1</v>
      </c>
      <c r="L139" s="13">
        <v>1</v>
      </c>
      <c r="M139" s="13">
        <v>1</v>
      </c>
      <c r="N139" s="13">
        <v>1</v>
      </c>
      <c r="O139" s="13">
        <v>1</v>
      </c>
      <c r="P139" s="13">
        <v>1</v>
      </c>
      <c r="R139" s="11" t="str">
        <f t="shared" si="3"/>
        <v>simon.momich@harbourasset.co.nz;</v>
      </c>
    </row>
    <row r="140" spans="2:18" x14ac:dyDescent="0.2">
      <c r="B140" s="11" t="s">
        <v>345</v>
      </c>
      <c r="C140" s="11" t="s">
        <v>116</v>
      </c>
      <c r="F140" s="12" t="s">
        <v>346</v>
      </c>
      <c r="G140" s="13">
        <v>1</v>
      </c>
      <c r="I140" s="13">
        <v>1</v>
      </c>
      <c r="J140" s="13">
        <v>1</v>
      </c>
      <c r="K140" s="13">
        <v>1</v>
      </c>
      <c r="L140" s="13">
        <v>1</v>
      </c>
      <c r="M140" s="13">
        <v>1</v>
      </c>
      <c r="N140" s="13">
        <v>1</v>
      </c>
      <c r="O140" s="13">
        <v>1</v>
      </c>
      <c r="P140" s="13">
        <v>1</v>
      </c>
      <c r="R140" s="11" t="str">
        <f t="shared" si="3"/>
        <v>shane@harbourasset.co.nz;</v>
      </c>
    </row>
    <row r="141" spans="2:18" x14ac:dyDescent="0.2">
      <c r="B141" s="11" t="s">
        <v>367</v>
      </c>
      <c r="C141" s="11" t="s">
        <v>116</v>
      </c>
      <c r="F141" s="12" t="s">
        <v>368</v>
      </c>
      <c r="G141" s="13">
        <v>1</v>
      </c>
      <c r="I141" s="13">
        <v>1</v>
      </c>
      <c r="J141" s="13">
        <v>1</v>
      </c>
      <c r="K141" s="13">
        <v>1</v>
      </c>
      <c r="L141" s="13">
        <v>1</v>
      </c>
      <c r="M141" s="13">
        <v>1</v>
      </c>
      <c r="N141" s="13">
        <v>1</v>
      </c>
      <c r="O141" s="13">
        <v>1</v>
      </c>
      <c r="P141" s="13">
        <v>1</v>
      </c>
      <c r="R141" s="11" t="str">
        <f t="shared" si="3"/>
        <v>kevin@harbourasset.co.nz;</v>
      </c>
    </row>
    <row r="142" spans="2:18" x14ac:dyDescent="0.2">
      <c r="B142" s="11" t="s">
        <v>190</v>
      </c>
      <c r="C142" s="11" t="s">
        <v>192</v>
      </c>
      <c r="F142" s="12" t="s">
        <v>191</v>
      </c>
      <c r="G142" s="13">
        <v>1</v>
      </c>
      <c r="I142" s="13">
        <v>1</v>
      </c>
      <c r="J142" s="13">
        <v>1</v>
      </c>
      <c r="K142" s="13">
        <v>1</v>
      </c>
      <c r="L142" s="13">
        <v>1</v>
      </c>
      <c r="M142" s="13">
        <v>1</v>
      </c>
      <c r="N142" s="13">
        <v>1</v>
      </c>
      <c r="O142" s="13">
        <v>1</v>
      </c>
      <c r="P142" s="13">
        <v>1</v>
      </c>
      <c r="R142" s="11" t="str">
        <f t="shared" si="3"/>
        <v>pmoller@perennial.net.au;</v>
      </c>
    </row>
    <row r="143" spans="2:18" x14ac:dyDescent="0.2">
      <c r="B143" s="11" t="s">
        <v>47</v>
      </c>
      <c r="C143" s="11" t="s">
        <v>49</v>
      </c>
      <c r="F143" s="12" t="s">
        <v>48</v>
      </c>
      <c r="G143" s="13">
        <v>1</v>
      </c>
      <c r="I143" s="13">
        <v>1</v>
      </c>
      <c r="J143" s="13">
        <v>1</v>
      </c>
      <c r="K143" s="13">
        <v>1</v>
      </c>
      <c r="L143" s="13">
        <v>1</v>
      </c>
      <c r="M143" s="13">
        <v>1</v>
      </c>
      <c r="N143" s="13">
        <v>1</v>
      </c>
      <c r="O143" s="13">
        <v>1</v>
      </c>
      <c r="P143" s="13">
        <v>1</v>
      </c>
      <c r="R143" s="11" t="str">
        <f t="shared" si="3"/>
        <v>pquah@hesta.com.au;</v>
      </c>
    </row>
    <row r="144" spans="2:18" x14ac:dyDescent="0.2">
      <c r="B144" s="11" t="s">
        <v>50</v>
      </c>
      <c r="C144" s="11" t="s">
        <v>49</v>
      </c>
      <c r="F144" s="12" t="s">
        <v>51</v>
      </c>
      <c r="G144" s="13">
        <v>1</v>
      </c>
      <c r="I144" s="13">
        <v>1</v>
      </c>
      <c r="J144" s="13">
        <v>1</v>
      </c>
      <c r="K144" s="13">
        <v>1</v>
      </c>
      <c r="L144" s="13">
        <v>1</v>
      </c>
      <c r="M144" s="13">
        <v>1</v>
      </c>
      <c r="N144" s="13">
        <v>1</v>
      </c>
      <c r="O144" s="13">
        <v>1</v>
      </c>
      <c r="P144" s="13">
        <v>1</v>
      </c>
      <c r="R144" s="11" t="str">
        <f t="shared" si="3"/>
        <v>zqian@hesta.com.au;</v>
      </c>
    </row>
    <row r="145" spans="2:18" x14ac:dyDescent="0.2">
      <c r="B145" s="11" t="s">
        <v>2123</v>
      </c>
      <c r="C145" s="11" t="s">
        <v>49</v>
      </c>
      <c r="F145" s="12" t="s">
        <v>2124</v>
      </c>
      <c r="G145" s="13">
        <v>1</v>
      </c>
      <c r="I145" s="13">
        <v>1</v>
      </c>
      <c r="J145" s="13">
        <v>1</v>
      </c>
      <c r="K145" s="13">
        <v>1</v>
      </c>
      <c r="L145" s="13">
        <v>1</v>
      </c>
      <c r="M145" s="13">
        <v>1</v>
      </c>
      <c r="N145" s="13">
        <v>1</v>
      </c>
      <c r="O145" s="13">
        <v>1</v>
      </c>
      <c r="P145" s="13">
        <v>1</v>
      </c>
      <c r="R145" s="11" t="str">
        <f t="shared" si="3"/>
        <v>pjin@hesta.com.au;</v>
      </c>
    </row>
    <row r="146" spans="2:18" x14ac:dyDescent="0.2">
      <c r="B146" s="11" t="s">
        <v>117</v>
      </c>
      <c r="C146" s="11" t="s">
        <v>119</v>
      </c>
      <c r="F146" s="12" t="s">
        <v>118</v>
      </c>
      <c r="G146" s="13">
        <v>1</v>
      </c>
      <c r="I146" s="13">
        <v>1</v>
      </c>
      <c r="J146" s="13">
        <v>1</v>
      </c>
      <c r="K146" s="13">
        <v>1</v>
      </c>
      <c r="L146" s="13">
        <v>1</v>
      </c>
      <c r="M146" s="13">
        <v>1</v>
      </c>
      <c r="N146" s="13">
        <v>1</v>
      </c>
      <c r="O146" s="13">
        <v>1</v>
      </c>
      <c r="P146" s="13">
        <v>1</v>
      </c>
      <c r="R146" s="11" t="str">
        <f t="shared" si="3"/>
        <v>alewandowski@humepartners.com.au;</v>
      </c>
    </row>
    <row r="147" spans="2:18" x14ac:dyDescent="0.2">
      <c r="B147" s="11" t="s">
        <v>976</v>
      </c>
      <c r="C147" s="11" t="s">
        <v>974</v>
      </c>
      <c r="F147" s="11" t="s">
        <v>975</v>
      </c>
      <c r="G147" s="13">
        <v>1</v>
      </c>
      <c r="I147" s="13">
        <v>1</v>
      </c>
      <c r="J147" s="13">
        <v>1</v>
      </c>
      <c r="K147" s="13">
        <v>1</v>
      </c>
      <c r="L147" s="13">
        <v>1</v>
      </c>
      <c r="M147" s="13">
        <v>1</v>
      </c>
      <c r="N147" s="13">
        <v>1</v>
      </c>
      <c r="O147" s="13">
        <v>1</v>
      </c>
      <c r="P147" s="13">
        <v>1</v>
      </c>
      <c r="R147" s="11" t="str">
        <f t="shared" si="3"/>
        <v>michael.mewburn@hyperion.com.au;</v>
      </c>
    </row>
    <row r="148" spans="2:18" x14ac:dyDescent="0.2">
      <c r="B148" s="11" t="s">
        <v>828</v>
      </c>
      <c r="C148" s="11" t="s">
        <v>765</v>
      </c>
      <c r="F148" s="12" t="s">
        <v>827</v>
      </c>
      <c r="G148" s="13">
        <v>1</v>
      </c>
      <c r="I148" s="13">
        <v>1</v>
      </c>
      <c r="J148" s="13">
        <v>1</v>
      </c>
      <c r="K148" s="13">
        <v>1</v>
      </c>
      <c r="L148" s="13">
        <v>1</v>
      </c>
      <c r="M148" s="13">
        <v>1</v>
      </c>
      <c r="N148" s="13">
        <v>1</v>
      </c>
      <c r="O148" s="13">
        <v>1</v>
      </c>
      <c r="P148" s="13">
        <v>1</v>
      </c>
      <c r="R148" s="11" t="str">
        <f t="shared" si="3"/>
        <v>rwalling@iceinvestors.com.au;</v>
      </c>
    </row>
    <row r="149" spans="2:18" x14ac:dyDescent="0.2">
      <c r="B149" s="11" t="s">
        <v>805</v>
      </c>
      <c r="C149" s="11" t="s">
        <v>765</v>
      </c>
      <c r="F149" s="12" t="s">
        <v>804</v>
      </c>
      <c r="G149" s="13">
        <v>1</v>
      </c>
      <c r="I149" s="13">
        <v>1</v>
      </c>
      <c r="J149" s="13">
        <v>1</v>
      </c>
      <c r="K149" s="13">
        <v>1</v>
      </c>
      <c r="L149" s="13">
        <v>1</v>
      </c>
      <c r="M149" s="13">
        <v>1</v>
      </c>
      <c r="N149" s="13">
        <v>1</v>
      </c>
      <c r="O149" s="13">
        <v>1</v>
      </c>
      <c r="P149" s="13">
        <v>1</v>
      </c>
      <c r="R149" s="11" t="str">
        <f t="shared" si="3"/>
        <v>rkuhadas@iceinvestors.com.au;</v>
      </c>
    </row>
    <row r="150" spans="2:18" x14ac:dyDescent="0.2">
      <c r="B150" s="11" t="s">
        <v>767</v>
      </c>
      <c r="C150" s="11" t="s">
        <v>765</v>
      </c>
      <c r="F150" s="12" t="s">
        <v>766</v>
      </c>
      <c r="G150" s="13">
        <v>1</v>
      </c>
      <c r="I150" s="13">
        <v>1</v>
      </c>
      <c r="J150" s="13">
        <v>1</v>
      </c>
      <c r="K150" s="13">
        <v>1</v>
      </c>
      <c r="L150" s="13">
        <v>1</v>
      </c>
      <c r="M150" s="13">
        <v>1</v>
      </c>
      <c r="N150" s="13">
        <v>1</v>
      </c>
      <c r="O150" s="13">
        <v>1</v>
      </c>
      <c r="P150" s="13">
        <v>1</v>
      </c>
      <c r="R150" s="11" t="str">
        <f t="shared" si="3"/>
        <v>cburns@iceinvestors.com.au;</v>
      </c>
    </row>
    <row r="151" spans="2:18" x14ac:dyDescent="0.2">
      <c r="B151" s="11" t="s">
        <v>1017</v>
      </c>
      <c r="C151" s="11" t="s">
        <v>765</v>
      </c>
      <c r="F151" s="12" t="s">
        <v>1018</v>
      </c>
      <c r="G151" s="13">
        <v>1</v>
      </c>
      <c r="I151" s="13">
        <v>1</v>
      </c>
      <c r="J151" s="13">
        <v>1</v>
      </c>
      <c r="K151" s="13">
        <v>1</v>
      </c>
      <c r="L151" s="13">
        <v>1</v>
      </c>
      <c r="M151" s="13">
        <v>1</v>
      </c>
      <c r="N151" s="13">
        <v>1</v>
      </c>
      <c r="O151" s="13">
        <v>1</v>
      </c>
      <c r="P151" s="13">
        <v>1</v>
      </c>
      <c r="R151" s="11" t="str">
        <f t="shared" si="3"/>
        <v>raliev@iceinvestors.com.au;</v>
      </c>
    </row>
    <row r="152" spans="2:18" x14ac:dyDescent="0.2">
      <c r="B152" s="11" t="s">
        <v>321</v>
      </c>
      <c r="C152" s="11" t="s">
        <v>198</v>
      </c>
      <c r="F152" s="12" t="s">
        <v>322</v>
      </c>
      <c r="G152" s="13">
        <v>1</v>
      </c>
      <c r="I152" s="13">
        <v>1</v>
      </c>
      <c r="J152" s="13">
        <v>1</v>
      </c>
      <c r="K152" s="13">
        <v>1</v>
      </c>
      <c r="L152" s="13">
        <v>1</v>
      </c>
      <c r="M152" s="13">
        <v>1</v>
      </c>
      <c r="N152" s="13">
        <v>1</v>
      </c>
      <c r="O152" s="13">
        <v>1</v>
      </c>
      <c r="P152" s="13">
        <v>1</v>
      </c>
      <c r="R152" s="11" t="str">
        <f t="shared" si="3"/>
        <v>tony.vong@ifminvestors.com;</v>
      </c>
    </row>
    <row r="153" spans="2:18" x14ac:dyDescent="0.2">
      <c r="B153" s="11" t="s">
        <v>196</v>
      </c>
      <c r="C153" s="11" t="s">
        <v>198</v>
      </c>
      <c r="F153" s="12" t="s">
        <v>197</v>
      </c>
      <c r="G153" s="13">
        <v>1</v>
      </c>
      <c r="I153" s="13">
        <v>1</v>
      </c>
      <c r="J153" s="13">
        <v>1</v>
      </c>
      <c r="K153" s="13">
        <v>1</v>
      </c>
      <c r="L153" s="13">
        <v>1</v>
      </c>
      <c r="M153" s="13">
        <v>1</v>
      </c>
      <c r="N153" s="13">
        <v>1</v>
      </c>
      <c r="O153" s="13">
        <v>1</v>
      </c>
      <c r="P153" s="13">
        <v>1</v>
      </c>
      <c r="R153" s="11" t="str">
        <f t="shared" si="3"/>
        <v>atchu.maheswaran@ifminvestors.com;</v>
      </c>
    </row>
    <row r="154" spans="2:18" x14ac:dyDescent="0.2">
      <c r="B154" s="11" t="s">
        <v>315</v>
      </c>
      <c r="C154" s="11" t="s">
        <v>198</v>
      </c>
      <c r="F154" s="12" t="s">
        <v>316</v>
      </c>
      <c r="G154" s="13">
        <v>1</v>
      </c>
      <c r="I154" s="13">
        <v>1</v>
      </c>
      <c r="J154" s="13">
        <v>1</v>
      </c>
      <c r="K154" s="13">
        <v>1</v>
      </c>
      <c r="L154" s="13">
        <v>1</v>
      </c>
      <c r="M154" s="13">
        <v>1</v>
      </c>
      <c r="N154" s="13">
        <v>1</v>
      </c>
      <c r="O154" s="13">
        <v>1</v>
      </c>
      <c r="P154" s="13">
        <v>1</v>
      </c>
      <c r="R154" s="11" t="str">
        <f t="shared" si="3"/>
        <v>reuben.de.barros@ifminvestors.com;</v>
      </c>
    </row>
    <row r="155" spans="2:18" x14ac:dyDescent="0.2">
      <c r="B155" s="11" t="s">
        <v>212</v>
      </c>
      <c r="C155" s="11" t="s">
        <v>214</v>
      </c>
      <c r="F155" s="12" t="s">
        <v>213</v>
      </c>
      <c r="G155" s="13">
        <v>1</v>
      </c>
      <c r="I155" s="13">
        <v>1</v>
      </c>
      <c r="J155" s="13">
        <v>1</v>
      </c>
      <c r="K155" s="13">
        <v>1</v>
      </c>
      <c r="L155" s="13">
        <v>1</v>
      </c>
      <c r="M155" s="13">
        <v>1</v>
      </c>
      <c r="N155" s="13">
        <v>1</v>
      </c>
      <c r="O155" s="13">
        <v>1</v>
      </c>
      <c r="P155" s="13">
        <v>1</v>
      </c>
      <c r="R155" s="11" t="str">
        <f t="shared" si="3"/>
        <v>preston@indianpacificfm.com.au;</v>
      </c>
    </row>
    <row r="156" spans="2:18" x14ac:dyDescent="0.2">
      <c r="B156" s="11" t="s">
        <v>601</v>
      </c>
      <c r="C156" s="11" t="s">
        <v>599</v>
      </c>
      <c r="F156" s="12" t="s">
        <v>600</v>
      </c>
      <c r="G156" s="13">
        <v>1</v>
      </c>
      <c r="I156" s="13">
        <v>1</v>
      </c>
      <c r="J156" s="13">
        <v>1</v>
      </c>
      <c r="K156" s="13">
        <v>1</v>
      </c>
      <c r="L156" s="13">
        <v>1</v>
      </c>
      <c r="M156" s="13">
        <v>1</v>
      </c>
      <c r="N156" s="13">
        <v>1</v>
      </c>
      <c r="O156" s="13">
        <v>1</v>
      </c>
      <c r="P156" s="13">
        <v>1</v>
      </c>
      <c r="R156" s="11" t="str">
        <f t="shared" si="3"/>
        <v>osvaldo.acosta@ioof.com.au;</v>
      </c>
    </row>
    <row r="157" spans="2:18" x14ac:dyDescent="0.2">
      <c r="B157" s="11" t="s">
        <v>80</v>
      </c>
      <c r="C157" s="11" t="s">
        <v>82</v>
      </c>
      <c r="F157" s="11" t="s">
        <v>81</v>
      </c>
      <c r="G157" s="13">
        <v>1</v>
      </c>
      <c r="I157" s="13">
        <v>1</v>
      </c>
      <c r="J157" s="13">
        <v>1</v>
      </c>
      <c r="K157" s="13">
        <v>1</v>
      </c>
      <c r="L157" s="13">
        <v>1</v>
      </c>
      <c r="M157" s="13">
        <v>1</v>
      </c>
      <c r="N157" s="13">
        <v>1</v>
      </c>
      <c r="O157" s="13">
        <v>1</v>
      </c>
      <c r="P157" s="13">
        <v>1</v>
      </c>
      <c r="R157" s="11" t="str">
        <f t="shared" si="3"/>
        <v>bruce.du@iml.com.au;</v>
      </c>
    </row>
    <row r="158" spans="2:18" x14ac:dyDescent="0.2">
      <c r="B158" s="11" t="s">
        <v>286</v>
      </c>
      <c r="C158" s="11" t="s">
        <v>82</v>
      </c>
      <c r="F158" s="12" t="s">
        <v>287</v>
      </c>
      <c r="G158" s="13">
        <v>1</v>
      </c>
      <c r="I158" s="13">
        <v>1</v>
      </c>
      <c r="J158" s="13">
        <v>1</v>
      </c>
      <c r="K158" s="13">
        <v>1</v>
      </c>
      <c r="L158" s="13">
        <v>1</v>
      </c>
      <c r="M158" s="13">
        <v>1</v>
      </c>
      <c r="N158" s="13">
        <v>1</v>
      </c>
      <c r="O158" s="13">
        <v>1</v>
      </c>
      <c r="P158" s="13">
        <v>1</v>
      </c>
      <c r="R158" s="11" t="str">
        <f t="shared" si="3"/>
        <v>hugh.giddy@iml.com.au;</v>
      </c>
    </row>
    <row r="159" spans="2:18" x14ac:dyDescent="0.2">
      <c r="B159" s="11" t="s">
        <v>640</v>
      </c>
      <c r="C159" s="11" t="s">
        <v>82</v>
      </c>
      <c r="F159" s="12" t="s">
        <v>639</v>
      </c>
      <c r="G159" s="13">
        <v>1</v>
      </c>
      <c r="I159" s="13">
        <v>1</v>
      </c>
      <c r="J159" s="13">
        <v>1</v>
      </c>
      <c r="K159" s="13">
        <v>1</v>
      </c>
      <c r="L159" s="13">
        <v>1</v>
      </c>
      <c r="M159" s="13">
        <v>1</v>
      </c>
      <c r="N159" s="13">
        <v>1</v>
      </c>
      <c r="O159" s="13">
        <v>1</v>
      </c>
      <c r="P159" s="13">
        <v>1</v>
      </c>
      <c r="R159" s="11" t="str">
        <f t="shared" si="3"/>
        <v>marc.whittaker@iml.com.au;</v>
      </c>
    </row>
    <row r="160" spans="2:18" x14ac:dyDescent="0.2">
      <c r="B160" s="11" t="s">
        <v>417</v>
      </c>
      <c r="C160" s="11" t="s">
        <v>82</v>
      </c>
      <c r="F160" s="12" t="s">
        <v>418</v>
      </c>
      <c r="G160" s="13">
        <v>1</v>
      </c>
      <c r="I160" s="13">
        <v>1</v>
      </c>
      <c r="J160" s="13">
        <v>1</v>
      </c>
      <c r="K160" s="13">
        <v>1</v>
      </c>
      <c r="L160" s="13">
        <v>1</v>
      </c>
      <c r="M160" s="13">
        <v>1</v>
      </c>
      <c r="N160" s="13">
        <v>1</v>
      </c>
      <c r="O160" s="13">
        <v>1</v>
      </c>
      <c r="P160" s="13">
        <v>1</v>
      </c>
      <c r="R160" s="11" t="str">
        <f t="shared" si="3"/>
        <v>john.parathyras@iml.com.au;</v>
      </c>
    </row>
    <row r="161" spans="2:18" x14ac:dyDescent="0.2">
      <c r="B161" s="11" t="s">
        <v>52</v>
      </c>
      <c r="C161" s="11" t="s">
        <v>54</v>
      </c>
      <c r="F161" s="12" t="s">
        <v>53</v>
      </c>
      <c r="G161" s="13">
        <v>1</v>
      </c>
      <c r="I161" s="13">
        <v>1</v>
      </c>
      <c r="J161" s="13">
        <v>1</v>
      </c>
      <c r="K161" s="13">
        <v>1</v>
      </c>
      <c r="L161" s="13">
        <v>1</v>
      </c>
      <c r="M161" s="13">
        <v>1</v>
      </c>
      <c r="N161" s="13">
        <v>1</v>
      </c>
      <c r="O161" s="13">
        <v>1</v>
      </c>
      <c r="P161" s="13">
        <v>1</v>
      </c>
      <c r="R161" s="11" t="str">
        <f t="shared" si="3"/>
        <v>james.gunn@janchorpartners.com;</v>
      </c>
    </row>
    <row r="162" spans="2:18" x14ac:dyDescent="0.2">
      <c r="B162" s="11" t="s">
        <v>2139</v>
      </c>
      <c r="C162" s="11" t="s">
        <v>54</v>
      </c>
      <c r="F162" s="12" t="s">
        <v>2140</v>
      </c>
      <c r="G162" s="13">
        <v>1</v>
      </c>
      <c r="I162" s="13">
        <v>1</v>
      </c>
      <c r="J162" s="13">
        <v>1</v>
      </c>
      <c r="K162" s="13">
        <v>1</v>
      </c>
      <c r="L162" s="13">
        <v>1</v>
      </c>
      <c r="M162" s="13">
        <v>1</v>
      </c>
      <c r="N162" s="13">
        <v>1</v>
      </c>
      <c r="O162" s="13">
        <v>1</v>
      </c>
      <c r="P162" s="13">
        <v>1</v>
      </c>
      <c r="R162" s="11" t="str">
        <f t="shared" ref="R162" si="4">F162&amp;";"</f>
        <v>victor.yan@janchorpartners.com;</v>
      </c>
    </row>
    <row r="163" spans="2:18" x14ac:dyDescent="0.2">
      <c r="B163" s="11" t="s">
        <v>429</v>
      </c>
      <c r="C163" s="11" t="s">
        <v>431</v>
      </c>
      <c r="F163" s="12" t="s">
        <v>430</v>
      </c>
      <c r="G163" s="13">
        <v>1</v>
      </c>
      <c r="I163" s="13">
        <v>1</v>
      </c>
      <c r="J163" s="13">
        <v>1</v>
      </c>
      <c r="K163" s="13">
        <v>1</v>
      </c>
      <c r="L163" s="13">
        <v>1</v>
      </c>
      <c r="M163" s="13">
        <v>1</v>
      </c>
      <c r="N163" s="13">
        <v>1</v>
      </c>
      <c r="O163" s="13">
        <v>1</v>
      </c>
      <c r="P163" s="13">
        <v>1</v>
      </c>
      <c r="R163" s="11" t="str">
        <f t="shared" si="3"/>
        <v>joanna.wh.kwok@jpmorgan.com;</v>
      </c>
    </row>
    <row r="164" spans="2:18" x14ac:dyDescent="0.2">
      <c r="B164" s="11" t="s">
        <v>786</v>
      </c>
      <c r="C164" s="11" t="s">
        <v>784</v>
      </c>
      <c r="F164" s="12" t="s">
        <v>785</v>
      </c>
      <c r="G164" s="13">
        <v>1</v>
      </c>
      <c r="I164" s="13">
        <v>1</v>
      </c>
      <c r="J164" s="13">
        <v>1</v>
      </c>
      <c r="K164" s="13">
        <v>1</v>
      </c>
      <c r="L164" s="13">
        <v>1</v>
      </c>
      <c r="M164" s="13">
        <v>1</v>
      </c>
      <c r="N164" s="13">
        <v>1</v>
      </c>
      <c r="O164" s="13">
        <v>1</v>
      </c>
      <c r="P164" s="13">
        <v>1</v>
      </c>
      <c r="R164" s="11" t="str">
        <f t="shared" si="3"/>
        <v>mb@kardiniacapital.com.au;</v>
      </c>
    </row>
    <row r="165" spans="2:18" x14ac:dyDescent="0.2">
      <c r="B165" s="11" t="s">
        <v>206</v>
      </c>
      <c r="C165" s="11" t="s">
        <v>208</v>
      </c>
      <c r="F165" s="12" t="s">
        <v>207</v>
      </c>
      <c r="G165" s="13">
        <v>1</v>
      </c>
      <c r="I165" s="13">
        <v>1</v>
      </c>
      <c r="J165" s="13">
        <v>1</v>
      </c>
      <c r="K165" s="13">
        <v>1</v>
      </c>
      <c r="L165" s="13">
        <v>1</v>
      </c>
      <c r="M165" s="13">
        <v>1</v>
      </c>
      <c r="N165" s="13">
        <v>1</v>
      </c>
      <c r="O165" s="13">
        <v>1</v>
      </c>
      <c r="P165" s="13">
        <v>1</v>
      </c>
      <c r="R165" s="11" t="str">
        <f t="shared" si="3"/>
        <v>tkent@kentprivatewealth.com.au;</v>
      </c>
    </row>
    <row r="166" spans="2:18" x14ac:dyDescent="0.2">
      <c r="B166" s="11" t="s">
        <v>422</v>
      </c>
      <c r="C166" s="11" t="s">
        <v>1048</v>
      </c>
      <c r="F166" s="12" t="s">
        <v>423</v>
      </c>
      <c r="G166" s="13">
        <v>1</v>
      </c>
      <c r="I166" s="13">
        <v>1</v>
      </c>
      <c r="J166" s="13">
        <v>1</v>
      </c>
      <c r="K166" s="13">
        <v>1</v>
      </c>
      <c r="L166" s="13">
        <v>1</v>
      </c>
      <c r="M166" s="13">
        <v>1</v>
      </c>
      <c r="N166" s="13">
        <v>1</v>
      </c>
      <c r="O166" s="13">
        <v>1</v>
      </c>
      <c r="P166" s="13">
        <v>1</v>
      </c>
      <c r="R166" s="11" t="str">
        <f t="shared" si="3"/>
        <v>mark.skocic@mutualtrust.com.au;</v>
      </c>
    </row>
    <row r="167" spans="2:18" x14ac:dyDescent="0.2">
      <c r="B167" s="11" t="s">
        <v>916</v>
      </c>
      <c r="C167" s="11" t="s">
        <v>561</v>
      </c>
      <c r="F167" s="12" t="s">
        <v>915</v>
      </c>
      <c r="G167" s="13">
        <v>1</v>
      </c>
      <c r="I167" s="13">
        <v>1</v>
      </c>
      <c r="J167" s="13">
        <v>1</v>
      </c>
      <c r="K167" s="13">
        <v>1</v>
      </c>
      <c r="L167" s="13">
        <v>1</v>
      </c>
      <c r="M167" s="13">
        <v>1</v>
      </c>
      <c r="N167" s="13">
        <v>1</v>
      </c>
      <c r="O167" s="13">
        <v>1</v>
      </c>
      <c r="P167" s="13">
        <v>1</v>
      </c>
      <c r="R167" s="11" t="str">
        <f t="shared" si="3"/>
        <v>jack.cronan@thorney.com.au;</v>
      </c>
    </row>
    <row r="168" spans="2:18" x14ac:dyDescent="0.2">
      <c r="B168" s="11" t="s">
        <v>702</v>
      </c>
      <c r="C168" s="11" t="s">
        <v>424</v>
      </c>
      <c r="F168" s="12" t="s">
        <v>701</v>
      </c>
      <c r="G168" s="13">
        <v>1</v>
      </c>
      <c r="I168" s="13">
        <v>1</v>
      </c>
      <c r="J168" s="13">
        <v>1</v>
      </c>
      <c r="K168" s="13">
        <v>1</v>
      </c>
      <c r="L168" s="13">
        <v>1</v>
      </c>
      <c r="M168" s="13">
        <v>1</v>
      </c>
      <c r="N168" s="13">
        <v>1</v>
      </c>
      <c r="O168" s="13">
        <v>1</v>
      </c>
      <c r="P168" s="13">
        <v>1</v>
      </c>
      <c r="R168" s="11" t="str">
        <f t="shared" si="3"/>
        <v>rsharp@kineticip.com.au;</v>
      </c>
    </row>
    <row r="169" spans="2:18" x14ac:dyDescent="0.2">
      <c r="B169" s="11" t="s">
        <v>682</v>
      </c>
      <c r="C169" s="11" t="s">
        <v>424</v>
      </c>
      <c r="F169" s="12" t="s">
        <v>681</v>
      </c>
      <c r="G169" s="13">
        <v>1</v>
      </c>
      <c r="I169" s="13">
        <v>1</v>
      </c>
      <c r="J169" s="13">
        <v>1</v>
      </c>
      <c r="K169" s="13">
        <v>1</v>
      </c>
      <c r="L169" s="13">
        <v>1</v>
      </c>
      <c r="M169" s="13">
        <v>1</v>
      </c>
      <c r="N169" s="13">
        <v>1</v>
      </c>
      <c r="O169" s="13">
        <v>1</v>
      </c>
      <c r="P169" s="13">
        <v>1</v>
      </c>
      <c r="R169" s="11" t="str">
        <f t="shared" si="3"/>
        <v>jfindlay@kineticip.com.au;</v>
      </c>
    </row>
    <row r="170" spans="2:18" x14ac:dyDescent="0.2">
      <c r="B170" s="11" t="s">
        <v>21</v>
      </c>
      <c r="C170" s="11" t="s">
        <v>23</v>
      </c>
      <c r="F170" s="12" t="s">
        <v>22</v>
      </c>
      <c r="G170" s="13">
        <v>1</v>
      </c>
      <c r="I170" s="13">
        <v>1</v>
      </c>
      <c r="J170" s="13">
        <v>1</v>
      </c>
      <c r="K170" s="13">
        <v>1</v>
      </c>
      <c r="L170" s="13">
        <v>1</v>
      </c>
      <c r="M170" s="13">
        <v>1</v>
      </c>
      <c r="N170" s="13">
        <v>1</v>
      </c>
      <c r="O170" s="13">
        <v>1</v>
      </c>
      <c r="P170" s="13">
        <v>1</v>
      </c>
      <c r="R170" s="11" t="str">
        <f t="shared" si="3"/>
        <v>jhawkins@l1catalyst.com.au;</v>
      </c>
    </row>
    <row r="171" spans="2:18" x14ac:dyDescent="0.2">
      <c r="B171" s="11" t="s">
        <v>123</v>
      </c>
      <c r="C171" s="11" t="s">
        <v>23</v>
      </c>
      <c r="F171" s="12" t="s">
        <v>124</v>
      </c>
      <c r="G171" s="13">
        <v>1</v>
      </c>
      <c r="I171" s="13">
        <v>1</v>
      </c>
      <c r="J171" s="13">
        <v>1</v>
      </c>
      <c r="K171" s="13">
        <v>1</v>
      </c>
      <c r="L171" s="13">
        <v>1</v>
      </c>
      <c r="M171" s="13">
        <v>1</v>
      </c>
      <c r="N171" s="13">
        <v>1</v>
      </c>
      <c r="O171" s="13">
        <v>1</v>
      </c>
      <c r="P171" s="13">
        <v>1</v>
      </c>
      <c r="R171" s="11" t="str">
        <f t="shared" si="3"/>
        <v>lmargolin@l1.com.au;</v>
      </c>
    </row>
    <row r="172" spans="2:18" x14ac:dyDescent="0.2">
      <c r="B172" s="11" t="s">
        <v>109</v>
      </c>
      <c r="C172" s="11" t="s">
        <v>23</v>
      </c>
      <c r="F172" s="12" t="s">
        <v>110</v>
      </c>
      <c r="G172" s="13">
        <v>1</v>
      </c>
      <c r="I172" s="13">
        <v>1</v>
      </c>
      <c r="J172" s="13">
        <v>1</v>
      </c>
      <c r="K172" s="13">
        <v>1</v>
      </c>
      <c r="L172" s="13">
        <v>1</v>
      </c>
      <c r="M172" s="13">
        <v>1</v>
      </c>
      <c r="N172" s="13">
        <v>1</v>
      </c>
      <c r="O172" s="13">
        <v>1</v>
      </c>
      <c r="P172" s="13">
        <v>1</v>
      </c>
      <c r="R172" s="11" t="str">
        <f t="shared" si="3"/>
        <v>mlandau@l1.com.au;</v>
      </c>
    </row>
    <row r="173" spans="2:18" x14ac:dyDescent="0.2">
      <c r="B173" s="11" t="s">
        <v>898</v>
      </c>
      <c r="C173" s="11" t="s">
        <v>23</v>
      </c>
      <c r="F173" s="12" t="s">
        <v>897</v>
      </c>
      <c r="G173" s="13">
        <v>1</v>
      </c>
      <c r="I173" s="13">
        <v>1</v>
      </c>
      <c r="J173" s="13">
        <v>1</v>
      </c>
      <c r="K173" s="13">
        <v>1</v>
      </c>
      <c r="L173" s="13">
        <v>1</v>
      </c>
      <c r="M173" s="13">
        <v>1</v>
      </c>
      <c r="N173" s="13">
        <v>1</v>
      </c>
      <c r="O173" s="13">
        <v>1</v>
      </c>
      <c r="P173" s="13">
        <v>1</v>
      </c>
      <c r="R173" s="11" t="str">
        <f t="shared" si="3"/>
        <v>rlamm@l1.com.au;</v>
      </c>
    </row>
    <row r="174" spans="2:18" x14ac:dyDescent="0.2">
      <c r="B174" s="11" t="s">
        <v>158</v>
      </c>
      <c r="C174" s="11" t="s">
        <v>23</v>
      </c>
      <c r="F174" s="12" t="s">
        <v>159</v>
      </c>
      <c r="G174" s="13">
        <v>1</v>
      </c>
      <c r="I174" s="13">
        <v>1</v>
      </c>
      <c r="J174" s="13">
        <v>1</v>
      </c>
      <c r="K174" s="13">
        <v>1</v>
      </c>
      <c r="L174" s="13">
        <v>1</v>
      </c>
      <c r="M174" s="13">
        <v>1</v>
      </c>
      <c r="N174" s="13">
        <v>1</v>
      </c>
      <c r="O174" s="13">
        <v>1</v>
      </c>
      <c r="P174" s="13">
        <v>1</v>
      </c>
      <c r="R174" s="11" t="str">
        <f t="shared" si="3"/>
        <v>alevy@l1.com.au;</v>
      </c>
    </row>
    <row r="175" spans="2:18" x14ac:dyDescent="0.2">
      <c r="B175" s="11" t="s">
        <v>408</v>
      </c>
      <c r="C175" s="11" t="s">
        <v>23</v>
      </c>
      <c r="F175" s="12" t="s">
        <v>409</v>
      </c>
      <c r="G175" s="13">
        <v>1</v>
      </c>
      <c r="I175" s="13">
        <v>1</v>
      </c>
      <c r="J175" s="13">
        <v>1</v>
      </c>
      <c r="K175" s="13">
        <v>1</v>
      </c>
      <c r="L175" s="13">
        <v>1</v>
      </c>
      <c r="M175" s="13">
        <v>1</v>
      </c>
      <c r="N175" s="13">
        <v>1</v>
      </c>
      <c r="O175" s="13">
        <v>1</v>
      </c>
      <c r="P175" s="13">
        <v>1</v>
      </c>
      <c r="R175" s="11" t="str">
        <f t="shared" si="3"/>
        <v>anaik@l1.com.au;</v>
      </c>
    </row>
    <row r="176" spans="2:18" x14ac:dyDescent="0.2">
      <c r="B176" s="11" t="s">
        <v>77</v>
      </c>
      <c r="C176" s="11" t="s">
        <v>79</v>
      </c>
      <c r="F176" s="12" t="s">
        <v>78</v>
      </c>
      <c r="G176" s="13">
        <v>1</v>
      </c>
      <c r="I176" s="13">
        <v>1</v>
      </c>
      <c r="J176" s="13">
        <v>1</v>
      </c>
      <c r="K176" s="13">
        <v>1</v>
      </c>
      <c r="L176" s="13">
        <v>1</v>
      </c>
      <c r="M176" s="13">
        <v>1</v>
      </c>
      <c r="N176" s="13">
        <v>1</v>
      </c>
      <c r="O176" s="13">
        <v>1</v>
      </c>
      <c r="P176" s="13">
        <v>1</v>
      </c>
      <c r="R176" s="11" t="str">
        <f t="shared" si="3"/>
        <v>tim.zhao@lazard.com;</v>
      </c>
    </row>
    <row r="177" spans="2:18" x14ac:dyDescent="0.2">
      <c r="B177" s="11" t="s">
        <v>107</v>
      </c>
      <c r="C177" s="11" t="s">
        <v>79</v>
      </c>
      <c r="F177" s="12" t="s">
        <v>108</v>
      </c>
      <c r="G177" s="13">
        <v>1</v>
      </c>
      <c r="I177" s="13">
        <v>1</v>
      </c>
      <c r="J177" s="13">
        <v>1</v>
      </c>
      <c r="K177" s="13">
        <v>1</v>
      </c>
      <c r="L177" s="13">
        <v>1</v>
      </c>
      <c r="M177" s="13">
        <v>1</v>
      </c>
      <c r="N177" s="13">
        <v>1</v>
      </c>
      <c r="O177" s="13">
        <v>1</v>
      </c>
      <c r="P177" s="13">
        <v>1</v>
      </c>
      <c r="R177" s="11" t="str">
        <f t="shared" si="3"/>
        <v>rob.osborn@lazard.com;</v>
      </c>
    </row>
    <row r="178" spans="2:18" x14ac:dyDescent="0.2">
      <c r="B178" s="11" t="s">
        <v>268</v>
      </c>
      <c r="C178" s="11" t="s">
        <v>971</v>
      </c>
      <c r="F178" s="12" t="s">
        <v>269</v>
      </c>
      <c r="G178" s="13">
        <v>1</v>
      </c>
      <c r="I178" s="13">
        <v>1</v>
      </c>
      <c r="J178" s="13">
        <v>1</v>
      </c>
      <c r="K178" s="13">
        <v>1</v>
      </c>
      <c r="L178" s="13">
        <v>1</v>
      </c>
      <c r="M178" s="13">
        <v>1</v>
      </c>
      <c r="N178" s="13">
        <v>1</v>
      </c>
      <c r="O178" s="13">
        <v>1</v>
      </c>
      <c r="P178" s="13">
        <v>1</v>
      </c>
      <c r="R178" s="11" t="str">
        <f t="shared" si="3"/>
        <v>ppotts@martincurrie.com.au;</v>
      </c>
    </row>
    <row r="179" spans="2:18" x14ac:dyDescent="0.2">
      <c r="B179" s="11" t="s">
        <v>1036</v>
      </c>
      <c r="C179" s="11" t="s">
        <v>971</v>
      </c>
      <c r="F179" s="12" t="s">
        <v>1037</v>
      </c>
      <c r="G179" s="13">
        <v>1</v>
      </c>
      <c r="I179" s="13">
        <v>1</v>
      </c>
      <c r="J179" s="13">
        <v>1</v>
      </c>
      <c r="K179" s="13">
        <v>1</v>
      </c>
      <c r="L179" s="13">
        <v>1</v>
      </c>
      <c r="M179" s="13">
        <v>1</v>
      </c>
      <c r="N179" s="13">
        <v>1</v>
      </c>
      <c r="O179" s="13">
        <v>1</v>
      </c>
      <c r="P179" s="13">
        <v>1</v>
      </c>
      <c r="R179" s="11" t="str">
        <f t="shared" si="3"/>
        <v>rbirtles@martincurrie.com.au;</v>
      </c>
    </row>
    <row r="180" spans="2:18" x14ac:dyDescent="0.2">
      <c r="B180" s="11" t="s">
        <v>4</v>
      </c>
      <c r="C180" s="11" t="s">
        <v>6</v>
      </c>
      <c r="F180" s="12" t="s">
        <v>5</v>
      </c>
      <c r="G180" s="13">
        <v>1</v>
      </c>
      <c r="I180" s="13">
        <v>1</v>
      </c>
      <c r="J180" s="13">
        <v>1</v>
      </c>
      <c r="K180" s="13">
        <v>1</v>
      </c>
      <c r="L180" s="13">
        <v>1</v>
      </c>
      <c r="M180" s="13">
        <v>1</v>
      </c>
      <c r="N180" s="13">
        <v>1</v>
      </c>
      <c r="O180" s="13">
        <v>1</v>
      </c>
      <c r="P180" s="13">
        <v>1</v>
      </c>
      <c r="R180" s="11" t="str">
        <f t="shared" si="3"/>
        <v>smathews@lennoxcp.com.au;</v>
      </c>
    </row>
    <row r="181" spans="2:18" x14ac:dyDescent="0.2">
      <c r="B181" s="11" t="s">
        <v>224</v>
      </c>
      <c r="C181" s="11" t="s">
        <v>6</v>
      </c>
      <c r="F181" s="12" t="s">
        <v>225</v>
      </c>
      <c r="G181" s="13">
        <v>1</v>
      </c>
      <c r="I181" s="13">
        <v>1</v>
      </c>
      <c r="J181" s="13">
        <v>1</v>
      </c>
      <c r="K181" s="13">
        <v>1</v>
      </c>
      <c r="L181" s="13">
        <v>1</v>
      </c>
      <c r="M181" s="13">
        <v>1</v>
      </c>
      <c r="N181" s="13">
        <v>1</v>
      </c>
      <c r="O181" s="13">
        <v>1</v>
      </c>
      <c r="P181" s="13">
        <v>1</v>
      </c>
      <c r="R181" s="11" t="str">
        <f t="shared" si="3"/>
        <v>ldonohue@lennoxcapitalpartners.com.au;</v>
      </c>
    </row>
    <row r="182" spans="2:18" x14ac:dyDescent="0.2">
      <c r="B182" s="11" t="s">
        <v>231</v>
      </c>
      <c r="C182" s="11" t="s">
        <v>6</v>
      </c>
      <c r="F182" s="12" t="s">
        <v>232</v>
      </c>
      <c r="G182" s="13">
        <v>1</v>
      </c>
      <c r="I182" s="13">
        <v>1</v>
      </c>
      <c r="J182" s="13">
        <v>1</v>
      </c>
      <c r="K182" s="13">
        <v>1</v>
      </c>
      <c r="L182" s="13">
        <v>1</v>
      </c>
      <c r="M182" s="13">
        <v>1</v>
      </c>
      <c r="N182" s="13">
        <v>1</v>
      </c>
      <c r="O182" s="13">
        <v>1</v>
      </c>
      <c r="P182" s="13">
        <v>1</v>
      </c>
      <c r="R182" s="11" t="str">
        <f t="shared" si="3"/>
        <v>jdougherty@lennoxcapitalpartners.com.au;</v>
      </c>
    </row>
    <row r="183" spans="2:18" x14ac:dyDescent="0.2">
      <c r="B183" s="11" t="s">
        <v>791</v>
      </c>
      <c r="C183" s="11" t="s">
        <v>754</v>
      </c>
      <c r="F183" s="12" t="s">
        <v>790</v>
      </c>
      <c r="G183" s="13">
        <v>1</v>
      </c>
      <c r="I183" s="13">
        <v>1</v>
      </c>
      <c r="J183" s="13">
        <v>1</v>
      </c>
      <c r="K183" s="13">
        <v>1</v>
      </c>
      <c r="L183" s="13">
        <v>1</v>
      </c>
      <c r="M183" s="13">
        <v>1</v>
      </c>
      <c r="N183" s="13">
        <v>1</v>
      </c>
      <c r="O183" s="13">
        <v>1</v>
      </c>
      <c r="P183" s="13">
        <v>1</v>
      </c>
      <c r="R183" s="11" t="str">
        <f t="shared" si="3"/>
        <v>mswartz@lincolnindicators.com.au;</v>
      </c>
    </row>
    <row r="184" spans="2:18" x14ac:dyDescent="0.2">
      <c r="B184" s="11" t="s">
        <v>756</v>
      </c>
      <c r="C184" s="11" t="s">
        <v>754</v>
      </c>
      <c r="F184" s="12" t="s">
        <v>755</v>
      </c>
      <c r="G184" s="13">
        <v>1</v>
      </c>
      <c r="I184" s="13">
        <v>1</v>
      </c>
      <c r="J184" s="13">
        <v>1</v>
      </c>
      <c r="K184" s="13">
        <v>1</v>
      </c>
      <c r="L184" s="13">
        <v>1</v>
      </c>
      <c r="M184" s="13">
        <v>1</v>
      </c>
      <c r="N184" s="13">
        <v>1</v>
      </c>
      <c r="O184" s="13">
        <v>1</v>
      </c>
      <c r="P184" s="13">
        <v>1</v>
      </c>
      <c r="R184" s="11" t="str">
        <f t="shared" si="3"/>
        <v>jyin@lincolnindicators.com.au;</v>
      </c>
    </row>
    <row r="185" spans="2:18" x14ac:dyDescent="0.2">
      <c r="B185" s="11" t="s">
        <v>954</v>
      </c>
      <c r="C185" s="11" t="s">
        <v>952</v>
      </c>
      <c r="F185" s="12" t="s">
        <v>953</v>
      </c>
      <c r="G185" s="13">
        <v>1</v>
      </c>
      <c r="I185" s="13">
        <v>1</v>
      </c>
      <c r="J185" s="13">
        <v>1</v>
      </c>
      <c r="K185" s="13">
        <v>1</v>
      </c>
      <c r="L185" s="13">
        <v>1</v>
      </c>
      <c r="M185" s="13">
        <v>1</v>
      </c>
      <c r="N185" s="13">
        <v>1</v>
      </c>
      <c r="O185" s="13">
        <v>1</v>
      </c>
      <c r="P185" s="13">
        <v>1</v>
      </c>
      <c r="R185" s="11" t="str">
        <f t="shared" si="3"/>
        <v>nsladen@lsncapital.com.au;</v>
      </c>
    </row>
    <row r="186" spans="2:18" x14ac:dyDescent="0.2">
      <c r="B186" s="11" t="s">
        <v>33</v>
      </c>
      <c r="C186" s="11" t="s">
        <v>26</v>
      </c>
      <c r="F186" s="12" t="s">
        <v>34</v>
      </c>
      <c r="G186" s="13">
        <v>1</v>
      </c>
      <c r="I186" s="13">
        <v>1</v>
      </c>
      <c r="J186" s="13">
        <v>1</v>
      </c>
      <c r="K186" s="13">
        <v>1</v>
      </c>
      <c r="L186" s="13">
        <v>1</v>
      </c>
      <c r="M186" s="13">
        <v>1</v>
      </c>
      <c r="N186" s="13">
        <v>1</v>
      </c>
      <c r="O186" s="13">
        <v>1</v>
      </c>
      <c r="P186" s="13">
        <v>1</v>
      </c>
      <c r="R186" s="11" t="str">
        <f t="shared" si="3"/>
        <v>jeremy.hooper@macquarie.com;</v>
      </c>
    </row>
    <row r="187" spans="2:18" x14ac:dyDescent="0.2">
      <c r="B187" s="11" t="s">
        <v>598</v>
      </c>
      <c r="C187" s="11" t="s">
        <v>596</v>
      </c>
      <c r="F187" s="12" t="s">
        <v>597</v>
      </c>
      <c r="G187" s="13">
        <v>1</v>
      </c>
      <c r="I187" s="13">
        <v>1</v>
      </c>
      <c r="J187" s="13">
        <v>1</v>
      </c>
      <c r="K187" s="13">
        <v>1</v>
      </c>
      <c r="L187" s="13">
        <v>1</v>
      </c>
      <c r="M187" s="13">
        <v>1</v>
      </c>
      <c r="N187" s="13">
        <v>1</v>
      </c>
      <c r="O187" s="13">
        <v>1</v>
      </c>
      <c r="P187" s="13">
        <v>1</v>
      </c>
      <c r="R187" s="11" t="str">
        <f t="shared" si="3"/>
        <v>researchap@mwam.com;</v>
      </c>
    </row>
    <row r="188" spans="2:18" x14ac:dyDescent="0.2">
      <c r="B188" s="11" t="s">
        <v>522</v>
      </c>
      <c r="C188" s="11" t="s">
        <v>520</v>
      </c>
      <c r="F188" s="12" t="s">
        <v>521</v>
      </c>
      <c r="G188" s="13">
        <v>1</v>
      </c>
      <c r="I188" s="13">
        <v>1</v>
      </c>
      <c r="J188" s="13">
        <v>1</v>
      </c>
      <c r="K188" s="13">
        <v>1</v>
      </c>
      <c r="L188" s="13">
        <v>1</v>
      </c>
      <c r="M188" s="13">
        <v>1</v>
      </c>
      <c r="N188" s="13">
        <v>1</v>
      </c>
      <c r="O188" s="13">
        <v>1</v>
      </c>
      <c r="P188" s="13">
        <v>1</v>
      </c>
      <c r="R188" s="11" t="str">
        <f t="shared" si="3"/>
        <v>chrisartis@miesf.com.au;</v>
      </c>
    </row>
    <row r="189" spans="2:18" x14ac:dyDescent="0.2">
      <c r="B189" s="11" t="s">
        <v>36</v>
      </c>
      <c r="C189" s="11" t="s">
        <v>38</v>
      </c>
      <c r="F189" s="12" t="s">
        <v>37</v>
      </c>
      <c r="G189" s="13">
        <v>1</v>
      </c>
      <c r="I189" s="13">
        <v>1</v>
      </c>
      <c r="J189" s="13">
        <v>1</v>
      </c>
      <c r="K189" s="13">
        <v>1</v>
      </c>
      <c r="L189" s="13">
        <v>1</v>
      </c>
      <c r="M189" s="13">
        <v>1</v>
      </c>
      <c r="N189" s="13">
        <v>1</v>
      </c>
      <c r="O189" s="13">
        <v>1</v>
      </c>
      <c r="P189" s="13">
        <v>1</v>
      </c>
      <c r="R189" s="11" t="str">
        <f t="shared" si="3"/>
        <v>carlos.castillo@meliorim.com.au;</v>
      </c>
    </row>
    <row r="190" spans="2:18" x14ac:dyDescent="0.2">
      <c r="B190" s="11" t="s">
        <v>906</v>
      </c>
      <c r="C190" s="11" t="s">
        <v>38</v>
      </c>
      <c r="F190" s="12" t="s">
        <v>905</v>
      </c>
      <c r="G190" s="13">
        <v>1</v>
      </c>
      <c r="I190" s="13">
        <v>1</v>
      </c>
      <c r="J190" s="13">
        <v>1</v>
      </c>
      <c r="K190" s="13">
        <v>1</v>
      </c>
      <c r="L190" s="13">
        <v>1</v>
      </c>
      <c r="M190" s="13">
        <v>1</v>
      </c>
      <c r="N190" s="13">
        <v>1</v>
      </c>
      <c r="O190" s="13">
        <v>1</v>
      </c>
      <c r="P190" s="13">
        <v>1</v>
      </c>
      <c r="R190" s="11" t="str">
        <f t="shared" si="3"/>
        <v>tim.king@meliorim.com.au;</v>
      </c>
    </row>
    <row r="191" spans="2:18" x14ac:dyDescent="0.2">
      <c r="B191" s="11" t="s">
        <v>535</v>
      </c>
      <c r="C191" s="11" t="s">
        <v>38</v>
      </c>
      <c r="F191" s="12" t="s">
        <v>534</v>
      </c>
      <c r="G191" s="13">
        <v>1</v>
      </c>
      <c r="I191" s="13">
        <v>1</v>
      </c>
      <c r="J191" s="13">
        <v>1</v>
      </c>
      <c r="K191" s="13">
        <v>1</v>
      </c>
      <c r="L191" s="13">
        <v>1</v>
      </c>
      <c r="M191" s="13">
        <v>1</v>
      </c>
      <c r="N191" s="13">
        <v>1</v>
      </c>
      <c r="O191" s="13">
        <v>1</v>
      </c>
      <c r="P191" s="13">
        <v>1</v>
      </c>
      <c r="R191" s="11" t="str">
        <f t="shared" si="3"/>
        <v>julia.bailey@meliorim.com.au;</v>
      </c>
    </row>
    <row r="192" spans="2:18" x14ac:dyDescent="0.2">
      <c r="B192" s="11" t="s">
        <v>129</v>
      </c>
      <c r="C192" s="11" t="s">
        <v>131</v>
      </c>
      <c r="F192" s="12" t="s">
        <v>130</v>
      </c>
      <c r="G192" s="13">
        <v>1</v>
      </c>
      <c r="I192" s="13">
        <v>1</v>
      </c>
      <c r="J192" s="13">
        <v>1</v>
      </c>
      <c r="K192" s="13">
        <v>1</v>
      </c>
      <c r="L192" s="13">
        <v>1</v>
      </c>
      <c r="M192" s="13">
        <v>1</v>
      </c>
      <c r="N192" s="13">
        <v>1</v>
      </c>
      <c r="O192" s="13">
        <v>1</v>
      </c>
      <c r="P192" s="13">
        <v>1</v>
      </c>
      <c r="R192" s="11" t="str">
        <f t="shared" si="3"/>
        <v>hcarlisle@merloncapital.com;</v>
      </c>
    </row>
    <row r="193" spans="2:18" x14ac:dyDescent="0.2">
      <c r="B193" s="11" t="s">
        <v>2135</v>
      </c>
      <c r="C193" s="11" t="s">
        <v>131</v>
      </c>
      <c r="F193" s="12" t="s">
        <v>2134</v>
      </c>
      <c r="G193" s="13">
        <v>1</v>
      </c>
      <c r="I193" s="13">
        <v>1</v>
      </c>
      <c r="J193" s="13">
        <v>1</v>
      </c>
      <c r="K193" s="13">
        <v>1</v>
      </c>
      <c r="L193" s="13">
        <v>1</v>
      </c>
      <c r="M193" s="13">
        <v>1</v>
      </c>
      <c r="N193" s="13">
        <v>1</v>
      </c>
      <c r="O193" s="13">
        <v>1</v>
      </c>
      <c r="P193" s="13">
        <v>1</v>
      </c>
      <c r="R193" s="11" t="str">
        <f t="shared" ref="R193:R256" si="5">F193&amp;";"</f>
        <v>neil@merlonanalytics.com;</v>
      </c>
    </row>
    <row r="194" spans="2:18" x14ac:dyDescent="0.2">
      <c r="B194" s="11" t="s">
        <v>728</v>
      </c>
      <c r="C194" s="11" t="s">
        <v>726</v>
      </c>
      <c r="F194" s="12" t="s">
        <v>727</v>
      </c>
      <c r="G194" s="13">
        <v>1</v>
      </c>
      <c r="I194" s="13">
        <v>1</v>
      </c>
      <c r="J194" s="13">
        <v>1</v>
      </c>
      <c r="K194" s="13">
        <v>1</v>
      </c>
      <c r="L194" s="13">
        <v>1</v>
      </c>
      <c r="M194" s="13">
        <v>1</v>
      </c>
      <c r="N194" s="13">
        <v>1</v>
      </c>
      <c r="O194" s="13">
        <v>1</v>
      </c>
      <c r="P194" s="13">
        <v>1</v>
      </c>
      <c r="R194" s="11" t="str">
        <f t="shared" si="5"/>
        <v>adrian.redlich@merrickscapital.com;</v>
      </c>
    </row>
    <row r="195" spans="2:18" x14ac:dyDescent="0.2">
      <c r="B195" s="11" t="s">
        <v>720</v>
      </c>
      <c r="C195" s="11" t="s">
        <v>263</v>
      </c>
      <c r="F195" s="12" t="s">
        <v>719</v>
      </c>
      <c r="G195" s="13">
        <v>1</v>
      </c>
      <c r="I195" s="13">
        <v>1</v>
      </c>
      <c r="J195" s="13">
        <v>1</v>
      </c>
      <c r="K195" s="13">
        <v>1</v>
      </c>
      <c r="L195" s="13">
        <v>1</v>
      </c>
      <c r="M195" s="13">
        <v>1</v>
      </c>
      <c r="N195" s="13">
        <v>1</v>
      </c>
      <c r="O195" s="13">
        <v>1</v>
      </c>
      <c r="P195" s="13">
        <v>1</v>
      </c>
      <c r="R195" s="11" t="str">
        <f t="shared" si="5"/>
        <v>wcurtayne@milfordasset.com;</v>
      </c>
    </row>
    <row r="196" spans="2:18" x14ac:dyDescent="0.2">
      <c r="B196" s="11" t="s">
        <v>712</v>
      </c>
      <c r="C196" s="11" t="s">
        <v>263</v>
      </c>
      <c r="F196" s="12" t="s">
        <v>711</v>
      </c>
      <c r="G196" s="13">
        <v>1</v>
      </c>
      <c r="I196" s="13">
        <v>1</v>
      </c>
      <c r="J196" s="13">
        <v>1</v>
      </c>
      <c r="K196" s="13">
        <v>1</v>
      </c>
      <c r="L196" s="13">
        <v>1</v>
      </c>
      <c r="M196" s="13">
        <v>1</v>
      </c>
      <c r="N196" s="13">
        <v>1</v>
      </c>
      <c r="O196" s="13">
        <v>1</v>
      </c>
      <c r="P196" s="13">
        <v>1</v>
      </c>
      <c r="R196" s="11" t="str">
        <f t="shared" si="5"/>
        <v>mhiggins@milfordasset.com;</v>
      </c>
    </row>
    <row r="197" spans="2:18" x14ac:dyDescent="0.2">
      <c r="B197" s="11" t="s">
        <v>261</v>
      </c>
      <c r="C197" s="11" t="s">
        <v>263</v>
      </c>
      <c r="F197" s="12" t="s">
        <v>262</v>
      </c>
      <c r="G197" s="13">
        <v>1</v>
      </c>
      <c r="I197" s="13">
        <v>1</v>
      </c>
      <c r="J197" s="13">
        <v>1</v>
      </c>
      <c r="K197" s="13">
        <v>1</v>
      </c>
      <c r="L197" s="13">
        <v>1</v>
      </c>
      <c r="M197" s="13">
        <v>1</v>
      </c>
      <c r="N197" s="13">
        <v>1</v>
      </c>
      <c r="O197" s="13">
        <v>1</v>
      </c>
      <c r="P197" s="13">
        <v>1</v>
      </c>
      <c r="R197" s="11" t="str">
        <f t="shared" si="5"/>
        <v>rhoughton@milfordasset.com;</v>
      </c>
    </row>
    <row r="198" spans="2:18" x14ac:dyDescent="0.2">
      <c r="B198" s="11" t="s">
        <v>88</v>
      </c>
      <c r="C198" s="11" t="s">
        <v>90</v>
      </c>
      <c r="F198" s="12" t="s">
        <v>89</v>
      </c>
      <c r="G198" s="13">
        <v>1</v>
      </c>
      <c r="I198" s="13">
        <v>1</v>
      </c>
      <c r="J198" s="13">
        <v>1</v>
      </c>
      <c r="K198" s="13">
        <v>1</v>
      </c>
      <c r="L198" s="13">
        <v>1</v>
      </c>
      <c r="M198" s="13">
        <v>1</v>
      </c>
      <c r="N198" s="13">
        <v>1</v>
      </c>
      <c r="O198" s="13">
        <v>1</v>
      </c>
      <c r="P198" s="13">
        <v>1</v>
      </c>
      <c r="R198" s="11" t="str">
        <f t="shared" si="5"/>
        <v>michael.kelly@myerfamilyinvestments.com.au;</v>
      </c>
    </row>
    <row r="199" spans="2:18" x14ac:dyDescent="0.2">
      <c r="B199" s="11" t="s">
        <v>413</v>
      </c>
      <c r="C199" s="11" t="s">
        <v>260</v>
      </c>
      <c r="F199" s="12" t="s">
        <v>414</v>
      </c>
      <c r="G199" s="13">
        <v>1</v>
      </c>
      <c r="I199" s="13">
        <v>1</v>
      </c>
      <c r="J199" s="13">
        <v>1</v>
      </c>
      <c r="K199" s="13">
        <v>1</v>
      </c>
      <c r="L199" s="13">
        <v>1</v>
      </c>
      <c r="M199" s="13">
        <v>1</v>
      </c>
      <c r="N199" s="13">
        <v>1</v>
      </c>
      <c r="O199" s="13">
        <v>1</v>
      </c>
      <c r="P199" s="13">
        <v>1</v>
      </c>
      <c r="R199" s="11" t="str">
        <f t="shared" si="5"/>
        <v>peiting.liang@northcape.com.au;</v>
      </c>
    </row>
    <row r="200" spans="2:18" x14ac:dyDescent="0.2">
      <c r="B200" s="11" t="s">
        <v>830</v>
      </c>
      <c r="C200" s="11" t="s">
        <v>260</v>
      </c>
      <c r="F200" s="12" t="s">
        <v>829</v>
      </c>
      <c r="G200" s="13">
        <v>1</v>
      </c>
      <c r="I200" s="13">
        <v>1</v>
      </c>
      <c r="J200" s="13">
        <v>1</v>
      </c>
      <c r="K200" s="13">
        <v>1</v>
      </c>
      <c r="L200" s="13">
        <v>1</v>
      </c>
      <c r="M200" s="13">
        <v>1</v>
      </c>
      <c r="N200" s="13">
        <v>1</v>
      </c>
      <c r="O200" s="13">
        <v>1</v>
      </c>
      <c r="P200" s="13">
        <v>1</v>
      </c>
      <c r="R200" s="11" t="str">
        <f t="shared" si="5"/>
        <v>kevin.soo@northcape.com.au;</v>
      </c>
    </row>
    <row r="201" spans="2:18" x14ac:dyDescent="0.2">
      <c r="B201" s="11" t="s">
        <v>1030</v>
      </c>
      <c r="C201" s="11" t="s">
        <v>260</v>
      </c>
      <c r="F201" s="12" t="s">
        <v>1031</v>
      </c>
      <c r="G201" s="13">
        <v>1</v>
      </c>
      <c r="I201" s="13">
        <v>1</v>
      </c>
      <c r="J201" s="13">
        <v>1</v>
      </c>
      <c r="K201" s="13">
        <v>1</v>
      </c>
      <c r="L201" s="13">
        <v>1</v>
      </c>
      <c r="M201" s="13">
        <v>1</v>
      </c>
      <c r="N201" s="13">
        <v>1</v>
      </c>
      <c r="O201" s="13">
        <v>1</v>
      </c>
      <c r="P201" s="13">
        <v>1</v>
      </c>
      <c r="R201" s="11" t="str">
        <f t="shared" si="5"/>
        <v>paul.parsons@northcape.com.au;</v>
      </c>
    </row>
    <row r="202" spans="2:18" x14ac:dyDescent="0.2">
      <c r="B202" s="11" t="s">
        <v>74</v>
      </c>
      <c r="C202" s="11" t="s">
        <v>76</v>
      </c>
      <c r="F202" s="12" t="s">
        <v>75</v>
      </c>
      <c r="G202" s="13">
        <v>1</v>
      </c>
      <c r="I202" s="13">
        <v>1</v>
      </c>
      <c r="J202" s="13">
        <v>1</v>
      </c>
      <c r="K202" s="13">
        <v>1</v>
      </c>
      <c r="L202" s="13">
        <v>1</v>
      </c>
      <c r="M202" s="13">
        <v>1</v>
      </c>
      <c r="N202" s="13">
        <v>1</v>
      </c>
      <c r="O202" s="13">
        <v>1</v>
      </c>
      <c r="P202" s="13">
        <v>1</v>
      </c>
      <c r="R202" s="11" t="str">
        <f t="shared" si="5"/>
        <v>chris.mann@northendcapital.com.au;</v>
      </c>
    </row>
    <row r="203" spans="2:18" x14ac:dyDescent="0.2">
      <c r="B203" s="11" t="s">
        <v>819</v>
      </c>
      <c r="C203" s="11" t="s">
        <v>654</v>
      </c>
      <c r="F203" s="12" t="s">
        <v>818</v>
      </c>
      <c r="G203" s="13">
        <v>1</v>
      </c>
      <c r="I203" s="13">
        <v>1</v>
      </c>
      <c r="J203" s="13">
        <v>1</v>
      </c>
      <c r="K203" s="13">
        <v>1</v>
      </c>
      <c r="L203" s="13">
        <v>1</v>
      </c>
      <c r="M203" s="13">
        <v>1</v>
      </c>
      <c r="N203" s="13">
        <v>1</v>
      </c>
      <c r="O203" s="13">
        <v>1</v>
      </c>
      <c r="P203" s="13">
        <v>1</v>
      </c>
      <c r="R203" s="11" t="str">
        <f t="shared" si="5"/>
        <v>sevans@ocfunds.com.au;</v>
      </c>
    </row>
    <row r="204" spans="2:18" x14ac:dyDescent="0.2">
      <c r="B204" s="11" t="s">
        <v>810</v>
      </c>
      <c r="C204" s="11" t="s">
        <v>654</v>
      </c>
      <c r="F204" s="12" t="s">
        <v>809</v>
      </c>
      <c r="G204" s="13">
        <v>1</v>
      </c>
      <c r="I204" s="13">
        <v>1</v>
      </c>
      <c r="J204" s="13">
        <v>1</v>
      </c>
      <c r="K204" s="13">
        <v>1</v>
      </c>
      <c r="L204" s="13">
        <v>1</v>
      </c>
      <c r="M204" s="13">
        <v>1</v>
      </c>
      <c r="N204" s="13">
        <v>1</v>
      </c>
      <c r="O204" s="13">
        <v>1</v>
      </c>
      <c r="P204" s="13">
        <v>1</v>
      </c>
      <c r="R204" s="11" t="str">
        <f t="shared" si="5"/>
        <v>rfrost@ocfunds.com.au;</v>
      </c>
    </row>
    <row r="205" spans="2:18" x14ac:dyDescent="0.2">
      <c r="B205" s="11" t="s">
        <v>771</v>
      </c>
      <c r="C205" s="11" t="s">
        <v>654</v>
      </c>
      <c r="F205" s="12" t="s">
        <v>770</v>
      </c>
      <c r="G205" s="13">
        <v>1</v>
      </c>
      <c r="I205" s="13">
        <v>1</v>
      </c>
      <c r="J205" s="13">
        <v>1</v>
      </c>
      <c r="K205" s="13">
        <v>1</v>
      </c>
      <c r="L205" s="13">
        <v>1</v>
      </c>
      <c r="M205" s="13">
        <v>1</v>
      </c>
      <c r="N205" s="13">
        <v>1</v>
      </c>
      <c r="O205" s="13">
        <v>1</v>
      </c>
      <c r="P205" s="13">
        <v>1</v>
      </c>
      <c r="R205" s="11" t="str">
        <f t="shared" si="5"/>
        <v>dstein@ocfunds.com.au;</v>
      </c>
    </row>
    <row r="206" spans="2:18" x14ac:dyDescent="0.2">
      <c r="B206" s="11" t="s">
        <v>656</v>
      </c>
      <c r="C206" s="11" t="s">
        <v>654</v>
      </c>
      <c r="F206" s="12" t="s">
        <v>655</v>
      </c>
      <c r="G206" s="13">
        <v>1</v>
      </c>
      <c r="I206" s="13">
        <v>1</v>
      </c>
      <c r="J206" s="13">
        <v>1</v>
      </c>
      <c r="K206" s="13">
        <v>1</v>
      </c>
      <c r="L206" s="13">
        <v>1</v>
      </c>
      <c r="M206" s="13">
        <v>1</v>
      </c>
      <c r="N206" s="13">
        <v>1</v>
      </c>
      <c r="O206" s="13">
        <v>1</v>
      </c>
      <c r="P206" s="13">
        <v>1</v>
      </c>
      <c r="R206" s="11" t="str">
        <f t="shared" si="5"/>
        <v>rcalnon@ocfunds.com.au;</v>
      </c>
    </row>
    <row r="207" spans="2:18" x14ac:dyDescent="0.2">
      <c r="B207" s="11" t="s">
        <v>1003</v>
      </c>
      <c r="C207" s="11" t="s">
        <v>654</v>
      </c>
      <c r="F207" s="12" t="s">
        <v>1004</v>
      </c>
      <c r="G207" s="13">
        <v>1</v>
      </c>
      <c r="I207" s="13">
        <v>1</v>
      </c>
      <c r="J207" s="13">
        <v>1</v>
      </c>
      <c r="K207" s="13">
        <v>1</v>
      </c>
      <c r="L207" s="13">
        <v>1</v>
      </c>
      <c r="M207" s="13">
        <v>1</v>
      </c>
      <c r="N207" s="13">
        <v>1</v>
      </c>
      <c r="O207" s="13">
        <v>1</v>
      </c>
      <c r="P207" s="13">
        <v>1</v>
      </c>
      <c r="R207" s="11" t="str">
        <f t="shared" si="5"/>
        <v>nlucas@ocfunds.com.au;</v>
      </c>
    </row>
    <row r="208" spans="2:18" x14ac:dyDescent="0.2">
      <c r="B208" s="11" t="s">
        <v>1005</v>
      </c>
      <c r="C208" s="11" t="s">
        <v>654</v>
      </c>
      <c r="F208" s="12" t="s">
        <v>1006</v>
      </c>
      <c r="G208" s="13">
        <v>1</v>
      </c>
      <c r="I208" s="13">
        <v>1</v>
      </c>
      <c r="J208" s="13">
        <v>1</v>
      </c>
      <c r="K208" s="13">
        <v>1</v>
      </c>
      <c r="L208" s="13">
        <v>1</v>
      </c>
      <c r="M208" s="13">
        <v>1</v>
      </c>
      <c r="N208" s="13">
        <v>1</v>
      </c>
      <c r="O208" s="13">
        <v>1</v>
      </c>
      <c r="P208" s="13">
        <v>1</v>
      </c>
      <c r="R208" s="11" t="str">
        <f t="shared" si="5"/>
        <v>ayeoh@ocfunds.com.au;</v>
      </c>
    </row>
    <row r="209" spans="2:18" x14ac:dyDescent="0.2">
      <c r="B209" s="11" t="s">
        <v>330</v>
      </c>
      <c r="C209" s="11" t="s">
        <v>332</v>
      </c>
      <c r="F209" s="12" t="s">
        <v>331</v>
      </c>
      <c r="G209" s="13">
        <v>1</v>
      </c>
      <c r="I209" s="13">
        <v>1</v>
      </c>
      <c r="J209" s="13">
        <v>1</v>
      </c>
      <c r="K209" s="13">
        <v>1</v>
      </c>
      <c r="L209" s="13">
        <v>1</v>
      </c>
      <c r="M209" s="13">
        <v>1</v>
      </c>
      <c r="N209" s="13">
        <v>1</v>
      </c>
      <c r="O209" s="13">
        <v>1</v>
      </c>
      <c r="P209" s="13">
        <v>1</v>
      </c>
      <c r="R209" s="11" t="str">
        <f t="shared" si="5"/>
        <v>omkar.joshi@opal.capital;</v>
      </c>
    </row>
    <row r="210" spans="2:18" x14ac:dyDescent="0.2">
      <c r="B210" s="11" t="s">
        <v>1069</v>
      </c>
      <c r="C210" s="11" t="s">
        <v>332</v>
      </c>
      <c r="F210" s="12" t="s">
        <v>1999</v>
      </c>
      <c r="G210" s="13">
        <v>1</v>
      </c>
      <c r="I210" s="13">
        <v>1</v>
      </c>
      <c r="J210" s="13">
        <v>1</v>
      </c>
      <c r="K210" s="13">
        <v>1</v>
      </c>
      <c r="L210" s="13">
        <v>1</v>
      </c>
      <c r="M210" s="13">
        <v>1</v>
      </c>
      <c r="N210" s="13">
        <v>1</v>
      </c>
      <c r="O210" s="13">
        <v>1</v>
      </c>
      <c r="P210" s="13">
        <v>1</v>
      </c>
      <c r="R210" s="11" t="str">
        <f t="shared" si="5"/>
        <v>manho.lam@opal.capital;</v>
      </c>
    </row>
    <row r="211" spans="2:18" x14ac:dyDescent="0.2">
      <c r="B211" s="11" t="s">
        <v>404</v>
      </c>
      <c r="C211" s="11" t="s">
        <v>244</v>
      </c>
      <c r="F211" s="12" t="s">
        <v>405</v>
      </c>
      <c r="G211" s="13">
        <v>1</v>
      </c>
      <c r="I211" s="13">
        <v>1</v>
      </c>
      <c r="J211" s="13">
        <v>1</v>
      </c>
      <c r="K211" s="13">
        <v>1</v>
      </c>
      <c r="L211" s="13">
        <v>1</v>
      </c>
      <c r="M211" s="13">
        <v>1</v>
      </c>
      <c r="N211" s="13">
        <v>1</v>
      </c>
      <c r="O211" s="13">
        <v>1</v>
      </c>
      <c r="P211" s="13">
        <v>1</v>
      </c>
      <c r="R211" s="11" t="str">
        <f t="shared" si="5"/>
        <v>andrew.mitchell@ophiram.com;</v>
      </c>
    </row>
    <row r="212" spans="2:18" x14ac:dyDescent="0.2">
      <c r="B212" s="11" t="s">
        <v>242</v>
      </c>
      <c r="C212" s="11" t="s">
        <v>244</v>
      </c>
      <c r="F212" s="12" t="s">
        <v>243</v>
      </c>
      <c r="G212" s="13">
        <v>1</v>
      </c>
      <c r="I212" s="13">
        <v>1</v>
      </c>
      <c r="J212" s="13">
        <v>1</v>
      </c>
      <c r="K212" s="13">
        <v>1</v>
      </c>
      <c r="L212" s="13">
        <v>1</v>
      </c>
      <c r="M212" s="13">
        <v>1</v>
      </c>
      <c r="N212" s="13">
        <v>1</v>
      </c>
      <c r="O212" s="13">
        <v>1</v>
      </c>
      <c r="P212" s="13">
        <v>1</v>
      </c>
      <c r="R212" s="11" t="str">
        <f t="shared" si="5"/>
        <v>tim.mitchell@ophiram.com;</v>
      </c>
    </row>
    <row r="213" spans="2:18" x14ac:dyDescent="0.2">
      <c r="B213" s="11" t="s">
        <v>908</v>
      </c>
      <c r="C213" s="11" t="s">
        <v>244</v>
      </c>
      <c r="F213" s="12" t="s">
        <v>907</v>
      </c>
      <c r="G213" s="13">
        <v>1</v>
      </c>
      <c r="I213" s="13">
        <v>1</v>
      </c>
      <c r="J213" s="13">
        <v>1</v>
      </c>
      <c r="K213" s="13">
        <v>1</v>
      </c>
      <c r="L213" s="13">
        <v>1</v>
      </c>
      <c r="M213" s="13">
        <v>1</v>
      </c>
      <c r="N213" s="13">
        <v>1</v>
      </c>
      <c r="O213" s="13">
        <v>1</v>
      </c>
      <c r="P213" s="13">
        <v>1</v>
      </c>
      <c r="R213" s="11" t="str">
        <f t="shared" si="5"/>
        <v>tim.masters@ophiram.com;</v>
      </c>
    </row>
    <row r="214" spans="2:18" x14ac:dyDescent="0.2">
      <c r="B214" s="11" t="s">
        <v>338</v>
      </c>
      <c r="C214" s="11" t="s">
        <v>244</v>
      </c>
      <c r="F214" s="12" t="s">
        <v>339</v>
      </c>
      <c r="G214" s="13">
        <v>1</v>
      </c>
      <c r="I214" s="13">
        <v>1</v>
      </c>
      <c r="J214" s="13">
        <v>1</v>
      </c>
      <c r="K214" s="13">
        <v>1</v>
      </c>
      <c r="L214" s="13">
        <v>1</v>
      </c>
      <c r="M214" s="13">
        <v>1</v>
      </c>
      <c r="N214" s="13">
        <v>1</v>
      </c>
      <c r="O214" s="13">
        <v>1</v>
      </c>
      <c r="P214" s="13">
        <v>1</v>
      </c>
      <c r="R214" s="11" t="str">
        <f t="shared" si="5"/>
        <v>steven.ng@ophiram.com;</v>
      </c>
    </row>
    <row r="215" spans="2:18" x14ac:dyDescent="0.2">
      <c r="B215" s="11" t="s">
        <v>323</v>
      </c>
      <c r="C215" s="11" t="s">
        <v>113</v>
      </c>
      <c r="F215" s="12" t="s">
        <v>324</v>
      </c>
      <c r="G215" s="13">
        <v>1</v>
      </c>
      <c r="I215" s="13">
        <v>1</v>
      </c>
      <c r="J215" s="13">
        <v>1</v>
      </c>
      <c r="K215" s="13">
        <v>1</v>
      </c>
      <c r="L215" s="13">
        <v>1</v>
      </c>
      <c r="M215" s="13">
        <v>1</v>
      </c>
      <c r="N215" s="13">
        <v>1</v>
      </c>
      <c r="O215" s="13">
        <v>1</v>
      </c>
      <c r="P215" s="13">
        <v>1</v>
      </c>
      <c r="R215" s="11" t="str">
        <f t="shared" si="5"/>
        <v>tom.richardson@paradice.com;</v>
      </c>
    </row>
    <row r="216" spans="2:18" x14ac:dyDescent="0.2">
      <c r="B216" s="11" t="s">
        <v>896</v>
      </c>
      <c r="C216" s="11" t="s">
        <v>113</v>
      </c>
      <c r="F216" s="12" t="s">
        <v>895</v>
      </c>
      <c r="G216" s="13">
        <v>1</v>
      </c>
      <c r="I216" s="13">
        <v>1</v>
      </c>
      <c r="J216" s="13">
        <v>1</v>
      </c>
      <c r="K216" s="13">
        <v>1</v>
      </c>
      <c r="L216" s="13">
        <v>1</v>
      </c>
      <c r="M216" s="13">
        <v>1</v>
      </c>
      <c r="N216" s="13">
        <v>1</v>
      </c>
      <c r="O216" s="13">
        <v>1</v>
      </c>
      <c r="P216" s="13">
        <v>1</v>
      </c>
      <c r="R216" s="11" t="str">
        <f t="shared" si="5"/>
        <v>david.paradice@paradice.com;</v>
      </c>
    </row>
    <row r="217" spans="2:18" x14ac:dyDescent="0.2">
      <c r="B217" s="11" t="s">
        <v>894</v>
      </c>
      <c r="C217" s="11" t="s">
        <v>113</v>
      </c>
      <c r="F217" s="12" t="s">
        <v>893</v>
      </c>
      <c r="G217" s="13">
        <v>1</v>
      </c>
      <c r="I217" s="13">
        <v>1</v>
      </c>
      <c r="J217" s="13">
        <v>1</v>
      </c>
      <c r="K217" s="13">
        <v>1</v>
      </c>
      <c r="L217" s="13">
        <v>1</v>
      </c>
      <c r="M217" s="13">
        <v>1</v>
      </c>
      <c r="N217" s="13">
        <v>1</v>
      </c>
      <c r="O217" s="13">
        <v>1</v>
      </c>
      <c r="P217" s="13">
        <v>1</v>
      </c>
      <c r="R217" s="11" t="str">
        <f t="shared" si="5"/>
        <v>rishi.khilnani@paradice.com;</v>
      </c>
    </row>
    <row r="218" spans="2:18" x14ac:dyDescent="0.2">
      <c r="B218" s="11" t="s">
        <v>892</v>
      </c>
      <c r="C218" s="11" t="s">
        <v>113</v>
      </c>
      <c r="F218" s="12" t="s">
        <v>891</v>
      </c>
      <c r="G218" s="13">
        <v>1</v>
      </c>
      <c r="I218" s="13">
        <v>1</v>
      </c>
      <c r="J218" s="13">
        <v>1</v>
      </c>
      <c r="K218" s="13">
        <v>1</v>
      </c>
      <c r="L218" s="13">
        <v>1</v>
      </c>
      <c r="M218" s="13">
        <v>1</v>
      </c>
      <c r="N218" s="13">
        <v>1</v>
      </c>
      <c r="O218" s="13">
        <v>1</v>
      </c>
      <c r="P218" s="13">
        <v>1</v>
      </c>
      <c r="R218" s="11" t="str">
        <f t="shared" si="5"/>
        <v>adam.harvey@paradice.com;</v>
      </c>
    </row>
    <row r="219" spans="2:18" x14ac:dyDescent="0.2">
      <c r="B219" s="11" t="s">
        <v>171</v>
      </c>
      <c r="C219" s="11" t="s">
        <v>113</v>
      </c>
      <c r="F219" s="12" t="s">
        <v>172</v>
      </c>
      <c r="G219" s="13">
        <v>1</v>
      </c>
      <c r="I219" s="13">
        <v>1</v>
      </c>
      <c r="J219" s="13">
        <v>1</v>
      </c>
      <c r="K219" s="13">
        <v>1</v>
      </c>
      <c r="L219" s="13">
        <v>1</v>
      </c>
      <c r="M219" s="13">
        <v>1</v>
      </c>
      <c r="N219" s="13">
        <v>1</v>
      </c>
      <c r="O219" s="13">
        <v>1</v>
      </c>
      <c r="P219" s="13">
        <v>1</v>
      </c>
      <c r="R219" s="11" t="str">
        <f t="shared" si="5"/>
        <v>matthew.riordan@paradice.com;</v>
      </c>
    </row>
    <row r="220" spans="2:18" x14ac:dyDescent="0.2">
      <c r="B220" s="11" t="s">
        <v>1093</v>
      </c>
      <c r="C220" s="11" t="s">
        <v>113</v>
      </c>
      <c r="F220" s="12" t="s">
        <v>1092</v>
      </c>
      <c r="G220" s="13">
        <v>1</v>
      </c>
      <c r="I220" s="13">
        <v>1</v>
      </c>
      <c r="J220" s="13">
        <v>1</v>
      </c>
      <c r="K220" s="13">
        <v>1</v>
      </c>
      <c r="L220" s="13">
        <v>1</v>
      </c>
      <c r="M220" s="13">
        <v>1</v>
      </c>
      <c r="N220" s="13">
        <v>1</v>
      </c>
      <c r="O220" s="13">
        <v>1</v>
      </c>
      <c r="P220" s="13">
        <v>1</v>
      </c>
      <c r="R220" s="11" t="str">
        <f t="shared" si="5"/>
        <v>david.feng@paradice.com;</v>
      </c>
    </row>
    <row r="221" spans="2:18" x14ac:dyDescent="0.2">
      <c r="B221" s="11" t="s">
        <v>853</v>
      </c>
      <c r="C221" s="11" t="s">
        <v>113</v>
      </c>
      <c r="F221" s="12" t="s">
        <v>852</v>
      </c>
      <c r="G221" s="13">
        <v>1</v>
      </c>
      <c r="I221" s="13">
        <v>1</v>
      </c>
      <c r="J221" s="13">
        <v>1</v>
      </c>
      <c r="K221" s="13">
        <v>1</v>
      </c>
      <c r="L221" s="13">
        <v>1</v>
      </c>
      <c r="M221" s="13">
        <v>1</v>
      </c>
      <c r="N221" s="13">
        <v>1</v>
      </c>
      <c r="O221" s="13">
        <v>1</v>
      </c>
      <c r="P221" s="13">
        <v>1</v>
      </c>
      <c r="R221" s="11" t="str">
        <f t="shared" si="5"/>
        <v>nick.press@paradice.com;</v>
      </c>
    </row>
    <row r="222" spans="2:18" x14ac:dyDescent="0.2">
      <c r="B222" s="11" t="s">
        <v>849</v>
      </c>
      <c r="C222" s="11" t="s">
        <v>113</v>
      </c>
      <c r="F222" s="12" t="s">
        <v>848</v>
      </c>
      <c r="G222" s="13">
        <v>1</v>
      </c>
      <c r="I222" s="13">
        <v>1</v>
      </c>
      <c r="J222" s="13">
        <v>1</v>
      </c>
      <c r="K222" s="13">
        <v>1</v>
      </c>
      <c r="L222" s="13">
        <v>1</v>
      </c>
      <c r="M222" s="13">
        <v>1</v>
      </c>
      <c r="N222" s="13">
        <v>1</v>
      </c>
      <c r="O222" s="13">
        <v>1</v>
      </c>
      <c r="P222" s="13">
        <v>1</v>
      </c>
      <c r="R222" s="11" t="str">
        <f t="shared" si="5"/>
        <v>david.tran@paradice.com;</v>
      </c>
    </row>
    <row r="223" spans="2:18" x14ac:dyDescent="0.2">
      <c r="B223" s="11" t="s">
        <v>357</v>
      </c>
      <c r="C223" s="11" t="s">
        <v>113</v>
      </c>
      <c r="F223" s="12" t="s">
        <v>358</v>
      </c>
      <c r="G223" s="13">
        <v>1</v>
      </c>
      <c r="I223" s="13">
        <v>1</v>
      </c>
      <c r="J223" s="13">
        <v>1</v>
      </c>
      <c r="K223" s="13">
        <v>1</v>
      </c>
      <c r="L223" s="13">
        <v>1</v>
      </c>
      <c r="M223" s="13">
        <v>1</v>
      </c>
      <c r="N223" s="13">
        <v>1</v>
      </c>
      <c r="O223" s="13">
        <v>1</v>
      </c>
      <c r="P223" s="13">
        <v>1</v>
      </c>
      <c r="R223" s="11" t="str">
        <f t="shared" si="5"/>
        <v>philip.wensley@paradice.com;</v>
      </c>
    </row>
    <row r="224" spans="2:18" x14ac:dyDescent="0.2">
      <c r="B224" s="11" t="s">
        <v>553</v>
      </c>
      <c r="C224" s="11" t="s">
        <v>113</v>
      </c>
      <c r="F224" s="12" t="s">
        <v>552</v>
      </c>
      <c r="G224" s="13">
        <v>1</v>
      </c>
      <c r="I224" s="13">
        <v>1</v>
      </c>
      <c r="J224" s="13">
        <v>1</v>
      </c>
      <c r="K224" s="13">
        <v>1</v>
      </c>
      <c r="L224" s="13">
        <v>1</v>
      </c>
      <c r="M224" s="13">
        <v>1</v>
      </c>
      <c r="N224" s="13">
        <v>1</v>
      </c>
      <c r="O224" s="13">
        <v>1</v>
      </c>
      <c r="P224" s="13">
        <v>1</v>
      </c>
      <c r="R224" s="11" t="str">
        <f t="shared" si="5"/>
        <v>julia.weng@paradice.com;</v>
      </c>
    </row>
    <row r="225" spans="2:18" x14ac:dyDescent="0.2">
      <c r="B225" s="11" t="s">
        <v>511</v>
      </c>
      <c r="C225" s="11" t="s">
        <v>113</v>
      </c>
      <c r="F225" s="12" t="s">
        <v>510</v>
      </c>
      <c r="G225" s="13">
        <v>1</v>
      </c>
      <c r="I225" s="13">
        <v>1</v>
      </c>
      <c r="J225" s="13">
        <v>1</v>
      </c>
      <c r="K225" s="13">
        <v>1</v>
      </c>
      <c r="L225" s="13">
        <v>1</v>
      </c>
      <c r="M225" s="13">
        <v>1</v>
      </c>
      <c r="N225" s="13">
        <v>1</v>
      </c>
      <c r="O225" s="13">
        <v>1</v>
      </c>
      <c r="P225" s="13">
        <v>1</v>
      </c>
      <c r="R225" s="11" t="str">
        <f t="shared" si="5"/>
        <v>michael.peet@paradice.com;</v>
      </c>
    </row>
    <row r="226" spans="2:18" x14ac:dyDescent="0.2">
      <c r="B226" s="11" t="s">
        <v>980</v>
      </c>
      <c r="C226" s="11" t="s">
        <v>113</v>
      </c>
      <c r="F226" s="11" t="s">
        <v>979</v>
      </c>
      <c r="G226" s="13">
        <v>1</v>
      </c>
      <c r="I226" s="13">
        <v>1</v>
      </c>
      <c r="J226" s="13">
        <v>1</v>
      </c>
      <c r="K226" s="13">
        <v>1</v>
      </c>
      <c r="L226" s="13">
        <v>1</v>
      </c>
      <c r="M226" s="13">
        <v>1</v>
      </c>
      <c r="N226" s="13">
        <v>1</v>
      </c>
      <c r="O226" s="13">
        <v>1</v>
      </c>
      <c r="P226" s="13">
        <v>1</v>
      </c>
      <c r="R226" s="11" t="str">
        <f t="shared" si="5"/>
        <v>jovana.gagic@paradice.com;</v>
      </c>
    </row>
    <row r="227" spans="2:18" x14ac:dyDescent="0.2">
      <c r="B227" s="11" t="s">
        <v>978</v>
      </c>
      <c r="C227" s="11" t="s">
        <v>113</v>
      </c>
      <c r="F227" s="11" t="s">
        <v>977</v>
      </c>
      <c r="G227" s="13">
        <v>1</v>
      </c>
      <c r="I227" s="13">
        <v>1</v>
      </c>
      <c r="J227" s="13">
        <v>1</v>
      </c>
      <c r="K227" s="13">
        <v>1</v>
      </c>
      <c r="L227" s="13">
        <v>1</v>
      </c>
      <c r="M227" s="13">
        <v>1</v>
      </c>
      <c r="N227" s="13">
        <v>1</v>
      </c>
      <c r="O227" s="13">
        <v>1</v>
      </c>
      <c r="P227" s="13">
        <v>1</v>
      </c>
      <c r="R227" s="11" t="str">
        <f t="shared" si="5"/>
        <v>jordan.woods@paradice.com;</v>
      </c>
    </row>
    <row r="228" spans="2:18" x14ac:dyDescent="0.2">
      <c r="B228" s="11" t="s">
        <v>313</v>
      </c>
      <c r="C228" s="11" t="s">
        <v>71</v>
      </c>
      <c r="F228" s="12" t="s">
        <v>314</v>
      </c>
      <c r="G228" s="13">
        <v>1</v>
      </c>
      <c r="I228" s="13">
        <v>1</v>
      </c>
      <c r="J228" s="13">
        <v>1</v>
      </c>
      <c r="K228" s="13">
        <v>1</v>
      </c>
      <c r="L228" s="13">
        <v>1</v>
      </c>
      <c r="M228" s="13">
        <v>1</v>
      </c>
      <c r="N228" s="13">
        <v>1</v>
      </c>
      <c r="O228" s="13">
        <v>1</v>
      </c>
      <c r="P228" s="13">
        <v>1</v>
      </c>
      <c r="R228" s="11" t="str">
        <f t="shared" si="5"/>
        <v>anthony.moran@pendalgroup.com;</v>
      </c>
    </row>
    <row r="229" spans="2:18" x14ac:dyDescent="0.2">
      <c r="B229" s="11" t="s">
        <v>72</v>
      </c>
      <c r="C229" s="11" t="s">
        <v>71</v>
      </c>
      <c r="F229" s="12" t="s">
        <v>73</v>
      </c>
      <c r="G229" s="13">
        <v>1</v>
      </c>
      <c r="I229" s="13">
        <v>1</v>
      </c>
      <c r="J229" s="13">
        <v>1</v>
      </c>
      <c r="K229" s="13">
        <v>1</v>
      </c>
      <c r="L229" s="13">
        <v>1</v>
      </c>
      <c r="M229" s="13">
        <v>1</v>
      </c>
      <c r="N229" s="13">
        <v>1</v>
      </c>
      <c r="O229" s="13">
        <v>1</v>
      </c>
      <c r="P229" s="13">
        <v>1</v>
      </c>
      <c r="R229" s="11" t="str">
        <f t="shared" si="5"/>
        <v>crispin.murray@pendalgroup.com;</v>
      </c>
    </row>
    <row r="230" spans="2:18" x14ac:dyDescent="0.2">
      <c r="B230" s="11" t="s">
        <v>69</v>
      </c>
      <c r="C230" s="11" t="s">
        <v>71</v>
      </c>
      <c r="F230" s="12" t="s">
        <v>70</v>
      </c>
      <c r="G230" s="13">
        <v>1</v>
      </c>
      <c r="I230" s="13">
        <v>1</v>
      </c>
      <c r="J230" s="13">
        <v>1</v>
      </c>
      <c r="K230" s="13">
        <v>1</v>
      </c>
      <c r="L230" s="13">
        <v>1</v>
      </c>
      <c r="M230" s="13">
        <v>1</v>
      </c>
      <c r="N230" s="13">
        <v>1</v>
      </c>
      <c r="O230" s="13">
        <v>1</v>
      </c>
      <c r="P230" s="13">
        <v>1</v>
      </c>
      <c r="R230" s="11" t="str">
        <f t="shared" si="5"/>
        <v>jim.taylor@pendalgroup.com;</v>
      </c>
    </row>
    <row r="231" spans="2:18" x14ac:dyDescent="0.2">
      <c r="B231" s="11" t="s">
        <v>855</v>
      </c>
      <c r="C231" s="11" t="s">
        <v>71</v>
      </c>
      <c r="F231" s="12" t="s">
        <v>854</v>
      </c>
      <c r="G231" s="13">
        <v>1</v>
      </c>
      <c r="I231" s="13">
        <v>1</v>
      </c>
      <c r="J231" s="13">
        <v>1</v>
      </c>
      <c r="K231" s="13">
        <v>1</v>
      </c>
      <c r="L231" s="13">
        <v>1</v>
      </c>
      <c r="M231" s="13">
        <v>1</v>
      </c>
      <c r="N231" s="13">
        <v>1</v>
      </c>
      <c r="O231" s="13">
        <v>1</v>
      </c>
      <c r="P231" s="13">
        <v>1</v>
      </c>
      <c r="R231" s="11" t="str">
        <f t="shared" si="5"/>
        <v>patrick.teodorowski@pendalgroup.com;</v>
      </c>
    </row>
    <row r="232" spans="2:18" x14ac:dyDescent="0.2">
      <c r="B232" s="11" t="s">
        <v>834</v>
      </c>
      <c r="C232" s="11" t="s">
        <v>71</v>
      </c>
      <c r="F232" s="12" t="s">
        <v>833</v>
      </c>
      <c r="G232" s="13">
        <v>1</v>
      </c>
      <c r="I232" s="13">
        <v>1</v>
      </c>
      <c r="J232" s="13">
        <v>1</v>
      </c>
      <c r="K232" s="13">
        <v>1</v>
      </c>
      <c r="L232" s="13">
        <v>1</v>
      </c>
      <c r="M232" s="13">
        <v>1</v>
      </c>
      <c r="N232" s="13">
        <v>1</v>
      </c>
      <c r="O232" s="13">
        <v>1</v>
      </c>
      <c r="P232" s="13">
        <v>1</v>
      </c>
      <c r="R232" s="11" t="str">
        <f t="shared" si="5"/>
        <v>rachel.folder@pendalgroup.com;</v>
      </c>
    </row>
    <row r="233" spans="2:18" x14ac:dyDescent="0.2">
      <c r="B233" s="11" t="s">
        <v>832</v>
      </c>
      <c r="C233" s="11" t="s">
        <v>71</v>
      </c>
      <c r="F233" s="12" t="s">
        <v>831</v>
      </c>
      <c r="G233" s="13">
        <v>1</v>
      </c>
      <c r="I233" s="13">
        <v>1</v>
      </c>
      <c r="J233" s="13">
        <v>1</v>
      </c>
      <c r="K233" s="13">
        <v>1</v>
      </c>
      <c r="L233" s="13">
        <v>1</v>
      </c>
      <c r="M233" s="13">
        <v>1</v>
      </c>
      <c r="N233" s="13">
        <v>1</v>
      </c>
      <c r="O233" s="13">
        <v>1</v>
      </c>
      <c r="P233" s="13">
        <v>1</v>
      </c>
      <c r="R233" s="11" t="str">
        <f t="shared" si="5"/>
        <v>lewis.edgley@pendalgroup.com;</v>
      </c>
    </row>
    <row r="234" spans="2:18" x14ac:dyDescent="0.2">
      <c r="B234" s="11" t="s">
        <v>668</v>
      </c>
      <c r="C234" s="11" t="s">
        <v>71</v>
      </c>
      <c r="F234" s="12" t="s">
        <v>667</v>
      </c>
      <c r="G234" s="13">
        <v>1</v>
      </c>
      <c r="I234" s="13">
        <v>1</v>
      </c>
      <c r="J234" s="13">
        <v>1</v>
      </c>
      <c r="K234" s="13">
        <v>1</v>
      </c>
      <c r="L234" s="13">
        <v>1</v>
      </c>
      <c r="M234" s="13">
        <v>1</v>
      </c>
      <c r="N234" s="13">
        <v>1</v>
      </c>
      <c r="O234" s="13">
        <v>1</v>
      </c>
      <c r="P234" s="13">
        <v>1</v>
      </c>
      <c r="R234" s="11" t="str">
        <f t="shared" si="5"/>
        <v>damien.diamant@pendalgroup.com;</v>
      </c>
    </row>
    <row r="235" spans="2:18" x14ac:dyDescent="0.2">
      <c r="B235" s="11" t="s">
        <v>821</v>
      </c>
      <c r="C235" s="11" t="s">
        <v>772</v>
      </c>
      <c r="F235" s="12" t="s">
        <v>820</v>
      </c>
      <c r="G235" s="13">
        <v>1</v>
      </c>
      <c r="I235" s="13">
        <v>1</v>
      </c>
      <c r="J235" s="13">
        <v>1</v>
      </c>
      <c r="K235" s="13">
        <v>1</v>
      </c>
      <c r="L235" s="13">
        <v>1</v>
      </c>
      <c r="M235" s="13">
        <v>1</v>
      </c>
      <c r="N235" s="13">
        <v>1</v>
      </c>
      <c r="O235" s="13">
        <v>1</v>
      </c>
      <c r="P235" s="13">
        <v>1</v>
      </c>
      <c r="R235" s="11" t="str">
        <f t="shared" si="5"/>
        <v>steve.black@pengana.com;</v>
      </c>
    </row>
    <row r="236" spans="2:18" x14ac:dyDescent="0.2">
      <c r="B236" s="11" t="s">
        <v>774</v>
      </c>
      <c r="C236" s="11" t="s">
        <v>772</v>
      </c>
      <c r="F236" s="12" t="s">
        <v>773</v>
      </c>
      <c r="G236" s="13">
        <v>1</v>
      </c>
      <c r="I236" s="13">
        <v>1</v>
      </c>
      <c r="J236" s="13">
        <v>1</v>
      </c>
      <c r="K236" s="13">
        <v>1</v>
      </c>
      <c r="L236" s="13">
        <v>1</v>
      </c>
      <c r="M236" s="13">
        <v>1</v>
      </c>
      <c r="N236" s="13">
        <v>1</v>
      </c>
      <c r="O236" s="13">
        <v>1</v>
      </c>
      <c r="P236" s="13">
        <v>1</v>
      </c>
      <c r="R236" s="11" t="str">
        <f t="shared" si="5"/>
        <v>ed.prendergast@pengana.com;</v>
      </c>
    </row>
    <row r="237" spans="2:18" x14ac:dyDescent="0.2">
      <c r="B237" s="11" t="s">
        <v>914</v>
      </c>
      <c r="C237" s="11" t="s">
        <v>162</v>
      </c>
      <c r="F237" s="12" t="s">
        <v>913</v>
      </c>
      <c r="G237" s="13">
        <v>1</v>
      </c>
      <c r="I237" s="13">
        <v>1</v>
      </c>
      <c r="J237" s="13">
        <v>1</v>
      </c>
      <c r="K237" s="13">
        <v>1</v>
      </c>
      <c r="L237" s="13">
        <v>1</v>
      </c>
      <c r="M237" s="13">
        <v>1</v>
      </c>
      <c r="N237" s="13">
        <v>1</v>
      </c>
      <c r="O237" s="13">
        <v>1</v>
      </c>
      <c r="P237" s="13">
        <v>1</v>
      </c>
      <c r="R237" s="11" t="str">
        <f t="shared" si="5"/>
        <v>jack.collopy@perpetual.com.au;</v>
      </c>
    </row>
    <row r="238" spans="2:18" x14ac:dyDescent="0.2">
      <c r="B238" s="11" t="s">
        <v>160</v>
      </c>
      <c r="C238" s="11" t="s">
        <v>162</v>
      </c>
      <c r="F238" s="12" t="s">
        <v>161</v>
      </c>
      <c r="G238" s="13">
        <v>1</v>
      </c>
      <c r="I238" s="13">
        <v>1</v>
      </c>
      <c r="J238" s="13">
        <v>1</v>
      </c>
      <c r="K238" s="13">
        <v>1</v>
      </c>
      <c r="L238" s="13">
        <v>1</v>
      </c>
      <c r="M238" s="13">
        <v>1</v>
      </c>
      <c r="N238" s="13">
        <v>1</v>
      </c>
      <c r="O238" s="13">
        <v>1</v>
      </c>
      <c r="P238" s="13">
        <v>1</v>
      </c>
      <c r="R238" s="11" t="str">
        <f t="shared" si="5"/>
        <v>sean.roger@perpetual.com.au;</v>
      </c>
    </row>
    <row r="239" spans="2:18" x14ac:dyDescent="0.2">
      <c r="B239" s="11" t="s">
        <v>716</v>
      </c>
      <c r="C239" s="11" t="s">
        <v>162</v>
      </c>
      <c r="F239" s="12" t="s">
        <v>715</v>
      </c>
      <c r="G239" s="13">
        <v>1</v>
      </c>
      <c r="I239" s="13">
        <v>1</v>
      </c>
      <c r="J239" s="13">
        <v>1</v>
      </c>
      <c r="K239" s="13">
        <v>1</v>
      </c>
      <c r="L239" s="13">
        <v>1</v>
      </c>
      <c r="M239" s="13">
        <v>1</v>
      </c>
      <c r="N239" s="13">
        <v>1</v>
      </c>
      <c r="O239" s="13">
        <v>1</v>
      </c>
      <c r="P239" s="13">
        <v>1</v>
      </c>
      <c r="R239" s="11" t="str">
        <f t="shared" si="5"/>
        <v>nathan.hughes@perpetual.com.au;</v>
      </c>
    </row>
    <row r="240" spans="2:18" x14ac:dyDescent="0.2">
      <c r="B240" s="11" t="s">
        <v>714</v>
      </c>
      <c r="C240" s="11" t="s">
        <v>162</v>
      </c>
      <c r="F240" s="12" t="s">
        <v>713</v>
      </c>
      <c r="G240" s="13">
        <v>1</v>
      </c>
      <c r="I240" s="13">
        <v>1</v>
      </c>
      <c r="J240" s="13">
        <v>1</v>
      </c>
      <c r="K240" s="13">
        <v>1</v>
      </c>
      <c r="L240" s="13">
        <v>1</v>
      </c>
      <c r="M240" s="13">
        <v>1</v>
      </c>
      <c r="N240" s="13">
        <v>1</v>
      </c>
      <c r="O240" s="13">
        <v>1</v>
      </c>
      <c r="P240" s="13">
        <v>1</v>
      </c>
      <c r="R240" s="11" t="str">
        <f t="shared" si="5"/>
        <v>michael.croser@perpetual.com.au;</v>
      </c>
    </row>
    <row r="241" spans="2:18" x14ac:dyDescent="0.2">
      <c r="B241" s="11" t="s">
        <v>305</v>
      </c>
      <c r="C241" s="11" t="s">
        <v>162</v>
      </c>
      <c r="F241" s="12" t="s">
        <v>306</v>
      </c>
      <c r="G241" s="13">
        <v>1</v>
      </c>
      <c r="I241" s="13">
        <v>1</v>
      </c>
      <c r="J241" s="13">
        <v>1</v>
      </c>
      <c r="K241" s="13">
        <v>1</v>
      </c>
      <c r="L241" s="13">
        <v>1</v>
      </c>
      <c r="M241" s="13">
        <v>1</v>
      </c>
      <c r="N241" s="13">
        <v>1</v>
      </c>
      <c r="O241" s="13">
        <v>1</v>
      </c>
      <c r="P241" s="13">
        <v>1</v>
      </c>
      <c r="R241" s="11" t="str">
        <f t="shared" si="5"/>
        <v>anthony.aboud@perpetual.com.au;</v>
      </c>
    </row>
    <row r="242" spans="2:18" x14ac:dyDescent="0.2">
      <c r="B242" s="11" t="s">
        <v>617</v>
      </c>
      <c r="C242" s="11" t="s">
        <v>162</v>
      </c>
      <c r="F242" s="12" t="s">
        <v>616</v>
      </c>
      <c r="G242" s="13">
        <v>1</v>
      </c>
      <c r="I242" s="13">
        <v>1</v>
      </c>
      <c r="J242" s="13">
        <v>1</v>
      </c>
      <c r="K242" s="13">
        <v>1</v>
      </c>
      <c r="L242" s="13">
        <v>1</v>
      </c>
      <c r="M242" s="13">
        <v>1</v>
      </c>
      <c r="N242" s="13">
        <v>1</v>
      </c>
      <c r="O242" s="13">
        <v>1</v>
      </c>
      <c r="P242" s="13">
        <v>1</v>
      </c>
      <c r="R242" s="11" t="str">
        <f t="shared" si="5"/>
        <v>tariq.chotani@perpetual.com.au;</v>
      </c>
    </row>
    <row r="243" spans="2:18" x14ac:dyDescent="0.2">
      <c r="B243" s="11" t="s">
        <v>2069</v>
      </c>
      <c r="C243" s="11" t="s">
        <v>162</v>
      </c>
      <c r="F243" s="12" t="s">
        <v>2068</v>
      </c>
      <c r="G243" s="13">
        <v>1</v>
      </c>
      <c r="I243" s="13">
        <v>1</v>
      </c>
      <c r="J243" s="13">
        <v>1</v>
      </c>
      <c r="K243" s="13">
        <v>1</v>
      </c>
      <c r="L243" s="13">
        <v>1</v>
      </c>
      <c r="M243" s="13">
        <v>1</v>
      </c>
      <c r="N243" s="13">
        <v>1</v>
      </c>
      <c r="O243" s="13">
        <v>1</v>
      </c>
      <c r="P243" s="13">
        <v>1</v>
      </c>
      <c r="R243" s="11" t="str">
        <f t="shared" si="5"/>
        <v>mitchell.hubble@perpetual.com.au;</v>
      </c>
    </row>
    <row r="244" spans="2:18" x14ac:dyDescent="0.2">
      <c r="B244" s="11" t="s">
        <v>2041</v>
      </c>
      <c r="C244" s="11" t="s">
        <v>742</v>
      </c>
      <c r="F244" s="12" t="s">
        <v>2044</v>
      </c>
      <c r="G244" s="13">
        <v>1</v>
      </c>
      <c r="I244" s="13">
        <v>1</v>
      </c>
      <c r="J244" s="13">
        <v>1</v>
      </c>
      <c r="K244" s="13">
        <v>1</v>
      </c>
      <c r="L244" s="13">
        <v>1</v>
      </c>
      <c r="M244" s="13">
        <v>1</v>
      </c>
      <c r="N244" s="13">
        <v>1</v>
      </c>
      <c r="O244" s="13">
        <v>1</v>
      </c>
      <c r="P244" s="13">
        <v>1</v>
      </c>
      <c r="R244" s="11" t="str">
        <f t="shared" si="5"/>
        <v>james.aghajanian@perpetual.com.au;</v>
      </c>
    </row>
    <row r="245" spans="2:18" x14ac:dyDescent="0.2">
      <c r="B245" s="11" t="s">
        <v>2042</v>
      </c>
      <c r="C245" s="11" t="s">
        <v>742</v>
      </c>
      <c r="F245" s="12" t="s">
        <v>2043</v>
      </c>
      <c r="G245" s="13">
        <v>1</v>
      </c>
      <c r="I245" s="13">
        <v>1</v>
      </c>
      <c r="J245" s="13">
        <v>1</v>
      </c>
      <c r="K245" s="13">
        <v>1</v>
      </c>
      <c r="L245" s="13">
        <v>1</v>
      </c>
      <c r="M245" s="13">
        <v>1</v>
      </c>
      <c r="N245" s="13">
        <v>1</v>
      </c>
      <c r="O245" s="13">
        <v>1</v>
      </c>
      <c r="P245" s="13">
        <v>1</v>
      </c>
      <c r="R245" s="11" t="str">
        <f t="shared" si="5"/>
        <v>desmond.tsao@perpetual.com.au;</v>
      </c>
    </row>
    <row r="246" spans="2:18" x14ac:dyDescent="0.2">
      <c r="B246" s="11" t="s">
        <v>354</v>
      </c>
      <c r="C246" s="11" t="s">
        <v>356</v>
      </c>
      <c r="F246" s="12" t="s">
        <v>355</v>
      </c>
      <c r="G246" s="13">
        <v>1</v>
      </c>
      <c r="I246" s="13">
        <v>1</v>
      </c>
      <c r="J246" s="13">
        <v>1</v>
      </c>
      <c r="K246" s="13">
        <v>1</v>
      </c>
      <c r="L246" s="13">
        <v>1</v>
      </c>
      <c r="M246" s="13">
        <v>1</v>
      </c>
      <c r="N246" s="13">
        <v>1</v>
      </c>
      <c r="O246" s="13">
        <v>1</v>
      </c>
      <c r="P246" s="13">
        <v>1</v>
      </c>
      <c r="R246" s="11" t="str">
        <f t="shared" si="5"/>
        <v>ppatkar@platypus.com.au;</v>
      </c>
    </row>
    <row r="247" spans="2:18" x14ac:dyDescent="0.2">
      <c r="B247" s="11" t="s">
        <v>396</v>
      </c>
      <c r="C247" s="11" t="s">
        <v>356</v>
      </c>
      <c r="F247" s="12" t="s">
        <v>397</v>
      </c>
      <c r="G247" s="13">
        <v>1</v>
      </c>
      <c r="I247" s="13">
        <v>1</v>
      </c>
      <c r="J247" s="13">
        <v>1</v>
      </c>
      <c r="K247" s="13">
        <v>1</v>
      </c>
      <c r="L247" s="13">
        <v>1</v>
      </c>
      <c r="M247" s="13">
        <v>1</v>
      </c>
      <c r="N247" s="13">
        <v>1</v>
      </c>
      <c r="O247" s="13">
        <v>1</v>
      </c>
      <c r="P247" s="13">
        <v>1</v>
      </c>
      <c r="R247" s="11" t="str">
        <f t="shared" si="5"/>
        <v>bwarton@platypus.com.au;</v>
      </c>
    </row>
    <row r="248" spans="2:18" x14ac:dyDescent="0.2">
      <c r="B248" s="11" t="s">
        <v>1035</v>
      </c>
      <c r="C248" s="11" t="s">
        <v>356</v>
      </c>
      <c r="F248" s="12" t="s">
        <v>1010</v>
      </c>
      <c r="G248" s="13">
        <v>1</v>
      </c>
      <c r="I248" s="13">
        <v>1</v>
      </c>
      <c r="J248" s="13">
        <v>1</v>
      </c>
      <c r="K248" s="13">
        <v>1</v>
      </c>
      <c r="L248" s="13">
        <v>1</v>
      </c>
      <c r="M248" s="13">
        <v>1</v>
      </c>
      <c r="N248" s="13">
        <v>1</v>
      </c>
      <c r="O248" s="13">
        <v>1</v>
      </c>
      <c r="P248" s="13">
        <v>1</v>
      </c>
      <c r="R248" s="11" t="str">
        <f t="shared" si="5"/>
        <v>sbutel@platypus.com.au;</v>
      </c>
    </row>
    <row r="249" spans="2:18" x14ac:dyDescent="0.2">
      <c r="B249" s="11" t="s">
        <v>505</v>
      </c>
      <c r="C249" s="11" t="s">
        <v>503</v>
      </c>
      <c r="F249" s="12" t="s">
        <v>504</v>
      </c>
      <c r="G249" s="13">
        <v>1</v>
      </c>
      <c r="I249" s="13">
        <v>1</v>
      </c>
      <c r="J249" s="13">
        <v>1</v>
      </c>
      <c r="K249" s="13">
        <v>1</v>
      </c>
      <c r="L249" s="13">
        <v>1</v>
      </c>
      <c r="M249" s="13">
        <v>1</v>
      </c>
      <c r="N249" s="13">
        <v>1</v>
      </c>
      <c r="O249" s="13">
        <v>1</v>
      </c>
      <c r="P249" s="13">
        <v>1</v>
      </c>
      <c r="R249" s="11" t="str">
        <f t="shared" si="5"/>
        <v>wei.lim@point72.com;</v>
      </c>
    </row>
    <row r="250" spans="2:18" x14ac:dyDescent="0.2">
      <c r="B250" s="11" t="s">
        <v>342</v>
      </c>
      <c r="C250" s="11" t="s">
        <v>344</v>
      </c>
      <c r="F250" s="12" t="s">
        <v>343</v>
      </c>
      <c r="G250" s="13">
        <v>1</v>
      </c>
      <c r="I250" s="13">
        <v>1</v>
      </c>
      <c r="J250" s="13">
        <v>1</v>
      </c>
      <c r="K250" s="13">
        <v>1</v>
      </c>
      <c r="L250" s="13">
        <v>1</v>
      </c>
      <c r="M250" s="13">
        <v>1</v>
      </c>
      <c r="N250" s="13">
        <v>1</v>
      </c>
      <c r="O250" s="13">
        <v>1</v>
      </c>
      <c r="P250" s="13">
        <v>1</v>
      </c>
      <c r="R250" s="11" t="str">
        <f t="shared" si="5"/>
        <v>shaunc@phg.com.au;</v>
      </c>
    </row>
    <row r="251" spans="2:18" x14ac:dyDescent="0.2">
      <c r="B251" s="11" t="s">
        <v>247</v>
      </c>
      <c r="C251" s="11" t="s">
        <v>249</v>
      </c>
      <c r="F251" s="12" t="s">
        <v>248</v>
      </c>
      <c r="G251" s="13">
        <v>1</v>
      </c>
      <c r="I251" s="13">
        <v>1</v>
      </c>
      <c r="J251" s="13">
        <v>1</v>
      </c>
      <c r="K251" s="13">
        <v>1</v>
      </c>
      <c r="L251" s="13">
        <v>1</v>
      </c>
      <c r="M251" s="13">
        <v>1</v>
      </c>
      <c r="N251" s="13">
        <v>1</v>
      </c>
      <c r="O251" s="13">
        <v>1</v>
      </c>
      <c r="P251" s="13">
        <v>1</v>
      </c>
      <c r="R251" s="11" t="str">
        <f t="shared" si="5"/>
        <v>spandya@questap.com.au;</v>
      </c>
    </row>
    <row r="252" spans="2:18" x14ac:dyDescent="0.2">
      <c r="B252" s="11" t="s">
        <v>633</v>
      </c>
      <c r="C252" s="11" t="s">
        <v>249</v>
      </c>
      <c r="F252" s="12" t="s">
        <v>632</v>
      </c>
      <c r="G252" s="13">
        <v>1</v>
      </c>
      <c r="I252" s="13">
        <v>1</v>
      </c>
      <c r="J252" s="13">
        <v>1</v>
      </c>
      <c r="K252" s="13">
        <v>1</v>
      </c>
      <c r="L252" s="13">
        <v>1</v>
      </c>
      <c r="M252" s="13">
        <v>1</v>
      </c>
      <c r="N252" s="13">
        <v>1</v>
      </c>
      <c r="O252" s="13">
        <v>1</v>
      </c>
      <c r="P252" s="13">
        <v>1</v>
      </c>
      <c r="R252" s="11" t="str">
        <f t="shared" si="5"/>
        <v>tcairns@questap.com.au;</v>
      </c>
    </row>
    <row r="253" spans="2:18" x14ac:dyDescent="0.2">
      <c r="B253" s="11" t="s">
        <v>126</v>
      </c>
      <c r="C253" s="11" t="s">
        <v>128</v>
      </c>
      <c r="F253" s="12" t="s">
        <v>127</v>
      </c>
      <c r="G253" s="13">
        <v>1</v>
      </c>
      <c r="I253" s="13">
        <v>1</v>
      </c>
      <c r="J253" s="13">
        <v>1</v>
      </c>
      <c r="K253" s="13">
        <v>1</v>
      </c>
      <c r="L253" s="13">
        <v>1</v>
      </c>
      <c r="M253" s="13">
        <v>1</v>
      </c>
      <c r="N253" s="13">
        <v>1</v>
      </c>
      <c r="O253" s="13">
        <v>1</v>
      </c>
      <c r="P253" s="13">
        <v>1</v>
      </c>
      <c r="R253" s="11" t="str">
        <f t="shared" si="5"/>
        <v>derek.t.au@rbc.com;</v>
      </c>
    </row>
    <row r="254" spans="2:18" x14ac:dyDescent="0.2">
      <c r="B254" s="11" t="s">
        <v>516</v>
      </c>
      <c r="C254" s="11" t="s">
        <v>514</v>
      </c>
      <c r="F254" s="12" t="s">
        <v>515</v>
      </c>
      <c r="G254" s="13">
        <v>1</v>
      </c>
      <c r="I254" s="13">
        <v>1</v>
      </c>
      <c r="J254" s="13">
        <v>1</v>
      </c>
      <c r="K254" s="13">
        <v>1</v>
      </c>
      <c r="L254" s="13">
        <v>1</v>
      </c>
      <c r="M254" s="13">
        <v>1</v>
      </c>
      <c r="N254" s="13">
        <v>1</v>
      </c>
      <c r="O254" s="13">
        <v>1</v>
      </c>
      <c r="P254" s="13">
        <v>1</v>
      </c>
      <c r="R254" s="11" t="str">
        <f t="shared" si="5"/>
        <v>mk@reddoorcm.com;</v>
      </c>
    </row>
    <row r="255" spans="2:18" x14ac:dyDescent="0.2">
      <c r="B255" s="11" t="s">
        <v>842</v>
      </c>
      <c r="C255" s="11" t="s">
        <v>327</v>
      </c>
      <c r="F255" s="12" t="s">
        <v>841</v>
      </c>
      <c r="G255" s="13">
        <v>1</v>
      </c>
      <c r="I255" s="13">
        <v>1</v>
      </c>
      <c r="J255" s="13">
        <v>1</v>
      </c>
      <c r="K255" s="13">
        <v>1</v>
      </c>
      <c r="L255" s="13">
        <v>1</v>
      </c>
      <c r="M255" s="13">
        <v>1</v>
      </c>
      <c r="N255" s="13">
        <v>1</v>
      </c>
      <c r="O255" s="13">
        <v>1</v>
      </c>
      <c r="P255" s="13">
        <v>1</v>
      </c>
      <c r="R255" s="11" t="str">
        <f t="shared" si="5"/>
        <v>jessica.farr-jones@regalfm.com;</v>
      </c>
    </row>
    <row r="256" spans="2:18" x14ac:dyDescent="0.2">
      <c r="B256" s="11" t="s">
        <v>840</v>
      </c>
      <c r="C256" s="11" t="s">
        <v>327</v>
      </c>
      <c r="F256" s="12" t="s">
        <v>839</v>
      </c>
      <c r="G256" s="13">
        <v>1</v>
      </c>
      <c r="I256" s="13">
        <v>1</v>
      </c>
      <c r="J256" s="13">
        <v>1</v>
      </c>
      <c r="K256" s="13">
        <v>1</v>
      </c>
      <c r="L256" s="13">
        <v>1</v>
      </c>
      <c r="M256" s="13">
        <v>1</v>
      </c>
      <c r="N256" s="13">
        <v>1</v>
      </c>
      <c r="O256" s="13">
        <v>1</v>
      </c>
      <c r="P256" s="13">
        <v>1</v>
      </c>
      <c r="R256" s="11" t="str">
        <f t="shared" si="5"/>
        <v>ben.mccallum@regalfm.com;</v>
      </c>
    </row>
    <row r="257" spans="2:18" x14ac:dyDescent="0.2">
      <c r="B257" s="11" t="s">
        <v>325</v>
      </c>
      <c r="C257" s="11" t="s">
        <v>327</v>
      </c>
      <c r="F257" s="12" t="s">
        <v>326</v>
      </c>
      <c r="G257" s="13">
        <v>1</v>
      </c>
      <c r="I257" s="13">
        <v>1</v>
      </c>
      <c r="J257" s="13">
        <v>1</v>
      </c>
      <c r="K257" s="13">
        <v>1</v>
      </c>
      <c r="L257" s="13">
        <v>1</v>
      </c>
      <c r="M257" s="13">
        <v>1</v>
      </c>
      <c r="N257" s="13">
        <v>1</v>
      </c>
      <c r="O257" s="13">
        <v>1</v>
      </c>
      <c r="P257" s="13">
        <v>1</v>
      </c>
      <c r="R257" s="11" t="str">
        <f t="shared" ref="R257:R320" si="6">F257&amp;";"</f>
        <v>jovita.khilnani@regalfm.com;</v>
      </c>
    </row>
    <row r="258" spans="2:18" x14ac:dyDescent="0.2">
      <c r="B258" s="11" t="s">
        <v>605</v>
      </c>
      <c r="C258" s="11" t="s">
        <v>327</v>
      </c>
      <c r="F258" s="12" t="s">
        <v>604</v>
      </c>
      <c r="G258" s="13">
        <v>1</v>
      </c>
      <c r="I258" s="13">
        <v>1</v>
      </c>
      <c r="J258" s="13">
        <v>1</v>
      </c>
      <c r="K258" s="13">
        <v>1</v>
      </c>
      <c r="L258" s="13">
        <v>1</v>
      </c>
      <c r="M258" s="13">
        <v>1</v>
      </c>
      <c r="N258" s="13">
        <v>1</v>
      </c>
      <c r="O258" s="13">
        <v>1</v>
      </c>
      <c r="P258" s="13">
        <v>1</v>
      </c>
      <c r="R258" s="11" t="str">
        <f t="shared" si="6"/>
        <v>philip.king@regalfm.com;</v>
      </c>
    </row>
    <row r="259" spans="2:18" x14ac:dyDescent="0.2">
      <c r="B259" s="11" t="s">
        <v>361</v>
      </c>
      <c r="C259" s="11" t="s">
        <v>327</v>
      </c>
      <c r="F259" s="12" t="s">
        <v>362</v>
      </c>
      <c r="G259" s="13">
        <v>1</v>
      </c>
      <c r="I259" s="13">
        <v>1</v>
      </c>
      <c r="J259" s="13">
        <v>1</v>
      </c>
      <c r="K259" s="13">
        <v>1</v>
      </c>
      <c r="L259" s="13">
        <v>1</v>
      </c>
      <c r="M259" s="13">
        <v>1</v>
      </c>
      <c r="N259" s="13">
        <v>1</v>
      </c>
      <c r="O259" s="13">
        <v>1</v>
      </c>
      <c r="P259" s="13">
        <v>1</v>
      </c>
      <c r="R259" s="11" t="str">
        <f t="shared" si="6"/>
        <v>mark.nathan@regalfm.com;</v>
      </c>
    </row>
    <row r="260" spans="2:18" x14ac:dyDescent="0.2">
      <c r="B260" s="11" t="s">
        <v>1011</v>
      </c>
      <c r="C260" s="11" t="s">
        <v>327</v>
      </c>
      <c r="F260" s="12" t="s">
        <v>1012</v>
      </c>
      <c r="G260" s="13">
        <v>1</v>
      </c>
      <c r="I260" s="13">
        <v>1</v>
      </c>
      <c r="J260" s="13">
        <v>1</v>
      </c>
      <c r="K260" s="13">
        <v>1</v>
      </c>
      <c r="L260" s="13">
        <v>1</v>
      </c>
      <c r="M260" s="13">
        <v>1</v>
      </c>
      <c r="N260" s="13">
        <v>1</v>
      </c>
      <c r="O260" s="13">
        <v>1</v>
      </c>
      <c r="P260" s="13">
        <v>1</v>
      </c>
      <c r="R260" s="11" t="str">
        <f t="shared" si="6"/>
        <v>thomas.fawcett@regalfm.com;</v>
      </c>
    </row>
    <row r="261" spans="2:18" x14ac:dyDescent="0.2">
      <c r="B261" s="11" t="s">
        <v>1045</v>
      </c>
      <c r="C261" s="11" t="s">
        <v>327</v>
      </c>
      <c r="F261" s="12" t="s">
        <v>991</v>
      </c>
      <c r="G261" s="13">
        <v>1</v>
      </c>
      <c r="I261" s="13">
        <v>1</v>
      </c>
      <c r="J261" s="13">
        <v>1</v>
      </c>
      <c r="K261" s="13">
        <v>1</v>
      </c>
      <c r="L261" s="13">
        <v>1</v>
      </c>
      <c r="M261" s="13">
        <v>1</v>
      </c>
      <c r="N261" s="13">
        <v>1</v>
      </c>
      <c r="O261" s="13">
        <v>1</v>
      </c>
      <c r="P261" s="13">
        <v>1</v>
      </c>
      <c r="R261" s="11" t="str">
        <f t="shared" si="6"/>
        <v>gretel.janu@regalfm.com;</v>
      </c>
    </row>
    <row r="262" spans="2:18" x14ac:dyDescent="0.2">
      <c r="B262" s="11" t="s">
        <v>888</v>
      </c>
      <c r="C262" s="11" t="s">
        <v>217</v>
      </c>
      <c r="F262" s="12" t="s">
        <v>887</v>
      </c>
      <c r="G262" s="13">
        <v>1</v>
      </c>
      <c r="I262" s="13">
        <v>1</v>
      </c>
      <c r="J262" s="13">
        <v>1</v>
      </c>
      <c r="K262" s="13">
        <v>1</v>
      </c>
      <c r="L262" s="13">
        <v>1</v>
      </c>
      <c r="M262" s="13">
        <v>1</v>
      </c>
      <c r="N262" s="13">
        <v>1</v>
      </c>
      <c r="O262" s="13">
        <v>1</v>
      </c>
      <c r="P262" s="13">
        <v>1</v>
      </c>
      <c r="R262" s="11" t="str">
        <f t="shared" si="6"/>
        <v>ghoffman@renaissanceasset.com.au;</v>
      </c>
    </row>
    <row r="263" spans="2:18" x14ac:dyDescent="0.2">
      <c r="B263" s="11" t="s">
        <v>650</v>
      </c>
      <c r="C263" s="11" t="s">
        <v>217</v>
      </c>
      <c r="F263" s="12" t="s">
        <v>649</v>
      </c>
      <c r="G263" s="13">
        <v>1</v>
      </c>
      <c r="I263" s="13">
        <v>1</v>
      </c>
      <c r="J263" s="13">
        <v>1</v>
      </c>
      <c r="K263" s="13">
        <v>1</v>
      </c>
      <c r="L263" s="13">
        <v>1</v>
      </c>
      <c r="M263" s="13">
        <v>1</v>
      </c>
      <c r="N263" s="13">
        <v>1</v>
      </c>
      <c r="O263" s="13">
        <v>1</v>
      </c>
      <c r="P263" s="13">
        <v>1</v>
      </c>
      <c r="R263" s="11" t="str">
        <f t="shared" si="6"/>
        <v>dfleming@renaissance-asset.com.au;</v>
      </c>
    </row>
    <row r="264" spans="2:18" x14ac:dyDescent="0.2">
      <c r="B264" s="11" t="s">
        <v>901</v>
      </c>
      <c r="C264" s="11" t="s">
        <v>899</v>
      </c>
      <c r="F264" s="12" t="s">
        <v>900</v>
      </c>
      <c r="G264" s="13">
        <v>1</v>
      </c>
      <c r="I264" s="13">
        <v>1</v>
      </c>
      <c r="J264" s="13">
        <v>1</v>
      </c>
      <c r="K264" s="13">
        <v>1</v>
      </c>
      <c r="L264" s="13">
        <v>1</v>
      </c>
      <c r="M264" s="13">
        <v>1</v>
      </c>
      <c r="N264" s="13">
        <v>1</v>
      </c>
      <c r="O264" s="13">
        <v>1</v>
      </c>
      <c r="P264" s="13">
        <v>1</v>
      </c>
      <c r="R264" s="11" t="str">
        <f t="shared" si="6"/>
        <v>myounger@primevalue.com.au;</v>
      </c>
    </row>
    <row r="265" spans="2:18" x14ac:dyDescent="0.2">
      <c r="B265" s="11" t="s">
        <v>1028</v>
      </c>
      <c r="C265" s="11" t="s">
        <v>899</v>
      </c>
      <c r="F265" s="12" t="s">
        <v>1029</v>
      </c>
      <c r="G265" s="13">
        <v>1</v>
      </c>
      <c r="I265" s="13">
        <v>1</v>
      </c>
      <c r="J265" s="13">
        <v>1</v>
      </c>
      <c r="K265" s="13">
        <v>1</v>
      </c>
      <c r="L265" s="13">
        <v>1</v>
      </c>
      <c r="M265" s="13">
        <v>1</v>
      </c>
      <c r="N265" s="13">
        <v>1</v>
      </c>
      <c r="O265" s="13">
        <v>1</v>
      </c>
      <c r="P265" s="13">
        <v>1</v>
      </c>
      <c r="R265" s="11" t="str">
        <f t="shared" si="6"/>
        <v>steven.green@rest.com.au;</v>
      </c>
    </row>
    <row r="266" spans="2:18" x14ac:dyDescent="0.2">
      <c r="B266" s="11" t="s">
        <v>1042</v>
      </c>
      <c r="C266" s="11" t="s">
        <v>899</v>
      </c>
      <c r="F266" s="12" t="s">
        <v>1043</v>
      </c>
      <c r="G266" s="13">
        <v>1</v>
      </c>
      <c r="I266" s="13">
        <v>1</v>
      </c>
      <c r="J266" s="13">
        <v>1</v>
      </c>
      <c r="K266" s="13">
        <v>1</v>
      </c>
      <c r="L266" s="13">
        <v>1</v>
      </c>
      <c r="M266" s="13">
        <v>1</v>
      </c>
      <c r="N266" s="13">
        <v>1</v>
      </c>
      <c r="O266" s="13">
        <v>1</v>
      </c>
      <c r="P266" s="13">
        <v>1</v>
      </c>
      <c r="R266" s="11" t="str">
        <f t="shared" si="6"/>
        <v>philip.bare@rest.com.au;</v>
      </c>
    </row>
    <row r="267" spans="2:18" x14ac:dyDescent="0.2">
      <c r="B267" s="11" t="s">
        <v>613</v>
      </c>
      <c r="C267" s="11" t="s">
        <v>536</v>
      </c>
      <c r="F267" s="12" t="s">
        <v>612</v>
      </c>
      <c r="G267" s="13">
        <v>1</v>
      </c>
      <c r="I267" s="13">
        <v>1</v>
      </c>
      <c r="J267" s="13">
        <v>1</v>
      </c>
      <c r="K267" s="13">
        <v>1</v>
      </c>
      <c r="L267" s="13">
        <v>1</v>
      </c>
      <c r="M267" s="13">
        <v>1</v>
      </c>
      <c r="N267" s="13">
        <v>1</v>
      </c>
      <c r="O267" s="13">
        <v>1</v>
      </c>
      <c r="P267" s="13">
        <v>1</v>
      </c>
      <c r="R267" s="11" t="str">
        <f t="shared" si="6"/>
        <v>silvo@442capital.com.au;</v>
      </c>
    </row>
    <row r="268" spans="2:18" x14ac:dyDescent="0.2">
      <c r="B268" s="11" t="s">
        <v>569</v>
      </c>
      <c r="C268" s="11" t="s">
        <v>536</v>
      </c>
      <c r="F268" s="12" t="s">
        <v>568</v>
      </c>
      <c r="G268" s="13">
        <v>1</v>
      </c>
      <c r="I268" s="13">
        <v>1</v>
      </c>
      <c r="J268" s="13">
        <v>1</v>
      </c>
      <c r="K268" s="13">
        <v>1</v>
      </c>
      <c r="L268" s="13">
        <v>1</v>
      </c>
      <c r="M268" s="13">
        <v>1</v>
      </c>
      <c r="N268" s="13">
        <v>1</v>
      </c>
      <c r="O268" s="13">
        <v>1</v>
      </c>
      <c r="P268" s="13">
        <v>1</v>
      </c>
      <c r="R268" s="11" t="str">
        <f t="shared" si="6"/>
        <v>jack@rivercapital.com.au;</v>
      </c>
    </row>
    <row r="269" spans="2:18" x14ac:dyDescent="0.2">
      <c r="B269" s="11" t="s">
        <v>540</v>
      </c>
      <c r="C269" s="11" t="s">
        <v>536</v>
      </c>
      <c r="F269" s="12" t="s">
        <v>539</v>
      </c>
      <c r="G269" s="13">
        <v>1</v>
      </c>
      <c r="I269" s="13">
        <v>1</v>
      </c>
      <c r="J269" s="13">
        <v>1</v>
      </c>
      <c r="K269" s="13">
        <v>1</v>
      </c>
      <c r="L269" s="13">
        <v>1</v>
      </c>
      <c r="M269" s="13">
        <v>1</v>
      </c>
      <c r="N269" s="13">
        <v>1</v>
      </c>
      <c r="O269" s="13">
        <v>1</v>
      </c>
      <c r="P269" s="13">
        <v>1</v>
      </c>
      <c r="R269" s="11" t="str">
        <f t="shared" si="6"/>
        <v>barry.carp@rivercapital.com.au;</v>
      </c>
    </row>
    <row r="270" spans="2:18" x14ac:dyDescent="0.2">
      <c r="B270" s="11" t="s">
        <v>1026</v>
      </c>
      <c r="C270" s="11" t="s">
        <v>536</v>
      </c>
      <c r="F270" s="12" t="s">
        <v>1027</v>
      </c>
      <c r="G270" s="13">
        <v>1</v>
      </c>
      <c r="I270" s="13">
        <v>1</v>
      </c>
      <c r="J270" s="13">
        <v>1</v>
      </c>
      <c r="K270" s="13">
        <v>1</v>
      </c>
      <c r="L270" s="13">
        <v>1</v>
      </c>
      <c r="M270" s="13">
        <v>1</v>
      </c>
      <c r="N270" s="13">
        <v>1</v>
      </c>
      <c r="O270" s="13">
        <v>1</v>
      </c>
      <c r="P270" s="13">
        <v>1</v>
      </c>
      <c r="R270" s="11" t="str">
        <f t="shared" si="6"/>
        <v>akshay@rivercapital.com.au;</v>
      </c>
    </row>
    <row r="271" spans="2:18" x14ac:dyDescent="0.2">
      <c r="B271" s="11" t="s">
        <v>1040</v>
      </c>
      <c r="C271" s="11" t="s">
        <v>536</v>
      </c>
      <c r="F271" s="12" t="s">
        <v>1041</v>
      </c>
      <c r="G271" s="13">
        <v>1</v>
      </c>
      <c r="I271" s="13">
        <v>1</v>
      </c>
      <c r="J271" s="13">
        <v>1</v>
      </c>
      <c r="K271" s="13">
        <v>1</v>
      </c>
      <c r="L271" s="13">
        <v>1</v>
      </c>
      <c r="M271" s="13">
        <v>1</v>
      </c>
      <c r="N271" s="13">
        <v>1</v>
      </c>
      <c r="O271" s="13">
        <v>1</v>
      </c>
      <c r="P271" s="13">
        <v>1</v>
      </c>
      <c r="R271" s="11" t="str">
        <f t="shared" si="6"/>
        <v>rupert@rivercapital.com.au;</v>
      </c>
    </row>
    <row r="272" spans="2:18" x14ac:dyDescent="0.2">
      <c r="B272" s="11" t="s">
        <v>884</v>
      </c>
      <c r="C272" s="11" t="s">
        <v>882</v>
      </c>
      <c r="F272" s="12" t="s">
        <v>883</v>
      </c>
      <c r="G272" s="13">
        <v>1</v>
      </c>
      <c r="I272" s="13">
        <v>1</v>
      </c>
      <c r="J272" s="13">
        <v>1</v>
      </c>
      <c r="K272" s="13">
        <v>1</v>
      </c>
      <c r="L272" s="13">
        <v>1</v>
      </c>
      <c r="M272" s="13">
        <v>1</v>
      </c>
      <c r="N272" s="13">
        <v>1</v>
      </c>
      <c r="O272" s="13">
        <v>1</v>
      </c>
      <c r="P272" s="13">
        <v>1</v>
      </c>
      <c r="R272" s="11" t="str">
        <f t="shared" si="6"/>
        <v>david@rydercapital.com.au;</v>
      </c>
    </row>
    <row r="273" spans="2:18" x14ac:dyDescent="0.2">
      <c r="B273" s="11" t="s">
        <v>875</v>
      </c>
      <c r="C273" s="11" t="s">
        <v>554</v>
      </c>
      <c r="F273" s="12" t="s">
        <v>874</v>
      </c>
      <c r="G273" s="13">
        <v>1</v>
      </c>
      <c r="I273" s="13">
        <v>1</v>
      </c>
      <c r="J273" s="13">
        <v>1</v>
      </c>
      <c r="K273" s="13">
        <v>1</v>
      </c>
      <c r="L273" s="13">
        <v>1</v>
      </c>
      <c r="M273" s="13">
        <v>1</v>
      </c>
      <c r="N273" s="13">
        <v>1</v>
      </c>
      <c r="O273" s="13">
        <v>1</v>
      </c>
      <c r="P273" s="13">
        <v>1</v>
      </c>
      <c r="R273" s="11" t="str">
        <f t="shared" si="6"/>
        <v>james.delaney@sagecap.com.au;</v>
      </c>
    </row>
    <row r="274" spans="2:18" x14ac:dyDescent="0.2">
      <c r="B274" s="11" t="s">
        <v>556</v>
      </c>
      <c r="C274" s="11" t="s">
        <v>554</v>
      </c>
      <c r="F274" s="12" t="s">
        <v>555</v>
      </c>
      <c r="G274" s="13">
        <v>1</v>
      </c>
      <c r="I274" s="13">
        <v>1</v>
      </c>
      <c r="J274" s="13">
        <v>1</v>
      </c>
      <c r="K274" s="13">
        <v>1</v>
      </c>
      <c r="L274" s="13">
        <v>1</v>
      </c>
      <c r="M274" s="13">
        <v>1</v>
      </c>
      <c r="N274" s="13">
        <v>1</v>
      </c>
      <c r="O274" s="13">
        <v>1</v>
      </c>
      <c r="P274" s="13">
        <v>1</v>
      </c>
      <c r="R274" s="11" t="str">
        <f t="shared" si="6"/>
        <v>kelli.meagher@sagecap.com.au;</v>
      </c>
    </row>
    <row r="275" spans="2:18" x14ac:dyDescent="0.2">
      <c r="B275" s="11" t="s">
        <v>1049</v>
      </c>
      <c r="C275" s="11" t="s">
        <v>554</v>
      </c>
      <c r="F275" s="12" t="s">
        <v>993</v>
      </c>
      <c r="G275" s="13">
        <v>1</v>
      </c>
      <c r="I275" s="13">
        <v>1</v>
      </c>
      <c r="J275" s="13">
        <v>1</v>
      </c>
      <c r="K275" s="13">
        <v>1</v>
      </c>
      <c r="L275" s="13">
        <v>1</v>
      </c>
      <c r="M275" s="13">
        <v>1</v>
      </c>
      <c r="N275" s="13">
        <v>1</v>
      </c>
      <c r="O275" s="13">
        <v>1</v>
      </c>
      <c r="P275" s="13">
        <v>1</v>
      </c>
      <c r="R275" s="11" t="str">
        <f t="shared" si="6"/>
        <v>sean.fenton@sagecap.com.au;</v>
      </c>
    </row>
    <row r="276" spans="2:18" x14ac:dyDescent="0.2">
      <c r="B276" s="11" t="s">
        <v>2126</v>
      </c>
      <c r="C276" s="11" t="s">
        <v>554</v>
      </c>
      <c r="F276" s="12" t="s">
        <v>2125</v>
      </c>
      <c r="G276" s="13">
        <v>1</v>
      </c>
      <c r="I276" s="13">
        <v>1</v>
      </c>
      <c r="J276" s="13">
        <v>1</v>
      </c>
      <c r="K276" s="13">
        <v>1</v>
      </c>
      <c r="L276" s="13">
        <v>1</v>
      </c>
      <c r="M276" s="13">
        <v>1</v>
      </c>
      <c r="N276" s="13">
        <v>1</v>
      </c>
      <c r="O276" s="13">
        <v>1</v>
      </c>
      <c r="P276" s="13">
        <v>1</v>
      </c>
      <c r="R276" s="11" t="str">
        <f t="shared" si="6"/>
        <v>research@sagecap.com.au;</v>
      </c>
    </row>
    <row r="277" spans="2:18" x14ac:dyDescent="0.2">
      <c r="B277" s="11" t="s">
        <v>643</v>
      </c>
      <c r="C277" s="11" t="s">
        <v>641</v>
      </c>
      <c r="F277" s="12" t="s">
        <v>642</v>
      </c>
      <c r="G277" s="13">
        <v>1</v>
      </c>
      <c r="I277" s="13">
        <v>1</v>
      </c>
      <c r="J277" s="13">
        <v>1</v>
      </c>
      <c r="K277" s="13">
        <v>1</v>
      </c>
      <c r="L277" s="13">
        <v>1</v>
      </c>
      <c r="M277" s="13">
        <v>1</v>
      </c>
      <c r="N277" s="13">
        <v>1</v>
      </c>
      <c r="O277" s="13">
        <v>1</v>
      </c>
      <c r="P277" s="13">
        <v>1</v>
      </c>
      <c r="R277" s="11" t="str">
        <f t="shared" si="6"/>
        <v>matthew.goodson@saltfunds.co.nz;</v>
      </c>
    </row>
    <row r="278" spans="2:18" x14ac:dyDescent="0.2">
      <c r="B278" s="11" t="s">
        <v>149</v>
      </c>
      <c r="C278" s="11" t="s">
        <v>125</v>
      </c>
      <c r="F278" s="12" t="s">
        <v>150</v>
      </c>
      <c r="G278" s="13">
        <v>1</v>
      </c>
      <c r="I278" s="13">
        <v>1</v>
      </c>
      <c r="J278" s="13">
        <v>1</v>
      </c>
      <c r="K278" s="13">
        <v>1</v>
      </c>
      <c r="L278" s="13">
        <v>1</v>
      </c>
      <c r="M278" s="13">
        <v>1</v>
      </c>
      <c r="N278" s="13">
        <v>1</v>
      </c>
      <c r="O278" s="13">
        <v>1</v>
      </c>
      <c r="P278" s="13">
        <v>1</v>
      </c>
      <c r="R278" s="11" t="str">
        <f t="shared" si="6"/>
        <v>martin.conlon@schroders.com;</v>
      </c>
    </row>
    <row r="279" spans="2:18" x14ac:dyDescent="0.2">
      <c r="B279" s="11" t="s">
        <v>425</v>
      </c>
      <c r="C279" s="11" t="s">
        <v>787</v>
      </c>
      <c r="F279" s="12" t="s">
        <v>426</v>
      </c>
      <c r="G279" s="13">
        <v>1</v>
      </c>
      <c r="I279" s="13">
        <v>1</v>
      </c>
      <c r="J279" s="13">
        <v>1</v>
      </c>
      <c r="K279" s="13">
        <v>1</v>
      </c>
      <c r="L279" s="13">
        <v>1</v>
      </c>
      <c r="M279" s="13">
        <v>1</v>
      </c>
      <c r="N279" s="13">
        <v>1</v>
      </c>
      <c r="O279" s="13">
        <v>1</v>
      </c>
      <c r="P279" s="13">
        <v>1</v>
      </c>
      <c r="R279" s="11" t="str">
        <f t="shared" si="6"/>
        <v>ben.chan@fairviewequity.com.au;</v>
      </c>
    </row>
    <row r="280" spans="2:18" x14ac:dyDescent="0.2">
      <c r="B280" s="11" t="s">
        <v>427</v>
      </c>
      <c r="C280" s="11" t="s">
        <v>125</v>
      </c>
      <c r="F280" s="12" t="s">
        <v>428</v>
      </c>
      <c r="G280" s="13">
        <v>1</v>
      </c>
      <c r="I280" s="13">
        <v>1</v>
      </c>
      <c r="J280" s="13">
        <v>1</v>
      </c>
      <c r="K280" s="13">
        <v>1</v>
      </c>
      <c r="L280" s="13">
        <v>1</v>
      </c>
      <c r="M280" s="13">
        <v>1</v>
      </c>
      <c r="N280" s="13">
        <v>1</v>
      </c>
      <c r="O280" s="13">
        <v>1</v>
      </c>
      <c r="P280" s="13">
        <v>1</v>
      </c>
      <c r="R280" s="11" t="str">
        <f t="shared" si="6"/>
        <v>adam.alexander@schroders.com;</v>
      </c>
    </row>
    <row r="281" spans="2:18" x14ac:dyDescent="0.2">
      <c r="B281" s="11" t="s">
        <v>753</v>
      </c>
      <c r="C281" s="11" t="s">
        <v>189</v>
      </c>
      <c r="F281" s="12" t="s">
        <v>752</v>
      </c>
      <c r="G281" s="13">
        <v>1</v>
      </c>
      <c r="I281" s="13">
        <v>1</v>
      </c>
      <c r="J281" s="13">
        <v>1</v>
      </c>
      <c r="K281" s="13">
        <v>1</v>
      </c>
      <c r="L281" s="13">
        <v>1</v>
      </c>
      <c r="M281" s="13">
        <v>1</v>
      </c>
      <c r="N281" s="13">
        <v>1</v>
      </c>
      <c r="O281" s="13">
        <v>1</v>
      </c>
      <c r="P281" s="13">
        <v>1</v>
      </c>
      <c r="R281" s="11" t="str">
        <f t="shared" si="6"/>
        <v>jthomson@sghiscock.com.au;</v>
      </c>
    </row>
    <row r="282" spans="2:18" x14ac:dyDescent="0.2">
      <c r="B282" s="11" t="s">
        <v>233</v>
      </c>
      <c r="C282" s="11" t="s">
        <v>189</v>
      </c>
      <c r="F282" s="12" t="s">
        <v>234</v>
      </c>
      <c r="G282" s="13">
        <v>1</v>
      </c>
      <c r="I282" s="13">
        <v>1</v>
      </c>
      <c r="J282" s="13">
        <v>1</v>
      </c>
      <c r="K282" s="13">
        <v>1</v>
      </c>
      <c r="L282" s="13">
        <v>1</v>
      </c>
      <c r="M282" s="13">
        <v>1</v>
      </c>
      <c r="N282" s="13">
        <v>1</v>
      </c>
      <c r="O282" s="13">
        <v>1</v>
      </c>
      <c r="P282" s="13">
        <v>1</v>
      </c>
      <c r="R282" s="11" t="str">
        <f t="shared" si="6"/>
        <v>htadgell@sghiscock.com.au;</v>
      </c>
    </row>
    <row r="283" spans="2:18" x14ac:dyDescent="0.2">
      <c r="B283" s="11" t="s">
        <v>725</v>
      </c>
      <c r="C283" s="11" t="s">
        <v>189</v>
      </c>
      <c r="F283" s="12" t="s">
        <v>724</v>
      </c>
      <c r="G283" s="13">
        <v>1</v>
      </c>
      <c r="I283" s="13">
        <v>1</v>
      </c>
      <c r="J283" s="13">
        <v>1</v>
      </c>
      <c r="K283" s="13">
        <v>1</v>
      </c>
      <c r="L283" s="13">
        <v>1</v>
      </c>
      <c r="M283" s="13">
        <v>1</v>
      </c>
      <c r="N283" s="13">
        <v>1</v>
      </c>
      <c r="O283" s="13">
        <v>1</v>
      </c>
      <c r="P283" s="13">
        <v>1</v>
      </c>
      <c r="R283" s="11" t="str">
        <f t="shared" si="6"/>
        <v>adimattina@sghiscock.com.au;</v>
      </c>
    </row>
    <row r="284" spans="2:18" x14ac:dyDescent="0.2">
      <c r="B284" s="11" t="s">
        <v>434</v>
      </c>
      <c r="C284" s="11" t="s">
        <v>189</v>
      </c>
      <c r="F284" s="12" t="s">
        <v>435</v>
      </c>
      <c r="G284" s="13">
        <v>1</v>
      </c>
      <c r="I284" s="13">
        <v>1</v>
      </c>
      <c r="J284" s="13">
        <v>1</v>
      </c>
      <c r="K284" s="13">
        <v>1</v>
      </c>
      <c r="L284" s="13">
        <v>1</v>
      </c>
      <c r="M284" s="13">
        <v>1</v>
      </c>
      <c r="N284" s="13">
        <v>1</v>
      </c>
      <c r="O284" s="13">
        <v>1</v>
      </c>
      <c r="P284" s="13">
        <v>1</v>
      </c>
      <c r="R284" s="11" t="str">
        <f t="shared" si="6"/>
        <v>pli@sghiscock.com.au;</v>
      </c>
    </row>
    <row r="285" spans="2:18" x14ac:dyDescent="0.2">
      <c r="B285" s="11" t="s">
        <v>2085</v>
      </c>
      <c r="C285" s="11" t="s">
        <v>2087</v>
      </c>
      <c r="F285" s="12" t="s">
        <v>2086</v>
      </c>
      <c r="G285" s="13">
        <v>1</v>
      </c>
      <c r="I285" s="13">
        <v>1</v>
      </c>
      <c r="J285" s="13">
        <v>1</v>
      </c>
      <c r="K285" s="13">
        <v>1</v>
      </c>
      <c r="L285" s="13">
        <v>1</v>
      </c>
      <c r="M285" s="13">
        <v>1</v>
      </c>
      <c r="N285" s="13">
        <v>1</v>
      </c>
      <c r="O285" s="13">
        <v>1</v>
      </c>
      <c r="P285" s="13">
        <v>1</v>
      </c>
      <c r="R285" s="11" t="str">
        <f t="shared" si="6"/>
        <v>mborg@soulpatts.com.au;</v>
      </c>
    </row>
    <row r="286" spans="2:18" x14ac:dyDescent="0.2">
      <c r="B286" s="11" t="s">
        <v>2089</v>
      </c>
      <c r="C286" s="11" t="s">
        <v>2087</v>
      </c>
      <c r="F286" s="12" t="s">
        <v>2088</v>
      </c>
      <c r="G286" s="13">
        <v>1</v>
      </c>
      <c r="I286" s="13">
        <v>1</v>
      </c>
      <c r="J286" s="13">
        <v>1</v>
      </c>
      <c r="K286" s="13">
        <v>1</v>
      </c>
      <c r="L286" s="13">
        <v>1</v>
      </c>
      <c r="M286" s="13">
        <v>1</v>
      </c>
      <c r="N286" s="13">
        <v>1</v>
      </c>
      <c r="O286" s="13">
        <v>1</v>
      </c>
      <c r="P286" s="13">
        <v>1</v>
      </c>
      <c r="R286" s="11" t="str">
        <f t="shared" si="6"/>
        <v>jkim@soulpatts.com.au;</v>
      </c>
    </row>
    <row r="287" spans="2:18" x14ac:dyDescent="0.2">
      <c r="B287" s="11" t="s">
        <v>1023</v>
      </c>
      <c r="C287" s="11" t="s">
        <v>1019</v>
      </c>
      <c r="F287" s="12" t="s">
        <v>1022</v>
      </c>
      <c r="G287" s="13">
        <v>1</v>
      </c>
      <c r="I287" s="13">
        <v>1</v>
      </c>
      <c r="J287" s="13">
        <v>1</v>
      </c>
      <c r="K287" s="13">
        <v>1</v>
      </c>
      <c r="L287" s="13">
        <v>1</v>
      </c>
      <c r="M287" s="13">
        <v>1</v>
      </c>
      <c r="N287" s="13">
        <v>1</v>
      </c>
      <c r="O287" s="13">
        <v>1</v>
      </c>
      <c r="P287" s="13">
        <v>1</v>
      </c>
      <c r="R287" s="11" t="str">
        <f t="shared" si="6"/>
        <v>andrew.dellios@tanarra.com;</v>
      </c>
    </row>
    <row r="288" spans="2:18" x14ac:dyDescent="0.2">
      <c r="B288" s="11" t="s">
        <v>609</v>
      </c>
      <c r="C288" s="11" t="s">
        <v>541</v>
      </c>
      <c r="F288" s="12" t="s">
        <v>608</v>
      </c>
      <c r="G288" s="13">
        <v>1</v>
      </c>
      <c r="I288" s="13">
        <v>1</v>
      </c>
      <c r="J288" s="13">
        <v>1</v>
      </c>
      <c r="K288" s="13">
        <v>1</v>
      </c>
      <c r="L288" s="13">
        <v>1</v>
      </c>
      <c r="M288" s="13">
        <v>1</v>
      </c>
      <c r="N288" s="13">
        <v>1</v>
      </c>
      <c r="O288" s="13">
        <v>1</v>
      </c>
      <c r="P288" s="13">
        <v>1</v>
      </c>
      <c r="R288" s="11" t="str">
        <f t="shared" si="6"/>
        <v>tomc@tdmgrowth.com;</v>
      </c>
    </row>
    <row r="289" spans="2:18" x14ac:dyDescent="0.2">
      <c r="B289" s="11" t="s">
        <v>567</v>
      </c>
      <c r="C289" s="11" t="s">
        <v>541</v>
      </c>
      <c r="F289" s="12" t="s">
        <v>566</v>
      </c>
      <c r="G289" s="13">
        <v>1</v>
      </c>
      <c r="I289" s="13">
        <v>1</v>
      </c>
      <c r="J289" s="13">
        <v>1</v>
      </c>
      <c r="K289" s="13">
        <v>1</v>
      </c>
      <c r="L289" s="13">
        <v>1</v>
      </c>
      <c r="M289" s="13">
        <v>1</v>
      </c>
      <c r="N289" s="13">
        <v>1</v>
      </c>
      <c r="O289" s="13">
        <v>1</v>
      </c>
      <c r="P289" s="13">
        <v>1</v>
      </c>
      <c r="R289" s="11" t="str">
        <f t="shared" si="6"/>
        <v>hamish@tdmgrowth.com;</v>
      </c>
    </row>
    <row r="290" spans="2:18" x14ac:dyDescent="0.2">
      <c r="B290" s="11" t="s">
        <v>543</v>
      </c>
      <c r="C290" s="11" t="s">
        <v>541</v>
      </c>
      <c r="F290" s="12" t="s">
        <v>542</v>
      </c>
      <c r="G290" s="13">
        <v>1</v>
      </c>
      <c r="I290" s="13">
        <v>1</v>
      </c>
      <c r="J290" s="13">
        <v>1</v>
      </c>
      <c r="K290" s="13">
        <v>1</v>
      </c>
      <c r="L290" s="13">
        <v>1</v>
      </c>
      <c r="M290" s="13">
        <v>1</v>
      </c>
      <c r="N290" s="13">
        <v>1</v>
      </c>
      <c r="O290" s="13">
        <v>1</v>
      </c>
      <c r="P290" s="13">
        <v>1</v>
      </c>
      <c r="R290" s="11" t="str">
        <f t="shared" si="6"/>
        <v>ben@tdmgrowth.com;</v>
      </c>
    </row>
    <row r="291" spans="2:18" x14ac:dyDescent="0.2">
      <c r="B291" s="11" t="s">
        <v>280</v>
      </c>
      <c r="C291" s="11" t="s">
        <v>1059</v>
      </c>
      <c r="F291" s="12" t="s">
        <v>281</v>
      </c>
      <c r="G291" s="13">
        <v>1</v>
      </c>
      <c r="I291" s="13">
        <v>1</v>
      </c>
      <c r="J291" s="13">
        <v>1</v>
      </c>
      <c r="K291" s="13">
        <v>1</v>
      </c>
      <c r="L291" s="13">
        <v>1</v>
      </c>
      <c r="M291" s="13">
        <v>1</v>
      </c>
      <c r="N291" s="13">
        <v>1</v>
      </c>
      <c r="O291" s="13">
        <v>1</v>
      </c>
      <c r="P291" s="13">
        <v>1</v>
      </c>
      <c r="R291" s="11" t="str">
        <f t="shared" si="6"/>
        <v>junbei@tencap.com.au;</v>
      </c>
    </row>
    <row r="292" spans="2:18" x14ac:dyDescent="0.2">
      <c r="B292" s="11" t="s">
        <v>1060</v>
      </c>
      <c r="C292" s="11" t="s">
        <v>1059</v>
      </c>
      <c r="F292" s="12" t="s">
        <v>2090</v>
      </c>
      <c r="G292" s="13">
        <v>1</v>
      </c>
      <c r="I292" s="13">
        <v>1</v>
      </c>
      <c r="J292" s="13">
        <v>1</v>
      </c>
      <c r="K292" s="13">
        <v>1</v>
      </c>
      <c r="L292" s="13">
        <v>1</v>
      </c>
      <c r="M292" s="13">
        <v>1</v>
      </c>
      <c r="N292" s="13">
        <v>1</v>
      </c>
      <c r="O292" s="13">
        <v>1</v>
      </c>
      <c r="P292" s="13">
        <v>1</v>
      </c>
      <c r="R292" s="11" t="str">
        <f t="shared" si="6"/>
        <v>charles.pegum@tencap.com.au;</v>
      </c>
    </row>
    <row r="293" spans="2:18" x14ac:dyDescent="0.2">
      <c r="B293" s="11" t="s">
        <v>2024</v>
      </c>
      <c r="C293" s="11" t="s">
        <v>1059</v>
      </c>
      <c r="F293" s="12" t="s">
        <v>2026</v>
      </c>
      <c r="G293" s="13">
        <v>1</v>
      </c>
      <c r="I293" s="13">
        <v>1</v>
      </c>
      <c r="J293" s="13">
        <v>1</v>
      </c>
      <c r="K293" s="13">
        <v>1</v>
      </c>
      <c r="L293" s="13">
        <v>1</v>
      </c>
      <c r="M293" s="13">
        <v>1</v>
      </c>
      <c r="N293" s="13">
        <v>1</v>
      </c>
      <c r="O293" s="13">
        <v>1</v>
      </c>
      <c r="P293" s="13">
        <v>1</v>
      </c>
      <c r="R293" s="11" t="str">
        <f t="shared" si="6"/>
        <v>christian@tencap.com.au;</v>
      </c>
    </row>
    <row r="294" spans="2:18" x14ac:dyDescent="0.2">
      <c r="B294" s="11" t="s">
        <v>2025</v>
      </c>
      <c r="C294" s="11" t="s">
        <v>1059</v>
      </c>
      <c r="F294" s="12" t="s">
        <v>2027</v>
      </c>
      <c r="G294" s="13">
        <v>1</v>
      </c>
      <c r="I294" s="13">
        <v>1</v>
      </c>
      <c r="J294" s="13">
        <v>1</v>
      </c>
      <c r="K294" s="13">
        <v>1</v>
      </c>
      <c r="L294" s="13">
        <v>1</v>
      </c>
      <c r="M294" s="13">
        <v>1</v>
      </c>
      <c r="N294" s="13">
        <v>1</v>
      </c>
      <c r="O294" s="13">
        <v>1</v>
      </c>
      <c r="P294" s="13">
        <v>1</v>
      </c>
      <c r="R294" s="11" t="str">
        <f t="shared" si="6"/>
        <v>jason@tencap.com.au;</v>
      </c>
    </row>
    <row r="295" spans="2:18" x14ac:dyDescent="0.2">
      <c r="B295" s="11" t="s">
        <v>516</v>
      </c>
      <c r="C295" s="11" t="s">
        <v>1059</v>
      </c>
      <c r="F295" s="12" t="s">
        <v>2078</v>
      </c>
      <c r="G295" s="13">
        <v>1</v>
      </c>
      <c r="I295" s="13">
        <v>1</v>
      </c>
      <c r="J295" s="13">
        <v>1</v>
      </c>
      <c r="K295" s="13">
        <v>1</v>
      </c>
      <c r="L295" s="13">
        <v>1</v>
      </c>
      <c r="M295" s="13">
        <v>1</v>
      </c>
      <c r="N295" s="13">
        <v>1</v>
      </c>
      <c r="O295" s="13">
        <v>1</v>
      </c>
      <c r="P295" s="13">
        <v>1</v>
      </c>
      <c r="R295" s="11" t="str">
        <f t="shared" si="6"/>
        <v>mark@tencap.com.au;</v>
      </c>
    </row>
    <row r="296" spans="2:18" x14ac:dyDescent="0.2">
      <c r="B296" s="11" t="s">
        <v>548</v>
      </c>
      <c r="C296" s="11" t="s">
        <v>546</v>
      </c>
      <c r="F296" s="12" t="s">
        <v>547</v>
      </c>
      <c r="G296" s="13">
        <v>1</v>
      </c>
      <c r="I296" s="13">
        <v>1</v>
      </c>
      <c r="J296" s="13">
        <v>1</v>
      </c>
      <c r="K296" s="13">
        <v>1</v>
      </c>
      <c r="L296" s="13">
        <v>1</v>
      </c>
      <c r="M296" s="13">
        <v>1</v>
      </c>
      <c r="N296" s="13">
        <v>1</v>
      </c>
      <c r="O296" s="13">
        <v>1</v>
      </c>
      <c r="P296" s="13">
        <v>1</v>
      </c>
      <c r="R296" s="11" t="str">
        <f t="shared" si="6"/>
        <v>john@daviesfamily.com.au;</v>
      </c>
    </row>
    <row r="297" spans="2:18" x14ac:dyDescent="0.2">
      <c r="B297" s="11" t="s">
        <v>692</v>
      </c>
      <c r="C297" s="11" t="s">
        <v>561</v>
      </c>
      <c r="F297" s="12" t="s">
        <v>691</v>
      </c>
      <c r="G297" s="13">
        <v>1</v>
      </c>
      <c r="I297" s="13">
        <v>1</v>
      </c>
      <c r="J297" s="13">
        <v>1</v>
      </c>
      <c r="K297" s="13">
        <v>1</v>
      </c>
      <c r="L297" s="13">
        <v>1</v>
      </c>
      <c r="M297" s="13">
        <v>1</v>
      </c>
      <c r="N297" s="13">
        <v>1</v>
      </c>
      <c r="O297" s="13">
        <v>1</v>
      </c>
      <c r="P297" s="13">
        <v>1</v>
      </c>
      <c r="R297" s="11" t="str">
        <f t="shared" si="6"/>
        <v>margaret.ross@thorney.com.au;</v>
      </c>
    </row>
    <row r="298" spans="2:18" x14ac:dyDescent="0.2">
      <c r="B298" s="11" t="s">
        <v>680</v>
      </c>
      <c r="C298" s="11" t="s">
        <v>561</v>
      </c>
      <c r="F298" s="12" t="s">
        <v>679</v>
      </c>
      <c r="G298" s="13">
        <v>1</v>
      </c>
      <c r="I298" s="13">
        <v>1</v>
      </c>
      <c r="J298" s="13">
        <v>1</v>
      </c>
      <c r="K298" s="13">
        <v>1</v>
      </c>
      <c r="L298" s="13">
        <v>1</v>
      </c>
      <c r="M298" s="13">
        <v>1</v>
      </c>
      <c r="N298" s="13">
        <v>1</v>
      </c>
      <c r="O298" s="13">
        <v>1</v>
      </c>
      <c r="P298" s="13">
        <v>1</v>
      </c>
      <c r="R298" s="11" t="str">
        <f t="shared" si="6"/>
        <v>jeremy.davis@thorney.com.au;</v>
      </c>
    </row>
    <row r="299" spans="2:18" x14ac:dyDescent="0.2">
      <c r="B299" s="11" t="s">
        <v>662</v>
      </c>
      <c r="C299" s="11" t="s">
        <v>561</v>
      </c>
      <c r="F299" s="12" t="s">
        <v>661</v>
      </c>
      <c r="G299" s="13">
        <v>1</v>
      </c>
      <c r="I299" s="13">
        <v>1</v>
      </c>
      <c r="J299" s="13">
        <v>1</v>
      </c>
      <c r="K299" s="13">
        <v>1</v>
      </c>
      <c r="L299" s="13">
        <v>1</v>
      </c>
      <c r="M299" s="13">
        <v>1</v>
      </c>
      <c r="N299" s="13">
        <v>1</v>
      </c>
      <c r="O299" s="13">
        <v>1</v>
      </c>
      <c r="P299" s="13">
        <v>1</v>
      </c>
      <c r="R299" s="11" t="str">
        <f t="shared" si="6"/>
        <v>avee.waislitz@thorney.com.au;</v>
      </c>
    </row>
    <row r="300" spans="2:18" x14ac:dyDescent="0.2">
      <c r="B300" s="11" t="s">
        <v>563</v>
      </c>
      <c r="C300" s="11" t="s">
        <v>561</v>
      </c>
      <c r="F300" s="12" t="s">
        <v>562</v>
      </c>
      <c r="G300" s="13">
        <v>1</v>
      </c>
      <c r="I300" s="13">
        <v>1</v>
      </c>
      <c r="J300" s="13">
        <v>1</v>
      </c>
      <c r="K300" s="13">
        <v>1</v>
      </c>
      <c r="L300" s="13">
        <v>1</v>
      </c>
      <c r="M300" s="13">
        <v>1</v>
      </c>
      <c r="N300" s="13">
        <v>1</v>
      </c>
      <c r="O300" s="13">
        <v>1</v>
      </c>
      <c r="P300" s="13">
        <v>1</v>
      </c>
      <c r="R300" s="11" t="str">
        <f t="shared" si="6"/>
        <v>eric.tan@thorney.com.au;</v>
      </c>
    </row>
    <row r="301" spans="2:18" x14ac:dyDescent="0.2">
      <c r="B301" s="11" t="s">
        <v>533</v>
      </c>
      <c r="C301" s="11" t="s">
        <v>517</v>
      </c>
      <c r="F301" s="12" t="s">
        <v>532</v>
      </c>
      <c r="G301" s="13">
        <v>1</v>
      </c>
      <c r="I301" s="13">
        <v>1</v>
      </c>
      <c r="J301" s="13">
        <v>1</v>
      </c>
      <c r="K301" s="13">
        <v>1</v>
      </c>
      <c r="L301" s="13">
        <v>1</v>
      </c>
      <c r="M301" s="13">
        <v>1</v>
      </c>
      <c r="N301" s="13">
        <v>1</v>
      </c>
      <c r="O301" s="13">
        <v>1</v>
      </c>
      <c r="P301" s="13">
        <v>1</v>
      </c>
      <c r="R301" s="11" t="str">
        <f t="shared" si="6"/>
        <v>david.copley@trafalgarcopley.com;</v>
      </c>
    </row>
    <row r="302" spans="2:18" x14ac:dyDescent="0.2">
      <c r="B302" s="11" t="s">
        <v>519</v>
      </c>
      <c r="C302" s="11" t="s">
        <v>517</v>
      </c>
      <c r="F302" s="12" t="s">
        <v>518</v>
      </c>
      <c r="G302" s="13">
        <v>1</v>
      </c>
      <c r="I302" s="13">
        <v>1</v>
      </c>
      <c r="J302" s="13">
        <v>1</v>
      </c>
      <c r="K302" s="13">
        <v>1</v>
      </c>
      <c r="L302" s="13">
        <v>1</v>
      </c>
      <c r="M302" s="13">
        <v>1</v>
      </c>
      <c r="N302" s="13">
        <v>1</v>
      </c>
      <c r="O302" s="13">
        <v>1</v>
      </c>
      <c r="P302" s="13">
        <v>1</v>
      </c>
      <c r="R302" s="11" t="str">
        <f t="shared" si="6"/>
        <v>bradley.brown@trafalgarcopley.com;</v>
      </c>
    </row>
    <row r="303" spans="2:18" x14ac:dyDescent="0.2">
      <c r="B303" s="11" t="s">
        <v>143</v>
      </c>
      <c r="C303" s="11" t="s">
        <v>145</v>
      </c>
      <c r="F303" s="12" t="s">
        <v>144</v>
      </c>
      <c r="G303" s="13">
        <v>1</v>
      </c>
      <c r="I303" s="13">
        <v>1</v>
      </c>
      <c r="J303" s="13">
        <v>1</v>
      </c>
      <c r="K303" s="13">
        <v>1</v>
      </c>
      <c r="L303" s="13">
        <v>1</v>
      </c>
      <c r="M303" s="13">
        <v>1</v>
      </c>
      <c r="N303" s="13">
        <v>1</v>
      </c>
      <c r="O303" s="13">
        <v>1</v>
      </c>
      <c r="P303" s="13">
        <v>1</v>
      </c>
      <c r="R303" s="11" t="str">
        <f t="shared" si="6"/>
        <v>ben.cleary@tribecaip.com.au;</v>
      </c>
    </row>
    <row r="304" spans="2:18" x14ac:dyDescent="0.2">
      <c r="B304" s="11" t="s">
        <v>280</v>
      </c>
      <c r="C304" s="11" t="s">
        <v>145</v>
      </c>
      <c r="F304" s="12" t="s">
        <v>281</v>
      </c>
      <c r="G304" s="13">
        <v>1</v>
      </c>
      <c r="I304" s="13">
        <v>1</v>
      </c>
      <c r="J304" s="13">
        <v>1</v>
      </c>
      <c r="K304" s="13">
        <v>1</v>
      </c>
      <c r="L304" s="13">
        <v>1</v>
      </c>
      <c r="M304" s="13">
        <v>1</v>
      </c>
      <c r="N304" s="13">
        <v>1</v>
      </c>
      <c r="O304" s="13">
        <v>1</v>
      </c>
      <c r="P304" s="13">
        <v>1</v>
      </c>
      <c r="R304" s="11" t="str">
        <f t="shared" si="6"/>
        <v>junbei@tencap.com.au;</v>
      </c>
    </row>
    <row r="305" spans="2:18" x14ac:dyDescent="0.2">
      <c r="B305" s="11" t="s">
        <v>672</v>
      </c>
      <c r="C305" s="11" t="s">
        <v>145</v>
      </c>
      <c r="F305" s="12" t="s">
        <v>671</v>
      </c>
      <c r="G305" s="13">
        <v>1</v>
      </c>
      <c r="I305" s="13">
        <v>1</v>
      </c>
      <c r="J305" s="13">
        <v>1</v>
      </c>
      <c r="K305" s="13">
        <v>1</v>
      </c>
      <c r="L305" s="13">
        <v>1</v>
      </c>
      <c r="M305" s="13">
        <v>1</v>
      </c>
      <c r="N305" s="13">
        <v>1</v>
      </c>
      <c r="O305" s="13">
        <v>1</v>
      </c>
      <c r="P305" s="13">
        <v>1</v>
      </c>
      <c r="R305" s="11" t="str">
        <f t="shared" si="6"/>
        <v>david.aylward@tribecaip.com.au;</v>
      </c>
    </row>
    <row r="306" spans="2:18" x14ac:dyDescent="0.2">
      <c r="B306" s="11" t="s">
        <v>627</v>
      </c>
      <c r="C306" s="11" t="s">
        <v>145</v>
      </c>
      <c r="F306" s="12" t="s">
        <v>626</v>
      </c>
      <c r="G306" s="13">
        <v>1</v>
      </c>
      <c r="I306" s="13">
        <v>1</v>
      </c>
      <c r="J306" s="13">
        <v>1</v>
      </c>
      <c r="K306" s="13">
        <v>1</v>
      </c>
      <c r="L306" s="13">
        <v>1</v>
      </c>
      <c r="M306" s="13">
        <v>1</v>
      </c>
      <c r="N306" s="13">
        <v>1</v>
      </c>
      <c r="O306" s="13">
        <v>1</v>
      </c>
      <c r="P306" s="13">
        <v>1</v>
      </c>
      <c r="R306" s="11" t="str">
        <f t="shared" si="6"/>
        <v>karen.towle@tribecaip.com.au;</v>
      </c>
    </row>
    <row r="307" spans="2:18" x14ac:dyDescent="0.2">
      <c r="B307" s="11" t="s">
        <v>340</v>
      </c>
      <c r="C307" s="11" t="s">
        <v>145</v>
      </c>
      <c r="F307" s="12" t="s">
        <v>341</v>
      </c>
      <c r="G307" s="13">
        <v>1</v>
      </c>
      <c r="I307" s="13">
        <v>1</v>
      </c>
      <c r="J307" s="13">
        <v>1</v>
      </c>
      <c r="K307" s="13">
        <v>1</v>
      </c>
      <c r="L307" s="13">
        <v>1</v>
      </c>
      <c r="M307" s="13">
        <v>1</v>
      </c>
      <c r="N307" s="13">
        <v>1</v>
      </c>
      <c r="O307" s="13">
        <v>1</v>
      </c>
      <c r="P307" s="13">
        <v>1</v>
      </c>
      <c r="R307" s="11" t="str">
        <f t="shared" si="6"/>
        <v>simon.brown@tribecaip.com.au;</v>
      </c>
    </row>
    <row r="308" spans="2:18" x14ac:dyDescent="0.2">
      <c r="B308" s="11" t="s">
        <v>496</v>
      </c>
      <c r="C308" s="11" t="s">
        <v>145</v>
      </c>
      <c r="F308" s="12" t="s">
        <v>495</v>
      </c>
      <c r="G308" s="13">
        <v>1</v>
      </c>
      <c r="I308" s="13">
        <v>1</v>
      </c>
      <c r="J308" s="13">
        <v>1</v>
      </c>
      <c r="K308" s="13">
        <v>1</v>
      </c>
      <c r="L308" s="13">
        <v>1</v>
      </c>
      <c r="M308" s="13">
        <v>1</v>
      </c>
      <c r="N308" s="13">
        <v>1</v>
      </c>
      <c r="O308" s="13">
        <v>1</v>
      </c>
      <c r="P308" s="13">
        <v>1</v>
      </c>
      <c r="R308" s="11" t="str">
        <f t="shared" si="6"/>
        <v>max.molinari@tribecaip.com.au;</v>
      </c>
    </row>
    <row r="309" spans="2:18" x14ac:dyDescent="0.2">
      <c r="B309" s="11" t="s">
        <v>932</v>
      </c>
      <c r="C309" s="11" t="s">
        <v>177</v>
      </c>
      <c r="F309" s="12" t="s">
        <v>931</v>
      </c>
      <c r="G309" s="13">
        <v>1</v>
      </c>
      <c r="I309" s="13">
        <v>1</v>
      </c>
      <c r="J309" s="13">
        <v>1</v>
      </c>
      <c r="K309" s="13">
        <v>1</v>
      </c>
      <c r="L309" s="13">
        <v>1</v>
      </c>
      <c r="M309" s="13">
        <v>1</v>
      </c>
      <c r="N309" s="13">
        <v>1</v>
      </c>
      <c r="O309" s="13">
        <v>1</v>
      </c>
      <c r="P309" s="13">
        <v>1</v>
      </c>
      <c r="R309" s="11" t="str">
        <f t="shared" si="6"/>
        <v>nira.sonah@unisuper.com.au;</v>
      </c>
    </row>
    <row r="310" spans="2:18" x14ac:dyDescent="0.2">
      <c r="B310" s="11" t="s">
        <v>317</v>
      </c>
      <c r="C310" s="11" t="s">
        <v>177</v>
      </c>
      <c r="F310" s="12" t="s">
        <v>318</v>
      </c>
      <c r="G310" s="13">
        <v>1</v>
      </c>
      <c r="I310" s="13">
        <v>1</v>
      </c>
      <c r="J310" s="13">
        <v>1</v>
      </c>
      <c r="K310" s="13">
        <v>1</v>
      </c>
      <c r="L310" s="13">
        <v>1</v>
      </c>
      <c r="M310" s="13">
        <v>1</v>
      </c>
      <c r="N310" s="13">
        <v>1</v>
      </c>
      <c r="O310" s="13">
        <v>1</v>
      </c>
      <c r="P310" s="13">
        <v>1</v>
      </c>
      <c r="R310" s="11" t="str">
        <f t="shared" si="6"/>
        <v>jarrod.mcdonald@unisuper.com.au;</v>
      </c>
    </row>
    <row r="311" spans="2:18" x14ac:dyDescent="0.2">
      <c r="B311" s="11" t="s">
        <v>336</v>
      </c>
      <c r="C311" s="11" t="s">
        <v>177</v>
      </c>
      <c r="F311" s="12" t="s">
        <v>337</v>
      </c>
      <c r="G311" s="13">
        <v>1</v>
      </c>
      <c r="I311" s="13">
        <v>1</v>
      </c>
      <c r="J311" s="13">
        <v>1</v>
      </c>
      <c r="K311" s="13">
        <v>1</v>
      </c>
      <c r="L311" s="13">
        <v>1</v>
      </c>
      <c r="M311" s="13">
        <v>1</v>
      </c>
      <c r="N311" s="13">
        <v>1</v>
      </c>
      <c r="O311" s="13">
        <v>1</v>
      </c>
      <c r="P311" s="13">
        <v>1</v>
      </c>
      <c r="R311" s="11" t="str">
        <f t="shared" si="6"/>
        <v>wesley.nation@unisuper.com.au;</v>
      </c>
    </row>
    <row r="312" spans="2:18" x14ac:dyDescent="0.2">
      <c r="B312" s="11" t="s">
        <v>383</v>
      </c>
      <c r="C312" s="11" t="s">
        <v>177</v>
      </c>
      <c r="F312" s="12" t="s">
        <v>384</v>
      </c>
      <c r="G312" s="13">
        <v>1</v>
      </c>
      <c r="I312" s="13">
        <v>1</v>
      </c>
      <c r="J312" s="13">
        <v>1</v>
      </c>
      <c r="K312" s="13">
        <v>1</v>
      </c>
      <c r="L312" s="13">
        <v>1</v>
      </c>
      <c r="M312" s="13">
        <v>1</v>
      </c>
      <c r="N312" s="13">
        <v>1</v>
      </c>
      <c r="O312" s="13">
        <v>1</v>
      </c>
      <c r="P312" s="13">
        <v>1</v>
      </c>
      <c r="R312" s="11" t="str">
        <f t="shared" si="6"/>
        <v>james.ewinger@unisuper.com.au;</v>
      </c>
    </row>
    <row r="313" spans="2:18" x14ac:dyDescent="0.2">
      <c r="B313" s="11" t="s">
        <v>751</v>
      </c>
      <c r="C313" s="11" t="s">
        <v>749</v>
      </c>
      <c r="F313" s="12" t="s">
        <v>750</v>
      </c>
      <c r="G313" s="13">
        <v>1</v>
      </c>
      <c r="I313" s="13">
        <v>1</v>
      </c>
      <c r="J313" s="13">
        <v>1</v>
      </c>
      <c r="K313" s="13">
        <v>1</v>
      </c>
      <c r="L313" s="13">
        <v>1</v>
      </c>
      <c r="M313" s="13">
        <v>1</v>
      </c>
      <c r="N313" s="13">
        <v>1</v>
      </c>
      <c r="O313" s="13">
        <v>1</v>
      </c>
      <c r="P313" s="13">
        <v>1</v>
      </c>
      <c r="R313" s="11" t="str">
        <f t="shared" si="6"/>
        <v>jon.fernie@ucafunds.com.au;</v>
      </c>
    </row>
    <row r="314" spans="2:18" x14ac:dyDescent="0.2">
      <c r="B314" s="11" t="s">
        <v>104</v>
      </c>
      <c r="C314" s="11" t="s">
        <v>106</v>
      </c>
      <c r="F314" s="12" t="s">
        <v>105</v>
      </c>
      <c r="G314" s="13">
        <v>1</v>
      </c>
      <c r="I314" s="13">
        <v>1</v>
      </c>
      <c r="J314" s="13">
        <v>1</v>
      </c>
      <c r="K314" s="13">
        <v>1</v>
      </c>
      <c r="L314" s="13">
        <v>1</v>
      </c>
      <c r="M314" s="13">
        <v>1</v>
      </c>
      <c r="N314" s="13">
        <v>1</v>
      </c>
      <c r="O314" s="13">
        <v>1</v>
      </c>
      <c r="P314" s="13">
        <v>1</v>
      </c>
      <c r="R314" s="11" t="str">
        <f t="shared" si="6"/>
        <v>robert.luciano@vgipartners.com;</v>
      </c>
    </row>
    <row r="315" spans="2:18" x14ac:dyDescent="0.2">
      <c r="B315" s="11" t="s">
        <v>551</v>
      </c>
      <c r="C315" s="11" t="s">
        <v>549</v>
      </c>
      <c r="F315" s="12" t="s">
        <v>550</v>
      </c>
      <c r="G315" s="13">
        <v>1</v>
      </c>
      <c r="I315" s="13">
        <v>1</v>
      </c>
      <c r="J315" s="13">
        <v>1</v>
      </c>
      <c r="K315" s="13">
        <v>1</v>
      </c>
      <c r="L315" s="13">
        <v>1</v>
      </c>
      <c r="M315" s="13">
        <v>1</v>
      </c>
      <c r="N315" s="13">
        <v>1</v>
      </c>
      <c r="O315" s="13">
        <v>1</v>
      </c>
      <c r="P315" s="13">
        <v>1</v>
      </c>
      <c r="R315" s="11" t="str">
        <f t="shared" si="6"/>
        <v>joseph@vsg.com.au;</v>
      </c>
    </row>
    <row r="316" spans="2:18" x14ac:dyDescent="0.2">
      <c r="B316" s="11" t="s">
        <v>183</v>
      </c>
      <c r="C316" s="11" t="s">
        <v>185</v>
      </c>
      <c r="F316" s="12" t="s">
        <v>184</v>
      </c>
      <c r="G316" s="13">
        <v>1</v>
      </c>
      <c r="I316" s="13">
        <v>1</v>
      </c>
      <c r="J316" s="13">
        <v>1</v>
      </c>
      <c r="K316" s="13">
        <v>1</v>
      </c>
      <c r="L316" s="13">
        <v>1</v>
      </c>
      <c r="M316" s="13">
        <v>1</v>
      </c>
      <c r="N316" s="13">
        <v>1</v>
      </c>
      <c r="O316" s="13">
        <v>1</v>
      </c>
      <c r="P316" s="13">
        <v>1</v>
      </c>
      <c r="R316" s="11" t="str">
        <f t="shared" si="6"/>
        <v>braitling@wfunds.com.au;</v>
      </c>
    </row>
    <row r="317" spans="2:18" x14ac:dyDescent="0.2">
      <c r="B317" s="11" t="s">
        <v>328</v>
      </c>
      <c r="C317" s="11" t="s">
        <v>185</v>
      </c>
      <c r="F317" s="12" t="s">
        <v>329</v>
      </c>
      <c r="G317" s="13">
        <v>1</v>
      </c>
      <c r="I317" s="13">
        <v>1</v>
      </c>
      <c r="J317" s="13">
        <v>1</v>
      </c>
      <c r="K317" s="13">
        <v>1</v>
      </c>
      <c r="L317" s="13">
        <v>1</v>
      </c>
      <c r="M317" s="13">
        <v>1</v>
      </c>
      <c r="N317" s="13">
        <v>1</v>
      </c>
      <c r="O317" s="13">
        <v>1</v>
      </c>
      <c r="P317" s="13">
        <v>1</v>
      </c>
      <c r="R317" s="11" t="str">
        <f t="shared" si="6"/>
        <v>dbroeren@blackwattlepartners.com;</v>
      </c>
    </row>
    <row r="318" spans="2:18" x14ac:dyDescent="0.2">
      <c r="B318" s="11" t="s">
        <v>156</v>
      </c>
      <c r="C318" s="11" t="s">
        <v>155</v>
      </c>
      <c r="F318" s="12" t="s">
        <v>157</v>
      </c>
      <c r="G318" s="13">
        <v>1</v>
      </c>
      <c r="I318" s="13">
        <v>1</v>
      </c>
      <c r="J318" s="13">
        <v>1</v>
      </c>
      <c r="K318" s="13">
        <v>1</v>
      </c>
      <c r="L318" s="13">
        <v>1</v>
      </c>
      <c r="M318" s="13">
        <v>1</v>
      </c>
      <c r="N318" s="13">
        <v>1</v>
      </c>
      <c r="O318" s="13">
        <v>1</v>
      </c>
      <c r="P318" s="13">
        <v>1</v>
      </c>
      <c r="R318" s="11" t="str">
        <f t="shared" si="6"/>
        <v>anthony.tan@wavestonecapital.com;</v>
      </c>
    </row>
    <row r="319" spans="2:18" x14ac:dyDescent="0.2">
      <c r="B319" s="11" t="s">
        <v>352</v>
      </c>
      <c r="C319" s="11" t="s">
        <v>155</v>
      </c>
      <c r="F319" s="12" t="s">
        <v>353</v>
      </c>
      <c r="G319" s="13">
        <v>1</v>
      </c>
      <c r="I319" s="13">
        <v>1</v>
      </c>
      <c r="J319" s="13">
        <v>1</v>
      </c>
      <c r="K319" s="13">
        <v>1</v>
      </c>
      <c r="L319" s="13">
        <v>1</v>
      </c>
      <c r="M319" s="13">
        <v>1</v>
      </c>
      <c r="N319" s="13">
        <v>1</v>
      </c>
      <c r="O319" s="13">
        <v>1</v>
      </c>
      <c r="P319" s="13">
        <v>1</v>
      </c>
      <c r="R319" s="11" t="str">
        <f t="shared" si="6"/>
        <v>raaz.bhuyan@wavestonecapital.com;</v>
      </c>
    </row>
    <row r="320" spans="2:18" x14ac:dyDescent="0.2">
      <c r="B320" s="11" t="s">
        <v>240</v>
      </c>
      <c r="C320" s="11" t="s">
        <v>170</v>
      </c>
      <c r="F320" s="12" t="s">
        <v>241</v>
      </c>
      <c r="G320" s="13">
        <v>1</v>
      </c>
      <c r="I320" s="13">
        <v>1</v>
      </c>
      <c r="J320" s="13">
        <v>1</v>
      </c>
      <c r="K320" s="13">
        <v>1</v>
      </c>
      <c r="L320" s="13">
        <v>1</v>
      </c>
      <c r="M320" s="13">
        <v>1</v>
      </c>
      <c r="N320" s="13">
        <v>1</v>
      </c>
      <c r="O320" s="13">
        <v>1</v>
      </c>
      <c r="P320" s="13">
        <v>1</v>
      </c>
      <c r="R320" s="11" t="str">
        <f t="shared" si="6"/>
        <v>tobias@wilsonassetmanagement.com.au;</v>
      </c>
    </row>
    <row r="321" spans="2:18" x14ac:dyDescent="0.2">
      <c r="B321" s="11" t="s">
        <v>270</v>
      </c>
      <c r="C321" s="11" t="s">
        <v>170</v>
      </c>
      <c r="F321" s="12" t="s">
        <v>271</v>
      </c>
      <c r="G321" s="13">
        <v>1</v>
      </c>
      <c r="I321" s="13">
        <v>1</v>
      </c>
      <c r="J321" s="13">
        <v>1</v>
      </c>
      <c r="K321" s="13">
        <v>1</v>
      </c>
      <c r="L321" s="13">
        <v>1</v>
      </c>
      <c r="M321" s="13">
        <v>1</v>
      </c>
      <c r="N321" s="13">
        <v>1</v>
      </c>
      <c r="O321" s="13">
        <v>1</v>
      </c>
      <c r="P321" s="13">
        <v>1</v>
      </c>
      <c r="R321" s="11" t="str">
        <f t="shared" ref="R321:R374" si="7">F321&amp;";"</f>
        <v>oscar@wilsonassetmanagement.com.au;</v>
      </c>
    </row>
    <row r="322" spans="2:18" x14ac:dyDescent="0.2">
      <c r="B322" s="11" t="s">
        <v>928</v>
      </c>
      <c r="C322" s="11" t="s">
        <v>170</v>
      </c>
      <c r="F322" s="12" t="s">
        <v>927</v>
      </c>
      <c r="G322" s="13">
        <v>1</v>
      </c>
      <c r="I322" s="13">
        <v>1</v>
      </c>
      <c r="J322" s="13">
        <v>1</v>
      </c>
      <c r="K322" s="13">
        <v>1</v>
      </c>
      <c r="L322" s="13">
        <v>1</v>
      </c>
      <c r="M322" s="13">
        <v>1</v>
      </c>
      <c r="N322" s="13">
        <v>1</v>
      </c>
      <c r="O322" s="13">
        <v>1</v>
      </c>
      <c r="P322" s="13">
        <v>1</v>
      </c>
      <c r="R322" s="11" t="str">
        <f t="shared" si="7"/>
        <v>shaun@wilsonassetmanagement.com.au;</v>
      </c>
    </row>
    <row r="323" spans="2:18" x14ac:dyDescent="0.2">
      <c r="B323" s="11" t="s">
        <v>372</v>
      </c>
      <c r="C323" s="11" t="s">
        <v>170</v>
      </c>
      <c r="F323" s="12" t="s">
        <v>373</v>
      </c>
      <c r="G323" s="13">
        <v>1</v>
      </c>
      <c r="I323" s="13">
        <v>1</v>
      </c>
      <c r="J323" s="13">
        <v>1</v>
      </c>
      <c r="K323" s="13">
        <v>1</v>
      </c>
      <c r="L323" s="13">
        <v>1</v>
      </c>
      <c r="M323" s="13">
        <v>1</v>
      </c>
      <c r="N323" s="13">
        <v>1</v>
      </c>
      <c r="O323" s="13">
        <v>1</v>
      </c>
      <c r="P323" s="13">
        <v>1</v>
      </c>
      <c r="R323" s="11" t="str">
        <f t="shared" si="7"/>
        <v>john@wilsonassetmanagement.com.au;</v>
      </c>
    </row>
    <row r="324" spans="2:18" x14ac:dyDescent="0.2">
      <c r="B324" s="11" t="s">
        <v>168</v>
      </c>
      <c r="C324" s="11" t="s">
        <v>170</v>
      </c>
      <c r="F324" s="12" t="s">
        <v>169</v>
      </c>
      <c r="G324" s="13">
        <v>1</v>
      </c>
      <c r="I324" s="13">
        <v>1</v>
      </c>
      <c r="J324" s="13">
        <v>1</v>
      </c>
      <c r="K324" s="13">
        <v>1</v>
      </c>
      <c r="L324" s="13">
        <v>1</v>
      </c>
      <c r="M324" s="13">
        <v>1</v>
      </c>
      <c r="N324" s="13">
        <v>1</v>
      </c>
      <c r="O324" s="13">
        <v>1</v>
      </c>
      <c r="P324" s="13">
        <v>1</v>
      </c>
      <c r="R324" s="11" t="str">
        <f t="shared" si="7"/>
        <v>matthew@wilsonassetmanagement.com.au;</v>
      </c>
    </row>
    <row r="325" spans="2:18" x14ac:dyDescent="0.2">
      <c r="B325" s="11" t="s">
        <v>881</v>
      </c>
      <c r="C325" s="11" t="s">
        <v>170</v>
      </c>
      <c r="F325" s="12" t="s">
        <v>880</v>
      </c>
      <c r="G325" s="13">
        <v>1</v>
      </c>
      <c r="I325" s="13">
        <v>1</v>
      </c>
      <c r="J325" s="13">
        <v>1</v>
      </c>
      <c r="K325" s="13">
        <v>1</v>
      </c>
      <c r="L325" s="13">
        <v>1</v>
      </c>
      <c r="M325" s="13">
        <v>1</v>
      </c>
      <c r="N325" s="13">
        <v>1</v>
      </c>
      <c r="O325" s="13">
        <v>1</v>
      </c>
      <c r="P325" s="13">
        <v>1</v>
      </c>
      <c r="R325" s="11" t="str">
        <f t="shared" si="7"/>
        <v>tyler@wilsonassetmanagement.com.au;</v>
      </c>
    </row>
    <row r="326" spans="2:18" x14ac:dyDescent="0.2">
      <c r="B326" s="11" t="s">
        <v>585</v>
      </c>
      <c r="C326" s="11" t="s">
        <v>170</v>
      </c>
      <c r="F326" s="12" t="s">
        <v>584</v>
      </c>
      <c r="G326" s="13">
        <v>1</v>
      </c>
      <c r="I326" s="13">
        <v>1</v>
      </c>
      <c r="J326" s="13">
        <v>1</v>
      </c>
      <c r="K326" s="13">
        <v>1</v>
      </c>
      <c r="L326" s="13">
        <v>1</v>
      </c>
      <c r="M326" s="13">
        <v>1</v>
      </c>
      <c r="N326" s="13">
        <v>1</v>
      </c>
      <c r="O326" s="13">
        <v>1</v>
      </c>
      <c r="P326" s="13">
        <v>1</v>
      </c>
      <c r="R326" s="11" t="str">
        <f t="shared" si="7"/>
        <v>sam@wilsonassetmanagement.com.au;</v>
      </c>
    </row>
    <row r="327" spans="2:18" x14ac:dyDescent="0.2">
      <c r="B327" s="11" t="s">
        <v>577</v>
      </c>
      <c r="C327" s="11" t="s">
        <v>170</v>
      </c>
      <c r="F327" s="12" t="s">
        <v>576</v>
      </c>
      <c r="G327" s="13">
        <v>1</v>
      </c>
      <c r="I327" s="13">
        <v>1</v>
      </c>
      <c r="J327" s="13">
        <v>1</v>
      </c>
      <c r="K327" s="13">
        <v>1</v>
      </c>
      <c r="L327" s="13">
        <v>1</v>
      </c>
      <c r="M327" s="13">
        <v>1</v>
      </c>
      <c r="N327" s="13">
        <v>1</v>
      </c>
      <c r="O327" s="13">
        <v>1</v>
      </c>
      <c r="P327" s="13">
        <v>1</v>
      </c>
      <c r="R327" s="11" t="str">
        <f t="shared" si="7"/>
        <v>corporate.affairs@wilsonassetmanagement.com.au;</v>
      </c>
    </row>
    <row r="328" spans="2:18" x14ac:dyDescent="0.2">
      <c r="B328" s="11" t="s">
        <v>2055</v>
      </c>
      <c r="C328" s="11" t="s">
        <v>170</v>
      </c>
      <c r="F328" s="12" t="s">
        <v>2056</v>
      </c>
      <c r="G328" s="13">
        <v>1</v>
      </c>
      <c r="I328" s="13">
        <v>1</v>
      </c>
      <c r="J328" s="13">
        <v>1</v>
      </c>
      <c r="K328" s="13">
        <v>1</v>
      </c>
      <c r="L328" s="13">
        <v>1</v>
      </c>
      <c r="M328" s="13">
        <v>1</v>
      </c>
      <c r="N328" s="13">
        <v>1</v>
      </c>
      <c r="O328" s="13">
        <v>1</v>
      </c>
      <c r="P328" s="13">
        <v>1</v>
      </c>
      <c r="R328" s="11" t="str">
        <f t="shared" si="7"/>
        <v>hailey@wilsonassetmanagement.com.au;</v>
      </c>
    </row>
    <row r="329" spans="2:18" x14ac:dyDescent="0.2">
      <c r="B329" s="11" t="s">
        <v>438</v>
      </c>
      <c r="C329" s="11" t="s">
        <v>87</v>
      </c>
      <c r="F329" s="12" t="s">
        <v>439</v>
      </c>
      <c r="G329" s="13">
        <v>1</v>
      </c>
      <c r="I329" s="13">
        <v>1</v>
      </c>
      <c r="J329" s="13">
        <v>1</v>
      </c>
      <c r="K329" s="13">
        <v>1</v>
      </c>
      <c r="L329" s="13">
        <v>1</v>
      </c>
      <c r="M329" s="13">
        <v>1</v>
      </c>
      <c r="N329" s="13">
        <v>1</v>
      </c>
      <c r="O329" s="13">
        <v>1</v>
      </c>
      <c r="P329" s="13">
        <v>1</v>
      </c>
      <c r="R329" s="11" t="str">
        <f t="shared" si="7"/>
        <v>david.schwartz@yarracm.com;</v>
      </c>
    </row>
    <row r="330" spans="2:18" x14ac:dyDescent="0.2">
      <c r="B330" s="11" t="s">
        <v>85</v>
      </c>
      <c r="C330" s="11" t="s">
        <v>87</v>
      </c>
      <c r="F330" s="12" t="s">
        <v>86</v>
      </c>
      <c r="G330" s="13">
        <v>1</v>
      </c>
      <c r="I330" s="13">
        <v>1</v>
      </c>
      <c r="J330" s="13">
        <v>1</v>
      </c>
      <c r="K330" s="13">
        <v>1</v>
      </c>
      <c r="L330" s="13">
        <v>1</v>
      </c>
      <c r="M330" s="13">
        <v>1</v>
      </c>
      <c r="N330" s="13">
        <v>1</v>
      </c>
      <c r="O330" s="13">
        <v>1</v>
      </c>
      <c r="P330" s="13">
        <v>1</v>
      </c>
      <c r="R330" s="11" t="str">
        <f t="shared" si="7"/>
        <v>nicholas.curtis@yarracm.com;</v>
      </c>
    </row>
    <row r="331" spans="2:18" x14ac:dyDescent="0.2">
      <c r="B331" s="11" t="s">
        <v>275</v>
      </c>
      <c r="C331" s="11" t="s">
        <v>87</v>
      </c>
      <c r="F331" s="12" t="s">
        <v>276</v>
      </c>
      <c r="G331" s="13">
        <v>1</v>
      </c>
      <c r="I331" s="13">
        <v>1</v>
      </c>
      <c r="J331" s="13">
        <v>1</v>
      </c>
      <c r="K331" s="13">
        <v>1</v>
      </c>
      <c r="L331" s="13">
        <v>1</v>
      </c>
      <c r="M331" s="13">
        <v>1</v>
      </c>
      <c r="N331" s="13">
        <v>1</v>
      </c>
      <c r="O331" s="13">
        <v>1</v>
      </c>
      <c r="P331" s="13">
        <v>1</v>
      </c>
      <c r="R331" s="11" t="str">
        <f t="shared" si="7"/>
        <v>michael.steele@yarracm.com;</v>
      </c>
    </row>
    <row r="332" spans="2:18" x14ac:dyDescent="0.2">
      <c r="B332" s="11" t="s">
        <v>607</v>
      </c>
      <c r="C332" s="11" t="s">
        <v>87</v>
      </c>
      <c r="F332" s="12" t="s">
        <v>606</v>
      </c>
      <c r="G332" s="13">
        <v>1</v>
      </c>
      <c r="I332" s="13">
        <v>1</v>
      </c>
      <c r="J332" s="13">
        <v>1</v>
      </c>
      <c r="K332" s="13">
        <v>1</v>
      </c>
      <c r="L332" s="13">
        <v>1</v>
      </c>
      <c r="M332" s="13">
        <v>1</v>
      </c>
      <c r="N332" s="13">
        <v>1</v>
      </c>
      <c r="O332" s="13">
        <v>1</v>
      </c>
      <c r="P332" s="13">
        <v>1</v>
      </c>
      <c r="R332" s="11" t="str">
        <f t="shared" si="7"/>
        <v>phillip.strano@yarracm.com;</v>
      </c>
    </row>
    <row r="333" spans="2:18" x14ac:dyDescent="0.2">
      <c r="B333" s="11" t="s">
        <v>436</v>
      </c>
      <c r="C333" s="11" t="s">
        <v>87</v>
      </c>
      <c r="F333" s="12" t="s">
        <v>437</v>
      </c>
      <c r="G333" s="13">
        <v>1</v>
      </c>
      <c r="I333" s="13">
        <v>1</v>
      </c>
      <c r="J333" s="13">
        <v>1</v>
      </c>
      <c r="K333" s="13">
        <v>1</v>
      </c>
      <c r="L333" s="13">
        <v>1</v>
      </c>
      <c r="M333" s="13">
        <v>1</v>
      </c>
      <c r="N333" s="13">
        <v>1</v>
      </c>
      <c r="O333" s="13">
        <v>1</v>
      </c>
      <c r="P333" s="13">
        <v>1</v>
      </c>
      <c r="R333" s="11" t="str">
        <f t="shared" si="7"/>
        <v>dion.hershan@yarracm.com;</v>
      </c>
    </row>
    <row r="334" spans="2:18" x14ac:dyDescent="0.2">
      <c r="B334" s="11" t="s">
        <v>967</v>
      </c>
      <c r="C334" s="11" t="s">
        <v>87</v>
      </c>
      <c r="F334" s="12" t="s">
        <v>966</v>
      </c>
      <c r="G334" s="13">
        <v>1</v>
      </c>
      <c r="I334" s="13">
        <v>1</v>
      </c>
      <c r="J334" s="13">
        <v>1</v>
      </c>
      <c r="K334" s="13">
        <v>1</v>
      </c>
      <c r="L334" s="13">
        <v>1</v>
      </c>
      <c r="M334" s="13">
        <v>1</v>
      </c>
      <c r="N334" s="13">
        <v>1</v>
      </c>
      <c r="O334" s="13">
        <v>1</v>
      </c>
      <c r="P334" s="13">
        <v>1</v>
      </c>
      <c r="R334" s="11" t="str">
        <f t="shared" si="7"/>
        <v>katie.hudson@yarracm.com;</v>
      </c>
    </row>
    <row r="335" spans="2:18" x14ac:dyDescent="0.2">
      <c r="B335" s="11" t="s">
        <v>965</v>
      </c>
      <c r="C335" s="11" t="s">
        <v>87</v>
      </c>
      <c r="F335" s="12" t="s">
        <v>964</v>
      </c>
      <c r="G335" s="13">
        <v>1</v>
      </c>
      <c r="I335" s="13">
        <v>1</v>
      </c>
      <c r="J335" s="13">
        <v>1</v>
      </c>
      <c r="K335" s="13">
        <v>1</v>
      </c>
      <c r="L335" s="13">
        <v>1</v>
      </c>
      <c r="M335" s="13">
        <v>1</v>
      </c>
      <c r="N335" s="13">
        <v>1</v>
      </c>
      <c r="O335" s="13">
        <v>1</v>
      </c>
      <c r="P335" s="13">
        <v>1</v>
      </c>
      <c r="R335" s="11" t="str">
        <f t="shared" si="7"/>
        <v>joel.fleming@yarracm.com;</v>
      </c>
    </row>
    <row r="336" spans="2:18" x14ac:dyDescent="0.2">
      <c r="B336" s="11" t="s">
        <v>961</v>
      </c>
      <c r="C336" s="11" t="s">
        <v>87</v>
      </c>
      <c r="F336" s="11" t="s">
        <v>960</v>
      </c>
      <c r="G336" s="13">
        <v>1</v>
      </c>
      <c r="I336" s="13">
        <v>1</v>
      </c>
      <c r="J336" s="13">
        <v>1</v>
      </c>
      <c r="K336" s="13">
        <v>1</v>
      </c>
      <c r="L336" s="13">
        <v>1</v>
      </c>
      <c r="M336" s="13">
        <v>1</v>
      </c>
      <c r="N336" s="13">
        <v>1</v>
      </c>
      <c r="O336" s="13">
        <v>1</v>
      </c>
      <c r="P336" s="13">
        <v>1</v>
      </c>
      <c r="R336" s="11" t="str">
        <f t="shared" si="7"/>
        <v>josh.ginges@yarracm.com;</v>
      </c>
    </row>
    <row r="337" spans="2:18" x14ac:dyDescent="0.2">
      <c r="B337" s="11" t="s">
        <v>2058</v>
      </c>
      <c r="C337" s="11" t="s">
        <v>1877</v>
      </c>
      <c r="F337" s="12" t="s">
        <v>2059</v>
      </c>
      <c r="G337" s="13">
        <v>1</v>
      </c>
      <c r="I337" s="13">
        <v>1</v>
      </c>
      <c r="J337" s="13">
        <v>1</v>
      </c>
      <c r="K337" s="13">
        <v>1</v>
      </c>
      <c r="L337" s="13">
        <v>1</v>
      </c>
      <c r="M337" s="13">
        <v>1</v>
      </c>
      <c r="N337" s="13">
        <v>1</v>
      </c>
      <c r="O337" s="13">
        <v>1</v>
      </c>
      <c r="P337" s="13">
        <v>1</v>
      </c>
      <c r="R337" s="11" t="str">
        <f t="shared" si="7"/>
        <v>ktham@vfmc.vic.gov.au;</v>
      </c>
    </row>
    <row r="338" spans="2:18" x14ac:dyDescent="0.2">
      <c r="B338" s="11" t="s">
        <v>2126</v>
      </c>
      <c r="C338" s="11" t="s">
        <v>2127</v>
      </c>
      <c r="F338" s="12" t="s">
        <v>2128</v>
      </c>
      <c r="G338" s="13">
        <v>1</v>
      </c>
      <c r="I338" s="13">
        <v>1</v>
      </c>
      <c r="J338" s="13">
        <v>1</v>
      </c>
      <c r="K338" s="13">
        <v>1</v>
      </c>
      <c r="L338" s="13">
        <v>1</v>
      </c>
      <c r="M338" s="13">
        <v>1</v>
      </c>
      <c r="N338" s="13">
        <v>1</v>
      </c>
      <c r="O338" s="13">
        <v>1</v>
      </c>
      <c r="P338" s="13">
        <v>1</v>
      </c>
      <c r="R338" s="11" t="str">
        <f t="shared" si="7"/>
        <v>analyst.alerts@vinva.com;</v>
      </c>
    </row>
    <row r="339" spans="2:18" x14ac:dyDescent="0.2">
      <c r="B339" s="11" t="s">
        <v>2099</v>
      </c>
      <c r="C339" s="11" t="s">
        <v>2061</v>
      </c>
      <c r="F339" s="12" t="s">
        <v>2100</v>
      </c>
      <c r="G339" s="13">
        <v>1</v>
      </c>
      <c r="I339" s="13">
        <v>1</v>
      </c>
      <c r="J339" s="13">
        <v>1</v>
      </c>
      <c r="K339" s="13">
        <v>1</v>
      </c>
      <c r="L339" s="13">
        <v>1</v>
      </c>
      <c r="M339" s="13">
        <v>1</v>
      </c>
      <c r="N339" s="13">
        <v>1</v>
      </c>
      <c r="O339" s="14">
        <v>0</v>
      </c>
      <c r="P339" s="14">
        <v>0</v>
      </c>
      <c r="R339" s="11" t="str">
        <f t="shared" si="7"/>
        <v>james@qvgcapital.com.au;</v>
      </c>
    </row>
    <row r="340" spans="2:18" x14ac:dyDescent="0.2">
      <c r="B340" s="11" t="s">
        <v>2060</v>
      </c>
      <c r="C340" s="11" t="s">
        <v>2061</v>
      </c>
      <c r="F340" s="12" t="s">
        <v>2062</v>
      </c>
      <c r="G340" s="13">
        <v>1</v>
      </c>
      <c r="I340" s="13">
        <v>1</v>
      </c>
      <c r="J340" s="13">
        <v>1</v>
      </c>
      <c r="K340" s="13">
        <v>1</v>
      </c>
      <c r="L340" s="13">
        <v>1</v>
      </c>
      <c r="M340" s="13">
        <v>1</v>
      </c>
      <c r="N340" s="13">
        <v>1</v>
      </c>
      <c r="O340" s="14">
        <v>0</v>
      </c>
      <c r="P340" s="14">
        <v>0</v>
      </c>
      <c r="R340" s="11" t="str">
        <f t="shared" si="7"/>
        <v>josh@qvgcapital.com.au;</v>
      </c>
    </row>
    <row r="341" spans="2:18" x14ac:dyDescent="0.2">
      <c r="B341" s="11" t="s">
        <v>1061</v>
      </c>
      <c r="C341" s="11" t="s">
        <v>421</v>
      </c>
      <c r="E341" s="11" t="s">
        <v>1063</v>
      </c>
      <c r="F341" s="12" t="s">
        <v>1062</v>
      </c>
      <c r="G341" s="13">
        <v>1</v>
      </c>
      <c r="I341" s="14">
        <v>0</v>
      </c>
      <c r="J341" s="13">
        <v>1</v>
      </c>
      <c r="K341" s="13">
        <v>1</v>
      </c>
      <c r="L341" s="13">
        <v>1</v>
      </c>
      <c r="M341" s="13">
        <v>1</v>
      </c>
      <c r="N341" s="13">
        <v>1</v>
      </c>
      <c r="O341" s="13">
        <v>1</v>
      </c>
      <c r="P341" s="13">
        <v>1</v>
      </c>
      <c r="R341" s="11" t="str">
        <f t="shared" si="7"/>
        <v>josh.phillips@tyndallam.com;</v>
      </c>
    </row>
    <row r="342" spans="2:18" x14ac:dyDescent="0.2">
      <c r="B342" s="11" t="s">
        <v>918</v>
      </c>
      <c r="C342" s="11" t="s">
        <v>651</v>
      </c>
      <c r="D342" s="11" t="s">
        <v>998</v>
      </c>
      <c r="F342" s="12" t="s">
        <v>917</v>
      </c>
      <c r="G342" s="13">
        <v>1</v>
      </c>
      <c r="I342" s="14">
        <v>0</v>
      </c>
      <c r="J342" s="13">
        <v>1</v>
      </c>
      <c r="K342" s="13">
        <v>1</v>
      </c>
      <c r="L342" s="13">
        <v>1</v>
      </c>
      <c r="M342" s="13">
        <v>1</v>
      </c>
      <c r="N342" s="13">
        <v>1</v>
      </c>
      <c r="O342" s="13">
        <v>1</v>
      </c>
      <c r="P342" s="13">
        <v>1</v>
      </c>
      <c r="R342" s="11" t="str">
        <f t="shared" si="7"/>
        <v>ben@eg-group.com.au;</v>
      </c>
    </row>
    <row r="343" spans="2:18" x14ac:dyDescent="0.2">
      <c r="B343" s="11" t="s">
        <v>910</v>
      </c>
      <c r="C343" s="11" t="s">
        <v>651</v>
      </c>
      <c r="D343" s="11" t="s">
        <v>998</v>
      </c>
      <c r="F343" s="12" t="s">
        <v>909</v>
      </c>
      <c r="G343" s="13">
        <v>1</v>
      </c>
      <c r="I343" s="14">
        <v>0</v>
      </c>
      <c r="J343" s="13">
        <v>1</v>
      </c>
      <c r="K343" s="13">
        <v>1</v>
      </c>
      <c r="L343" s="13">
        <v>1</v>
      </c>
      <c r="M343" s="13">
        <v>1</v>
      </c>
      <c r="N343" s="13">
        <v>1</v>
      </c>
      <c r="O343" s="13">
        <v>1</v>
      </c>
      <c r="P343" s="13">
        <v>1</v>
      </c>
      <c r="R343" s="11" t="str">
        <f t="shared" si="7"/>
        <v>tim@eg-group.com.au;</v>
      </c>
    </row>
    <row r="344" spans="2:18" x14ac:dyDescent="0.2">
      <c r="B344" s="11" t="s">
        <v>688</v>
      </c>
      <c r="C344" s="11" t="s">
        <v>651</v>
      </c>
      <c r="D344" s="11" t="s">
        <v>998</v>
      </c>
      <c r="F344" s="12" t="s">
        <v>687</v>
      </c>
      <c r="G344" s="13">
        <v>1</v>
      </c>
      <c r="I344" s="14">
        <v>0</v>
      </c>
      <c r="J344" s="13">
        <v>1</v>
      </c>
      <c r="K344" s="13">
        <v>1</v>
      </c>
      <c r="L344" s="13">
        <v>1</v>
      </c>
      <c r="M344" s="13">
        <v>1</v>
      </c>
      <c r="N344" s="13">
        <v>1</v>
      </c>
      <c r="O344" s="13">
        <v>1</v>
      </c>
      <c r="P344" s="13">
        <v>1</v>
      </c>
      <c r="R344" s="11" t="str">
        <f t="shared" si="7"/>
        <v>lachlan@eg-group.com.au;</v>
      </c>
    </row>
    <row r="345" spans="2:18" x14ac:dyDescent="0.2">
      <c r="B345" s="11" t="s">
        <v>670</v>
      </c>
      <c r="C345" s="11" t="s">
        <v>651</v>
      </c>
      <c r="D345" s="11" t="s">
        <v>998</v>
      </c>
      <c r="F345" s="12" t="s">
        <v>669</v>
      </c>
      <c r="G345" s="13">
        <v>1</v>
      </c>
      <c r="I345" s="14">
        <v>0</v>
      </c>
      <c r="J345" s="13">
        <v>1</v>
      </c>
      <c r="K345" s="13">
        <v>1</v>
      </c>
      <c r="L345" s="13">
        <v>1</v>
      </c>
      <c r="M345" s="13">
        <v>1</v>
      </c>
      <c r="N345" s="13">
        <v>1</v>
      </c>
      <c r="O345" s="13">
        <v>1</v>
      </c>
      <c r="P345" s="13">
        <v>1</v>
      </c>
      <c r="R345" s="11" t="str">
        <f t="shared" si="7"/>
        <v>david@eg-group.com.au;</v>
      </c>
    </row>
    <row r="346" spans="2:18" x14ac:dyDescent="0.2">
      <c r="B346" s="11" t="s">
        <v>653</v>
      </c>
      <c r="C346" s="11" t="s">
        <v>651</v>
      </c>
      <c r="D346" s="11" t="s">
        <v>998</v>
      </c>
      <c r="F346" s="12" t="s">
        <v>652</v>
      </c>
      <c r="G346" s="13">
        <v>1</v>
      </c>
      <c r="I346" s="14">
        <v>0</v>
      </c>
      <c r="J346" s="13">
        <v>1</v>
      </c>
      <c r="K346" s="13">
        <v>1</v>
      </c>
      <c r="L346" s="13">
        <v>1</v>
      </c>
      <c r="M346" s="13">
        <v>1</v>
      </c>
      <c r="N346" s="13">
        <v>1</v>
      </c>
      <c r="O346" s="13">
        <v>1</v>
      </c>
      <c r="P346" s="13">
        <v>1</v>
      </c>
      <c r="R346" s="11" t="str">
        <f t="shared" si="7"/>
        <v>nick@eg-group.com.au;</v>
      </c>
    </row>
    <row r="347" spans="2:18" x14ac:dyDescent="0.2">
      <c r="B347" s="11" t="s">
        <v>1993</v>
      </c>
      <c r="C347" s="11" t="s">
        <v>651</v>
      </c>
      <c r="D347" s="11" t="s">
        <v>998</v>
      </c>
      <c r="F347" s="12" t="s">
        <v>1994</v>
      </c>
      <c r="G347" s="13">
        <v>1</v>
      </c>
      <c r="I347" s="14">
        <v>0</v>
      </c>
      <c r="J347" s="13">
        <v>1</v>
      </c>
      <c r="K347" s="13">
        <v>1</v>
      </c>
      <c r="L347" s="13">
        <v>1</v>
      </c>
      <c r="M347" s="13">
        <v>1</v>
      </c>
      <c r="N347" s="13">
        <v>1</v>
      </c>
      <c r="O347" s="13">
        <v>1</v>
      </c>
      <c r="P347" s="13">
        <v>1</v>
      </c>
      <c r="R347" s="11" t="str">
        <f t="shared" si="7"/>
        <v>sean@eg-group.com.au;</v>
      </c>
    </row>
    <row r="348" spans="2:18" x14ac:dyDescent="0.2">
      <c r="B348" s="11" t="s">
        <v>937</v>
      </c>
      <c r="C348" s="11" t="s">
        <v>195</v>
      </c>
      <c r="D348" s="11" t="s">
        <v>998</v>
      </c>
      <c r="F348" s="12" t="s">
        <v>936</v>
      </c>
      <c r="G348" s="13">
        <v>1</v>
      </c>
      <c r="I348" s="14">
        <v>0</v>
      </c>
      <c r="J348" s="13">
        <v>1</v>
      </c>
      <c r="K348" s="13">
        <v>1</v>
      </c>
      <c r="L348" s="13">
        <v>1</v>
      </c>
      <c r="M348" s="13">
        <v>1</v>
      </c>
      <c r="N348" s="13">
        <v>1</v>
      </c>
      <c r="O348" s="13">
        <v>1</v>
      </c>
      <c r="P348" s="13">
        <v>1</v>
      </c>
      <c r="R348" s="11" t="str">
        <f t="shared" si="7"/>
        <v>cstott@1851capital.com.au;</v>
      </c>
    </row>
    <row r="349" spans="2:18" x14ac:dyDescent="0.2">
      <c r="B349" s="11" t="s">
        <v>941</v>
      </c>
      <c r="C349" s="11" t="s">
        <v>195</v>
      </c>
      <c r="D349" s="11" t="s">
        <v>998</v>
      </c>
      <c r="F349" s="12" t="s">
        <v>940</v>
      </c>
      <c r="G349" s="13">
        <v>1</v>
      </c>
      <c r="I349" s="14">
        <v>0</v>
      </c>
      <c r="J349" s="14">
        <v>0</v>
      </c>
      <c r="K349" s="13">
        <v>1</v>
      </c>
      <c r="L349" s="13">
        <v>1</v>
      </c>
      <c r="M349" s="13">
        <v>1</v>
      </c>
      <c r="N349" s="13">
        <v>1</v>
      </c>
      <c r="O349" s="13">
        <v>1</v>
      </c>
      <c r="P349" s="13">
        <v>1</v>
      </c>
      <c r="R349" s="11" t="str">
        <f t="shared" si="7"/>
        <v>mnicholas@1851capital.com.au;</v>
      </c>
    </row>
    <row r="350" spans="2:18" x14ac:dyDescent="0.2">
      <c r="B350" s="11" t="s">
        <v>193</v>
      </c>
      <c r="C350" s="11" t="s">
        <v>195</v>
      </c>
      <c r="D350" s="11" t="s">
        <v>998</v>
      </c>
      <c r="F350" s="12" t="s">
        <v>194</v>
      </c>
      <c r="G350" s="13">
        <v>1</v>
      </c>
      <c r="I350" s="14">
        <v>0</v>
      </c>
      <c r="J350" s="14">
        <v>0</v>
      </c>
      <c r="K350" s="13">
        <v>1</v>
      </c>
      <c r="L350" s="13">
        <v>1</v>
      </c>
      <c r="M350" s="13">
        <v>1</v>
      </c>
      <c r="N350" s="13">
        <v>1</v>
      </c>
      <c r="O350" s="13">
        <v>1</v>
      </c>
      <c r="P350" s="13">
        <v>1</v>
      </c>
      <c r="R350" s="11" t="str">
        <f t="shared" si="7"/>
        <v>mhickson@1851capital.com.au;</v>
      </c>
    </row>
    <row r="351" spans="2:18" x14ac:dyDescent="0.2">
      <c r="B351" s="11" t="s">
        <v>922</v>
      </c>
      <c r="C351" s="11" t="s">
        <v>787</v>
      </c>
      <c r="D351" s="11" t="s">
        <v>998</v>
      </c>
      <c r="F351" s="12" t="s">
        <v>921</v>
      </c>
      <c r="G351" s="13">
        <v>1</v>
      </c>
      <c r="I351" s="14">
        <v>0</v>
      </c>
      <c r="J351" s="14">
        <v>0</v>
      </c>
      <c r="K351" s="13">
        <v>1</v>
      </c>
      <c r="L351" s="13">
        <v>1</v>
      </c>
      <c r="M351" s="13">
        <v>1</v>
      </c>
      <c r="N351" s="13">
        <v>1</v>
      </c>
      <c r="O351" s="13">
        <v>1</v>
      </c>
      <c r="P351" s="13">
        <v>1</v>
      </c>
      <c r="R351" s="11" t="str">
        <f t="shared" si="7"/>
        <v>leo.barry@fairviewequity.com.au;</v>
      </c>
    </row>
    <row r="352" spans="2:18" x14ac:dyDescent="0.2">
      <c r="B352" s="11" t="s">
        <v>789</v>
      </c>
      <c r="C352" s="11" t="s">
        <v>787</v>
      </c>
      <c r="D352" s="11" t="s">
        <v>998</v>
      </c>
      <c r="F352" s="12" t="s">
        <v>788</v>
      </c>
      <c r="G352" s="13">
        <v>1</v>
      </c>
      <c r="I352" s="14">
        <v>0</v>
      </c>
      <c r="J352" s="14">
        <v>0</v>
      </c>
      <c r="K352" s="13">
        <v>1</v>
      </c>
      <c r="L352" s="13">
        <v>1</v>
      </c>
      <c r="M352" s="13">
        <v>1</v>
      </c>
      <c r="N352" s="13">
        <v>1</v>
      </c>
      <c r="O352" s="13">
        <v>1</v>
      </c>
      <c r="P352" s="13">
        <v>1</v>
      </c>
      <c r="R352" s="11" t="str">
        <f t="shared" si="7"/>
        <v>michael.glenane@fairviewequity.com.au;</v>
      </c>
    </row>
    <row r="353" spans="2:18" x14ac:dyDescent="0.2">
      <c r="B353" s="11" t="s">
        <v>890</v>
      </c>
      <c r="C353" s="11" t="s">
        <v>523</v>
      </c>
      <c r="D353" s="11" t="s">
        <v>998</v>
      </c>
      <c r="F353" s="12" t="s">
        <v>889</v>
      </c>
      <c r="G353" s="13">
        <v>1</v>
      </c>
      <c r="I353" s="14">
        <v>0</v>
      </c>
      <c r="J353" s="14">
        <v>0</v>
      </c>
      <c r="K353" s="13">
        <v>1</v>
      </c>
      <c r="L353" s="13">
        <v>1</v>
      </c>
      <c r="M353" s="13">
        <v>1</v>
      </c>
      <c r="N353" s="13">
        <v>1</v>
      </c>
      <c r="O353" s="13">
        <v>1</v>
      </c>
      <c r="P353" s="13">
        <v>1</v>
      </c>
      <c r="R353" s="11" t="str">
        <f t="shared" si="7"/>
        <v>mross@piefunds.co.nz;</v>
      </c>
    </row>
    <row r="354" spans="2:18" x14ac:dyDescent="0.2">
      <c r="B354" s="11" t="s">
        <v>525</v>
      </c>
      <c r="C354" s="11" t="s">
        <v>523</v>
      </c>
      <c r="D354" s="11" t="s">
        <v>998</v>
      </c>
      <c r="F354" s="12" t="s">
        <v>524</v>
      </c>
      <c r="G354" s="13">
        <v>1</v>
      </c>
      <c r="I354" s="14">
        <v>0</v>
      </c>
      <c r="J354" s="14">
        <v>0</v>
      </c>
      <c r="K354" s="13">
        <v>1</v>
      </c>
      <c r="L354" s="13">
        <v>1</v>
      </c>
      <c r="M354" s="13">
        <v>1</v>
      </c>
      <c r="N354" s="13">
        <v>1</v>
      </c>
      <c r="O354" s="13">
        <v>1</v>
      </c>
      <c r="P354" s="13">
        <v>1</v>
      </c>
      <c r="R354" s="11" t="str">
        <f t="shared" si="7"/>
        <v>chris@discoveryfunds.co.nz;</v>
      </c>
    </row>
    <row r="355" spans="2:18" x14ac:dyDescent="0.2">
      <c r="B355" s="11" t="s">
        <v>700</v>
      </c>
      <c r="C355" s="11" t="s">
        <v>528</v>
      </c>
      <c r="D355" s="11" t="s">
        <v>998</v>
      </c>
      <c r="F355" s="12" t="s">
        <v>699</v>
      </c>
      <c r="G355" s="13">
        <v>1</v>
      </c>
      <c r="I355" s="14">
        <v>0</v>
      </c>
      <c r="J355" s="14">
        <v>0</v>
      </c>
      <c r="K355" s="13">
        <v>1</v>
      </c>
      <c r="L355" s="13">
        <v>1</v>
      </c>
      <c r="M355" s="13">
        <v>1</v>
      </c>
      <c r="N355" s="13">
        <v>1</v>
      </c>
      <c r="O355" s="13">
        <v>1</v>
      </c>
      <c r="P355" s="13">
        <v>1</v>
      </c>
      <c r="R355" s="11" t="str">
        <f t="shared" si="7"/>
        <v>rhopkins@smallco.com.au;</v>
      </c>
    </row>
    <row r="356" spans="2:18" x14ac:dyDescent="0.2">
      <c r="B356" s="11" t="s">
        <v>698</v>
      </c>
      <c r="C356" s="11" t="s">
        <v>528</v>
      </c>
      <c r="D356" s="11" t="s">
        <v>998</v>
      </c>
      <c r="F356" s="12" t="s">
        <v>697</v>
      </c>
      <c r="G356" s="13">
        <v>1</v>
      </c>
      <c r="I356" s="14">
        <v>0</v>
      </c>
      <c r="J356" s="14">
        <v>0</v>
      </c>
      <c r="K356" s="13">
        <v>1</v>
      </c>
      <c r="L356" s="13">
        <v>1</v>
      </c>
      <c r="M356" s="13">
        <v>1</v>
      </c>
      <c r="N356" s="13">
        <v>1</v>
      </c>
      <c r="O356" s="13">
        <v>1</v>
      </c>
      <c r="P356" s="13">
        <v>1</v>
      </c>
      <c r="R356" s="11" t="str">
        <f t="shared" si="7"/>
        <v>pgraham@smallco.com.au;</v>
      </c>
    </row>
    <row r="357" spans="2:18" x14ac:dyDescent="0.2">
      <c r="B357" s="11" t="s">
        <v>664</v>
      </c>
      <c r="C357" s="11" t="s">
        <v>528</v>
      </c>
      <c r="D357" s="11" t="s">
        <v>998</v>
      </c>
      <c r="F357" s="12" t="s">
        <v>663</v>
      </c>
      <c r="G357" s="13">
        <v>1</v>
      </c>
      <c r="I357" s="14">
        <v>0</v>
      </c>
      <c r="J357" s="14">
        <v>0</v>
      </c>
      <c r="K357" s="13">
        <v>1</v>
      </c>
      <c r="L357" s="13">
        <v>1</v>
      </c>
      <c r="M357" s="13">
        <v>1</v>
      </c>
      <c r="N357" s="13">
        <v>1</v>
      </c>
      <c r="O357" s="13">
        <v>1</v>
      </c>
      <c r="P357" s="13">
        <v>1</v>
      </c>
      <c r="R357" s="11" t="str">
        <f t="shared" si="7"/>
        <v>bryan@smallco.com.au;</v>
      </c>
    </row>
    <row r="358" spans="2:18" x14ac:dyDescent="0.2">
      <c r="B358" s="11" t="s">
        <v>658</v>
      </c>
      <c r="C358" s="11" t="s">
        <v>528</v>
      </c>
      <c r="D358" s="11" t="s">
        <v>998</v>
      </c>
      <c r="F358" s="12" t="s">
        <v>657</v>
      </c>
      <c r="G358" s="13">
        <v>1</v>
      </c>
      <c r="I358" s="14">
        <v>0</v>
      </c>
      <c r="J358" s="14">
        <v>0</v>
      </c>
      <c r="K358" s="13">
        <v>1</v>
      </c>
      <c r="L358" s="13">
        <v>1</v>
      </c>
      <c r="M358" s="13">
        <v>1</v>
      </c>
      <c r="N358" s="13">
        <v>1</v>
      </c>
      <c r="O358" s="13">
        <v>1</v>
      </c>
      <c r="P358" s="13">
        <v>1</v>
      </c>
      <c r="R358" s="11" t="str">
        <f t="shared" si="7"/>
        <v>ahokin@smallco.com.au;</v>
      </c>
    </row>
    <row r="359" spans="2:18" x14ac:dyDescent="0.2">
      <c r="B359" s="11" t="s">
        <v>635</v>
      </c>
      <c r="C359" s="11" t="s">
        <v>528</v>
      </c>
      <c r="D359" s="11" t="s">
        <v>998</v>
      </c>
      <c r="F359" s="12" t="s">
        <v>634</v>
      </c>
      <c r="G359" s="13">
        <v>1</v>
      </c>
      <c r="I359" s="14">
        <v>0</v>
      </c>
      <c r="J359" s="14">
        <v>0</v>
      </c>
      <c r="K359" s="13">
        <v>1</v>
      </c>
      <c r="L359" s="13">
        <v>1</v>
      </c>
      <c r="M359" s="13">
        <v>1</v>
      </c>
      <c r="N359" s="13">
        <v>1</v>
      </c>
      <c r="O359" s="13">
        <v>1</v>
      </c>
      <c r="P359" s="13">
        <v>1</v>
      </c>
      <c r="R359" s="11" t="str">
        <f t="shared" si="7"/>
        <v>asimpson@smallco.com.au;</v>
      </c>
    </row>
    <row r="360" spans="2:18" x14ac:dyDescent="0.2">
      <c r="B360" s="11" t="s">
        <v>565</v>
      </c>
      <c r="C360" s="11" t="s">
        <v>528</v>
      </c>
      <c r="D360" s="11" t="s">
        <v>998</v>
      </c>
      <c r="F360" s="12" t="s">
        <v>564</v>
      </c>
      <c r="G360" s="13">
        <v>1</v>
      </c>
      <c r="I360" s="14">
        <v>0</v>
      </c>
      <c r="J360" s="14">
        <v>0</v>
      </c>
      <c r="K360" s="13">
        <v>1</v>
      </c>
      <c r="L360" s="13">
        <v>1</v>
      </c>
      <c r="M360" s="13">
        <v>1</v>
      </c>
      <c r="N360" s="13">
        <v>1</v>
      </c>
      <c r="O360" s="13">
        <v>1</v>
      </c>
      <c r="P360" s="13">
        <v>1</v>
      </c>
      <c r="R360" s="11" t="str">
        <f t="shared" si="7"/>
        <v>hxu@smallco.com.au;</v>
      </c>
    </row>
    <row r="361" spans="2:18" x14ac:dyDescent="0.2">
      <c r="B361" s="11" t="s">
        <v>530</v>
      </c>
      <c r="C361" s="11" t="s">
        <v>528</v>
      </c>
      <c r="D361" s="11" t="s">
        <v>998</v>
      </c>
      <c r="F361" s="12" t="s">
        <v>529</v>
      </c>
      <c r="G361" s="13">
        <v>1</v>
      </c>
      <c r="I361" s="14">
        <v>0</v>
      </c>
      <c r="J361" s="14">
        <v>0</v>
      </c>
      <c r="K361" s="13">
        <v>1</v>
      </c>
      <c r="L361" s="13">
        <v>1</v>
      </c>
      <c r="M361" s="13">
        <v>1</v>
      </c>
      <c r="N361" s="13">
        <v>1</v>
      </c>
      <c r="O361" s="13">
        <v>1</v>
      </c>
      <c r="P361" s="13">
        <v>1</v>
      </c>
      <c r="R361" s="11" t="str">
        <f t="shared" si="7"/>
        <v>cmiller@smallco.com.au;</v>
      </c>
    </row>
    <row r="362" spans="2:18" x14ac:dyDescent="0.2">
      <c r="B362" s="11" t="s">
        <v>783</v>
      </c>
      <c r="C362" s="11" t="s">
        <v>721</v>
      </c>
      <c r="D362" s="11" t="s">
        <v>998</v>
      </c>
      <c r="F362" s="12" t="s">
        <v>782</v>
      </c>
      <c r="G362" s="13">
        <v>1</v>
      </c>
      <c r="I362" s="14">
        <v>0</v>
      </c>
      <c r="J362" s="14">
        <v>0</v>
      </c>
      <c r="K362" s="13">
        <v>1</v>
      </c>
      <c r="L362" s="13">
        <v>1</v>
      </c>
      <c r="M362" s="13">
        <v>1</v>
      </c>
      <c r="N362" s="13">
        <v>1</v>
      </c>
      <c r="O362" s="13">
        <v>1</v>
      </c>
      <c r="P362" s="13">
        <v>1</v>
      </c>
      <c r="R362" s="11" t="str">
        <f t="shared" si="7"/>
        <v>matthew.booker@spheria.com.au;</v>
      </c>
    </row>
    <row r="363" spans="2:18" x14ac:dyDescent="0.2">
      <c r="B363" s="11" t="s">
        <v>781</v>
      </c>
      <c r="C363" s="11" t="s">
        <v>721</v>
      </c>
      <c r="D363" s="11" t="s">
        <v>998</v>
      </c>
      <c r="F363" s="12" t="s">
        <v>780</v>
      </c>
      <c r="G363" s="13">
        <v>1</v>
      </c>
      <c r="I363" s="14">
        <v>0</v>
      </c>
      <c r="J363" s="14">
        <v>0</v>
      </c>
      <c r="K363" s="13">
        <v>1</v>
      </c>
      <c r="L363" s="13">
        <v>1</v>
      </c>
      <c r="M363" s="13">
        <v>1</v>
      </c>
      <c r="N363" s="13">
        <v>1</v>
      </c>
      <c r="O363" s="13">
        <v>1</v>
      </c>
      <c r="P363" s="13">
        <v>1</v>
      </c>
      <c r="R363" s="11" t="str">
        <f t="shared" si="7"/>
        <v>marcus.burns@spheria.com.au;</v>
      </c>
    </row>
    <row r="364" spans="2:18" x14ac:dyDescent="0.2">
      <c r="B364" s="11" t="s">
        <v>723</v>
      </c>
      <c r="C364" s="11" t="s">
        <v>721</v>
      </c>
      <c r="D364" s="11" t="s">
        <v>998</v>
      </c>
      <c r="F364" s="12" t="s">
        <v>722</v>
      </c>
      <c r="G364" s="13">
        <v>1</v>
      </c>
      <c r="I364" s="14">
        <v>0</v>
      </c>
      <c r="J364" s="14">
        <v>0</v>
      </c>
      <c r="K364" s="13">
        <v>1</v>
      </c>
      <c r="L364" s="13">
        <v>1</v>
      </c>
      <c r="M364" s="13">
        <v>1</v>
      </c>
      <c r="N364" s="13">
        <v>1</v>
      </c>
      <c r="O364" s="13">
        <v>1</v>
      </c>
      <c r="P364" s="13">
        <v>1</v>
      </c>
      <c r="R364" s="11" t="str">
        <f t="shared" si="7"/>
        <v>adam.lund@spheria.com.au;</v>
      </c>
    </row>
    <row r="365" spans="2:18" x14ac:dyDescent="0.2">
      <c r="B365" s="11" t="s">
        <v>759</v>
      </c>
      <c r="C365" s="11" t="s">
        <v>757</v>
      </c>
      <c r="D365" s="11" t="s">
        <v>1000</v>
      </c>
      <c r="F365" s="12" t="s">
        <v>758</v>
      </c>
      <c r="G365" s="13">
        <v>1</v>
      </c>
      <c r="I365" s="14">
        <v>0</v>
      </c>
      <c r="J365" s="14">
        <v>0</v>
      </c>
      <c r="K365" s="13">
        <v>1</v>
      </c>
      <c r="L365" s="13">
        <v>1</v>
      </c>
      <c r="M365" s="13">
        <v>1</v>
      </c>
      <c r="N365" s="13">
        <v>1</v>
      </c>
      <c r="O365" s="13">
        <v>1</v>
      </c>
      <c r="P365" s="13">
        <v>1</v>
      </c>
      <c r="R365" s="11" t="str">
        <f t="shared" si="7"/>
        <v>bendalling@acorncapital.com.au;</v>
      </c>
    </row>
    <row r="366" spans="2:18" x14ac:dyDescent="0.2">
      <c r="B366" s="11" t="s">
        <v>181</v>
      </c>
      <c r="C366" s="11" t="s">
        <v>186</v>
      </c>
      <c r="D366" s="11" t="s">
        <v>1000</v>
      </c>
      <c r="F366" s="12" t="s">
        <v>935</v>
      </c>
      <c r="G366" s="13">
        <v>1</v>
      </c>
      <c r="I366" s="14">
        <v>0</v>
      </c>
      <c r="J366" s="14">
        <v>0</v>
      </c>
      <c r="K366" s="13">
        <v>1</v>
      </c>
      <c r="L366" s="13">
        <v>1</v>
      </c>
      <c r="M366" s="13">
        <v>1</v>
      </c>
      <c r="N366" s="13">
        <v>1</v>
      </c>
      <c r="O366" s="13">
        <v>1</v>
      </c>
      <c r="P366" s="13">
        <v>1</v>
      </c>
      <c r="R366" s="11" t="str">
        <f t="shared" si="7"/>
        <v>aws@perennial.net.au;</v>
      </c>
    </row>
    <row r="367" spans="2:18" x14ac:dyDescent="0.2">
      <c r="B367" s="11" t="s">
        <v>838</v>
      </c>
      <c r="C367" s="11" t="s">
        <v>186</v>
      </c>
      <c r="D367" s="11" t="s">
        <v>1000</v>
      </c>
      <c r="F367" s="12" t="s">
        <v>837</v>
      </c>
      <c r="G367" s="13">
        <v>1</v>
      </c>
      <c r="I367" s="14">
        <v>0</v>
      </c>
      <c r="J367" s="14">
        <v>0</v>
      </c>
      <c r="K367" s="13">
        <v>1</v>
      </c>
      <c r="L367" s="13">
        <v>1</v>
      </c>
      <c r="M367" s="13">
        <v>1</v>
      </c>
      <c r="N367" s="13">
        <v>1</v>
      </c>
      <c r="O367" s="13">
        <v>1</v>
      </c>
      <c r="P367" s="13">
        <v>1</v>
      </c>
      <c r="R367" s="11" t="str">
        <f t="shared" si="7"/>
        <v>sjb@perennial.net.au;</v>
      </c>
    </row>
    <row r="368" spans="2:18" x14ac:dyDescent="0.2">
      <c r="B368" s="11" t="s">
        <v>836</v>
      </c>
      <c r="C368" s="11" t="s">
        <v>186</v>
      </c>
      <c r="D368" s="11" t="s">
        <v>1000</v>
      </c>
      <c r="F368" s="12" t="s">
        <v>835</v>
      </c>
      <c r="G368" s="13">
        <v>1</v>
      </c>
      <c r="I368" s="14">
        <v>0</v>
      </c>
      <c r="J368" s="14">
        <v>0</v>
      </c>
      <c r="K368" s="13">
        <v>1</v>
      </c>
      <c r="L368" s="13">
        <v>1</v>
      </c>
      <c r="M368" s="13">
        <v>1</v>
      </c>
      <c r="N368" s="13">
        <v>1</v>
      </c>
      <c r="O368" s="13">
        <v>1</v>
      </c>
      <c r="P368" s="13">
        <v>1</v>
      </c>
      <c r="R368" s="11" t="str">
        <f t="shared" si="7"/>
        <v>mcorreia@perennial.net.au;</v>
      </c>
    </row>
    <row r="369" spans="2:18" x14ac:dyDescent="0.2">
      <c r="B369" s="11" t="s">
        <v>623</v>
      </c>
      <c r="C369" s="11" t="s">
        <v>186</v>
      </c>
      <c r="D369" s="11" t="s">
        <v>1000</v>
      </c>
      <c r="F369" s="12" t="s">
        <v>622</v>
      </c>
      <c r="G369" s="13">
        <v>1</v>
      </c>
      <c r="I369" s="14">
        <v>0</v>
      </c>
      <c r="J369" s="14">
        <v>0</v>
      </c>
      <c r="K369" s="13">
        <v>1</v>
      </c>
      <c r="L369" s="13">
        <v>1</v>
      </c>
      <c r="M369" s="13">
        <v>1</v>
      </c>
      <c r="N369" s="13">
        <v>1</v>
      </c>
      <c r="O369" s="13">
        <v>1</v>
      </c>
      <c r="P369" s="13">
        <v>1</v>
      </c>
      <c r="R369" s="11" t="str">
        <f t="shared" si="7"/>
        <v>jng@perennial.net.au;</v>
      </c>
    </row>
    <row r="370" spans="2:18" x14ac:dyDescent="0.2">
      <c r="B370" s="11" t="s">
        <v>311</v>
      </c>
      <c r="C370" s="11" t="s">
        <v>186</v>
      </c>
      <c r="D370" s="11" t="s">
        <v>1000</v>
      </c>
      <c r="F370" s="12" t="s">
        <v>312</v>
      </c>
      <c r="G370" s="13">
        <v>1</v>
      </c>
      <c r="I370" s="14">
        <v>0</v>
      </c>
      <c r="J370" s="14">
        <v>0</v>
      </c>
      <c r="K370" s="13">
        <v>1</v>
      </c>
      <c r="L370" s="13">
        <v>1</v>
      </c>
      <c r="M370" s="13">
        <v>1</v>
      </c>
      <c r="N370" s="13">
        <v>1</v>
      </c>
      <c r="O370" s="13">
        <v>1</v>
      </c>
      <c r="P370" s="13">
        <v>1</v>
      </c>
      <c r="R370" s="11" t="str">
        <f t="shared" si="7"/>
        <v>dpc@perennial.net.au;</v>
      </c>
    </row>
    <row r="371" spans="2:18" x14ac:dyDescent="0.2">
      <c r="B371" s="11" t="s">
        <v>347</v>
      </c>
      <c r="C371" s="11" t="s">
        <v>186</v>
      </c>
      <c r="D371" s="11" t="s">
        <v>1000</v>
      </c>
      <c r="F371" s="12" t="s">
        <v>348</v>
      </c>
      <c r="G371" s="13">
        <v>1</v>
      </c>
      <c r="I371" s="14">
        <v>0</v>
      </c>
      <c r="J371" s="14">
        <v>0</v>
      </c>
      <c r="K371" s="13">
        <v>1</v>
      </c>
      <c r="L371" s="13">
        <v>1</v>
      </c>
      <c r="M371" s="13">
        <v>1</v>
      </c>
      <c r="N371" s="13">
        <v>1</v>
      </c>
      <c r="O371" s="13">
        <v>1</v>
      </c>
      <c r="P371" s="13">
        <v>1</v>
      </c>
      <c r="R371" s="11" t="str">
        <f t="shared" si="7"/>
        <v>sgb@perennial.net.au;</v>
      </c>
    </row>
    <row r="372" spans="2:18" x14ac:dyDescent="0.2">
      <c r="B372" s="11" t="s">
        <v>406</v>
      </c>
      <c r="C372" s="11" t="s">
        <v>186</v>
      </c>
      <c r="D372" s="11" t="s">
        <v>1000</v>
      </c>
      <c r="F372" s="12" t="s">
        <v>407</v>
      </c>
      <c r="G372" s="13">
        <v>1</v>
      </c>
      <c r="I372" s="14">
        <v>0</v>
      </c>
      <c r="J372" s="14">
        <v>0</v>
      </c>
      <c r="K372" s="13">
        <v>1</v>
      </c>
      <c r="L372" s="13">
        <v>1</v>
      </c>
      <c r="M372" s="13">
        <v>1</v>
      </c>
      <c r="N372" s="13">
        <v>1</v>
      </c>
      <c r="O372" s="13">
        <v>1</v>
      </c>
      <c r="P372" s="13">
        <v>1</v>
      </c>
      <c r="R372" s="11" t="str">
        <f t="shared" si="7"/>
        <v>aking@perennial.net.au;</v>
      </c>
    </row>
    <row r="373" spans="2:18" x14ac:dyDescent="0.2">
      <c r="B373" s="11" t="s">
        <v>660</v>
      </c>
      <c r="C373" s="11" t="s">
        <v>290</v>
      </c>
      <c r="F373" s="12" t="s">
        <v>659</v>
      </c>
      <c r="G373" s="13">
        <v>1</v>
      </c>
      <c r="I373" s="14">
        <v>0</v>
      </c>
      <c r="J373" s="14">
        <v>0</v>
      </c>
      <c r="K373" s="13">
        <v>1</v>
      </c>
      <c r="L373" s="13">
        <v>1</v>
      </c>
      <c r="M373" s="13">
        <v>1</v>
      </c>
      <c r="N373" s="13">
        <v>1</v>
      </c>
      <c r="O373" s="13">
        <v>1</v>
      </c>
      <c r="P373" s="13">
        <v>1</v>
      </c>
      <c r="R373" s="11" t="str">
        <f t="shared" si="7"/>
        <v>arden.jennings@ausbil.com.au;</v>
      </c>
    </row>
    <row r="374" spans="2:18" x14ac:dyDescent="0.2">
      <c r="B374" s="11" t="s">
        <v>969</v>
      </c>
      <c r="C374" s="11" t="s">
        <v>252</v>
      </c>
      <c r="F374" s="12" t="s">
        <v>968</v>
      </c>
      <c r="G374" s="13">
        <v>1</v>
      </c>
      <c r="I374" s="14">
        <v>0</v>
      </c>
      <c r="J374" s="14">
        <v>0</v>
      </c>
      <c r="K374" s="13">
        <v>1</v>
      </c>
      <c r="L374" s="13">
        <v>1</v>
      </c>
      <c r="M374" s="13">
        <v>1</v>
      </c>
      <c r="N374" s="13">
        <v>1</v>
      </c>
      <c r="O374" s="13">
        <v>1</v>
      </c>
      <c r="P374" s="13">
        <v>1</v>
      </c>
      <c r="R374" s="11" t="str">
        <f t="shared" si="7"/>
        <v>carta.ryan@firetrail.com;</v>
      </c>
    </row>
  </sheetData>
  <autoFilter ref="B1:P1" xr:uid="{74B37E8A-9FE5-4463-800A-D1FCC9DD2FCC}">
    <sortState xmlns:xlrd2="http://schemas.microsoft.com/office/spreadsheetml/2017/richdata2" ref="B2:P397">
      <sortCondition descending="1" ref="J1"/>
    </sortState>
  </autoFilter>
  <conditionalFormatting sqref="D13:E14">
    <cfRule type="containsText" priority="1" stopIfTrue="1" operator="containsText" text="Andrew Smith">
      <formula>NOT(ISERROR(SEARCH("Andrew Smith",D13)))</formula>
    </cfRule>
  </conditionalFormatting>
  <hyperlinks>
    <hyperlink ref="F66" r:id="rId1" xr:uid="{273605C9-899E-4D1B-87F2-5F8440EBE495}"/>
    <hyperlink ref="F68" r:id="rId2" xr:uid="{EE81DCB3-941E-4A5E-97DF-3EA7DB4A1974}"/>
    <hyperlink ref="F70" r:id="rId3" xr:uid="{277A34DE-1B25-46D2-A272-BD0A7934CE29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DEF5-8477-4DF5-ABC4-65F0392C4535}">
  <sheetPr>
    <tabColor theme="5" tint="0.79998168889431442"/>
  </sheetPr>
  <dimension ref="B3:R94"/>
  <sheetViews>
    <sheetView topLeftCell="A64" workbookViewId="0">
      <selection activeCell="C108" sqref="C108"/>
    </sheetView>
  </sheetViews>
  <sheetFormatPr defaultRowHeight="15" x14ac:dyDescent="0.25"/>
  <sheetData>
    <row r="3" spans="2:18" s="11" customFormat="1" ht="11.25" x14ac:dyDescent="0.2">
      <c r="B3" s="11" t="s">
        <v>674</v>
      </c>
      <c r="C3" s="11" t="s">
        <v>307</v>
      </c>
      <c r="F3" s="12" t="s">
        <v>673</v>
      </c>
      <c r="G3" s="13">
        <v>1</v>
      </c>
      <c r="I3" s="13">
        <v>1</v>
      </c>
      <c r="J3" s="13">
        <v>1</v>
      </c>
      <c r="K3" s="13">
        <v>1</v>
      </c>
      <c r="L3" s="13">
        <v>1</v>
      </c>
      <c r="M3" s="13">
        <v>1</v>
      </c>
      <c r="N3" s="13">
        <v>1</v>
      </c>
      <c r="O3" s="13">
        <v>1</v>
      </c>
      <c r="P3" s="13">
        <v>1</v>
      </c>
      <c r="R3" s="11" t="str">
        <f t="shared" ref="R3:R43" si="0">F3&amp;";"</f>
        <v>david.slack@karara.com.au;</v>
      </c>
    </row>
    <row r="4" spans="2:18" s="11" customFormat="1" ht="11.25" x14ac:dyDescent="0.2">
      <c r="B4" s="11" t="s">
        <v>101</v>
      </c>
      <c r="C4" s="11" t="s">
        <v>103</v>
      </c>
      <c r="F4" s="12" t="s">
        <v>102</v>
      </c>
      <c r="G4" s="13">
        <v>1</v>
      </c>
      <c r="I4" s="13">
        <v>1</v>
      </c>
      <c r="J4" s="13">
        <v>1</v>
      </c>
      <c r="K4" s="13">
        <v>1</v>
      </c>
      <c r="L4" s="13">
        <v>1</v>
      </c>
      <c r="M4" s="13">
        <v>1</v>
      </c>
      <c r="N4" s="13">
        <v>1</v>
      </c>
      <c r="O4" s="13">
        <v>1</v>
      </c>
      <c r="P4" s="13">
        <v>1</v>
      </c>
      <c r="R4" s="11" t="str">
        <f t="shared" si="0"/>
        <v>aakash.saha@acc.co.nz;</v>
      </c>
    </row>
    <row r="5" spans="2:18" s="11" customFormat="1" ht="11.25" x14ac:dyDescent="0.2">
      <c r="B5" s="11" t="s">
        <v>226</v>
      </c>
      <c r="C5" s="11" t="s">
        <v>220</v>
      </c>
      <c r="F5" s="12" t="s">
        <v>227</v>
      </c>
      <c r="G5" s="13">
        <v>1</v>
      </c>
      <c r="I5" s="13">
        <v>1</v>
      </c>
      <c r="J5" s="13">
        <v>1</v>
      </c>
      <c r="K5" s="13">
        <v>1</v>
      </c>
      <c r="L5" s="13">
        <v>1</v>
      </c>
      <c r="M5" s="13">
        <v>1</v>
      </c>
      <c r="N5" s="13">
        <v>1</v>
      </c>
      <c r="O5" s="13">
        <v>1</v>
      </c>
      <c r="P5" s="13">
        <v>1</v>
      </c>
      <c r="R5" s="11" t="str">
        <f t="shared" si="0"/>
        <v>john.sevior@airliefm.com.au;</v>
      </c>
    </row>
    <row r="6" spans="2:18" s="11" customFormat="1" ht="11.25" x14ac:dyDescent="0.2">
      <c r="B6" s="11" t="s">
        <v>812</v>
      </c>
      <c r="C6" s="11" t="s">
        <v>167</v>
      </c>
      <c r="F6" s="12" t="s">
        <v>811</v>
      </c>
      <c r="G6" s="13">
        <v>1</v>
      </c>
      <c r="I6" s="13">
        <v>1</v>
      </c>
      <c r="J6" s="13">
        <v>1</v>
      </c>
      <c r="K6" s="13">
        <v>1</v>
      </c>
      <c r="L6" s="13">
        <v>1</v>
      </c>
      <c r="M6" s="13">
        <v>1</v>
      </c>
      <c r="N6" s="13">
        <v>1</v>
      </c>
      <c r="O6" s="13">
        <v>1</v>
      </c>
      <c r="P6" s="13">
        <v>1</v>
      </c>
      <c r="R6" s="11" t="str">
        <f t="shared" si="0"/>
        <v>roy.maslen@bernstein.com;</v>
      </c>
    </row>
    <row r="7" spans="2:18" s="11" customFormat="1" ht="11.25" x14ac:dyDescent="0.2">
      <c r="B7" s="11" t="s">
        <v>282</v>
      </c>
      <c r="C7" s="11" t="s">
        <v>100</v>
      </c>
      <c r="F7" s="12" t="s">
        <v>283</v>
      </c>
      <c r="G7" s="13">
        <v>1</v>
      </c>
      <c r="I7" s="13">
        <v>1</v>
      </c>
      <c r="J7" s="13">
        <v>1</v>
      </c>
      <c r="K7" s="13">
        <v>1</v>
      </c>
      <c r="L7" s="13">
        <v>1</v>
      </c>
      <c r="M7" s="13">
        <v>1</v>
      </c>
      <c r="N7" s="13">
        <v>1</v>
      </c>
      <c r="O7" s="13">
        <v>1</v>
      </c>
      <c r="P7" s="13">
        <v>1</v>
      </c>
      <c r="R7" s="11" t="str">
        <f t="shared" si="0"/>
        <v>johan.carlberg@alphinity.com.au;</v>
      </c>
    </row>
    <row r="8" spans="2:18" s="11" customFormat="1" ht="11.25" x14ac:dyDescent="0.2">
      <c r="B8" s="11" t="s">
        <v>958</v>
      </c>
      <c r="C8" s="11" t="s">
        <v>798</v>
      </c>
      <c r="F8" s="12" t="s">
        <v>957</v>
      </c>
      <c r="G8" s="13">
        <v>1</v>
      </c>
      <c r="I8" s="13">
        <v>1</v>
      </c>
      <c r="J8" s="13">
        <v>1</v>
      </c>
      <c r="K8" s="13">
        <v>1</v>
      </c>
      <c r="L8" s="13">
        <v>1</v>
      </c>
      <c r="M8" s="13">
        <v>1</v>
      </c>
      <c r="N8" s="13">
        <v>1</v>
      </c>
      <c r="O8" s="13">
        <v>1</v>
      </c>
      <c r="P8" s="13">
        <v>1</v>
      </c>
      <c r="R8" s="11" t="str">
        <f t="shared" si="0"/>
        <v>will.kent@ampcapital.com;</v>
      </c>
    </row>
    <row r="9" spans="2:18" x14ac:dyDescent="0.25">
      <c r="B9" s="11" t="s">
        <v>66</v>
      </c>
      <c r="C9" s="11" t="s">
        <v>68</v>
      </c>
      <c r="D9" s="11"/>
      <c r="E9" s="11"/>
      <c r="F9" s="12" t="s">
        <v>67</v>
      </c>
      <c r="G9" s="13">
        <v>1</v>
      </c>
      <c r="H9" s="11"/>
      <c r="I9" s="13">
        <v>1</v>
      </c>
      <c r="J9" s="13">
        <v>1</v>
      </c>
      <c r="K9" s="13">
        <v>1</v>
      </c>
      <c r="L9" s="13">
        <v>1</v>
      </c>
      <c r="M9" s="13">
        <v>1</v>
      </c>
      <c r="N9" s="13">
        <v>1</v>
      </c>
      <c r="O9" s="13">
        <v>1</v>
      </c>
      <c r="P9" s="13">
        <v>1</v>
      </c>
      <c r="Q9" s="11"/>
      <c r="R9" s="11" t="str">
        <f t="shared" si="0"/>
        <v>vik.gupta@antaresequities.com.au;</v>
      </c>
    </row>
    <row r="10" spans="2:18" s="11" customFormat="1" ht="11.25" x14ac:dyDescent="0.2">
      <c r="B10" s="11" t="s">
        <v>690</v>
      </c>
      <c r="C10" s="11" t="s">
        <v>140</v>
      </c>
      <c r="F10" s="12" t="s">
        <v>689</v>
      </c>
      <c r="G10" s="13">
        <v>1</v>
      </c>
      <c r="I10" s="13">
        <v>1</v>
      </c>
      <c r="J10" s="13">
        <v>1</v>
      </c>
      <c r="K10" s="13">
        <v>1</v>
      </c>
      <c r="L10" s="13">
        <v>1</v>
      </c>
      <c r="M10" s="13">
        <v>1</v>
      </c>
      <c r="N10" s="13">
        <v>1</v>
      </c>
      <c r="O10" s="13">
        <v>1</v>
      </c>
      <c r="P10" s="13">
        <v>1</v>
      </c>
      <c r="R10" s="11" t="str">
        <f t="shared" si="0"/>
        <v>madeleine.beaumont@blackrock.com;</v>
      </c>
    </row>
    <row r="11" spans="2:18" s="11" customFormat="1" ht="11.25" x14ac:dyDescent="0.2">
      <c r="B11" s="11" t="s">
        <v>374</v>
      </c>
      <c r="C11" s="11" t="s">
        <v>376</v>
      </c>
      <c r="F11" s="12" t="s">
        <v>375</v>
      </c>
      <c r="G11" s="13">
        <v>1</v>
      </c>
      <c r="I11" s="13">
        <v>1</v>
      </c>
      <c r="J11" s="13">
        <v>1</v>
      </c>
      <c r="K11" s="13">
        <v>1</v>
      </c>
      <c r="L11" s="13">
        <v>1</v>
      </c>
      <c r="M11" s="13">
        <v>1</v>
      </c>
      <c r="N11" s="13">
        <v>1</v>
      </c>
      <c r="O11" s="13">
        <v>1</v>
      </c>
      <c r="P11" s="13">
        <v>1</v>
      </c>
      <c r="R11" s="11" t="str">
        <f t="shared" si="0"/>
        <v>jamie.o'neill@au.brookfield.com;</v>
      </c>
    </row>
    <row r="12" spans="2:18" s="11" customFormat="1" ht="11.25" x14ac:dyDescent="0.2">
      <c r="B12" s="11" t="s">
        <v>385</v>
      </c>
      <c r="C12" s="11" t="s">
        <v>351</v>
      </c>
      <c r="F12" s="12" t="s">
        <v>386</v>
      </c>
      <c r="G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  <c r="P12" s="13">
        <v>1</v>
      </c>
      <c r="R12" s="11" t="str">
        <f t="shared" si="0"/>
        <v>isabelle.steadman@dnrcapital.com.au;</v>
      </c>
    </row>
    <row r="13" spans="2:18" s="11" customFormat="1" ht="11.25" x14ac:dyDescent="0.2">
      <c r="B13" s="11" t="s">
        <v>845</v>
      </c>
      <c r="C13" s="11" t="s">
        <v>843</v>
      </c>
      <c r="F13" s="12" t="s">
        <v>844</v>
      </c>
      <c r="G13" s="13">
        <v>1</v>
      </c>
      <c r="I13" s="13">
        <v>1</v>
      </c>
      <c r="J13" s="13">
        <v>1</v>
      </c>
      <c r="K13" s="13">
        <v>1</v>
      </c>
      <c r="L13" s="13">
        <v>1</v>
      </c>
      <c r="M13" s="13">
        <v>1</v>
      </c>
      <c r="N13" s="13">
        <v>1</v>
      </c>
      <c r="O13" s="13">
        <v>1</v>
      </c>
      <c r="P13" s="13">
        <v>1</v>
      </c>
      <c r="R13" s="11" t="str">
        <f t="shared" si="0"/>
        <v>victor.lee@8ip.com.au;</v>
      </c>
    </row>
    <row r="14" spans="2:18" s="11" customFormat="1" ht="11.25" x14ac:dyDescent="0.2">
      <c r="B14" s="11" t="s">
        <v>14</v>
      </c>
      <c r="C14" s="11" t="s">
        <v>9</v>
      </c>
      <c r="F14" s="12" t="s">
        <v>15</v>
      </c>
      <c r="G14" s="13">
        <v>1</v>
      </c>
      <c r="I14" s="13">
        <v>1</v>
      </c>
      <c r="J14" s="13">
        <v>1</v>
      </c>
      <c r="K14" s="13">
        <v>1</v>
      </c>
      <c r="L14" s="13">
        <v>1</v>
      </c>
      <c r="M14" s="13">
        <v>1</v>
      </c>
      <c r="N14" s="13">
        <v>1</v>
      </c>
      <c r="O14" s="13">
        <v>1</v>
      </c>
      <c r="P14" s="13">
        <v>1</v>
      </c>
      <c r="R14" s="11" t="str">
        <f t="shared" si="0"/>
        <v>tim.canham@firstsentier.com;</v>
      </c>
    </row>
    <row r="15" spans="2:18" s="11" customFormat="1" ht="11.25" x14ac:dyDescent="0.2">
      <c r="B15" s="11" t="s">
        <v>572</v>
      </c>
      <c r="C15" s="11" t="s">
        <v>570</v>
      </c>
      <c r="F15" s="12" t="s">
        <v>571</v>
      </c>
      <c r="G15" s="13">
        <v>1</v>
      </c>
      <c r="I15" s="13">
        <v>1</v>
      </c>
      <c r="J15" s="13">
        <v>1</v>
      </c>
      <c r="K15" s="13">
        <v>1</v>
      </c>
      <c r="L15" s="13">
        <v>1</v>
      </c>
      <c r="M15" s="13">
        <v>1</v>
      </c>
      <c r="N15" s="13">
        <v>1</v>
      </c>
      <c r="O15" s="13">
        <v>1</v>
      </c>
      <c r="P15" s="13">
        <v>1</v>
      </c>
      <c r="R15" s="11" t="str">
        <f t="shared" si="0"/>
        <v>jbirrell@gciaustralia.com;</v>
      </c>
    </row>
    <row r="16" spans="2:18" s="11" customFormat="1" ht="11.25" x14ac:dyDescent="0.2">
      <c r="B16" s="11" t="s">
        <v>151</v>
      </c>
      <c r="C16" s="11" t="s">
        <v>82</v>
      </c>
      <c r="F16" s="12" t="s">
        <v>152</v>
      </c>
      <c r="G16" s="13">
        <v>1</v>
      </c>
      <c r="I16" s="13">
        <v>1</v>
      </c>
      <c r="J16" s="13">
        <v>1</v>
      </c>
      <c r="K16" s="13">
        <v>1</v>
      </c>
      <c r="L16" s="13">
        <v>1</v>
      </c>
      <c r="M16" s="13">
        <v>1</v>
      </c>
      <c r="N16" s="13">
        <v>1</v>
      </c>
      <c r="O16" s="13">
        <v>1</v>
      </c>
      <c r="P16" s="13">
        <v>1</v>
      </c>
      <c r="R16" s="11" t="str">
        <f t="shared" si="0"/>
        <v>daniel.seeney@iml.com.au;</v>
      </c>
    </row>
    <row r="17" spans="2:18" s="11" customFormat="1" ht="11.25" x14ac:dyDescent="0.2">
      <c r="B17" s="11" t="s">
        <v>228</v>
      </c>
      <c r="C17" s="11" t="s">
        <v>230</v>
      </c>
      <c r="F17" s="12" t="s">
        <v>229</v>
      </c>
      <c r="G17" s="13">
        <v>1</v>
      </c>
      <c r="I17" s="13">
        <v>1</v>
      </c>
      <c r="J17" s="13">
        <v>1</v>
      </c>
      <c r="K17" s="13">
        <v>1</v>
      </c>
      <c r="L17" s="13">
        <v>1</v>
      </c>
      <c r="M17" s="13">
        <v>1</v>
      </c>
      <c r="N17" s="13">
        <v>1</v>
      </c>
      <c r="O17" s="13">
        <v>1</v>
      </c>
      <c r="P17" s="13">
        <v>1</v>
      </c>
      <c r="R17" s="11" t="str">
        <f t="shared" si="0"/>
        <v>jkitchen@k2am.com.au;</v>
      </c>
    </row>
    <row r="18" spans="2:18" s="11" customFormat="1" ht="11.25" x14ac:dyDescent="0.2">
      <c r="B18" s="11" t="s">
        <v>718</v>
      </c>
      <c r="C18" s="11" t="s">
        <v>307</v>
      </c>
      <c r="F18" s="12" t="s">
        <v>717</v>
      </c>
      <c r="G18" s="13">
        <v>1</v>
      </c>
      <c r="I18" s="13">
        <v>1</v>
      </c>
      <c r="J18" s="13">
        <v>1</v>
      </c>
      <c r="K18" s="13">
        <v>1</v>
      </c>
      <c r="L18" s="13">
        <v>1</v>
      </c>
      <c r="M18" s="13">
        <v>1</v>
      </c>
      <c r="N18" s="13">
        <v>1</v>
      </c>
      <c r="O18" s="13">
        <v>1</v>
      </c>
      <c r="P18" s="13">
        <v>1</v>
      </c>
      <c r="R18" s="11" t="str">
        <f t="shared" si="0"/>
        <v>nick.greenway@karara.com.au;</v>
      </c>
    </row>
    <row r="19" spans="2:18" s="11" customFormat="1" ht="11.25" x14ac:dyDescent="0.2">
      <c r="B19" s="11" t="s">
        <v>696</v>
      </c>
      <c r="C19" s="11" t="s">
        <v>307</v>
      </c>
      <c r="F19" s="12" t="s">
        <v>695</v>
      </c>
      <c r="G19" s="13">
        <v>1</v>
      </c>
      <c r="I19" s="13">
        <v>1</v>
      </c>
      <c r="J19" s="13">
        <v>1</v>
      </c>
      <c r="K19" s="13">
        <v>1</v>
      </c>
      <c r="L19" s="13">
        <v>1</v>
      </c>
      <c r="M19" s="13">
        <v>1</v>
      </c>
      <c r="N19" s="13">
        <v>1</v>
      </c>
      <c r="O19" s="13">
        <v>1</v>
      </c>
      <c r="P19" s="13">
        <v>1</v>
      </c>
      <c r="R19" s="11" t="str">
        <f t="shared" si="0"/>
        <v>peter.kormendy@karara.com.au;</v>
      </c>
    </row>
    <row r="20" spans="2:18" s="11" customFormat="1" ht="11.25" x14ac:dyDescent="0.2">
      <c r="B20" s="11" t="s">
        <v>19</v>
      </c>
      <c r="C20" s="11" t="s">
        <v>6</v>
      </c>
      <c r="F20" s="12" t="s">
        <v>20</v>
      </c>
      <c r="G20" s="13">
        <v>1</v>
      </c>
      <c r="I20" s="13">
        <v>1</v>
      </c>
      <c r="J20" s="13">
        <v>1</v>
      </c>
      <c r="K20" s="13">
        <v>1</v>
      </c>
      <c r="L20" s="13">
        <v>1</v>
      </c>
      <c r="M20" s="13">
        <v>1</v>
      </c>
      <c r="N20" s="13">
        <v>1</v>
      </c>
      <c r="O20" s="13">
        <v>1</v>
      </c>
      <c r="P20" s="13">
        <v>1</v>
      </c>
      <c r="R20" s="11" t="str">
        <f t="shared" si="0"/>
        <v>tsinha@lennoxcp.com.au;</v>
      </c>
    </row>
    <row r="21" spans="2:18" s="11" customFormat="1" ht="11.25" x14ac:dyDescent="0.2">
      <c r="B21" s="11" t="s">
        <v>769</v>
      </c>
      <c r="C21" s="11" t="s">
        <v>754</v>
      </c>
      <c r="F21" s="12" t="s">
        <v>768</v>
      </c>
      <c r="G21" s="13">
        <v>1</v>
      </c>
      <c r="I21" s="13">
        <v>1</v>
      </c>
      <c r="J21" s="13">
        <v>1</v>
      </c>
      <c r="K21" s="13">
        <v>1</v>
      </c>
      <c r="L21" s="13">
        <v>1</v>
      </c>
      <c r="M21" s="13">
        <v>1</v>
      </c>
      <c r="N21" s="13">
        <v>1</v>
      </c>
      <c r="O21" s="13">
        <v>1</v>
      </c>
      <c r="P21" s="13">
        <v>1</v>
      </c>
      <c r="R21" s="11" t="str">
        <f t="shared" si="0"/>
        <v>cratnapala@lincolnindicators.com.au;</v>
      </c>
    </row>
    <row r="22" spans="2:18" s="11" customFormat="1" ht="11.25" x14ac:dyDescent="0.2">
      <c r="B22" s="11" t="s">
        <v>24</v>
      </c>
      <c r="C22" s="11" t="s">
        <v>26</v>
      </c>
      <c r="F22" s="12" t="s">
        <v>25</v>
      </c>
      <c r="G22" s="13">
        <v>1</v>
      </c>
      <c r="I22" s="13">
        <v>1</v>
      </c>
      <c r="J22" s="13">
        <v>1</v>
      </c>
      <c r="K22" s="13">
        <v>1</v>
      </c>
      <c r="L22" s="13">
        <v>1</v>
      </c>
      <c r="M22" s="13">
        <v>1</v>
      </c>
      <c r="N22" s="13">
        <v>1</v>
      </c>
      <c r="O22" s="13">
        <v>1</v>
      </c>
      <c r="P22" s="13">
        <v>1</v>
      </c>
      <c r="R22" s="11" t="str">
        <f t="shared" si="0"/>
        <v>luke.donald@macquarie.com;</v>
      </c>
    </row>
    <row r="23" spans="2:18" s="11" customFormat="1" ht="11.25" x14ac:dyDescent="0.2">
      <c r="B23" s="11" t="s">
        <v>545</v>
      </c>
      <c r="C23" s="11" t="s">
        <v>520</v>
      </c>
      <c r="F23" s="12" t="s">
        <v>544</v>
      </c>
      <c r="G23" s="13">
        <v>1</v>
      </c>
      <c r="I23" s="13">
        <v>1</v>
      </c>
      <c r="J23" s="13">
        <v>1</v>
      </c>
      <c r="K23" s="13">
        <v>1</v>
      </c>
      <c r="L23" s="13">
        <v>1</v>
      </c>
      <c r="M23" s="13">
        <v>1</v>
      </c>
      <c r="N23" s="13">
        <v>1</v>
      </c>
      <c r="O23" s="13">
        <v>1</v>
      </c>
      <c r="P23" s="13">
        <v>1</v>
      </c>
      <c r="R23" s="11" t="str">
        <f t="shared" si="0"/>
        <v>bill.mcrobert@miesf.com.au;</v>
      </c>
    </row>
    <row r="24" spans="2:18" s="11" customFormat="1" ht="11.25" x14ac:dyDescent="0.2">
      <c r="B24" s="11" t="s">
        <v>694</v>
      </c>
      <c r="C24" s="11" t="s">
        <v>90</v>
      </c>
      <c r="F24" s="12" t="s">
        <v>693</v>
      </c>
      <c r="G24" s="13">
        <v>1</v>
      </c>
      <c r="I24" s="13">
        <v>1</v>
      </c>
      <c r="J24" s="13">
        <v>1</v>
      </c>
      <c r="K24" s="13">
        <v>1</v>
      </c>
      <c r="L24" s="13">
        <v>1</v>
      </c>
      <c r="M24" s="13">
        <v>1</v>
      </c>
      <c r="N24" s="13">
        <v>1</v>
      </c>
      <c r="O24" s="13">
        <v>1</v>
      </c>
      <c r="P24" s="13">
        <v>1</v>
      </c>
      <c r="R24" s="11" t="str">
        <f t="shared" si="0"/>
        <v>marjorie.tang@myerfamilyinvestments.com.au;</v>
      </c>
    </row>
    <row r="25" spans="2:18" s="11" customFormat="1" ht="11.25" x14ac:dyDescent="0.2">
      <c r="B25" s="11" t="s">
        <v>817</v>
      </c>
      <c r="C25" s="11" t="s">
        <v>732</v>
      </c>
      <c r="D25" s="11" t="s">
        <v>1000</v>
      </c>
      <c r="F25" s="12" t="s">
        <v>816</v>
      </c>
      <c r="G25" s="13">
        <v>1</v>
      </c>
      <c r="I25" s="14">
        <v>0</v>
      </c>
      <c r="J25" s="14">
        <v>0</v>
      </c>
      <c r="K25" s="13">
        <v>1</v>
      </c>
      <c r="L25" s="13">
        <v>1</v>
      </c>
      <c r="M25" s="13">
        <v>1</v>
      </c>
      <c r="N25" s="13">
        <v>1</v>
      </c>
      <c r="O25" s="13">
        <v>1</v>
      </c>
      <c r="P25" s="13">
        <v>1</v>
      </c>
      <c r="R25" s="11" t="str">
        <f t="shared" si="0"/>
        <v>scurrie@novaportcapital.com;</v>
      </c>
    </row>
    <row r="26" spans="2:18" s="11" customFormat="1" ht="11.25" x14ac:dyDescent="0.2">
      <c r="B26" s="11" t="s">
        <v>734</v>
      </c>
      <c r="C26" s="11" t="s">
        <v>732</v>
      </c>
      <c r="D26" s="11" t="s">
        <v>1000</v>
      </c>
      <c r="F26" s="12" t="s">
        <v>733</v>
      </c>
      <c r="G26" s="13">
        <v>1</v>
      </c>
      <c r="I26" s="14">
        <v>0</v>
      </c>
      <c r="J26" s="14">
        <v>0</v>
      </c>
      <c r="K26" s="13">
        <v>1</v>
      </c>
      <c r="L26" s="13">
        <v>1</v>
      </c>
      <c r="M26" s="13">
        <v>1</v>
      </c>
      <c r="N26" s="13">
        <v>1</v>
      </c>
      <c r="O26" s="13">
        <v>1</v>
      </c>
      <c r="P26" s="13">
        <v>1</v>
      </c>
      <c r="R26" s="11" t="str">
        <f t="shared" si="0"/>
        <v>amilton@novaportcapital.com;</v>
      </c>
    </row>
    <row r="27" spans="2:18" s="11" customFormat="1" ht="11.25" x14ac:dyDescent="0.2">
      <c r="B27" s="11" t="s">
        <v>666</v>
      </c>
      <c r="C27" s="11" t="s">
        <v>162</v>
      </c>
      <c r="F27" s="12" t="s">
        <v>665</v>
      </c>
      <c r="G27" s="13">
        <v>1</v>
      </c>
      <c r="I27" s="13">
        <v>1</v>
      </c>
      <c r="J27" s="13">
        <v>1</v>
      </c>
      <c r="K27" s="13">
        <v>1</v>
      </c>
      <c r="L27" s="13">
        <v>1</v>
      </c>
      <c r="M27" s="13">
        <v>1</v>
      </c>
      <c r="N27" s="13">
        <v>1</v>
      </c>
      <c r="O27" s="13">
        <v>1</v>
      </c>
      <c r="P27" s="13">
        <v>1</v>
      </c>
      <c r="R27" s="11" t="str">
        <f t="shared" si="0"/>
        <v>carlyt@endeavoram.com.au;</v>
      </c>
    </row>
    <row r="28" spans="2:18" s="11" customFormat="1" ht="11.25" x14ac:dyDescent="0.2">
      <c r="B28" s="11" t="s">
        <v>1054</v>
      </c>
      <c r="C28" s="11" t="s">
        <v>1053</v>
      </c>
      <c r="F28" s="12" t="s">
        <v>989</v>
      </c>
      <c r="G28" s="13">
        <v>1</v>
      </c>
      <c r="I28" s="13">
        <v>1</v>
      </c>
      <c r="J28" s="13">
        <v>1</v>
      </c>
      <c r="K28" s="13">
        <v>1</v>
      </c>
      <c r="L28" s="13">
        <v>1</v>
      </c>
      <c r="M28" s="13">
        <v>1</v>
      </c>
      <c r="N28" s="13">
        <v>1</v>
      </c>
      <c r="O28" s="13">
        <v>1</v>
      </c>
      <c r="P28" s="13">
        <v>1</v>
      </c>
      <c r="R28" s="11" t="str">
        <f t="shared" si="0"/>
        <v>pdrzewucki@polymercapital.com;</v>
      </c>
    </row>
    <row r="29" spans="2:18" s="11" customFormat="1" ht="11.25" x14ac:dyDescent="0.2">
      <c r="B29" s="11" t="s">
        <v>215</v>
      </c>
      <c r="C29" s="11" t="s">
        <v>217</v>
      </c>
      <c r="F29" s="11" t="s">
        <v>216</v>
      </c>
      <c r="G29" s="13">
        <v>1</v>
      </c>
      <c r="I29" s="13">
        <v>1</v>
      </c>
      <c r="J29" s="13">
        <v>1</v>
      </c>
      <c r="K29" s="13">
        <v>1</v>
      </c>
      <c r="L29" s="13">
        <v>1</v>
      </c>
      <c r="M29" s="13">
        <v>1</v>
      </c>
      <c r="N29" s="13">
        <v>1</v>
      </c>
      <c r="O29" s="13">
        <v>1</v>
      </c>
      <c r="P29" s="13">
        <v>1</v>
      </c>
      <c r="R29" s="11" t="str">
        <f t="shared" si="0"/>
        <v>mskinner@renaissanceasset.com.au;</v>
      </c>
    </row>
    <row r="30" spans="2:18" s="11" customFormat="1" ht="11.25" x14ac:dyDescent="0.2">
      <c r="B30" s="11" t="s">
        <v>924</v>
      </c>
      <c r="C30" s="11" t="s">
        <v>189</v>
      </c>
      <c r="F30" s="12" t="s">
        <v>923</v>
      </c>
      <c r="G30" s="13">
        <v>1</v>
      </c>
      <c r="I30" s="13">
        <v>1</v>
      </c>
      <c r="J30" s="13">
        <v>1</v>
      </c>
      <c r="K30" s="13">
        <v>1</v>
      </c>
      <c r="L30" s="13">
        <v>1</v>
      </c>
      <c r="M30" s="13">
        <v>1</v>
      </c>
      <c r="N30" s="13">
        <v>1</v>
      </c>
      <c r="O30" s="13">
        <v>1</v>
      </c>
      <c r="P30" s="13">
        <v>1</v>
      </c>
      <c r="R30" s="11" t="str">
        <f t="shared" si="0"/>
        <v>rhook@sghiscock.com.au;</v>
      </c>
    </row>
    <row r="31" spans="2:18" s="11" customFormat="1" ht="11.25" x14ac:dyDescent="0.2">
      <c r="B31" s="11" t="s">
        <v>593</v>
      </c>
      <c r="C31" s="11" t="s">
        <v>335</v>
      </c>
      <c r="D31" s="11" t="s">
        <v>998</v>
      </c>
      <c r="F31" s="12" t="s">
        <v>592</v>
      </c>
      <c r="G31" s="13">
        <v>1</v>
      </c>
      <c r="I31" s="13">
        <v>1</v>
      </c>
      <c r="J31" s="13">
        <v>1</v>
      </c>
      <c r="K31" s="13">
        <v>1</v>
      </c>
      <c r="L31" s="13">
        <v>1</v>
      </c>
      <c r="M31" s="13">
        <v>1</v>
      </c>
      <c r="N31" s="13">
        <v>1</v>
      </c>
      <c r="O31" s="13">
        <v>1</v>
      </c>
      <c r="P31" s="13">
        <v>1</v>
      </c>
      <c r="R31" s="11" t="str">
        <f t="shared" si="0"/>
        <v>sean.martin@solariswealth.com.au;</v>
      </c>
    </row>
    <row r="32" spans="2:18" s="11" customFormat="1" ht="11.25" x14ac:dyDescent="0.2">
      <c r="B32" s="11" t="s">
        <v>706</v>
      </c>
      <c r="C32" s="11" t="s">
        <v>561</v>
      </c>
      <c r="F32" s="12" t="s">
        <v>705</v>
      </c>
      <c r="G32" s="13">
        <v>1</v>
      </c>
      <c r="I32" s="13">
        <v>1</v>
      </c>
      <c r="J32" s="13">
        <v>1</v>
      </c>
      <c r="K32" s="13">
        <v>1</v>
      </c>
      <c r="L32" s="13">
        <v>1</v>
      </c>
      <c r="M32" s="13">
        <v>1</v>
      </c>
      <c r="N32" s="13">
        <v>1</v>
      </c>
      <c r="O32" s="13">
        <v>1</v>
      </c>
      <c r="P32" s="13">
        <v>1</v>
      </c>
      <c r="R32" s="11" t="str">
        <f t="shared" si="0"/>
        <v>martin.pretty@thorney.com.au;</v>
      </c>
    </row>
    <row r="33" spans="2:18" s="11" customFormat="1" ht="11.25" x14ac:dyDescent="0.2">
      <c r="B33" s="11" t="s">
        <v>949</v>
      </c>
      <c r="C33" s="11" t="s">
        <v>177</v>
      </c>
      <c r="F33" s="12" t="s">
        <v>948</v>
      </c>
      <c r="G33" s="13">
        <v>1</v>
      </c>
      <c r="I33" s="13">
        <v>1</v>
      </c>
      <c r="J33" s="13">
        <v>1</v>
      </c>
      <c r="K33" s="13">
        <v>1</v>
      </c>
      <c r="L33" s="13">
        <v>1</v>
      </c>
      <c r="M33" s="13">
        <v>1</v>
      </c>
      <c r="N33" s="13">
        <v>1</v>
      </c>
      <c r="O33" s="13">
        <v>1</v>
      </c>
      <c r="P33" s="13">
        <v>1</v>
      </c>
      <c r="R33" s="11" t="str">
        <f t="shared" si="0"/>
        <v>mabel.chen@unisuper.com.au;</v>
      </c>
    </row>
    <row r="34" spans="2:18" s="11" customFormat="1" ht="11.25" x14ac:dyDescent="0.2">
      <c r="B34" s="11" t="s">
        <v>299</v>
      </c>
      <c r="C34" s="11" t="s">
        <v>177</v>
      </c>
      <c r="F34" s="12" t="s">
        <v>300</v>
      </c>
      <c r="G34" s="13">
        <v>1</v>
      </c>
      <c r="I34" s="13">
        <v>1</v>
      </c>
      <c r="J34" s="13">
        <v>1</v>
      </c>
      <c r="K34" s="13">
        <v>1</v>
      </c>
      <c r="L34" s="13">
        <v>1</v>
      </c>
      <c r="M34" s="13">
        <v>1</v>
      </c>
      <c r="N34" s="13">
        <v>1</v>
      </c>
      <c r="O34" s="13">
        <v>1</v>
      </c>
      <c r="P34" s="13">
        <v>1</v>
      </c>
      <c r="R34" s="11" t="str">
        <f t="shared" si="0"/>
        <v>chris.harris@unisuper.com.au;</v>
      </c>
    </row>
    <row r="35" spans="2:18" s="11" customFormat="1" ht="11.25" x14ac:dyDescent="0.2">
      <c r="B35" s="11" t="s">
        <v>175</v>
      </c>
      <c r="C35" s="11" t="s">
        <v>177</v>
      </c>
      <c r="F35" s="12" t="s">
        <v>176</v>
      </c>
      <c r="G35" s="13">
        <v>1</v>
      </c>
      <c r="I35" s="13">
        <v>1</v>
      </c>
      <c r="J35" s="13">
        <v>1</v>
      </c>
      <c r="K35" s="13">
        <v>1</v>
      </c>
      <c r="L35" s="13">
        <v>1</v>
      </c>
      <c r="M35" s="13">
        <v>1</v>
      </c>
      <c r="N35" s="13">
        <v>1</v>
      </c>
      <c r="O35" s="13">
        <v>1</v>
      </c>
      <c r="P35" s="13">
        <v>1</v>
      </c>
      <c r="R35" s="11" t="str">
        <f t="shared" si="0"/>
        <v>jack.lawrence@unisuper.com.au;</v>
      </c>
    </row>
    <row r="36" spans="2:18" s="11" customFormat="1" ht="11.25" x14ac:dyDescent="0.2">
      <c r="B36" s="11" t="s">
        <v>879</v>
      </c>
      <c r="C36" s="11" t="s">
        <v>185</v>
      </c>
      <c r="F36" s="12" t="s">
        <v>878</v>
      </c>
      <c r="G36" s="13">
        <v>1</v>
      </c>
      <c r="I36" s="13">
        <v>1</v>
      </c>
      <c r="J36" s="13">
        <v>1</v>
      </c>
      <c r="K36" s="13">
        <v>1</v>
      </c>
      <c r="L36" s="13">
        <v>1</v>
      </c>
      <c r="M36" s="13">
        <v>1</v>
      </c>
      <c r="N36" s="13">
        <v>1</v>
      </c>
      <c r="O36" s="13">
        <v>1</v>
      </c>
      <c r="P36" s="13">
        <v>1</v>
      </c>
      <c r="R36" s="11" t="str">
        <f t="shared" si="0"/>
        <v>dudley@wfunds.com.au;</v>
      </c>
    </row>
    <row r="37" spans="2:18" s="11" customFormat="1" ht="11.25" x14ac:dyDescent="0.2">
      <c r="B37" s="11" t="s">
        <v>877</v>
      </c>
      <c r="C37" s="11" t="s">
        <v>155</v>
      </c>
      <c r="F37" s="11" t="s">
        <v>876</v>
      </c>
      <c r="G37" s="13">
        <v>1</v>
      </c>
      <c r="I37" s="13">
        <v>1</v>
      </c>
      <c r="J37" s="13">
        <v>1</v>
      </c>
      <c r="K37" s="13">
        <v>1</v>
      </c>
      <c r="L37" s="13">
        <v>1</v>
      </c>
      <c r="M37" s="13">
        <v>1</v>
      </c>
      <c r="N37" s="13">
        <v>1</v>
      </c>
      <c r="O37" s="13">
        <v>1</v>
      </c>
      <c r="P37" s="13">
        <v>1</v>
      </c>
      <c r="R37" s="11" t="str">
        <f t="shared" si="0"/>
        <v>henry.hill@wavestonecapital.com;</v>
      </c>
    </row>
    <row r="38" spans="2:18" s="11" customFormat="1" ht="11.25" x14ac:dyDescent="0.2">
      <c r="B38" s="11" t="s">
        <v>800</v>
      </c>
      <c r="C38" s="11" t="s">
        <v>798</v>
      </c>
      <c r="F38" s="12" t="s">
        <v>799</v>
      </c>
      <c r="G38" s="13">
        <v>1</v>
      </c>
      <c r="I38" s="13">
        <v>1</v>
      </c>
      <c r="J38" s="13">
        <v>1</v>
      </c>
      <c r="K38" s="13">
        <v>1</v>
      </c>
      <c r="L38" s="13">
        <v>1</v>
      </c>
      <c r="M38" s="13">
        <v>1</v>
      </c>
      <c r="N38" s="13">
        <v>1</v>
      </c>
      <c r="O38" s="13">
        <v>1</v>
      </c>
      <c r="P38" s="13">
        <v>1</v>
      </c>
      <c r="R38" s="11" t="str">
        <f t="shared" si="0"/>
        <v>phillip.hudak@ampcapital.com;</v>
      </c>
    </row>
    <row r="39" spans="2:18" s="11" customFormat="1" ht="11.25" x14ac:dyDescent="0.2">
      <c r="B39" s="11" t="s">
        <v>1055</v>
      </c>
      <c r="C39" s="11" t="s">
        <v>1053</v>
      </c>
      <c r="F39" s="12" t="s">
        <v>987</v>
      </c>
      <c r="G39" s="13">
        <v>1</v>
      </c>
      <c r="I39" s="13">
        <v>1</v>
      </c>
      <c r="J39" s="13">
        <v>1</v>
      </c>
      <c r="K39" s="13">
        <v>1</v>
      </c>
      <c r="L39" s="13">
        <v>1</v>
      </c>
      <c r="M39" s="13">
        <v>1</v>
      </c>
      <c r="N39" s="13">
        <v>1</v>
      </c>
      <c r="O39" s="13">
        <v>1</v>
      </c>
      <c r="P39" s="13">
        <v>1</v>
      </c>
      <c r="R39" s="11" t="str">
        <f t="shared" si="0"/>
        <v>dbosscher@polymercapital.com;</v>
      </c>
    </row>
    <row r="40" spans="2:18" s="11" customFormat="1" ht="11.25" x14ac:dyDescent="0.2">
      <c r="B40" s="11" t="s">
        <v>762</v>
      </c>
      <c r="C40" s="11" t="s">
        <v>760</v>
      </c>
      <c r="F40" s="12" t="s">
        <v>761</v>
      </c>
      <c r="G40" s="13">
        <v>1</v>
      </c>
      <c r="I40" s="13">
        <v>1</v>
      </c>
      <c r="J40" s="13">
        <v>1</v>
      </c>
      <c r="K40" s="13">
        <v>1</v>
      </c>
      <c r="L40" s="13">
        <v>1</v>
      </c>
      <c r="M40" s="13">
        <v>1</v>
      </c>
      <c r="N40" s="13">
        <v>1</v>
      </c>
      <c r="O40" s="13">
        <v>1</v>
      </c>
      <c r="P40" s="13">
        <v>1</v>
      </c>
      <c r="R40" s="11" t="str">
        <f t="shared" si="0"/>
        <v>bking@armytage.com.au;</v>
      </c>
    </row>
    <row r="41" spans="2:18" s="11" customFormat="1" ht="11.25" x14ac:dyDescent="0.2">
      <c r="B41" s="11" t="s">
        <v>591</v>
      </c>
      <c r="C41" s="11" t="s">
        <v>351</v>
      </c>
      <c r="F41" s="12" t="s">
        <v>590</v>
      </c>
      <c r="G41" s="13">
        <v>1</v>
      </c>
      <c r="I41" s="13">
        <v>1</v>
      </c>
      <c r="J41" s="13">
        <v>1</v>
      </c>
      <c r="K41" s="13">
        <v>1</v>
      </c>
      <c r="L41" s="13">
        <v>1</v>
      </c>
      <c r="M41" s="13">
        <v>1</v>
      </c>
      <c r="N41" s="13">
        <v>1</v>
      </c>
      <c r="O41" s="13">
        <v>1</v>
      </c>
      <c r="P41" s="13">
        <v>1</v>
      </c>
      <c r="R41" s="11" t="str">
        <f t="shared" si="0"/>
        <v>scott.kelly@dnrcapital.com.au;</v>
      </c>
    </row>
    <row r="42" spans="2:18" s="11" customFormat="1" ht="11.25" x14ac:dyDescent="0.2">
      <c r="B42" s="11" t="s">
        <v>704</v>
      </c>
      <c r="C42" s="11" t="s">
        <v>186</v>
      </c>
      <c r="D42" s="11" t="s">
        <v>1000</v>
      </c>
      <c r="F42" s="12" t="s">
        <v>703</v>
      </c>
      <c r="G42" s="13">
        <v>1</v>
      </c>
      <c r="I42" s="14">
        <v>0</v>
      </c>
      <c r="J42" s="14">
        <v>0</v>
      </c>
      <c r="K42" s="13">
        <v>1</v>
      </c>
      <c r="L42" s="13">
        <v>1</v>
      </c>
      <c r="M42" s="13">
        <v>1</v>
      </c>
      <c r="N42" s="13">
        <v>1</v>
      </c>
      <c r="O42" s="13">
        <v>1</v>
      </c>
      <c r="P42" s="13">
        <v>1</v>
      </c>
      <c r="R42" s="11" t="str">
        <f t="shared" si="0"/>
        <v>rsohn@perennial.net.au;</v>
      </c>
    </row>
    <row r="43" spans="2:18" s="11" customFormat="1" ht="11.25" x14ac:dyDescent="0.2">
      <c r="B43" s="11" t="s">
        <v>498</v>
      </c>
      <c r="C43" s="11" t="s">
        <v>252</v>
      </c>
      <c r="F43" s="12" t="s">
        <v>497</v>
      </c>
      <c r="G43" s="13">
        <v>1</v>
      </c>
      <c r="I43" s="13">
        <v>1</v>
      </c>
      <c r="J43" s="13">
        <v>1</v>
      </c>
      <c r="K43" s="13">
        <v>1</v>
      </c>
      <c r="L43" s="13">
        <v>1</v>
      </c>
      <c r="M43" s="13">
        <v>1</v>
      </c>
      <c r="N43" s="13">
        <v>1</v>
      </c>
      <c r="O43" s="13">
        <v>1</v>
      </c>
      <c r="P43" s="13">
        <v>1</v>
      </c>
      <c r="R43" s="11" t="str">
        <f t="shared" si="0"/>
        <v>sean.drennan@firetrail.com;</v>
      </c>
    </row>
    <row r="44" spans="2:18" s="11" customFormat="1" ht="11.25" x14ac:dyDescent="0.2">
      <c r="B44" s="11" t="s">
        <v>264</v>
      </c>
      <c r="C44" s="11" t="s">
        <v>103</v>
      </c>
      <c r="F44" s="12" t="s">
        <v>265</v>
      </c>
      <c r="G44" s="13">
        <v>1</v>
      </c>
      <c r="I44" s="13">
        <v>1</v>
      </c>
      <c r="J44" s="13">
        <v>1</v>
      </c>
      <c r="K44" s="13">
        <v>1</v>
      </c>
      <c r="L44" s="13">
        <v>1</v>
      </c>
      <c r="M44" s="13">
        <v>1</v>
      </c>
      <c r="N44" s="13">
        <v>1</v>
      </c>
      <c r="O44" s="13">
        <v>1</v>
      </c>
      <c r="P44" s="13">
        <v>1</v>
      </c>
      <c r="R44" s="11" t="str">
        <f t="shared" ref="R44:R65" si="1">F44&amp;";"</f>
        <v>peter.johnston@acc.co.nz;</v>
      </c>
    </row>
    <row r="45" spans="2:18" s="11" customFormat="1" ht="11.25" x14ac:dyDescent="0.2">
      <c r="B45" s="11" t="s">
        <v>956</v>
      </c>
      <c r="C45" s="11" t="s">
        <v>765</v>
      </c>
      <c r="F45" s="12" t="s">
        <v>955</v>
      </c>
      <c r="G45" s="13">
        <v>1</v>
      </c>
      <c r="I45" s="13">
        <v>1</v>
      </c>
      <c r="J45" s="13">
        <v>1</v>
      </c>
      <c r="K45" s="13">
        <v>1</v>
      </c>
      <c r="L45" s="13">
        <v>1</v>
      </c>
      <c r="M45" s="13">
        <v>1</v>
      </c>
      <c r="N45" s="13">
        <v>1</v>
      </c>
      <c r="O45" s="13">
        <v>1</v>
      </c>
      <c r="P45" s="13">
        <v>1</v>
      </c>
      <c r="R45" s="11" t="str">
        <f t="shared" si="1"/>
        <v>mason.w.thomas@iceinvestors.com.au;</v>
      </c>
    </row>
    <row r="46" spans="2:18" s="11" customFormat="1" ht="11.25" x14ac:dyDescent="0.2">
      <c r="B46" s="11" t="s">
        <v>648</v>
      </c>
      <c r="C46" s="11" t="s">
        <v>82</v>
      </c>
      <c r="F46" s="12" t="s">
        <v>647</v>
      </c>
      <c r="G46" s="13">
        <v>1</v>
      </c>
      <c r="I46" s="13">
        <v>1</v>
      </c>
      <c r="J46" s="13">
        <v>1</v>
      </c>
      <c r="K46" s="13">
        <v>1</v>
      </c>
      <c r="L46" s="13">
        <v>1</v>
      </c>
      <c r="M46" s="13">
        <v>1</v>
      </c>
      <c r="N46" s="13">
        <v>1</v>
      </c>
      <c r="O46" s="13">
        <v>1</v>
      </c>
      <c r="P46" s="13">
        <v>1</v>
      </c>
      <c r="R46" s="11" t="str">
        <f t="shared" si="1"/>
        <v>simon.conn@iml.com.au;</v>
      </c>
    </row>
    <row r="47" spans="2:18" s="11" customFormat="1" ht="11.25" x14ac:dyDescent="0.2">
      <c r="B47" s="11" t="s">
        <v>737</v>
      </c>
      <c r="C47" s="11" t="s">
        <v>735</v>
      </c>
      <c r="F47" s="12" t="s">
        <v>736</v>
      </c>
      <c r="G47" s="13">
        <v>1</v>
      </c>
      <c r="I47" s="13">
        <v>1</v>
      </c>
      <c r="J47" s="13">
        <v>1</v>
      </c>
      <c r="K47" s="13">
        <v>1</v>
      </c>
      <c r="L47" s="13">
        <v>1</v>
      </c>
      <c r="M47" s="13">
        <v>1</v>
      </c>
      <c r="N47" s="13">
        <v>1</v>
      </c>
      <c r="O47" s="13">
        <v>1</v>
      </c>
      <c r="P47" s="13">
        <v>1</v>
      </c>
      <c r="R47" s="11" t="str">
        <f t="shared" si="1"/>
        <v>andrew.south@quaystreet.com;</v>
      </c>
    </row>
    <row r="48" spans="2:18" s="11" customFormat="1" ht="11.25" x14ac:dyDescent="0.2">
      <c r="B48" s="11" t="s">
        <v>1007</v>
      </c>
      <c r="C48" s="11" t="s">
        <v>41</v>
      </c>
      <c r="F48" s="12" t="s">
        <v>1008</v>
      </c>
      <c r="G48" s="13">
        <v>1</v>
      </c>
      <c r="I48" s="13">
        <v>1</v>
      </c>
      <c r="J48" s="13">
        <v>1</v>
      </c>
      <c r="K48" s="13">
        <v>1</v>
      </c>
      <c r="L48" s="13">
        <v>1</v>
      </c>
      <c r="M48" s="13">
        <v>1</v>
      </c>
      <c r="N48" s="13">
        <v>1</v>
      </c>
      <c r="O48" s="13">
        <v>1</v>
      </c>
      <c r="P48" s="13">
        <v>1</v>
      </c>
      <c r="R48" s="11" t="str">
        <f t="shared" si="1"/>
        <v>glee@cooperinvestors.com;</v>
      </c>
    </row>
    <row r="49" spans="2:18" s="11" customFormat="1" ht="11.25" x14ac:dyDescent="0.2">
      <c r="B49" s="11" t="s">
        <v>284</v>
      </c>
      <c r="C49" s="11" t="s">
        <v>122</v>
      </c>
      <c r="F49" s="12" t="s">
        <v>285</v>
      </c>
      <c r="G49" s="13">
        <v>1</v>
      </c>
      <c r="I49" s="13">
        <v>1</v>
      </c>
      <c r="J49" s="13">
        <v>1</v>
      </c>
      <c r="K49" s="13">
        <v>1</v>
      </c>
      <c r="L49" s="13">
        <v>1</v>
      </c>
      <c r="M49" s="13">
        <v>1</v>
      </c>
      <c r="N49" s="13">
        <v>1</v>
      </c>
      <c r="O49" s="13">
        <v>1</v>
      </c>
      <c r="P49" s="13">
        <v>1</v>
      </c>
      <c r="R49" s="11" t="str">
        <f t="shared" si="1"/>
        <v>jdarling@caledonia.com.au;</v>
      </c>
    </row>
    <row r="50" spans="2:18" s="11" customFormat="1" ht="11.25" x14ac:dyDescent="0.2">
      <c r="B50" s="11" t="s">
        <v>120</v>
      </c>
      <c r="C50" s="11" t="s">
        <v>122</v>
      </c>
      <c r="F50" s="12" t="s">
        <v>121</v>
      </c>
      <c r="G50" s="13">
        <v>1</v>
      </c>
      <c r="I50" s="13">
        <v>1</v>
      </c>
      <c r="J50" s="13">
        <v>1</v>
      </c>
      <c r="K50" s="13">
        <v>1</v>
      </c>
      <c r="L50" s="13">
        <v>1</v>
      </c>
      <c r="M50" s="13">
        <v>1</v>
      </c>
      <c r="N50" s="13">
        <v>1</v>
      </c>
      <c r="O50" s="13">
        <v>1</v>
      </c>
      <c r="P50" s="13">
        <v>1</v>
      </c>
      <c r="R50" s="11" t="str">
        <f t="shared" si="1"/>
        <v>glittle@caledonia.com.au;</v>
      </c>
    </row>
    <row r="51" spans="2:18" s="11" customFormat="1" ht="11.25" x14ac:dyDescent="0.2">
      <c r="B51" s="11" t="s">
        <v>297</v>
      </c>
      <c r="C51" s="11" t="s">
        <v>122</v>
      </c>
      <c r="F51" s="12" t="s">
        <v>298</v>
      </c>
      <c r="G51" s="13">
        <v>1</v>
      </c>
      <c r="I51" s="13">
        <v>1</v>
      </c>
      <c r="J51" s="13">
        <v>1</v>
      </c>
      <c r="K51" s="13">
        <v>1</v>
      </c>
      <c r="L51" s="13">
        <v>1</v>
      </c>
      <c r="M51" s="13">
        <v>1</v>
      </c>
      <c r="N51" s="13">
        <v>1</v>
      </c>
      <c r="O51" s="13">
        <v>1</v>
      </c>
      <c r="P51" s="13">
        <v>1</v>
      </c>
      <c r="R51" s="11" t="str">
        <f t="shared" si="1"/>
        <v>csleep@caledonia.com.au;</v>
      </c>
    </row>
    <row r="52" spans="2:18" s="11" customFormat="1" ht="11.25" x14ac:dyDescent="0.2">
      <c r="B52" s="11" t="s">
        <v>611</v>
      </c>
      <c r="C52" s="11" t="s">
        <v>122</v>
      </c>
      <c r="F52" s="12" t="s">
        <v>610</v>
      </c>
      <c r="G52" s="13">
        <v>1</v>
      </c>
      <c r="I52" s="13">
        <v>1</v>
      </c>
      <c r="J52" s="13">
        <v>1</v>
      </c>
      <c r="K52" s="13">
        <v>1</v>
      </c>
      <c r="L52" s="13">
        <v>1</v>
      </c>
      <c r="M52" s="13">
        <v>1</v>
      </c>
      <c r="N52" s="13">
        <v>1</v>
      </c>
      <c r="O52" s="13">
        <v>1</v>
      </c>
      <c r="P52" s="13">
        <v>1</v>
      </c>
      <c r="R52" s="11" t="str">
        <f t="shared" si="1"/>
        <v>wvicars@caledonia.com.au;</v>
      </c>
    </row>
    <row r="53" spans="2:18" s="11" customFormat="1" ht="11.25" x14ac:dyDescent="0.2">
      <c r="B53" s="11" t="s">
        <v>560</v>
      </c>
      <c r="C53" s="11" t="s">
        <v>122</v>
      </c>
      <c r="F53" s="12" t="s">
        <v>559</v>
      </c>
      <c r="G53" s="13">
        <v>1</v>
      </c>
      <c r="I53" s="13">
        <v>1</v>
      </c>
      <c r="J53" s="13">
        <v>1</v>
      </c>
      <c r="K53" s="13">
        <v>1</v>
      </c>
      <c r="L53" s="13">
        <v>1</v>
      </c>
      <c r="M53" s="13">
        <v>1</v>
      </c>
      <c r="N53" s="13">
        <v>1</v>
      </c>
      <c r="O53" s="13">
        <v>1</v>
      </c>
      <c r="P53" s="13">
        <v>1</v>
      </c>
      <c r="R53" s="11" t="str">
        <f t="shared" si="1"/>
        <v>dguthrie@caledonia.com.au;</v>
      </c>
    </row>
    <row r="54" spans="2:18" s="11" customFormat="1" ht="11.25" x14ac:dyDescent="0.2">
      <c r="B54" s="11" t="s">
        <v>793</v>
      </c>
      <c r="C54" s="11" t="s">
        <v>729</v>
      </c>
      <c r="F54" s="12" t="s">
        <v>792</v>
      </c>
      <c r="G54" s="13">
        <v>1</v>
      </c>
      <c r="I54" s="13">
        <v>1</v>
      </c>
      <c r="J54" s="13">
        <v>1</v>
      </c>
      <c r="K54" s="13">
        <v>1</v>
      </c>
      <c r="L54" s="13">
        <v>1</v>
      </c>
      <c r="M54" s="13">
        <v>1</v>
      </c>
      <c r="N54" s="13">
        <v>1</v>
      </c>
      <c r="O54" s="13">
        <v>1</v>
      </c>
      <c r="P54" s="13">
        <v>1</v>
      </c>
      <c r="R54" s="11" t="str">
        <f t="shared" si="1"/>
        <v>nbell@bellasset.com.au;</v>
      </c>
    </row>
    <row r="55" spans="2:18" s="11" customFormat="1" ht="11.25" x14ac:dyDescent="0.2">
      <c r="B55" s="11" t="s">
        <v>746</v>
      </c>
      <c r="C55" s="11" t="s">
        <v>729</v>
      </c>
      <c r="F55" s="12" t="s">
        <v>745</v>
      </c>
      <c r="G55" s="13">
        <v>1</v>
      </c>
      <c r="I55" s="13">
        <v>1</v>
      </c>
      <c r="J55" s="13">
        <v>1</v>
      </c>
      <c r="K55" s="13">
        <v>1</v>
      </c>
      <c r="L55" s="13">
        <v>1</v>
      </c>
      <c r="M55" s="13">
        <v>1</v>
      </c>
      <c r="N55" s="13">
        <v>1</v>
      </c>
      <c r="O55" s="13">
        <v>1</v>
      </c>
      <c r="P55" s="13">
        <v>1</v>
      </c>
      <c r="R55" s="11" t="str">
        <f t="shared" si="1"/>
        <v>jconnell@bellasset.com.au;</v>
      </c>
    </row>
    <row r="56" spans="2:18" s="11" customFormat="1" ht="11.25" x14ac:dyDescent="0.2">
      <c r="B56" s="11" t="s">
        <v>731</v>
      </c>
      <c r="C56" s="11" t="s">
        <v>729</v>
      </c>
      <c r="F56" s="12" t="s">
        <v>730</v>
      </c>
      <c r="G56" s="13">
        <v>1</v>
      </c>
      <c r="I56" s="13">
        <v>1</v>
      </c>
      <c r="J56" s="13">
        <v>1</v>
      </c>
      <c r="K56" s="13">
        <v>1</v>
      </c>
      <c r="L56" s="13">
        <v>1</v>
      </c>
      <c r="M56" s="13">
        <v>1</v>
      </c>
      <c r="N56" s="13">
        <v>1</v>
      </c>
      <c r="O56" s="13">
        <v>1</v>
      </c>
      <c r="P56" s="13">
        <v>1</v>
      </c>
      <c r="R56" s="11" t="str">
        <f t="shared" si="1"/>
        <v>amartuccio@bellasset.com.au;</v>
      </c>
    </row>
    <row r="57" spans="2:18" s="11" customFormat="1" ht="11.25" x14ac:dyDescent="0.2">
      <c r="B57" s="11" t="s">
        <v>389</v>
      </c>
      <c r="C57" s="11" t="s">
        <v>274</v>
      </c>
      <c r="F57" s="12" t="s">
        <v>390</v>
      </c>
      <c r="G57" s="13">
        <v>1</v>
      </c>
      <c r="I57" s="13">
        <v>1</v>
      </c>
      <c r="J57" s="13">
        <v>1</v>
      </c>
      <c r="K57" s="13">
        <v>1</v>
      </c>
      <c r="L57" s="13">
        <v>1</v>
      </c>
      <c r="M57" s="13">
        <v>1</v>
      </c>
      <c r="N57" s="13">
        <v>1</v>
      </c>
      <c r="O57" s="13">
        <v>1</v>
      </c>
      <c r="P57" s="13">
        <v>1</v>
      </c>
      <c r="R57" s="11" t="str">
        <f t="shared" si="1"/>
        <v>dpace@greencapecapital.com;</v>
      </c>
    </row>
    <row r="58" spans="2:18" s="11" customFormat="1" ht="11.25" x14ac:dyDescent="0.2">
      <c r="B58" s="11" t="s">
        <v>187</v>
      </c>
      <c r="C58" s="11" t="s">
        <v>189</v>
      </c>
      <c r="F58" s="12" t="s">
        <v>188</v>
      </c>
      <c r="G58" s="13">
        <v>1</v>
      </c>
      <c r="I58" s="13">
        <v>1</v>
      </c>
      <c r="J58" s="13">
        <v>1</v>
      </c>
      <c r="K58" s="13">
        <v>1</v>
      </c>
      <c r="L58" s="13">
        <v>1</v>
      </c>
      <c r="M58" s="13">
        <v>1</v>
      </c>
      <c r="N58" s="13">
        <v>1</v>
      </c>
      <c r="O58" s="13">
        <v>1</v>
      </c>
      <c r="P58" s="13">
        <v>1</v>
      </c>
      <c r="R58" s="11" t="str">
        <f t="shared" si="1"/>
        <v>mkordick@sghiscock.com.au;</v>
      </c>
    </row>
    <row r="59" spans="2:18" s="11" customFormat="1" ht="11.25" x14ac:dyDescent="0.2">
      <c r="B59" s="11" t="s">
        <v>369</v>
      </c>
      <c r="C59" s="11" t="s">
        <v>371</v>
      </c>
      <c r="F59" s="12" t="s">
        <v>370</v>
      </c>
      <c r="G59" s="13">
        <v>1</v>
      </c>
      <c r="I59" s="13">
        <v>1</v>
      </c>
      <c r="J59" s="13">
        <v>1</v>
      </c>
      <c r="K59" s="13">
        <v>1</v>
      </c>
      <c r="L59" s="13">
        <v>1</v>
      </c>
      <c r="M59" s="13">
        <v>1</v>
      </c>
      <c r="N59" s="13">
        <v>1</v>
      </c>
      <c r="O59" s="13">
        <v>1</v>
      </c>
      <c r="P59" s="13">
        <v>1</v>
      </c>
      <c r="R59" s="11" t="str">
        <f t="shared" si="1"/>
        <v>kma@arnott.com.au;</v>
      </c>
    </row>
    <row r="60" spans="2:18" s="11" customFormat="1" ht="11.25" x14ac:dyDescent="0.2">
      <c r="B60" s="11" t="s">
        <v>266</v>
      </c>
      <c r="C60" s="11" t="s">
        <v>162</v>
      </c>
      <c r="F60" s="12" t="s">
        <v>267</v>
      </c>
      <c r="G60" s="13">
        <v>1</v>
      </c>
      <c r="I60" s="13">
        <v>1</v>
      </c>
      <c r="J60" s="13">
        <v>1</v>
      </c>
      <c r="K60" s="13">
        <v>1</v>
      </c>
      <c r="L60" s="13">
        <v>1</v>
      </c>
      <c r="M60" s="13">
        <v>1</v>
      </c>
      <c r="N60" s="13">
        <v>1</v>
      </c>
      <c r="O60" s="13">
        <v>1</v>
      </c>
      <c r="P60" s="13">
        <v>1</v>
      </c>
      <c r="R60" s="11" t="str">
        <f t="shared" si="1"/>
        <v>paul.skamvougeras@perpetual.com.au;</v>
      </c>
    </row>
    <row r="61" spans="2:18" s="11" customFormat="1" ht="11.25" x14ac:dyDescent="0.2">
      <c r="B61" s="11" t="s">
        <v>1020</v>
      </c>
      <c r="C61" s="11" t="s">
        <v>1019</v>
      </c>
      <c r="F61" s="12" t="s">
        <v>1021</v>
      </c>
      <c r="G61" s="13">
        <v>1</v>
      </c>
      <c r="I61" s="13">
        <v>1</v>
      </c>
      <c r="J61" s="13">
        <v>1</v>
      </c>
      <c r="K61" s="13">
        <v>1</v>
      </c>
      <c r="L61" s="13">
        <v>1</v>
      </c>
      <c r="M61" s="13">
        <v>1</v>
      </c>
      <c r="N61" s="13">
        <v>1</v>
      </c>
      <c r="O61" s="13">
        <v>1</v>
      </c>
      <c r="P61" s="13">
        <v>1</v>
      </c>
      <c r="R61" s="11" t="str">
        <f t="shared" si="1"/>
        <v>vidhur.rangaswamy@tanarra.com;</v>
      </c>
    </row>
    <row r="62" spans="2:18" s="11" customFormat="1" ht="11.25" x14ac:dyDescent="0.2">
      <c r="B62" s="11" t="s">
        <v>308</v>
      </c>
      <c r="C62" s="11" t="s">
        <v>310</v>
      </c>
      <c r="F62" s="12" t="s">
        <v>309</v>
      </c>
      <c r="G62" s="13">
        <v>1</v>
      </c>
      <c r="I62" s="13">
        <v>1</v>
      </c>
      <c r="J62" s="13">
        <v>1</v>
      </c>
      <c r="K62" s="13">
        <v>1</v>
      </c>
      <c r="L62" s="13">
        <v>1</v>
      </c>
      <c r="M62" s="13">
        <v>1</v>
      </c>
      <c r="N62" s="13">
        <v>1</v>
      </c>
      <c r="O62" s="13">
        <v>1</v>
      </c>
      <c r="P62" s="13">
        <v>1</v>
      </c>
      <c r="R62" s="11" t="str">
        <f t="shared" si="1"/>
        <v>kofi.mensa@ophiram.com;</v>
      </c>
    </row>
    <row r="63" spans="2:18" s="11" customFormat="1" ht="11.25" x14ac:dyDescent="0.2">
      <c r="B63" s="11" t="s">
        <v>0</v>
      </c>
      <c r="C63" s="11" t="s">
        <v>2</v>
      </c>
      <c r="F63" s="12" t="s">
        <v>1</v>
      </c>
      <c r="G63" s="13">
        <v>1</v>
      </c>
      <c r="I63" s="13">
        <v>1</v>
      </c>
      <c r="J63" s="13">
        <v>1</v>
      </c>
      <c r="K63" s="13">
        <v>1</v>
      </c>
      <c r="L63" s="13">
        <v>1</v>
      </c>
      <c r="M63" s="13">
        <v>1</v>
      </c>
      <c r="N63" s="13">
        <v>1</v>
      </c>
      <c r="O63" s="13">
        <v>1</v>
      </c>
      <c r="P63" s="13">
        <v>1</v>
      </c>
      <c r="R63" s="11" t="str">
        <f t="shared" si="1"/>
        <v>aabraham@torqcap.com;</v>
      </c>
    </row>
    <row r="64" spans="2:18" s="11" customFormat="1" ht="11.25" x14ac:dyDescent="0.2">
      <c r="B64" s="11" t="s">
        <v>111</v>
      </c>
      <c r="C64" s="11" t="s">
        <v>113</v>
      </c>
      <c r="F64" s="12" t="s">
        <v>112</v>
      </c>
      <c r="G64" s="13">
        <v>1</v>
      </c>
      <c r="I64" s="13">
        <v>1</v>
      </c>
      <c r="J64" s="13">
        <v>1</v>
      </c>
      <c r="K64" s="13">
        <v>1</v>
      </c>
      <c r="L64" s="13">
        <v>1</v>
      </c>
      <c r="M64" s="13">
        <v>1</v>
      </c>
      <c r="N64" s="13">
        <v>1</v>
      </c>
      <c r="O64" s="13">
        <v>1</v>
      </c>
      <c r="P64" s="13">
        <v>1</v>
      </c>
      <c r="R64" s="11" t="str">
        <f t="shared" si="1"/>
        <v>john.lake@paradice.com;</v>
      </c>
    </row>
    <row r="65" spans="2:18" s="11" customFormat="1" ht="11.25" x14ac:dyDescent="0.2">
      <c r="B65" s="11" t="s">
        <v>153</v>
      </c>
      <c r="C65" s="11" t="s">
        <v>155</v>
      </c>
      <c r="F65" s="12" t="s">
        <v>154</v>
      </c>
      <c r="G65" s="13">
        <v>1</v>
      </c>
      <c r="I65" s="13">
        <v>1</v>
      </c>
      <c r="J65" s="13">
        <v>1</v>
      </c>
      <c r="K65" s="13">
        <v>1</v>
      </c>
      <c r="L65" s="13">
        <v>1</v>
      </c>
      <c r="M65" s="13">
        <v>1</v>
      </c>
      <c r="N65" s="13">
        <v>1</v>
      </c>
      <c r="O65" s="13">
        <v>1</v>
      </c>
      <c r="P65" s="13">
        <v>1</v>
      </c>
      <c r="R65" s="11" t="str">
        <f t="shared" si="1"/>
        <v>catherine.allfrey@wavestonecapital.com;</v>
      </c>
    </row>
    <row r="66" spans="2:18" s="11" customFormat="1" ht="11.25" x14ac:dyDescent="0.2">
      <c r="B66" s="11" t="s">
        <v>509</v>
      </c>
      <c r="C66" s="11" t="s">
        <v>421</v>
      </c>
      <c r="F66" s="12" t="s">
        <v>508</v>
      </c>
      <c r="G66" s="13">
        <v>1</v>
      </c>
      <c r="I66" s="13">
        <v>1</v>
      </c>
      <c r="J66" s="13">
        <v>1</v>
      </c>
      <c r="K66" s="13">
        <v>1</v>
      </c>
      <c r="L66" s="13">
        <v>1</v>
      </c>
      <c r="M66" s="13">
        <v>1</v>
      </c>
      <c r="N66" s="13">
        <v>1</v>
      </c>
      <c r="O66" s="13">
        <v>1</v>
      </c>
      <c r="P66" s="13">
        <v>1</v>
      </c>
      <c r="R66" s="11" t="str">
        <f t="shared" ref="R66:R72" si="2">F66&amp;";"</f>
        <v>craig.young@tyndallam.com;</v>
      </c>
    </row>
    <row r="67" spans="2:18" s="11" customFormat="1" ht="11.25" x14ac:dyDescent="0.2">
      <c r="B67" s="11" t="s">
        <v>237</v>
      </c>
      <c r="C67" s="11" t="s">
        <v>239</v>
      </c>
      <c r="F67" s="12" t="s">
        <v>238</v>
      </c>
      <c r="G67" s="13">
        <v>1</v>
      </c>
      <c r="I67" s="13">
        <v>1</v>
      </c>
      <c r="J67" s="13">
        <v>1</v>
      </c>
      <c r="K67" s="13">
        <v>1</v>
      </c>
      <c r="L67" s="13">
        <v>1</v>
      </c>
      <c r="M67" s="13">
        <v>1</v>
      </c>
      <c r="N67" s="13">
        <v>1</v>
      </c>
      <c r="O67" s="13">
        <v>1</v>
      </c>
      <c r="P67" s="13">
        <v>1</v>
      </c>
      <c r="R67" s="11" t="str">
        <f t="shared" si="2"/>
        <v>andrew.moller@argoinvestments.com.au;</v>
      </c>
    </row>
    <row r="68" spans="2:18" s="11" customFormat="1" ht="11.25" x14ac:dyDescent="0.2">
      <c r="B68" s="11" t="s">
        <v>474</v>
      </c>
      <c r="C68" s="11" t="s">
        <v>41</v>
      </c>
      <c r="F68" s="12" t="s">
        <v>473</v>
      </c>
      <c r="G68" s="13">
        <v>1</v>
      </c>
      <c r="I68" s="13">
        <v>1</v>
      </c>
      <c r="J68" s="13">
        <v>1</v>
      </c>
      <c r="K68" s="13">
        <v>1</v>
      </c>
      <c r="L68" s="13">
        <v>1</v>
      </c>
      <c r="M68" s="13">
        <v>1</v>
      </c>
      <c r="N68" s="13">
        <v>1</v>
      </c>
      <c r="O68" s="13">
        <v>1</v>
      </c>
      <c r="P68" s="13">
        <v>1</v>
      </c>
      <c r="R68" s="11" t="str">
        <f t="shared" si="2"/>
        <v>fpodrug@cooperinvestors.com;</v>
      </c>
    </row>
    <row r="69" spans="2:18" s="11" customFormat="1" ht="11.25" x14ac:dyDescent="0.2">
      <c r="B69" s="11" t="s">
        <v>1038</v>
      </c>
      <c r="C69" s="11" t="s">
        <v>41</v>
      </c>
      <c r="F69" s="12" t="s">
        <v>1039</v>
      </c>
      <c r="G69" s="13">
        <v>1</v>
      </c>
      <c r="I69" s="13">
        <v>1</v>
      </c>
      <c r="J69" s="13">
        <v>1</v>
      </c>
      <c r="K69" s="13">
        <v>1</v>
      </c>
      <c r="L69" s="13">
        <v>1</v>
      </c>
      <c r="M69" s="13">
        <v>1</v>
      </c>
      <c r="N69" s="13">
        <v>1</v>
      </c>
      <c r="O69" s="13">
        <v>1</v>
      </c>
      <c r="P69" s="13">
        <v>1</v>
      </c>
      <c r="R69" s="11" t="str">
        <f t="shared" si="2"/>
        <v>ahill@cooperinvestors.com;</v>
      </c>
    </row>
    <row r="70" spans="2:18" s="11" customFormat="1" ht="11.25" x14ac:dyDescent="0.2">
      <c r="B70" s="11" t="s">
        <v>39</v>
      </c>
      <c r="C70" s="11" t="s">
        <v>41</v>
      </c>
      <c r="F70" s="12" t="s">
        <v>40</v>
      </c>
      <c r="G70" s="13">
        <v>1</v>
      </c>
      <c r="I70" s="13">
        <v>1</v>
      </c>
      <c r="J70" s="13">
        <v>1</v>
      </c>
      <c r="K70" s="13">
        <v>1</v>
      </c>
      <c r="L70" s="13">
        <v>1</v>
      </c>
      <c r="M70" s="13">
        <v>1</v>
      </c>
      <c r="N70" s="13">
        <v>1</v>
      </c>
      <c r="O70" s="13">
        <v>1</v>
      </c>
      <c r="P70" s="13">
        <v>1</v>
      </c>
      <c r="R70" s="11" t="str">
        <f t="shared" si="2"/>
        <v>jgal@cooperinvestors.com;</v>
      </c>
    </row>
    <row r="71" spans="2:18" s="11" customFormat="1" ht="11.25" x14ac:dyDescent="0.2">
      <c r="B71" s="11" t="s">
        <v>795</v>
      </c>
      <c r="C71" s="11" t="s">
        <v>200</v>
      </c>
      <c r="F71" s="12" t="s">
        <v>794</v>
      </c>
      <c r="G71" s="13">
        <v>1</v>
      </c>
      <c r="I71" s="13">
        <v>1</v>
      </c>
      <c r="J71" s="13">
        <v>1</v>
      </c>
      <c r="K71" s="13">
        <v>1</v>
      </c>
      <c r="L71" s="13">
        <v>1</v>
      </c>
      <c r="M71" s="13">
        <v>1</v>
      </c>
      <c r="N71" s="13">
        <v>1</v>
      </c>
      <c r="O71" s="13">
        <v>1</v>
      </c>
      <c r="P71" s="13">
        <v>1</v>
      </c>
      <c r="R71" s="11" t="str">
        <f t="shared" si="2"/>
        <v>niraj_kumar@gandel.com.au;</v>
      </c>
    </row>
    <row r="72" spans="2:18" s="11" customFormat="1" ht="11.25" x14ac:dyDescent="0.2">
      <c r="B72" s="11" t="s">
        <v>631</v>
      </c>
      <c r="C72" s="11" t="s">
        <v>97</v>
      </c>
      <c r="F72" s="12" t="s">
        <v>630</v>
      </c>
      <c r="G72" s="13">
        <v>1</v>
      </c>
      <c r="I72" s="13">
        <v>1</v>
      </c>
      <c r="J72" s="13">
        <v>1</v>
      </c>
      <c r="K72" s="13">
        <v>1</v>
      </c>
      <c r="L72" s="13">
        <v>1</v>
      </c>
      <c r="M72" s="13">
        <v>1</v>
      </c>
      <c r="N72" s="13">
        <v>1</v>
      </c>
      <c r="O72" s="13">
        <v>1</v>
      </c>
      <c r="P72" s="13">
        <v>1</v>
      </c>
      <c r="R72" s="11" t="str">
        <f t="shared" si="2"/>
        <v>swilson@australiansuper.com;</v>
      </c>
    </row>
    <row r="73" spans="2:18" s="11" customFormat="1" ht="11.25" x14ac:dyDescent="0.2">
      <c r="B73" s="11" t="s">
        <v>61</v>
      </c>
      <c r="C73" s="11" t="s">
        <v>2</v>
      </c>
      <c r="F73" s="12" t="s">
        <v>62</v>
      </c>
      <c r="G73" s="13">
        <v>1</v>
      </c>
      <c r="I73" s="13">
        <v>1</v>
      </c>
      <c r="J73" s="13">
        <v>1</v>
      </c>
      <c r="K73" s="13">
        <v>1</v>
      </c>
      <c r="L73" s="13">
        <v>1</v>
      </c>
      <c r="M73" s="13">
        <v>1</v>
      </c>
      <c r="N73" s="13">
        <v>1</v>
      </c>
      <c r="O73" s="13">
        <v>1</v>
      </c>
      <c r="P73" s="13">
        <v>1</v>
      </c>
      <c r="R73" s="11" t="str">
        <f t="shared" ref="R73:R82" si="3">F73&amp;";"</f>
        <v>kevin.ngai@arrowpointfund.com;</v>
      </c>
    </row>
    <row r="74" spans="2:18" s="11" customFormat="1" ht="11.25" x14ac:dyDescent="0.2">
      <c r="B74" s="11" t="s">
        <v>963</v>
      </c>
      <c r="C74" s="11" t="s">
        <v>87</v>
      </c>
      <c r="F74" s="12" t="s">
        <v>962</v>
      </c>
      <c r="G74" s="13">
        <v>1</v>
      </c>
      <c r="I74" s="13">
        <v>1</v>
      </c>
      <c r="J74" s="13">
        <v>1</v>
      </c>
      <c r="K74" s="13">
        <v>1</v>
      </c>
      <c r="L74" s="13">
        <v>1</v>
      </c>
      <c r="M74" s="13">
        <v>1</v>
      </c>
      <c r="N74" s="13">
        <v>1</v>
      </c>
      <c r="O74" s="13">
        <v>1</v>
      </c>
      <c r="P74" s="13">
        <v>1</v>
      </c>
      <c r="R74" s="11" t="str">
        <f t="shared" si="3"/>
        <v>mathew.wong@yarracm.com;</v>
      </c>
    </row>
    <row r="75" spans="2:18" s="11" customFormat="1" ht="11.25" x14ac:dyDescent="0.2">
      <c r="B75" s="11" t="s">
        <v>163</v>
      </c>
      <c r="C75" s="11" t="s">
        <v>128</v>
      </c>
      <c r="F75" s="12" t="s">
        <v>164</v>
      </c>
      <c r="G75" s="13">
        <v>1</v>
      </c>
      <c r="I75" s="13">
        <v>1</v>
      </c>
      <c r="J75" s="13">
        <v>1</v>
      </c>
      <c r="K75" s="13">
        <v>1</v>
      </c>
      <c r="L75" s="13">
        <v>1</v>
      </c>
      <c r="M75" s="13">
        <v>1</v>
      </c>
      <c r="N75" s="13">
        <v>1</v>
      </c>
      <c r="O75" s="13">
        <v>1</v>
      </c>
      <c r="P75" s="13">
        <v>1</v>
      </c>
      <c r="R75" s="11" t="str">
        <f t="shared" si="3"/>
        <v>mayur.nallamala@rbc.com;</v>
      </c>
    </row>
    <row r="76" spans="2:18" s="11" customFormat="1" ht="11.25" x14ac:dyDescent="0.2">
      <c r="B76" s="11" t="s">
        <v>934</v>
      </c>
      <c r="C76" s="11" t="s">
        <v>260</v>
      </c>
      <c r="F76" s="12" t="s">
        <v>933</v>
      </c>
      <c r="G76" s="13">
        <v>1</v>
      </c>
      <c r="I76" s="13">
        <v>1</v>
      </c>
      <c r="J76" s="13">
        <v>1</v>
      </c>
      <c r="K76" s="13">
        <v>1</v>
      </c>
      <c r="L76" s="13">
        <v>1</v>
      </c>
      <c r="M76" s="13">
        <v>1</v>
      </c>
      <c r="N76" s="13">
        <v>1</v>
      </c>
      <c r="O76" s="13">
        <v>1</v>
      </c>
      <c r="P76" s="13">
        <v>1</v>
      </c>
      <c r="R76" s="11" t="str">
        <f t="shared" si="3"/>
        <v>wendy.herringer@northcape.com.au;</v>
      </c>
    </row>
    <row r="77" spans="2:18" s="11" customFormat="1" ht="11.25" x14ac:dyDescent="0.2">
      <c r="B77" s="11" t="s">
        <v>951</v>
      </c>
      <c r="C77" s="11" t="s">
        <v>421</v>
      </c>
      <c r="F77" s="12" t="s">
        <v>950</v>
      </c>
      <c r="G77" s="13">
        <v>1</v>
      </c>
      <c r="I77" s="13">
        <v>1</v>
      </c>
      <c r="J77" s="13">
        <v>1</v>
      </c>
      <c r="K77" s="13">
        <v>1</v>
      </c>
      <c r="L77" s="13">
        <v>1</v>
      </c>
      <c r="M77" s="13">
        <v>1</v>
      </c>
      <c r="N77" s="13">
        <v>1</v>
      </c>
      <c r="O77" s="13">
        <v>1</v>
      </c>
      <c r="P77" s="13">
        <v>1</v>
      </c>
      <c r="R77" s="11" t="str">
        <f t="shared" si="3"/>
        <v>james.nguyen@tyndallam.com;</v>
      </c>
    </row>
    <row r="78" spans="2:18" s="11" customFormat="1" ht="11.25" x14ac:dyDescent="0.2">
      <c r="B78" s="11" t="s">
        <v>419</v>
      </c>
      <c r="C78" s="11" t="s">
        <v>421</v>
      </c>
      <c r="F78" s="12" t="s">
        <v>420</v>
      </c>
      <c r="G78" s="13">
        <v>1</v>
      </c>
      <c r="I78" s="13">
        <v>1</v>
      </c>
      <c r="J78" s="13">
        <v>1</v>
      </c>
      <c r="K78" s="13">
        <v>1</v>
      </c>
      <c r="L78" s="13">
        <v>1</v>
      </c>
      <c r="M78" s="13">
        <v>1</v>
      </c>
      <c r="N78" s="13">
        <v>1</v>
      </c>
      <c r="O78" s="13">
        <v>1</v>
      </c>
      <c r="P78" s="13">
        <v>1</v>
      </c>
      <c r="R78" s="11" t="str">
        <f t="shared" si="3"/>
        <v>vincent.li@tyndallam.com;</v>
      </c>
    </row>
    <row r="79" spans="2:18" s="11" customFormat="1" ht="11.25" x14ac:dyDescent="0.2">
      <c r="B79" s="11" t="s">
        <v>255</v>
      </c>
      <c r="C79" s="11" t="s">
        <v>257</v>
      </c>
      <c r="F79" s="12" t="s">
        <v>256</v>
      </c>
      <c r="G79" s="13">
        <v>1</v>
      </c>
      <c r="I79" s="13">
        <v>1</v>
      </c>
      <c r="J79" s="13">
        <v>1</v>
      </c>
      <c r="K79" s="13">
        <v>1</v>
      </c>
      <c r="L79" s="13">
        <v>1</v>
      </c>
      <c r="M79" s="13">
        <v>1</v>
      </c>
      <c r="N79" s="13">
        <v>1</v>
      </c>
      <c r="O79" s="13">
        <v>1</v>
      </c>
      <c r="P79" s="13">
        <v>1</v>
      </c>
      <c r="R79" s="11" t="str">
        <f t="shared" si="3"/>
        <v>rob.landau@telstrasuper.com.au;</v>
      </c>
    </row>
    <row r="80" spans="2:18" s="11" customFormat="1" ht="11.25" x14ac:dyDescent="0.2">
      <c r="B80" s="11" t="s">
        <v>619</v>
      </c>
      <c r="C80" s="11" t="s">
        <v>257</v>
      </c>
      <c r="F80" s="12" t="s">
        <v>618</v>
      </c>
      <c r="G80" s="13">
        <v>1</v>
      </c>
      <c r="I80" s="13">
        <v>1</v>
      </c>
      <c r="J80" s="13">
        <v>1</v>
      </c>
      <c r="K80" s="13">
        <v>1</v>
      </c>
      <c r="L80" s="13">
        <v>1</v>
      </c>
      <c r="M80" s="13">
        <v>1</v>
      </c>
      <c r="N80" s="13">
        <v>1</v>
      </c>
      <c r="O80" s="13">
        <v>1</v>
      </c>
      <c r="P80" s="13">
        <v>1</v>
      </c>
      <c r="R80" s="11" t="str">
        <f t="shared" si="3"/>
        <v>alex.anastasiou@telstrasuper.com.au;</v>
      </c>
    </row>
    <row r="81" spans="2:18" s="11" customFormat="1" ht="11.25" x14ac:dyDescent="0.2">
      <c r="B81" s="11" t="s">
        <v>258</v>
      </c>
      <c r="C81" s="11" t="s">
        <v>260</v>
      </c>
      <c r="F81" s="12" t="s">
        <v>259</v>
      </c>
      <c r="G81" s="13">
        <v>1</v>
      </c>
      <c r="I81" s="13">
        <v>1</v>
      </c>
      <c r="J81" s="13">
        <v>1</v>
      </c>
      <c r="K81" s="13">
        <v>1</v>
      </c>
      <c r="L81" s="13">
        <v>1</v>
      </c>
      <c r="M81" s="13">
        <v>1</v>
      </c>
      <c r="N81" s="13">
        <v>1</v>
      </c>
      <c r="O81" s="13">
        <v>1</v>
      </c>
      <c r="P81" s="13">
        <v>1</v>
      </c>
      <c r="R81" s="11" t="str">
        <f t="shared" si="3"/>
        <v>rob.inglis@northcape.com.au;</v>
      </c>
    </row>
    <row r="82" spans="2:18" s="11" customFormat="1" ht="11.25" x14ac:dyDescent="0.2">
      <c r="B82" s="11" t="s">
        <v>204</v>
      </c>
      <c r="C82" s="11" t="s">
        <v>106</v>
      </c>
      <c r="F82" s="12" t="s">
        <v>205</v>
      </c>
      <c r="G82" s="13">
        <v>1</v>
      </c>
      <c r="I82" s="13">
        <v>1</v>
      </c>
      <c r="J82" s="13">
        <v>1</v>
      </c>
      <c r="K82" s="13">
        <v>1</v>
      </c>
      <c r="L82" s="13">
        <v>1</v>
      </c>
      <c r="M82" s="13">
        <v>1</v>
      </c>
      <c r="N82" s="13">
        <v>1</v>
      </c>
      <c r="O82" s="13">
        <v>1</v>
      </c>
      <c r="P82" s="13">
        <v>1</v>
      </c>
      <c r="R82" s="11" t="str">
        <f t="shared" si="3"/>
        <v>tom.davies@vgipartners.com;</v>
      </c>
    </row>
    <row r="83" spans="2:18" s="11" customFormat="1" ht="11.25" x14ac:dyDescent="0.2">
      <c r="B83" s="11" t="s">
        <v>301</v>
      </c>
      <c r="C83" s="11" t="s">
        <v>279</v>
      </c>
      <c r="F83" s="12" t="s">
        <v>302</v>
      </c>
      <c r="G83" s="13">
        <v>1</v>
      </c>
      <c r="I83" s="13">
        <v>1</v>
      </c>
      <c r="J83" s="13">
        <v>1</v>
      </c>
      <c r="K83" s="13">
        <v>1</v>
      </c>
      <c r="L83" s="13">
        <v>1</v>
      </c>
      <c r="M83" s="13">
        <v>1</v>
      </c>
      <c r="N83" s="13">
        <v>1</v>
      </c>
      <c r="O83" s="13">
        <v>1</v>
      </c>
      <c r="P83" s="13">
        <v>1</v>
      </c>
      <c r="R83" s="11" t="str">
        <f t="shared" ref="R83:R88" si="4">F83&amp;";"</f>
        <v>bradley.clibborn@baep.com.au;</v>
      </c>
    </row>
    <row r="84" spans="2:18" s="11" customFormat="1" ht="11.25" x14ac:dyDescent="0.2">
      <c r="B84" s="11" t="s">
        <v>579</v>
      </c>
      <c r="C84" s="11" t="s">
        <v>327</v>
      </c>
      <c r="F84" s="12" t="s">
        <v>578</v>
      </c>
      <c r="G84" s="13">
        <v>1</v>
      </c>
      <c r="I84" s="13">
        <v>1</v>
      </c>
      <c r="J84" s="13">
        <v>1</v>
      </c>
      <c r="K84" s="13">
        <v>1</v>
      </c>
      <c r="L84" s="13">
        <v>1</v>
      </c>
      <c r="M84" s="13">
        <v>1</v>
      </c>
      <c r="N84" s="13">
        <v>1</v>
      </c>
      <c r="O84" s="13">
        <v>1</v>
      </c>
      <c r="P84" s="13">
        <v>1</v>
      </c>
      <c r="R84" s="11" t="str">
        <f t="shared" si="4"/>
        <v>james.sioud@regalfm.com;</v>
      </c>
    </row>
    <row r="85" spans="2:18" s="11" customFormat="1" ht="11.25" x14ac:dyDescent="0.2">
      <c r="B85" s="11" t="s">
        <v>748</v>
      </c>
      <c r="C85" s="11" t="s">
        <v>198</v>
      </c>
      <c r="F85" s="12" t="s">
        <v>747</v>
      </c>
      <c r="G85" s="13">
        <v>1</v>
      </c>
      <c r="I85" s="13">
        <v>1</v>
      </c>
      <c r="J85" s="13">
        <v>1</v>
      </c>
      <c r="K85" s="13">
        <v>1</v>
      </c>
      <c r="L85" s="13">
        <v>1</v>
      </c>
      <c r="M85" s="13">
        <v>1</v>
      </c>
      <c r="N85" s="13">
        <v>1</v>
      </c>
      <c r="O85" s="13">
        <v>1</v>
      </c>
      <c r="P85" s="13">
        <v>1</v>
      </c>
      <c r="R85" s="11" t="str">
        <f t="shared" si="4"/>
        <v>jcopland@ifm.net.au;</v>
      </c>
    </row>
    <row r="86" spans="2:18" s="11" customFormat="1" ht="11.25" x14ac:dyDescent="0.2">
      <c r="B86" s="11" t="s">
        <v>777</v>
      </c>
      <c r="C86" s="11" t="s">
        <v>775</v>
      </c>
      <c r="F86" s="12" t="s">
        <v>776</v>
      </c>
      <c r="G86" s="13">
        <v>1</v>
      </c>
      <c r="I86" s="13">
        <v>1</v>
      </c>
      <c r="J86" s="13">
        <v>1</v>
      </c>
      <c r="K86" s="13">
        <v>1</v>
      </c>
      <c r="L86" s="13">
        <v>1</v>
      </c>
      <c r="M86" s="13">
        <v>1</v>
      </c>
      <c r="N86" s="13">
        <v>1</v>
      </c>
      <c r="O86" s="13">
        <v>1</v>
      </c>
      <c r="P86" s="13">
        <v>1</v>
      </c>
      <c r="R86" s="11" t="str">
        <f t="shared" si="4"/>
        <v>gordon.sims@castlepointfunds.com;</v>
      </c>
    </row>
    <row r="87" spans="2:18" s="11" customFormat="1" ht="11.25" x14ac:dyDescent="0.2">
      <c r="B87" s="11" t="s">
        <v>1050</v>
      </c>
      <c r="C87" s="11" t="s">
        <v>1051</v>
      </c>
      <c r="F87" s="12" t="s">
        <v>994</v>
      </c>
      <c r="G87" s="13">
        <v>1</v>
      </c>
      <c r="I87" s="13">
        <v>1</v>
      </c>
      <c r="J87" s="13">
        <v>1</v>
      </c>
      <c r="K87" s="13">
        <v>1</v>
      </c>
      <c r="L87" s="13">
        <v>1</v>
      </c>
      <c r="M87" s="13">
        <v>1</v>
      </c>
      <c r="N87" s="13">
        <v>1</v>
      </c>
      <c r="O87" s="13">
        <v>1</v>
      </c>
      <c r="P87" s="13">
        <v>1</v>
      </c>
      <c r="R87" s="11" t="str">
        <f t="shared" si="4"/>
        <v>nicholas.plessas@foragerfunds.com;</v>
      </c>
    </row>
    <row r="88" spans="2:18" s="11" customFormat="1" ht="11.25" x14ac:dyDescent="0.2">
      <c r="B88" s="11" t="s">
        <v>926</v>
      </c>
      <c r="C88" s="11" t="s">
        <v>775</v>
      </c>
      <c r="F88" s="12" t="s">
        <v>925</v>
      </c>
      <c r="G88" s="13">
        <v>1</v>
      </c>
      <c r="I88" s="13">
        <v>1</v>
      </c>
      <c r="J88" s="13">
        <v>1</v>
      </c>
      <c r="K88" s="13">
        <v>1</v>
      </c>
      <c r="L88" s="13">
        <v>1</v>
      </c>
      <c r="M88" s="13">
        <v>1</v>
      </c>
      <c r="N88" s="13">
        <v>1</v>
      </c>
      <c r="O88" s="13">
        <v>1</v>
      </c>
      <c r="P88" s="13">
        <v>1</v>
      </c>
      <c r="R88" s="11" t="str">
        <f t="shared" si="4"/>
        <v>richard.stubbs@castlepointfunds.com;</v>
      </c>
    </row>
    <row r="89" spans="2:18" s="11" customFormat="1" ht="11.25" x14ac:dyDescent="0.2">
      <c r="B89" s="11" t="s">
        <v>538</v>
      </c>
      <c r="C89" s="11" t="s">
        <v>536</v>
      </c>
      <c r="F89" s="12" t="s">
        <v>537</v>
      </c>
      <c r="G89" s="13">
        <v>1</v>
      </c>
      <c r="I89" s="13">
        <v>1</v>
      </c>
      <c r="J89" s="13">
        <v>1</v>
      </c>
      <c r="K89" s="13">
        <v>1</v>
      </c>
      <c r="L89" s="13">
        <v>1</v>
      </c>
      <c r="M89" s="13">
        <v>1</v>
      </c>
      <c r="N89" s="13">
        <v>1</v>
      </c>
      <c r="O89" s="13">
        <v>1</v>
      </c>
      <c r="P89" s="13">
        <v>1</v>
      </c>
      <c r="R89" s="11" t="str">
        <f t="shared" ref="R89:R94" si="5">F89&amp;";"</f>
        <v>anthony@rivercapital.com.au;</v>
      </c>
    </row>
    <row r="90" spans="2:18" s="11" customFormat="1" ht="11.25" x14ac:dyDescent="0.2">
      <c r="B90" s="11" t="s">
        <v>1002</v>
      </c>
      <c r="C90" s="11" t="s">
        <v>290</v>
      </c>
      <c r="F90" s="15" t="s">
        <v>988</v>
      </c>
      <c r="G90" s="13">
        <v>1</v>
      </c>
      <c r="I90" s="14">
        <v>0</v>
      </c>
      <c r="J90" s="14">
        <v>0</v>
      </c>
      <c r="K90" s="13">
        <v>1</v>
      </c>
      <c r="L90" s="13">
        <v>1</v>
      </c>
      <c r="M90" s="13">
        <v>1</v>
      </c>
      <c r="N90" s="13">
        <v>1</v>
      </c>
      <c r="O90" s="13">
        <v>1</v>
      </c>
      <c r="P90" s="13">
        <v>1</v>
      </c>
      <c r="R90" s="11" t="str">
        <f t="shared" si="5"/>
        <v>tom.cutler@ausbil.com.au;</v>
      </c>
    </row>
    <row r="91" spans="2:18" s="11" customFormat="1" ht="11.25" x14ac:dyDescent="0.2">
      <c r="B91" s="11" t="s">
        <v>398</v>
      </c>
      <c r="C91" s="11" t="s">
        <v>100</v>
      </c>
      <c r="F91" s="12" t="s">
        <v>399</v>
      </c>
      <c r="G91" s="13">
        <v>1</v>
      </c>
      <c r="I91" s="13">
        <v>1</v>
      </c>
      <c r="J91" s="13">
        <v>1</v>
      </c>
      <c r="K91" s="13">
        <v>1</v>
      </c>
      <c r="L91" s="13">
        <v>1</v>
      </c>
      <c r="M91" s="13">
        <v>1</v>
      </c>
      <c r="N91" s="13">
        <v>1</v>
      </c>
      <c r="O91" s="13">
        <v>1</v>
      </c>
      <c r="P91" s="13">
        <v>1</v>
      </c>
      <c r="R91" s="11" t="str">
        <f t="shared" si="5"/>
        <v>bruce.smith@alphinity.com.au;</v>
      </c>
    </row>
    <row r="92" spans="2:18" s="11" customFormat="1" ht="11.25" x14ac:dyDescent="0.2">
      <c r="B92" s="11" t="s">
        <v>394</v>
      </c>
      <c r="C92" s="11" t="s">
        <v>249</v>
      </c>
      <c r="F92" s="12" t="s">
        <v>395</v>
      </c>
      <c r="G92" s="13">
        <v>1</v>
      </c>
      <c r="I92" s="13">
        <v>1</v>
      </c>
      <c r="J92" s="13">
        <v>1</v>
      </c>
      <c r="K92" s="13">
        <v>1</v>
      </c>
      <c r="L92" s="13">
        <v>1</v>
      </c>
      <c r="M92" s="13">
        <v>1</v>
      </c>
      <c r="N92" s="13">
        <v>1</v>
      </c>
      <c r="O92" s="13">
        <v>1</v>
      </c>
      <c r="P92" s="13">
        <v>1</v>
      </c>
      <c r="R92" s="11" t="str">
        <f t="shared" si="5"/>
        <v>ccahill@questap.com.au;</v>
      </c>
    </row>
    <row r="93" spans="2:18" s="11" customFormat="1" ht="11.25" x14ac:dyDescent="0.2">
      <c r="B93" s="11" t="s">
        <v>95</v>
      </c>
      <c r="C93" s="11" t="s">
        <v>97</v>
      </c>
      <c r="F93" s="12" t="s">
        <v>96</v>
      </c>
      <c r="G93" s="13">
        <v>1</v>
      </c>
      <c r="I93" s="13">
        <v>1</v>
      </c>
      <c r="J93" s="13">
        <v>1</v>
      </c>
      <c r="K93" s="13">
        <v>1</v>
      </c>
      <c r="L93" s="13">
        <v>1</v>
      </c>
      <c r="M93" s="13">
        <v>1</v>
      </c>
      <c r="N93" s="13">
        <v>1</v>
      </c>
      <c r="O93" s="13">
        <v>1</v>
      </c>
      <c r="P93" s="13">
        <v>1</v>
      </c>
      <c r="R93" s="11" t="str">
        <f t="shared" si="5"/>
        <v>smanuell@australiansuper.com;</v>
      </c>
    </row>
    <row r="94" spans="2:18" s="11" customFormat="1" ht="11.25" x14ac:dyDescent="0.2">
      <c r="B94" s="11" t="s">
        <v>920</v>
      </c>
      <c r="C94" s="11" t="s">
        <v>103</v>
      </c>
      <c r="F94" s="12" t="s">
        <v>919</v>
      </c>
      <c r="G94" s="13">
        <v>1</v>
      </c>
      <c r="I94" s="13">
        <v>1</v>
      </c>
      <c r="J94" s="13">
        <v>1</v>
      </c>
      <c r="K94" s="13">
        <v>1</v>
      </c>
      <c r="L94" s="13">
        <v>1</v>
      </c>
      <c r="M94" s="13">
        <v>1</v>
      </c>
      <c r="N94" s="13">
        <v>1</v>
      </c>
      <c r="O94" s="13">
        <v>1</v>
      </c>
      <c r="P94" s="13">
        <v>1</v>
      </c>
      <c r="R94" s="11" t="str">
        <f t="shared" si="5"/>
        <v>bevan.flack@acc.co.nz;</v>
      </c>
    </row>
  </sheetData>
  <autoFilter ref="B3:R3" xr:uid="{DAECDEF5-8477-4DF5-ABC4-65F0392C4535}">
    <sortState xmlns:xlrd2="http://schemas.microsoft.com/office/spreadsheetml/2017/richdata2" ref="B4:R37">
      <sortCondition ref="C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793F0-FE1B-47A2-B4AB-03A9C5F28A56}">
  <sheetPr>
    <tabColor theme="9" tint="-0.249977111117893"/>
  </sheetPr>
  <dimension ref="C2:AE110"/>
  <sheetViews>
    <sheetView tabSelected="1" topLeftCell="A67" workbookViewId="0">
      <selection activeCell="AH87" sqref="AH87"/>
    </sheetView>
  </sheetViews>
  <sheetFormatPr defaultRowHeight="15" x14ac:dyDescent="0.25"/>
  <cols>
    <col min="1" max="2" width="2.7109375" customWidth="1"/>
    <col min="3" max="3" width="20.5703125" bestFit="1" customWidth="1"/>
    <col min="4" max="4" width="27.7109375" bestFit="1" customWidth="1"/>
    <col min="5" max="5" width="39" customWidth="1"/>
    <col min="6" max="6" width="12.7109375" customWidth="1"/>
    <col min="7" max="7" width="9" style="2" bestFit="1" customWidth="1"/>
    <col min="8" max="8" width="5.7109375" style="2" customWidth="1"/>
    <col min="9" max="9" width="32.28515625" style="2" bestFit="1" customWidth="1"/>
    <col min="10" max="10" width="2.7109375" customWidth="1"/>
    <col min="11" max="18" width="5.7109375" style="11" customWidth="1"/>
    <col min="19" max="19" width="2.7109375" customWidth="1"/>
    <col min="20" max="27" width="5.7109375" style="11" customWidth="1"/>
    <col min="28" max="29" width="2.7109375" customWidth="1"/>
    <col min="30" max="30" width="44.28515625" bestFit="1" customWidth="1"/>
  </cols>
  <sheetData>
    <row r="2" spans="3:31" s="17" customFormat="1" x14ac:dyDescent="0.25">
      <c r="C2" s="17" t="s">
        <v>997</v>
      </c>
      <c r="D2" s="17" t="s">
        <v>996</v>
      </c>
      <c r="E2" s="17" t="s">
        <v>986</v>
      </c>
      <c r="F2" s="17" t="s">
        <v>2046</v>
      </c>
      <c r="G2" s="18" t="s">
        <v>2107</v>
      </c>
      <c r="H2" s="18" t="s">
        <v>2106</v>
      </c>
      <c r="I2" s="18" t="s">
        <v>1113</v>
      </c>
      <c r="K2" s="66" t="s">
        <v>3</v>
      </c>
      <c r="L2" s="66" t="s">
        <v>959</v>
      </c>
      <c r="M2" s="66" t="s">
        <v>972</v>
      </c>
      <c r="N2" s="66" t="s">
        <v>973</v>
      </c>
      <c r="O2" s="66" t="s">
        <v>982</v>
      </c>
      <c r="P2" s="66" t="s">
        <v>2108</v>
      </c>
      <c r="Q2" s="66" t="s">
        <v>984</v>
      </c>
      <c r="R2" s="66" t="s">
        <v>985</v>
      </c>
      <c r="T2" s="18" t="s">
        <v>3</v>
      </c>
      <c r="U2" s="18" t="s">
        <v>959</v>
      </c>
      <c r="V2" s="18" t="s">
        <v>972</v>
      </c>
      <c r="W2" s="18" t="s">
        <v>973</v>
      </c>
      <c r="X2" s="18" t="s">
        <v>982</v>
      </c>
      <c r="Y2" s="18" t="s">
        <v>2108</v>
      </c>
      <c r="Z2" s="18" t="s">
        <v>984</v>
      </c>
      <c r="AA2" s="18" t="s">
        <v>985</v>
      </c>
      <c r="AD2" s="17" t="s">
        <v>1112</v>
      </c>
      <c r="AE2" s="17" t="s">
        <v>2007</v>
      </c>
    </row>
    <row r="3" spans="3:31" s="63" customFormat="1" x14ac:dyDescent="0.25">
      <c r="G3" s="64"/>
      <c r="H3" s="64"/>
      <c r="I3" s="64"/>
      <c r="K3" s="64"/>
      <c r="L3" s="64"/>
      <c r="M3" s="64"/>
      <c r="N3" s="64"/>
      <c r="O3" s="64"/>
      <c r="P3" s="64"/>
      <c r="Q3" s="64"/>
      <c r="R3" s="64"/>
      <c r="T3" s="64"/>
      <c r="U3" s="64"/>
      <c r="V3" s="64"/>
      <c r="W3" s="64"/>
      <c r="X3" s="64"/>
      <c r="Y3" s="64"/>
      <c r="Z3" s="64"/>
      <c r="AA3" s="64"/>
    </row>
    <row r="4" spans="3:31" s="63" customFormat="1" x14ac:dyDescent="0.25">
      <c r="C4" s="19" t="s">
        <v>2113</v>
      </c>
      <c r="G4" s="64"/>
      <c r="H4" s="64"/>
      <c r="I4" s="64"/>
      <c r="K4" s="64"/>
      <c r="L4" s="64"/>
      <c r="M4" s="64"/>
      <c r="N4" s="64"/>
      <c r="O4" s="64"/>
      <c r="P4" s="64"/>
      <c r="Q4" s="64"/>
      <c r="R4" s="64"/>
      <c r="T4" s="64"/>
      <c r="U4" s="64"/>
      <c r="V4" s="64"/>
      <c r="W4" s="64"/>
      <c r="X4" s="64"/>
      <c r="Y4" s="64"/>
      <c r="Z4" s="64"/>
      <c r="AA4" s="64"/>
    </row>
    <row r="5" spans="3:31" x14ac:dyDescent="0.25">
      <c r="C5" t="s">
        <v>2099</v>
      </c>
      <c r="D5" t="s">
        <v>2063</v>
      </c>
      <c r="E5" t="s">
        <v>2100</v>
      </c>
      <c r="F5" t="s">
        <v>2050</v>
      </c>
      <c r="G5" s="2" t="s">
        <v>2103</v>
      </c>
      <c r="H5" s="2" t="s">
        <v>2106</v>
      </c>
      <c r="I5" s="2" t="s">
        <v>2038</v>
      </c>
      <c r="K5" s="13">
        <v>1</v>
      </c>
      <c r="L5" s="13">
        <v>1</v>
      </c>
      <c r="M5" s="13">
        <v>1</v>
      </c>
      <c r="N5" s="13">
        <v>1</v>
      </c>
      <c r="O5" s="13">
        <v>1</v>
      </c>
      <c r="P5" s="13">
        <v>1</v>
      </c>
      <c r="Q5" s="13">
        <v>1</v>
      </c>
      <c r="R5" s="13">
        <v>1</v>
      </c>
      <c r="T5" s="13">
        <v>1</v>
      </c>
      <c r="U5" s="13">
        <v>1</v>
      </c>
      <c r="V5" s="13">
        <v>1</v>
      </c>
      <c r="W5" s="13">
        <v>1</v>
      </c>
      <c r="X5" s="13">
        <v>1</v>
      </c>
      <c r="Y5" s="13">
        <v>1</v>
      </c>
      <c r="Z5" s="13">
        <v>1</v>
      </c>
      <c r="AA5" s="13">
        <v>1</v>
      </c>
      <c r="AD5" t="str">
        <f>D5&amp;" - "&amp;C5&amp;" - "</f>
        <v xml:space="preserve">QVG Capital - James Fuller - </v>
      </c>
      <c r="AE5">
        <f>MATCH(E5,'EMAIL LIST'!$F:$F,0)</f>
        <v>339</v>
      </c>
    </row>
    <row r="6" spans="3:31" s="63" customFormat="1" x14ac:dyDescent="0.25">
      <c r="G6" s="64"/>
      <c r="H6" s="64"/>
      <c r="I6" s="64"/>
      <c r="K6" s="64"/>
      <c r="L6" s="64"/>
      <c r="M6" s="64"/>
      <c r="N6" s="64"/>
      <c r="O6" s="64"/>
      <c r="P6" s="64"/>
      <c r="Q6" s="64"/>
      <c r="R6" s="64"/>
      <c r="T6" s="64"/>
      <c r="U6" s="64"/>
      <c r="V6" s="64"/>
      <c r="W6" s="64"/>
      <c r="X6" s="64"/>
      <c r="Y6" s="64"/>
      <c r="Z6" s="64"/>
      <c r="AA6" s="64"/>
    </row>
    <row r="7" spans="3:31" x14ac:dyDescent="0.25">
      <c r="C7" s="19" t="s">
        <v>2111</v>
      </c>
      <c r="K7" s="61"/>
      <c r="L7" s="61"/>
      <c r="M7" s="61"/>
      <c r="N7" s="61"/>
      <c r="O7" s="61"/>
      <c r="P7" s="61"/>
      <c r="Q7" s="61"/>
      <c r="R7" s="61"/>
      <c r="T7" s="61"/>
      <c r="U7" s="61"/>
      <c r="V7" s="61"/>
      <c r="W7" s="61"/>
      <c r="X7" s="61"/>
      <c r="Y7" s="61"/>
      <c r="Z7" s="61"/>
      <c r="AA7" s="61"/>
    </row>
    <row r="8" spans="3:31" x14ac:dyDescent="0.25">
      <c r="C8" t="s">
        <v>325</v>
      </c>
      <c r="D8" t="s">
        <v>1102</v>
      </c>
      <c r="E8" t="s">
        <v>326</v>
      </c>
      <c r="F8" t="s">
        <v>2049</v>
      </c>
      <c r="G8" s="2" t="s">
        <v>2101</v>
      </c>
      <c r="H8" s="2" t="s">
        <v>2106</v>
      </c>
      <c r="I8" s="2" t="s">
        <v>2074</v>
      </c>
      <c r="K8" s="13">
        <v>1</v>
      </c>
      <c r="L8" s="13">
        <v>1</v>
      </c>
      <c r="M8" s="13">
        <v>1</v>
      </c>
      <c r="N8" s="13">
        <v>1</v>
      </c>
      <c r="O8" s="13">
        <v>1</v>
      </c>
      <c r="P8" s="14">
        <v>0</v>
      </c>
      <c r="Q8" s="13">
        <v>1</v>
      </c>
      <c r="R8" s="14">
        <v>0</v>
      </c>
      <c r="T8" s="13">
        <v>1</v>
      </c>
      <c r="U8" s="13">
        <v>1</v>
      </c>
      <c r="V8" s="13">
        <v>1</v>
      </c>
      <c r="W8" s="13">
        <v>1</v>
      </c>
      <c r="X8" s="13">
        <v>1</v>
      </c>
      <c r="Y8" s="13">
        <v>1</v>
      </c>
      <c r="Z8" s="13">
        <v>1</v>
      </c>
      <c r="AA8" s="13">
        <v>1</v>
      </c>
      <c r="AD8" t="str">
        <f t="shared" ref="AD8:AD10" si="0">D8&amp;" - "&amp;C8&amp;" - "</f>
        <v xml:space="preserve">Regal - Jovita Khilnani - </v>
      </c>
      <c r="AE8">
        <f>MATCH(E8,'EMAIL LIST'!$F:$F,0)</f>
        <v>257</v>
      </c>
    </row>
    <row r="9" spans="3:31" x14ac:dyDescent="0.25">
      <c r="C9" t="s">
        <v>361</v>
      </c>
      <c r="D9" t="s">
        <v>1102</v>
      </c>
      <c r="E9" t="s">
        <v>362</v>
      </c>
      <c r="F9" t="s">
        <v>2049</v>
      </c>
      <c r="G9" s="2" t="s">
        <v>2101</v>
      </c>
      <c r="H9" s="2" t="s">
        <v>2106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T9" s="13">
        <v>1</v>
      </c>
      <c r="U9" s="13">
        <v>1</v>
      </c>
      <c r="V9" s="13">
        <v>1</v>
      </c>
      <c r="W9" s="13">
        <v>1</v>
      </c>
      <c r="X9" s="14">
        <v>0</v>
      </c>
      <c r="Y9" s="14">
        <v>0</v>
      </c>
      <c r="Z9" s="14">
        <v>0</v>
      </c>
      <c r="AA9" s="14">
        <v>0</v>
      </c>
      <c r="AD9" t="str">
        <f t="shared" si="0"/>
        <v xml:space="preserve">Regal - Mark Nathan - </v>
      </c>
      <c r="AE9">
        <f>MATCH(E9,'EMAIL LIST'!$F:$F,0)</f>
        <v>259</v>
      </c>
    </row>
    <row r="10" spans="3:31" x14ac:dyDescent="0.25">
      <c r="C10" t="s">
        <v>932</v>
      </c>
      <c r="D10" t="s">
        <v>1111</v>
      </c>
      <c r="E10" t="s">
        <v>931</v>
      </c>
      <c r="F10" t="s">
        <v>2047</v>
      </c>
      <c r="G10" s="2" t="s">
        <v>2101</v>
      </c>
      <c r="I10" s="2" t="s">
        <v>2065</v>
      </c>
      <c r="K10" s="13">
        <v>1</v>
      </c>
      <c r="L10" s="13">
        <v>1</v>
      </c>
      <c r="M10" s="13">
        <v>1</v>
      </c>
      <c r="N10" s="13">
        <v>1</v>
      </c>
      <c r="O10" s="13">
        <v>1</v>
      </c>
      <c r="P10" s="14">
        <v>0</v>
      </c>
      <c r="Q10" s="14">
        <v>0</v>
      </c>
      <c r="R10" s="14">
        <v>0</v>
      </c>
      <c r="T10" s="13">
        <v>1</v>
      </c>
      <c r="U10" s="13">
        <v>1</v>
      </c>
      <c r="V10" s="13">
        <v>1</v>
      </c>
      <c r="W10" s="13">
        <v>1</v>
      </c>
      <c r="X10" s="13">
        <v>1</v>
      </c>
      <c r="Y10" s="13">
        <v>1</v>
      </c>
      <c r="Z10" s="14">
        <v>0</v>
      </c>
      <c r="AA10" s="14">
        <v>0</v>
      </c>
      <c r="AD10" t="str">
        <f t="shared" si="0"/>
        <v xml:space="preserve">UniSuper - Nira Sonah - </v>
      </c>
      <c r="AE10">
        <f>MATCH(E10,'EMAIL LIST'!$F:$F,0)</f>
        <v>309</v>
      </c>
    </row>
    <row r="11" spans="3:31" x14ac:dyDescent="0.25">
      <c r="C11" t="s">
        <v>363</v>
      </c>
      <c r="D11" t="s">
        <v>1087</v>
      </c>
      <c r="E11" t="s">
        <v>364</v>
      </c>
      <c r="F11" t="s">
        <v>2047</v>
      </c>
      <c r="G11" s="2" t="s">
        <v>2101</v>
      </c>
      <c r="I11" s="2" t="s">
        <v>2045</v>
      </c>
      <c r="K11" s="13">
        <v>1</v>
      </c>
      <c r="L11" s="13">
        <v>1</v>
      </c>
      <c r="M11" s="14">
        <v>0</v>
      </c>
      <c r="N11" s="14">
        <v>0</v>
      </c>
      <c r="O11" s="13">
        <v>1</v>
      </c>
      <c r="P11" s="14">
        <v>0</v>
      </c>
      <c r="Q11" s="13">
        <v>1</v>
      </c>
      <c r="R11" s="14">
        <v>0</v>
      </c>
      <c r="T11" s="13">
        <v>1</v>
      </c>
      <c r="U11" s="13">
        <v>1</v>
      </c>
      <c r="V11" s="14">
        <v>0</v>
      </c>
      <c r="W11" s="14">
        <v>0</v>
      </c>
      <c r="X11" s="13">
        <v>1</v>
      </c>
      <c r="Y11" s="14">
        <v>0</v>
      </c>
      <c r="Z11" s="13">
        <v>1</v>
      </c>
      <c r="AA11" s="14">
        <v>0</v>
      </c>
      <c r="AD11" t="str">
        <f t="shared" ref="AD11:AD28" si="1">D11&amp;" - "&amp;C11&amp;" - "</f>
        <v xml:space="preserve">Greencape - Marc Hester - </v>
      </c>
      <c r="AE11">
        <f>MATCH(E11,'EMAIL LIST'!$F:$F,0)</f>
        <v>137</v>
      </c>
    </row>
    <row r="12" spans="3:31" x14ac:dyDescent="0.25">
      <c r="C12" t="s">
        <v>313</v>
      </c>
      <c r="D12" t="s">
        <v>1108</v>
      </c>
      <c r="E12" t="s">
        <v>314</v>
      </c>
      <c r="F12" t="s">
        <v>2049</v>
      </c>
      <c r="G12" s="2" t="s">
        <v>2101</v>
      </c>
      <c r="I12" s="2" t="s">
        <v>2037</v>
      </c>
      <c r="K12" s="13">
        <v>1</v>
      </c>
      <c r="L12" s="13">
        <v>1</v>
      </c>
      <c r="M12" s="13">
        <v>1</v>
      </c>
      <c r="N12" s="14">
        <v>0</v>
      </c>
      <c r="O12" s="13">
        <v>1</v>
      </c>
      <c r="P12" s="14">
        <v>0</v>
      </c>
      <c r="Q12" s="14">
        <v>0</v>
      </c>
      <c r="R12" s="14">
        <v>0</v>
      </c>
      <c r="T12" s="13">
        <v>1</v>
      </c>
      <c r="U12" s="13">
        <v>1</v>
      </c>
      <c r="V12" s="13">
        <v>1</v>
      </c>
      <c r="W12" s="14">
        <v>0</v>
      </c>
      <c r="X12" s="13">
        <v>1</v>
      </c>
      <c r="Y12" s="14">
        <v>0</v>
      </c>
      <c r="Z12" s="14">
        <v>0</v>
      </c>
      <c r="AA12" s="14">
        <v>0</v>
      </c>
      <c r="AD12" t="str">
        <f t="shared" si="1"/>
        <v xml:space="preserve">Pendal - Anthony Moran - </v>
      </c>
      <c r="AE12">
        <f>MATCH(E12,'EMAIL LIST'!$F:$F,0)</f>
        <v>228</v>
      </c>
    </row>
    <row r="13" spans="3:31" x14ac:dyDescent="0.25">
      <c r="C13" t="s">
        <v>2005</v>
      </c>
      <c r="D13" t="s">
        <v>1108</v>
      </c>
      <c r="E13" t="s">
        <v>667</v>
      </c>
      <c r="F13" t="s">
        <v>2050</v>
      </c>
      <c r="G13" s="2" t="s">
        <v>2101</v>
      </c>
      <c r="I13" s="2" t="s">
        <v>2054</v>
      </c>
      <c r="K13" s="14">
        <v>0</v>
      </c>
      <c r="L13" s="13">
        <v>1</v>
      </c>
      <c r="M13" s="14">
        <v>0</v>
      </c>
      <c r="N13" s="14">
        <v>0</v>
      </c>
      <c r="O13" s="14">
        <v>0</v>
      </c>
      <c r="P13" s="14">
        <v>0</v>
      </c>
      <c r="Q13" s="13">
        <v>1</v>
      </c>
      <c r="R13" s="14">
        <v>0</v>
      </c>
      <c r="T13" s="14">
        <v>0</v>
      </c>
      <c r="U13" s="13">
        <v>1</v>
      </c>
      <c r="V13" s="14">
        <v>0</v>
      </c>
      <c r="W13" s="14">
        <v>0</v>
      </c>
      <c r="X13" s="14">
        <v>0</v>
      </c>
      <c r="Y13" s="14">
        <v>0</v>
      </c>
      <c r="Z13" s="13">
        <v>1</v>
      </c>
      <c r="AA13" s="14">
        <v>0</v>
      </c>
      <c r="AD13" t="str">
        <f t="shared" si="1"/>
        <v xml:space="preserve">Pendal - Damian Diamant - </v>
      </c>
      <c r="AE13">
        <f>MATCH(E13,'EMAIL LIST'!$F:$F,0)</f>
        <v>234</v>
      </c>
    </row>
    <row r="14" spans="3:31" x14ac:dyDescent="0.25">
      <c r="C14" t="s">
        <v>1098</v>
      </c>
      <c r="D14" t="s">
        <v>1097</v>
      </c>
      <c r="E14" t="s">
        <v>161</v>
      </c>
      <c r="F14" t="s">
        <v>2051</v>
      </c>
      <c r="G14" s="2" t="s">
        <v>2101</v>
      </c>
      <c r="I14" s="2" t="s">
        <v>2110</v>
      </c>
      <c r="K14" s="13">
        <v>1</v>
      </c>
      <c r="L14" s="13">
        <v>1</v>
      </c>
      <c r="M14" s="13">
        <v>1</v>
      </c>
      <c r="N14" s="14">
        <v>0</v>
      </c>
      <c r="O14" s="13">
        <v>1</v>
      </c>
      <c r="P14" s="14">
        <v>0</v>
      </c>
      <c r="Q14" s="14">
        <v>0</v>
      </c>
      <c r="R14" s="14">
        <v>0</v>
      </c>
      <c r="T14" s="13">
        <v>1</v>
      </c>
      <c r="U14" s="13">
        <v>1</v>
      </c>
      <c r="V14" s="13">
        <v>1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D14" t="str">
        <f t="shared" si="1"/>
        <v xml:space="preserve">Perpetual - Sean Roger  - </v>
      </c>
      <c r="AE14">
        <f>MATCH(E14,'EMAIL LIST'!$F:$F,0)</f>
        <v>238</v>
      </c>
    </row>
    <row r="15" spans="3:31" x14ac:dyDescent="0.25">
      <c r="C15" t="s">
        <v>2069</v>
      </c>
      <c r="D15" t="s">
        <v>1097</v>
      </c>
      <c r="E15" t="s">
        <v>2068</v>
      </c>
      <c r="F15" t="s">
        <v>2051</v>
      </c>
      <c r="G15" s="2" t="s">
        <v>2101</v>
      </c>
      <c r="I15" s="2" t="s">
        <v>2074</v>
      </c>
      <c r="K15" s="13">
        <v>1</v>
      </c>
      <c r="L15" s="13">
        <v>1</v>
      </c>
      <c r="M15" s="13">
        <v>1</v>
      </c>
      <c r="N15" s="13">
        <v>1</v>
      </c>
      <c r="O15" s="14">
        <v>0</v>
      </c>
      <c r="P15" s="14">
        <v>0</v>
      </c>
      <c r="Q15" s="14">
        <v>0</v>
      </c>
      <c r="R15" s="14">
        <v>0</v>
      </c>
      <c r="T15" s="13">
        <v>1</v>
      </c>
      <c r="U15" s="13">
        <v>1</v>
      </c>
      <c r="V15" s="13">
        <v>1</v>
      </c>
      <c r="W15" s="13">
        <v>1</v>
      </c>
      <c r="X15" s="14">
        <v>0</v>
      </c>
      <c r="Y15" s="14">
        <v>0</v>
      </c>
      <c r="Z15" s="14">
        <v>0</v>
      </c>
      <c r="AA15" s="14">
        <v>0</v>
      </c>
      <c r="AD15" t="str">
        <f t="shared" si="1"/>
        <v xml:space="preserve">Perpetual - Mitchell Hubble - </v>
      </c>
      <c r="AE15">
        <f>MATCH(E15,'EMAIL LIST'!$F:$F,0)</f>
        <v>243</v>
      </c>
    </row>
    <row r="16" spans="3:31" x14ac:dyDescent="0.25">
      <c r="C16" t="s">
        <v>372</v>
      </c>
      <c r="D16" t="s">
        <v>1088</v>
      </c>
      <c r="E16" t="s">
        <v>373</v>
      </c>
      <c r="F16" t="s">
        <v>2049</v>
      </c>
      <c r="G16" s="2" t="s">
        <v>2101</v>
      </c>
      <c r="H16" s="2" t="s">
        <v>2106</v>
      </c>
      <c r="I16" s="2" t="s">
        <v>1074</v>
      </c>
      <c r="K16" s="13">
        <v>1</v>
      </c>
      <c r="L16" s="13">
        <v>1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T16" s="13">
        <v>1</v>
      </c>
      <c r="U16" s="13">
        <v>1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D16" t="str">
        <f t="shared" si="1"/>
        <v xml:space="preserve">Wilson - John Ayoub - </v>
      </c>
      <c r="AE16">
        <f>MATCH(E16,'EMAIL LIST'!$F:$F,0)</f>
        <v>323</v>
      </c>
    </row>
    <row r="17" spans="3:31" x14ac:dyDescent="0.25">
      <c r="C17" t="s">
        <v>928</v>
      </c>
      <c r="D17" t="s">
        <v>1088</v>
      </c>
      <c r="E17" t="s">
        <v>927</v>
      </c>
      <c r="F17" t="s">
        <v>2049</v>
      </c>
      <c r="G17" s="2" t="s">
        <v>2101</v>
      </c>
      <c r="H17" s="2" t="s">
        <v>2106</v>
      </c>
      <c r="I17" s="2" t="s">
        <v>1074</v>
      </c>
      <c r="K17" s="13">
        <v>1</v>
      </c>
      <c r="L17" s="13">
        <v>1</v>
      </c>
      <c r="M17" s="14">
        <v>0</v>
      </c>
      <c r="N17" s="14">
        <v>0</v>
      </c>
      <c r="O17" s="13">
        <v>1</v>
      </c>
      <c r="P17" s="14">
        <v>0</v>
      </c>
      <c r="Q17" s="14">
        <v>0</v>
      </c>
      <c r="R17" s="14">
        <v>0</v>
      </c>
      <c r="T17" s="13">
        <v>1</v>
      </c>
      <c r="U17" s="13">
        <v>1</v>
      </c>
      <c r="V17" s="14">
        <v>0</v>
      </c>
      <c r="W17" s="14">
        <v>0</v>
      </c>
      <c r="X17" s="13">
        <v>1</v>
      </c>
      <c r="Y17" s="13">
        <v>1</v>
      </c>
      <c r="Z17" s="14">
        <v>0</v>
      </c>
      <c r="AA17" s="14">
        <v>0</v>
      </c>
      <c r="AD17" t="str">
        <f t="shared" si="1"/>
        <v xml:space="preserve">Wilson - Shaun Weick - </v>
      </c>
      <c r="AE17">
        <f>MATCH(E17,'EMAIL LIST'!$F:$F,0)</f>
        <v>322</v>
      </c>
    </row>
    <row r="18" spans="3:31" x14ac:dyDescent="0.25">
      <c r="C18" t="s">
        <v>2055</v>
      </c>
      <c r="D18" t="s">
        <v>1088</v>
      </c>
      <c r="E18" t="s">
        <v>2056</v>
      </c>
      <c r="F18" t="s">
        <v>2049</v>
      </c>
      <c r="G18" s="2" t="s">
        <v>2101</v>
      </c>
      <c r="H18" s="2" t="s">
        <v>2106</v>
      </c>
      <c r="I18" s="2" t="s">
        <v>982</v>
      </c>
      <c r="K18" s="14">
        <v>0</v>
      </c>
      <c r="L18" s="14">
        <v>0</v>
      </c>
      <c r="M18" s="14">
        <v>0</v>
      </c>
      <c r="N18" s="14">
        <v>0</v>
      </c>
      <c r="O18" s="13">
        <v>1</v>
      </c>
      <c r="P18" s="14">
        <v>0</v>
      </c>
      <c r="Q18" s="14">
        <v>0</v>
      </c>
      <c r="R18" s="14">
        <v>0</v>
      </c>
      <c r="T18" s="14">
        <v>0</v>
      </c>
      <c r="U18" s="14">
        <v>0</v>
      </c>
      <c r="V18" s="14">
        <v>0</v>
      </c>
      <c r="W18" s="14">
        <v>0</v>
      </c>
      <c r="X18" s="13">
        <v>1</v>
      </c>
      <c r="Y18" s="13">
        <v>1</v>
      </c>
      <c r="Z18" s="14">
        <v>0</v>
      </c>
      <c r="AA18" s="14">
        <v>0</v>
      </c>
      <c r="AD18" t="str">
        <f t="shared" si="1"/>
        <v xml:space="preserve">Wilson - Hailey Kim - </v>
      </c>
      <c r="AE18">
        <f>MATCH(E18,'EMAIL LIST'!$F:$F,0)</f>
        <v>328</v>
      </c>
    </row>
    <row r="19" spans="3:31" x14ac:dyDescent="0.25">
      <c r="C19" t="s">
        <v>408</v>
      </c>
      <c r="D19" t="s">
        <v>1109</v>
      </c>
      <c r="E19" t="s">
        <v>409</v>
      </c>
      <c r="F19" t="s">
        <v>2048</v>
      </c>
      <c r="G19" s="2" t="s">
        <v>2101</v>
      </c>
      <c r="H19" s="2" t="s">
        <v>2106</v>
      </c>
      <c r="I19" s="2" t="s">
        <v>2037</v>
      </c>
      <c r="K19" s="13">
        <v>1</v>
      </c>
      <c r="L19" s="13">
        <v>1</v>
      </c>
      <c r="M19" s="13">
        <v>1</v>
      </c>
      <c r="N19" s="14">
        <v>0</v>
      </c>
      <c r="O19" s="13">
        <v>1</v>
      </c>
      <c r="P19" s="14">
        <v>0</v>
      </c>
      <c r="Q19" s="14">
        <v>0</v>
      </c>
      <c r="R19" s="14">
        <v>0</v>
      </c>
      <c r="T19" s="13">
        <v>1</v>
      </c>
      <c r="U19" s="13">
        <v>1</v>
      </c>
      <c r="V19" s="13">
        <v>1</v>
      </c>
      <c r="W19" s="13">
        <v>1</v>
      </c>
      <c r="X19" s="13">
        <v>1</v>
      </c>
      <c r="Y19" s="13">
        <v>1</v>
      </c>
      <c r="Z19" s="14">
        <v>0</v>
      </c>
      <c r="AA19" s="14">
        <v>0</v>
      </c>
      <c r="AD19" t="str">
        <f t="shared" si="1"/>
        <v xml:space="preserve">L1 Capital - Amar Naik - </v>
      </c>
      <c r="AE19">
        <f>MATCH(E19,'EMAIL LIST'!$F:$F,0)</f>
        <v>175</v>
      </c>
    </row>
    <row r="20" spans="3:31" x14ac:dyDescent="0.25">
      <c r="C20" t="s">
        <v>357</v>
      </c>
      <c r="D20" t="s">
        <v>1091</v>
      </c>
      <c r="E20" t="s">
        <v>358</v>
      </c>
      <c r="F20" t="s">
        <v>2049</v>
      </c>
      <c r="G20" s="2" t="s">
        <v>2101</v>
      </c>
      <c r="I20" s="2" t="s">
        <v>2066</v>
      </c>
      <c r="K20" s="13">
        <v>1</v>
      </c>
      <c r="L20" s="13">
        <v>1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T20" s="13">
        <v>1</v>
      </c>
      <c r="U20" s="13">
        <v>1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D20" t="str">
        <f t="shared" si="1"/>
        <v xml:space="preserve">Paradice - Philip Wensley - </v>
      </c>
      <c r="AE20">
        <f>MATCH(E20,'EMAIL LIST'!$F:$F,0)</f>
        <v>223</v>
      </c>
    </row>
    <row r="21" spans="3:31" x14ac:dyDescent="0.25">
      <c r="C21" t="s">
        <v>171</v>
      </c>
      <c r="D21" t="s">
        <v>1091</v>
      </c>
      <c r="E21" t="s">
        <v>172</v>
      </c>
      <c r="F21" t="s">
        <v>2049</v>
      </c>
      <c r="G21" s="2" t="s">
        <v>2101</v>
      </c>
      <c r="I21" s="2" t="s">
        <v>2066</v>
      </c>
      <c r="K21" s="13">
        <v>1</v>
      </c>
      <c r="L21" s="13">
        <v>1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T21" s="13">
        <v>1</v>
      </c>
      <c r="U21" s="13">
        <v>1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D21" t="str">
        <f t="shared" si="1"/>
        <v xml:space="preserve">Paradice - Matt Riordan - </v>
      </c>
      <c r="AE21">
        <f>MATCH(E21,'EMAIL LIST'!$F:$F,0)</f>
        <v>219</v>
      </c>
    </row>
    <row r="22" spans="3:31" x14ac:dyDescent="0.25">
      <c r="C22" t="s">
        <v>1093</v>
      </c>
      <c r="D22" t="s">
        <v>1091</v>
      </c>
      <c r="E22" t="s">
        <v>1092</v>
      </c>
      <c r="F22" t="s">
        <v>2049</v>
      </c>
      <c r="G22" s="2" t="s">
        <v>2101</v>
      </c>
      <c r="I22" s="2" t="s">
        <v>973</v>
      </c>
      <c r="K22" s="13">
        <v>1</v>
      </c>
      <c r="L22" s="13">
        <v>1</v>
      </c>
      <c r="M22" s="13">
        <v>1</v>
      </c>
      <c r="N22" s="13">
        <v>1</v>
      </c>
      <c r="O22" s="14">
        <v>0</v>
      </c>
      <c r="P22" s="14">
        <v>0</v>
      </c>
      <c r="Q22" s="14">
        <v>0</v>
      </c>
      <c r="R22" s="14">
        <v>0</v>
      </c>
      <c r="T22" s="13">
        <v>1</v>
      </c>
      <c r="U22" s="13">
        <v>1</v>
      </c>
      <c r="V22" s="13">
        <v>1</v>
      </c>
      <c r="W22" s="13">
        <v>1</v>
      </c>
      <c r="X22" s="13">
        <v>1</v>
      </c>
      <c r="Y22" s="13">
        <v>1</v>
      </c>
      <c r="Z22" s="14">
        <v>0</v>
      </c>
      <c r="AA22" s="14">
        <v>0</v>
      </c>
      <c r="AD22" t="str">
        <f t="shared" si="1"/>
        <v xml:space="preserve">Paradice - David Feng - </v>
      </c>
      <c r="AE22">
        <f>MATCH(E22,'EMAIL LIST'!$F:$F,0)</f>
        <v>220</v>
      </c>
    </row>
    <row r="23" spans="3:31" x14ac:dyDescent="0.25">
      <c r="C23" t="s">
        <v>980</v>
      </c>
      <c r="D23" t="s">
        <v>1091</v>
      </c>
      <c r="E23" t="s">
        <v>979</v>
      </c>
      <c r="F23" t="s">
        <v>2049</v>
      </c>
      <c r="G23" s="2" t="s">
        <v>2101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T23" s="13">
        <v>1</v>
      </c>
      <c r="U23" s="13">
        <v>1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D23" t="str">
        <f t="shared" si="1"/>
        <v xml:space="preserve">Paradice - Jovana Gagic - </v>
      </c>
      <c r="AE23">
        <f>MATCH(E23,'EMAIL LIST'!$F:$F,0)</f>
        <v>226</v>
      </c>
    </row>
    <row r="24" spans="3:31" x14ac:dyDescent="0.25">
      <c r="C24" t="s">
        <v>2119</v>
      </c>
      <c r="D24" t="s">
        <v>1105</v>
      </c>
      <c r="E24" t="s">
        <v>2120</v>
      </c>
      <c r="F24" t="s">
        <v>2048</v>
      </c>
      <c r="G24" s="2" t="s">
        <v>2101</v>
      </c>
      <c r="K24" s="13">
        <v>1</v>
      </c>
      <c r="L24" s="13">
        <v>1</v>
      </c>
      <c r="M24" s="13">
        <v>1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T24" s="13">
        <v>1</v>
      </c>
      <c r="U24" s="13">
        <v>1</v>
      </c>
      <c r="V24" s="13">
        <v>1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D24" t="str">
        <f t="shared" ref="AD24" si="2">D24&amp;" - "&amp;C24&amp;" - "</f>
        <v xml:space="preserve">BAEP - Michael Ward - </v>
      </c>
      <c r="AE24">
        <f>MATCH(E24,'EMAIL LIST'!$F:$F,0)</f>
        <v>51</v>
      </c>
    </row>
    <row r="25" spans="3:31" x14ac:dyDescent="0.25">
      <c r="C25" t="s">
        <v>277</v>
      </c>
      <c r="D25" t="s">
        <v>1105</v>
      </c>
      <c r="E25" t="s">
        <v>278</v>
      </c>
      <c r="F25" t="s">
        <v>2048</v>
      </c>
      <c r="G25" s="2" t="s">
        <v>2101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T25" s="13">
        <v>1</v>
      </c>
      <c r="U25" s="13">
        <v>1</v>
      </c>
      <c r="V25" s="13">
        <v>1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D25" t="str">
        <f>D25&amp;" - "&amp;C25&amp;" - "</f>
        <v xml:space="preserve">BAEP - Mark East - </v>
      </c>
      <c r="AE25">
        <f>MATCH(E25,'EMAIL LIST'!$F:$F,0)</f>
        <v>47</v>
      </c>
    </row>
    <row r="26" spans="3:31" x14ac:dyDescent="0.25">
      <c r="C26" t="s">
        <v>466</v>
      </c>
      <c r="D26" t="s">
        <v>1101</v>
      </c>
      <c r="E26" t="s">
        <v>467</v>
      </c>
      <c r="F26" t="s">
        <v>2051</v>
      </c>
      <c r="G26" s="2" t="s">
        <v>2101</v>
      </c>
      <c r="K26" s="13">
        <v>1</v>
      </c>
      <c r="L26" s="13">
        <v>1</v>
      </c>
      <c r="M26" s="13">
        <v>1</v>
      </c>
      <c r="N26" s="14">
        <v>0</v>
      </c>
      <c r="O26" s="13">
        <v>1</v>
      </c>
      <c r="P26" s="14">
        <v>0</v>
      </c>
      <c r="Q26" s="14">
        <v>0</v>
      </c>
      <c r="R26" s="14">
        <v>0</v>
      </c>
      <c r="T26" s="13">
        <v>1</v>
      </c>
      <c r="U26" s="13">
        <v>1</v>
      </c>
      <c r="V26" s="13">
        <v>1</v>
      </c>
      <c r="W26" s="14">
        <v>0</v>
      </c>
      <c r="X26" s="13">
        <v>1</v>
      </c>
      <c r="Y26" s="14">
        <v>0</v>
      </c>
      <c r="Z26" s="14">
        <v>0</v>
      </c>
      <c r="AA26" s="14">
        <v>0</v>
      </c>
      <c r="AD26" t="str">
        <f t="shared" si="1"/>
        <v xml:space="preserve">Ausbil - Stella McMullen - </v>
      </c>
      <c r="AE26">
        <f>MATCH(E26,'EMAIL LIST'!$F:$F,0)</f>
        <v>30</v>
      </c>
    </row>
    <row r="27" spans="3:31" x14ac:dyDescent="0.25">
      <c r="C27" t="s">
        <v>402</v>
      </c>
      <c r="D27" t="s">
        <v>1101</v>
      </c>
      <c r="E27" t="s">
        <v>403</v>
      </c>
      <c r="F27" t="s">
        <v>2051</v>
      </c>
      <c r="G27" s="2" t="s">
        <v>2101</v>
      </c>
      <c r="I27" s="2" t="s">
        <v>959</v>
      </c>
      <c r="K27" s="14">
        <v>0</v>
      </c>
      <c r="L27" s="13">
        <v>1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T27" s="14">
        <v>0</v>
      </c>
      <c r="U27" s="13">
        <v>1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D27" t="str">
        <f t="shared" si="1"/>
        <v xml:space="preserve">Ausbil - Andrew Peros - </v>
      </c>
      <c r="AE27">
        <f>MATCH(E27,'EMAIL LIST'!$F:$F,0)</f>
        <v>28</v>
      </c>
    </row>
    <row r="28" spans="3:31" x14ac:dyDescent="0.25">
      <c r="C28" t="s">
        <v>98</v>
      </c>
      <c r="D28" t="s">
        <v>1096</v>
      </c>
      <c r="E28" t="s">
        <v>99</v>
      </c>
      <c r="F28" t="s">
        <v>2051</v>
      </c>
      <c r="G28" s="2" t="s">
        <v>2101</v>
      </c>
      <c r="I28" s="2" t="s">
        <v>1074</v>
      </c>
      <c r="K28" s="13">
        <v>1</v>
      </c>
      <c r="L28" s="13">
        <v>1</v>
      </c>
      <c r="M28" s="13">
        <v>1</v>
      </c>
      <c r="N28" s="13">
        <v>1</v>
      </c>
      <c r="O28" s="14">
        <v>0</v>
      </c>
      <c r="P28" s="14">
        <v>0</v>
      </c>
      <c r="Q28" s="14">
        <v>0</v>
      </c>
      <c r="R28" s="14">
        <v>0</v>
      </c>
      <c r="T28" s="13">
        <v>1</v>
      </c>
      <c r="U28" s="13">
        <v>1</v>
      </c>
      <c r="V28" s="13">
        <v>1</v>
      </c>
      <c r="W28" s="13">
        <v>1</v>
      </c>
      <c r="X28" s="13">
        <v>1</v>
      </c>
      <c r="Y28" s="13">
        <v>1</v>
      </c>
      <c r="Z28" s="13">
        <v>1</v>
      </c>
      <c r="AA28" s="13">
        <v>1</v>
      </c>
      <c r="AD28" t="str">
        <f t="shared" si="1"/>
        <v xml:space="preserve">Alphinity - Jacob Barnes - </v>
      </c>
      <c r="AE28">
        <f>MATCH(E28,'EMAIL LIST'!$F:$F,0)</f>
        <v>15</v>
      </c>
    </row>
    <row r="29" spans="3:31" x14ac:dyDescent="0.25">
      <c r="K29"/>
      <c r="L29"/>
      <c r="M29"/>
      <c r="N29"/>
      <c r="O29"/>
      <c r="P29"/>
      <c r="Q29"/>
      <c r="R29"/>
      <c r="T29"/>
      <c r="U29"/>
      <c r="V29"/>
      <c r="W29"/>
      <c r="X29"/>
      <c r="Y29"/>
      <c r="Z29"/>
      <c r="AA29"/>
    </row>
    <row r="30" spans="3:31" x14ac:dyDescent="0.25">
      <c r="C30" s="19" t="s">
        <v>2112</v>
      </c>
      <c r="K30"/>
      <c r="L30"/>
      <c r="M30"/>
      <c r="N30"/>
      <c r="O30"/>
      <c r="P30"/>
      <c r="Q30"/>
      <c r="R30"/>
      <c r="T30"/>
      <c r="U30"/>
      <c r="V30"/>
      <c r="W30"/>
      <c r="X30"/>
      <c r="Y30"/>
      <c r="Z30"/>
      <c r="AA30"/>
    </row>
    <row r="31" spans="3:31" x14ac:dyDescent="0.25">
      <c r="C31" t="s">
        <v>1100</v>
      </c>
      <c r="D31" t="s">
        <v>1099</v>
      </c>
      <c r="E31" t="s">
        <v>433</v>
      </c>
      <c r="F31" t="s">
        <v>2051</v>
      </c>
      <c r="G31" s="2" t="s">
        <v>2102</v>
      </c>
      <c r="H31" s="2" t="s">
        <v>2106</v>
      </c>
      <c r="I31" s="2" t="s">
        <v>2064</v>
      </c>
      <c r="K31" s="13">
        <v>1</v>
      </c>
      <c r="L31" s="13">
        <v>1</v>
      </c>
      <c r="M31" s="13">
        <v>1</v>
      </c>
      <c r="N31" s="13">
        <v>1</v>
      </c>
      <c r="O31" s="14">
        <v>0</v>
      </c>
      <c r="P31" s="14">
        <v>0</v>
      </c>
      <c r="Q31" s="14">
        <v>0</v>
      </c>
      <c r="R31" s="14">
        <v>0</v>
      </c>
      <c r="T31" s="13">
        <v>1</v>
      </c>
      <c r="U31" s="13">
        <v>1</v>
      </c>
      <c r="V31" s="13">
        <v>1</v>
      </c>
      <c r="W31" s="13">
        <v>1</v>
      </c>
      <c r="X31" s="14">
        <v>0</v>
      </c>
      <c r="Y31" s="14">
        <v>0</v>
      </c>
      <c r="Z31" s="14">
        <v>0</v>
      </c>
      <c r="AA31" s="14">
        <v>0</v>
      </c>
      <c r="AD31" t="str">
        <f t="shared" ref="AD31:AD46" si="3">D31&amp;" - "&amp;C31&amp;" - "</f>
        <v xml:space="preserve">Solaris - Andrew Mclennan - </v>
      </c>
      <c r="AE31">
        <f>MATCH(E31,'EMAIL LIST'!$F:$F,0)</f>
        <v>5</v>
      </c>
    </row>
    <row r="32" spans="3:31" x14ac:dyDescent="0.25">
      <c r="C32" t="s">
        <v>261</v>
      </c>
      <c r="D32" t="s">
        <v>1106</v>
      </c>
      <c r="E32" t="s">
        <v>262</v>
      </c>
      <c r="F32" t="s">
        <v>2051</v>
      </c>
      <c r="G32" s="2" t="s">
        <v>2102</v>
      </c>
      <c r="I32" s="2" t="s">
        <v>2075</v>
      </c>
      <c r="K32" s="13">
        <v>1</v>
      </c>
      <c r="L32" s="13">
        <v>1</v>
      </c>
      <c r="M32" s="13">
        <v>1</v>
      </c>
      <c r="N32" s="13">
        <v>1</v>
      </c>
      <c r="O32" s="14">
        <v>0</v>
      </c>
      <c r="P32" s="14">
        <v>0</v>
      </c>
      <c r="Q32" s="14">
        <v>0</v>
      </c>
      <c r="R32" s="14">
        <v>0</v>
      </c>
      <c r="T32" s="13">
        <v>1</v>
      </c>
      <c r="U32" s="13">
        <v>1</v>
      </c>
      <c r="V32" s="13">
        <v>1</v>
      </c>
      <c r="W32" s="13">
        <v>1</v>
      </c>
      <c r="X32" s="14">
        <v>0</v>
      </c>
      <c r="Y32" s="14">
        <v>0</v>
      </c>
      <c r="Z32" s="14">
        <v>0</v>
      </c>
      <c r="AA32" s="14">
        <v>0</v>
      </c>
      <c r="AD32" t="str">
        <f t="shared" si="3"/>
        <v xml:space="preserve">Milford - Roland Houghton - </v>
      </c>
      <c r="AE32">
        <f>MATCH(E32,'EMAIL LIST'!$F:$F,0)</f>
        <v>197</v>
      </c>
    </row>
    <row r="33" spans="3:31" x14ac:dyDescent="0.25">
      <c r="C33" t="s">
        <v>16</v>
      </c>
      <c r="D33" t="s">
        <v>1104</v>
      </c>
      <c r="E33" t="s">
        <v>17</v>
      </c>
      <c r="F33" t="s">
        <v>2048</v>
      </c>
      <c r="G33" s="2" t="s">
        <v>2102</v>
      </c>
      <c r="I33" s="60" t="s">
        <v>2072</v>
      </c>
      <c r="K33" s="14">
        <v>0</v>
      </c>
      <c r="L33" s="13">
        <v>1</v>
      </c>
      <c r="M33" s="13">
        <v>1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T33" s="13">
        <v>1</v>
      </c>
      <c r="U33" s="13">
        <v>1</v>
      </c>
      <c r="V33" s="13">
        <v>1</v>
      </c>
      <c r="W33" s="13">
        <v>1</v>
      </c>
      <c r="X33" s="14">
        <v>0</v>
      </c>
      <c r="Y33" s="14">
        <v>0</v>
      </c>
      <c r="Z33" s="14">
        <v>0</v>
      </c>
      <c r="AA33" s="14">
        <v>0</v>
      </c>
      <c r="AD33" t="str">
        <f t="shared" si="3"/>
        <v xml:space="preserve">CBUS - Sanjay Magotra - </v>
      </c>
      <c r="AE33">
        <f>MATCH(E33,'EMAIL LIST'!$F:$F,0)</f>
        <v>60</v>
      </c>
    </row>
    <row r="34" spans="3:31" x14ac:dyDescent="0.25">
      <c r="C34" t="s">
        <v>1044</v>
      </c>
      <c r="D34" t="s">
        <v>1104</v>
      </c>
      <c r="E34" t="s">
        <v>1103</v>
      </c>
      <c r="F34" t="s">
        <v>2048</v>
      </c>
      <c r="G34" s="2" t="s">
        <v>2102</v>
      </c>
      <c r="I34" s="2" t="s">
        <v>2036</v>
      </c>
      <c r="K34" s="13">
        <v>1</v>
      </c>
      <c r="L34" s="13">
        <v>1</v>
      </c>
      <c r="M34" s="13">
        <v>1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T34" s="13">
        <v>1</v>
      </c>
      <c r="U34" s="13">
        <v>1</v>
      </c>
      <c r="V34" s="13">
        <v>1</v>
      </c>
      <c r="W34" s="13">
        <v>1</v>
      </c>
      <c r="X34" s="13">
        <v>1</v>
      </c>
      <c r="Y34" s="13">
        <v>1</v>
      </c>
      <c r="Z34" s="14">
        <v>0</v>
      </c>
      <c r="AA34" s="14">
        <v>0</v>
      </c>
      <c r="AD34" t="str">
        <f t="shared" si="3"/>
        <v xml:space="preserve">CBUS - Edward Pham - </v>
      </c>
      <c r="AE34">
        <f>MATCH(E34,'EMAIL LIST'!$F:$F,0)</f>
        <v>66</v>
      </c>
    </row>
    <row r="35" spans="3:31" x14ac:dyDescent="0.25">
      <c r="C35" t="s">
        <v>474</v>
      </c>
      <c r="D35" t="s">
        <v>2133</v>
      </c>
      <c r="E35" t="s">
        <v>2118</v>
      </c>
      <c r="F35" t="s">
        <v>2047</v>
      </c>
      <c r="G35" s="2" t="s">
        <v>2102</v>
      </c>
      <c r="I35" s="2" t="s">
        <v>2073</v>
      </c>
      <c r="K35" s="13">
        <v>1</v>
      </c>
      <c r="L35" s="13">
        <v>1</v>
      </c>
      <c r="M35" s="13">
        <v>1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T35" s="13">
        <v>1</v>
      </c>
      <c r="U35" s="13">
        <v>1</v>
      </c>
      <c r="V35" s="13">
        <v>1</v>
      </c>
      <c r="W35" s="13">
        <v>1</v>
      </c>
      <c r="X35" s="14">
        <v>0</v>
      </c>
      <c r="Y35" s="14">
        <v>0</v>
      </c>
      <c r="Z35" s="14">
        <v>0</v>
      </c>
      <c r="AA35" s="14">
        <v>0</v>
      </c>
      <c r="AD35" t="str">
        <f t="shared" si="3"/>
        <v xml:space="preserve">DKAM - Frank Podrug - </v>
      </c>
      <c r="AE35">
        <f>MATCH(E35,'EMAIL LIST'!$F:$F,0)</f>
        <v>90</v>
      </c>
    </row>
    <row r="36" spans="3:31" x14ac:dyDescent="0.25">
      <c r="C36" t="s">
        <v>250</v>
      </c>
      <c r="D36" t="s">
        <v>1110</v>
      </c>
      <c r="E36" t="s">
        <v>251</v>
      </c>
      <c r="F36" t="s">
        <v>2049</v>
      </c>
      <c r="G36" s="2" t="s">
        <v>2102</v>
      </c>
      <c r="I36" s="2" t="s">
        <v>2073</v>
      </c>
      <c r="K36" s="13">
        <v>1</v>
      </c>
      <c r="L36" s="13">
        <v>1</v>
      </c>
      <c r="M36" s="13">
        <v>1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T36" s="13">
        <v>1</v>
      </c>
      <c r="U36" s="13">
        <v>1</v>
      </c>
      <c r="V36" s="13">
        <v>1</v>
      </c>
      <c r="W36" s="13">
        <v>1</v>
      </c>
      <c r="X36" s="13">
        <v>1</v>
      </c>
      <c r="Y36" s="13">
        <v>1</v>
      </c>
      <c r="Z36" s="13">
        <v>1</v>
      </c>
      <c r="AA36" s="13">
        <v>1</v>
      </c>
      <c r="AD36" t="str">
        <f t="shared" si="3"/>
        <v xml:space="preserve">Firetrail - Scott Olsson - </v>
      </c>
      <c r="AE36">
        <f>MATCH(E36,'EMAIL LIST'!$F:$F,0)</f>
        <v>117</v>
      </c>
    </row>
    <row r="37" spans="3:31" x14ac:dyDescent="0.25">
      <c r="C37" t="s">
        <v>2097</v>
      </c>
      <c r="D37" t="s">
        <v>1095</v>
      </c>
      <c r="E37" t="s">
        <v>512</v>
      </c>
      <c r="F37" t="s">
        <v>2048</v>
      </c>
      <c r="G37" s="2" t="s">
        <v>2102</v>
      </c>
      <c r="I37" s="2" t="s">
        <v>2098</v>
      </c>
      <c r="K37" s="13">
        <v>1</v>
      </c>
      <c r="L37" s="13">
        <v>1</v>
      </c>
      <c r="M37" s="13">
        <v>1</v>
      </c>
      <c r="N37" s="14">
        <v>0</v>
      </c>
      <c r="O37" s="13">
        <v>1</v>
      </c>
      <c r="P37" s="14">
        <v>0</v>
      </c>
      <c r="Q37" s="14">
        <v>0</v>
      </c>
      <c r="R37" s="14">
        <v>0</v>
      </c>
      <c r="T37" s="13">
        <v>1</v>
      </c>
      <c r="U37" s="13">
        <v>1</v>
      </c>
      <c r="V37" s="13">
        <v>1</v>
      </c>
      <c r="W37" s="13">
        <v>1</v>
      </c>
      <c r="X37" s="14">
        <v>0</v>
      </c>
      <c r="Y37" s="14">
        <v>0</v>
      </c>
      <c r="Z37" s="14">
        <v>0</v>
      </c>
      <c r="AA37" s="14">
        <v>0</v>
      </c>
      <c r="AD37" t="str">
        <f t="shared" si="3"/>
        <v xml:space="preserve">First Sentier - Aleks Stankovic - </v>
      </c>
      <c r="AE37">
        <f>MATCH(E37,'EMAIL LIST'!$F:$F,0)</f>
        <v>127</v>
      </c>
    </row>
    <row r="38" spans="3:31" x14ac:dyDescent="0.25">
      <c r="C38" t="s">
        <v>943</v>
      </c>
      <c r="D38" t="s">
        <v>1095</v>
      </c>
      <c r="E38" t="s">
        <v>942</v>
      </c>
      <c r="F38" t="s">
        <v>2051</v>
      </c>
      <c r="G38" s="2" t="s">
        <v>2102</v>
      </c>
      <c r="I38" s="2" t="s">
        <v>2114</v>
      </c>
      <c r="K38" s="14">
        <v>0</v>
      </c>
      <c r="L38" s="14">
        <v>0</v>
      </c>
      <c r="M38" s="13">
        <v>1</v>
      </c>
      <c r="N38" s="13">
        <v>1</v>
      </c>
      <c r="O38" s="13">
        <v>1</v>
      </c>
      <c r="P38" s="14">
        <v>0</v>
      </c>
      <c r="Q38" s="14">
        <v>0</v>
      </c>
      <c r="R38" s="14">
        <v>0</v>
      </c>
      <c r="T38" s="14">
        <v>0</v>
      </c>
      <c r="U38" s="14">
        <v>0</v>
      </c>
      <c r="V38" s="13">
        <v>1</v>
      </c>
      <c r="W38" s="13">
        <v>1</v>
      </c>
      <c r="X38" s="14">
        <v>0</v>
      </c>
      <c r="Y38" s="14">
        <v>0</v>
      </c>
      <c r="Z38" s="14">
        <v>0</v>
      </c>
      <c r="AA38" s="14">
        <v>0</v>
      </c>
      <c r="AD38" t="str">
        <f t="shared" si="3"/>
        <v xml:space="preserve">First Sentier - Tahlia Gugusheff - </v>
      </c>
      <c r="AE38">
        <f>MATCH(E38,'EMAIL LIST'!$F:$F,0)</f>
        <v>123</v>
      </c>
    </row>
    <row r="39" spans="3:31" x14ac:dyDescent="0.25">
      <c r="C39" t="s">
        <v>2006</v>
      </c>
      <c r="D39" t="s">
        <v>1095</v>
      </c>
      <c r="E39" t="s">
        <v>944</v>
      </c>
      <c r="F39" t="s">
        <v>2050</v>
      </c>
      <c r="G39" s="2" t="s">
        <v>2102</v>
      </c>
      <c r="K39" s="14">
        <v>0</v>
      </c>
      <c r="L39" s="13">
        <v>1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T39" s="14">
        <v>0</v>
      </c>
      <c r="U39" s="13">
        <v>1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D39" t="str">
        <f t="shared" si="3"/>
        <v xml:space="preserve">First Sentier - Michael Joukhador  - </v>
      </c>
      <c r="AE39">
        <f>MATCH(E39,'EMAIL LIST'!$F:$F,0)</f>
        <v>122</v>
      </c>
    </row>
    <row r="40" spans="3:31" x14ac:dyDescent="0.25">
      <c r="C40" t="s">
        <v>1028</v>
      </c>
      <c r="D40" t="s">
        <v>1081</v>
      </c>
      <c r="E40" t="s">
        <v>1029</v>
      </c>
      <c r="F40" t="s">
        <v>2047</v>
      </c>
      <c r="G40" s="2" t="s">
        <v>2102</v>
      </c>
      <c r="I40" s="2" t="s">
        <v>1074</v>
      </c>
      <c r="K40" s="13">
        <v>1</v>
      </c>
      <c r="L40" s="13">
        <v>1</v>
      </c>
      <c r="M40" s="13">
        <v>1</v>
      </c>
      <c r="N40" s="13">
        <v>1</v>
      </c>
      <c r="O40" s="14">
        <v>0</v>
      </c>
      <c r="P40" s="14">
        <v>0</v>
      </c>
      <c r="Q40" s="14">
        <v>0</v>
      </c>
      <c r="R40" s="14">
        <v>0</v>
      </c>
      <c r="T40" s="13">
        <v>1</v>
      </c>
      <c r="U40" s="13">
        <v>1</v>
      </c>
      <c r="V40" s="13">
        <v>1</v>
      </c>
      <c r="W40" s="13">
        <v>1</v>
      </c>
      <c r="X40" s="13">
        <v>1</v>
      </c>
      <c r="Y40" s="13">
        <v>1</v>
      </c>
      <c r="Z40" s="14">
        <v>0</v>
      </c>
      <c r="AA40" s="14">
        <v>0</v>
      </c>
      <c r="AD40" t="str">
        <f t="shared" si="3"/>
        <v xml:space="preserve">Rest - Steven Green - </v>
      </c>
      <c r="AE40">
        <f>MATCH(E40,'EMAIL LIST'!$F:$F,0)</f>
        <v>265</v>
      </c>
    </row>
    <row r="41" spans="3:31" x14ac:dyDescent="0.25">
      <c r="C41" t="s">
        <v>1049</v>
      </c>
      <c r="D41" t="s">
        <v>1090</v>
      </c>
      <c r="E41" t="s">
        <v>993</v>
      </c>
      <c r="F41" t="s">
        <v>2049</v>
      </c>
      <c r="G41" s="2" t="s">
        <v>2102</v>
      </c>
      <c r="H41" s="2" t="s">
        <v>2106</v>
      </c>
      <c r="K41" s="13">
        <v>1</v>
      </c>
      <c r="L41" s="13">
        <v>1</v>
      </c>
      <c r="M41" s="13">
        <v>1</v>
      </c>
      <c r="N41" s="13">
        <v>1</v>
      </c>
      <c r="O41" s="14">
        <v>0</v>
      </c>
      <c r="P41" s="14">
        <v>0</v>
      </c>
      <c r="Q41" s="14">
        <v>0</v>
      </c>
      <c r="R41" s="14">
        <v>0</v>
      </c>
      <c r="T41" s="13">
        <v>1</v>
      </c>
      <c r="U41" s="13">
        <v>1</v>
      </c>
      <c r="V41" s="13">
        <v>1</v>
      </c>
      <c r="W41" s="13">
        <v>1</v>
      </c>
      <c r="X41" s="14">
        <v>0</v>
      </c>
      <c r="Y41" s="14">
        <v>0</v>
      </c>
      <c r="Z41" s="14">
        <v>0</v>
      </c>
      <c r="AA41" s="14">
        <v>0</v>
      </c>
      <c r="AD41" t="str">
        <f t="shared" si="3"/>
        <v xml:space="preserve">Sage - Sean Fenton - </v>
      </c>
      <c r="AE41">
        <f>MATCH(E41,'EMAIL LIST'!$F:$F,0)</f>
        <v>275</v>
      </c>
    </row>
    <row r="42" spans="3:31" x14ac:dyDescent="0.25">
      <c r="C42" t="s">
        <v>930</v>
      </c>
      <c r="D42" t="s">
        <v>97</v>
      </c>
      <c r="E42" t="s">
        <v>929</v>
      </c>
      <c r="F42" t="s">
        <v>2048</v>
      </c>
      <c r="G42" s="2" t="s">
        <v>2102</v>
      </c>
      <c r="I42" s="2" t="s">
        <v>1074</v>
      </c>
      <c r="K42" s="13">
        <v>1</v>
      </c>
      <c r="L42" s="13">
        <v>1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T42" s="13">
        <v>1</v>
      </c>
      <c r="U42" s="13">
        <v>1</v>
      </c>
      <c r="V42" s="13">
        <v>1</v>
      </c>
      <c r="W42" s="14">
        <v>0</v>
      </c>
      <c r="X42" s="13">
        <v>1</v>
      </c>
      <c r="Y42" s="14">
        <v>0</v>
      </c>
      <c r="Z42" s="13">
        <v>1</v>
      </c>
      <c r="AA42" s="13">
        <v>1</v>
      </c>
      <c r="AD42" t="str">
        <f t="shared" si="3"/>
        <v xml:space="preserve">Australian Super - Jen Lee - </v>
      </c>
      <c r="AE42">
        <f>MATCH(E42,'EMAIL LIST'!$F:$F,0)</f>
        <v>38</v>
      </c>
    </row>
    <row r="43" spans="3:31" x14ac:dyDescent="0.25">
      <c r="C43" t="s">
        <v>340</v>
      </c>
      <c r="D43" t="s">
        <v>1089</v>
      </c>
      <c r="E43" t="s">
        <v>341</v>
      </c>
      <c r="F43" t="s">
        <v>2049</v>
      </c>
      <c r="G43" s="2" t="s">
        <v>2102</v>
      </c>
      <c r="K43" s="13">
        <v>1</v>
      </c>
      <c r="L43" s="13">
        <v>1</v>
      </c>
      <c r="M43" s="13">
        <v>1</v>
      </c>
      <c r="N43" s="13">
        <v>1</v>
      </c>
      <c r="O43" s="13">
        <v>1</v>
      </c>
      <c r="P43" s="13">
        <v>1</v>
      </c>
      <c r="Q43" s="14">
        <v>0</v>
      </c>
      <c r="R43" s="14">
        <v>0</v>
      </c>
      <c r="T43" s="13">
        <v>1</v>
      </c>
      <c r="U43" s="13">
        <v>1</v>
      </c>
      <c r="V43" s="13">
        <v>1</v>
      </c>
      <c r="W43" s="13">
        <v>1</v>
      </c>
      <c r="X43" s="14">
        <v>0</v>
      </c>
      <c r="Y43" s="14">
        <v>0</v>
      </c>
      <c r="Z43" s="14">
        <v>0</v>
      </c>
      <c r="AA43" s="14">
        <v>0</v>
      </c>
      <c r="AD43" t="str">
        <f t="shared" si="3"/>
        <v xml:space="preserve">Tribeca - Simon Brown - </v>
      </c>
      <c r="AE43">
        <f>MATCH(E43,'EMAIL LIST'!$F:$F,0)</f>
        <v>307</v>
      </c>
    </row>
    <row r="44" spans="3:31" x14ac:dyDescent="0.25">
      <c r="C44" t="s">
        <v>516</v>
      </c>
      <c r="D44" t="s">
        <v>1059</v>
      </c>
      <c r="E44" t="s">
        <v>2078</v>
      </c>
      <c r="F44" t="s">
        <v>2049</v>
      </c>
      <c r="G44" s="2" t="s">
        <v>2102</v>
      </c>
      <c r="H44" s="2" t="s">
        <v>2106</v>
      </c>
      <c r="I44" s="2" t="s">
        <v>973</v>
      </c>
      <c r="K44" s="14">
        <v>0</v>
      </c>
      <c r="L44" s="14">
        <v>0</v>
      </c>
      <c r="M44" s="13">
        <v>1</v>
      </c>
      <c r="N44" s="13">
        <v>1</v>
      </c>
      <c r="O44" s="14">
        <v>0</v>
      </c>
      <c r="P44" s="14">
        <v>0</v>
      </c>
      <c r="Q44" s="14">
        <v>0</v>
      </c>
      <c r="R44" s="14">
        <v>0</v>
      </c>
      <c r="T44" s="14">
        <v>0</v>
      </c>
      <c r="U44" s="14">
        <v>0</v>
      </c>
      <c r="V44" s="13">
        <v>1</v>
      </c>
      <c r="W44" s="13">
        <v>1</v>
      </c>
      <c r="X44" s="14">
        <v>0</v>
      </c>
      <c r="Y44" s="14">
        <v>0</v>
      </c>
      <c r="Z44" s="14">
        <v>0</v>
      </c>
      <c r="AA44" s="14">
        <v>0</v>
      </c>
      <c r="AD44" t="str">
        <f t="shared" si="3"/>
        <v xml:space="preserve">Ten Capital - Mark Kellock - </v>
      </c>
      <c r="AE44">
        <f>MATCH(E44,'EMAIL LIST'!$F:$F,0)</f>
        <v>295</v>
      </c>
    </row>
    <row r="45" spans="3:31" x14ac:dyDescent="0.25">
      <c r="C45" t="s">
        <v>1060</v>
      </c>
      <c r="D45" t="s">
        <v>1059</v>
      </c>
      <c r="E45" t="s">
        <v>2090</v>
      </c>
      <c r="F45" t="s">
        <v>2049</v>
      </c>
      <c r="G45" s="2" t="s">
        <v>2102</v>
      </c>
      <c r="H45" s="2" t="s">
        <v>2106</v>
      </c>
      <c r="I45" s="2" t="s">
        <v>2091</v>
      </c>
      <c r="K45" s="13">
        <v>1</v>
      </c>
      <c r="L45" s="13">
        <v>1</v>
      </c>
      <c r="M45" s="14">
        <v>0</v>
      </c>
      <c r="N45" s="14">
        <v>0</v>
      </c>
      <c r="O45" s="13">
        <v>1</v>
      </c>
      <c r="P45" s="13">
        <v>1</v>
      </c>
      <c r="Q45" s="14">
        <v>0</v>
      </c>
      <c r="R45" s="14">
        <v>0</v>
      </c>
      <c r="T45" s="13">
        <v>1</v>
      </c>
      <c r="U45" s="13">
        <v>1</v>
      </c>
      <c r="V45" s="14">
        <v>0</v>
      </c>
      <c r="W45" s="14">
        <v>0</v>
      </c>
      <c r="X45" s="13">
        <v>1</v>
      </c>
      <c r="Y45" s="13">
        <v>1</v>
      </c>
      <c r="Z45" s="14">
        <v>0</v>
      </c>
      <c r="AA45" s="14">
        <v>0</v>
      </c>
      <c r="AD45" t="str">
        <f t="shared" si="3"/>
        <v xml:space="preserve">Ten Capital - Charles Pegum - </v>
      </c>
      <c r="AE45">
        <f>MATCH(E45,'EMAIL LIST'!$F:$F,0)</f>
        <v>292</v>
      </c>
    </row>
    <row r="46" spans="3:31" x14ac:dyDescent="0.25">
      <c r="C46" t="s">
        <v>156</v>
      </c>
      <c r="D46" t="s">
        <v>1107</v>
      </c>
      <c r="E46" t="s">
        <v>157</v>
      </c>
      <c r="F46" t="s">
        <v>2049</v>
      </c>
      <c r="G46" s="2" t="s">
        <v>2102</v>
      </c>
      <c r="K46" s="13">
        <v>1</v>
      </c>
      <c r="L46" s="13">
        <v>1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T46" s="13">
        <v>1</v>
      </c>
      <c r="U46" s="13">
        <v>1</v>
      </c>
      <c r="V46" s="13">
        <v>1</v>
      </c>
      <c r="W46" s="13">
        <v>1</v>
      </c>
      <c r="X46" s="14">
        <v>0</v>
      </c>
      <c r="Y46" s="14">
        <v>0</v>
      </c>
      <c r="Z46" s="14">
        <v>0</v>
      </c>
      <c r="AA46" s="14">
        <v>0</v>
      </c>
      <c r="AD46" t="str">
        <f t="shared" si="3"/>
        <v xml:space="preserve">Wavestone - Anthony Tan - </v>
      </c>
      <c r="AE46">
        <f>MATCH(E46,'EMAIL LIST'!$F:$F,0)</f>
        <v>318</v>
      </c>
    </row>
    <row r="47" spans="3:31" x14ac:dyDescent="0.25">
      <c r="K47" s="61"/>
      <c r="L47" s="61"/>
      <c r="M47" s="61"/>
      <c r="N47" s="61"/>
      <c r="O47" s="61"/>
      <c r="P47" s="61"/>
      <c r="Q47" s="61"/>
      <c r="R47" s="61"/>
      <c r="T47" s="61"/>
      <c r="U47" s="61"/>
      <c r="V47" s="61"/>
      <c r="W47" s="61"/>
      <c r="X47" s="61"/>
      <c r="Y47" s="61"/>
      <c r="Z47" s="61"/>
      <c r="AA47" s="61"/>
    </row>
    <row r="48" spans="3:31" x14ac:dyDescent="0.25">
      <c r="C48" s="19" t="s">
        <v>2071</v>
      </c>
      <c r="K48"/>
      <c r="L48"/>
      <c r="M48"/>
      <c r="N48"/>
      <c r="O48"/>
      <c r="P48"/>
      <c r="Q48"/>
      <c r="R48"/>
      <c r="T48"/>
      <c r="U48"/>
      <c r="V48"/>
      <c r="W48"/>
      <c r="X48"/>
      <c r="Y48"/>
      <c r="Z48"/>
      <c r="AA48"/>
    </row>
    <row r="49" spans="3:31" x14ac:dyDescent="0.25">
      <c r="C49" t="s">
        <v>2008</v>
      </c>
      <c r="D49" t="s">
        <v>1071</v>
      </c>
      <c r="E49" t="s">
        <v>2003</v>
      </c>
      <c r="F49" t="s">
        <v>2047</v>
      </c>
      <c r="G49" s="2" t="s">
        <v>2103</v>
      </c>
      <c r="I49" s="2" t="s">
        <v>1074</v>
      </c>
      <c r="K49" s="13">
        <v>1</v>
      </c>
      <c r="L49" s="13">
        <v>1</v>
      </c>
      <c r="M49" s="13">
        <v>1</v>
      </c>
      <c r="N49" s="13">
        <v>1</v>
      </c>
      <c r="O49" s="14">
        <v>0</v>
      </c>
      <c r="P49" s="14">
        <v>0</v>
      </c>
      <c r="Q49" s="14">
        <v>0</v>
      </c>
      <c r="R49" s="14">
        <v>0</v>
      </c>
      <c r="T49" s="13">
        <v>1</v>
      </c>
      <c r="U49" s="13">
        <v>1</v>
      </c>
      <c r="V49" s="13">
        <v>1</v>
      </c>
      <c r="W49" s="13">
        <v>1</v>
      </c>
      <c r="X49" s="14">
        <v>0</v>
      </c>
      <c r="Y49" s="14">
        <v>0</v>
      </c>
      <c r="Z49" s="14">
        <v>0</v>
      </c>
      <c r="AA49" s="14">
        <v>0</v>
      </c>
      <c r="AD49" t="str">
        <f t="shared" ref="AD49:AD51" si="4">D49&amp;" - "&amp;C49&amp;" - "</f>
        <v xml:space="preserve">Discovery Funds Management - Mark Devcich - </v>
      </c>
      <c r="AE49">
        <f>MATCH(E49,'EMAIL LIST'!$F:$F,0)</f>
        <v>80</v>
      </c>
    </row>
    <row r="50" spans="3:31" x14ac:dyDescent="0.25">
      <c r="C50" t="s">
        <v>201</v>
      </c>
      <c r="D50" t="s">
        <v>203</v>
      </c>
      <c r="E50" t="s">
        <v>202</v>
      </c>
      <c r="F50" t="s">
        <v>2047</v>
      </c>
      <c r="G50" s="2" t="s">
        <v>2103</v>
      </c>
      <c r="I50" s="2" t="s">
        <v>1997</v>
      </c>
      <c r="K50" s="13">
        <v>1</v>
      </c>
      <c r="L50" s="13">
        <v>1</v>
      </c>
      <c r="M50" s="14">
        <v>0</v>
      </c>
      <c r="N50" s="14">
        <v>0</v>
      </c>
      <c r="O50" s="13">
        <v>1</v>
      </c>
      <c r="P50" s="13">
        <v>1</v>
      </c>
      <c r="Q50" s="14">
        <v>0</v>
      </c>
      <c r="R50" s="14">
        <v>0</v>
      </c>
      <c r="T50" s="13">
        <v>1</v>
      </c>
      <c r="U50" s="13">
        <v>1</v>
      </c>
      <c r="V50" s="14">
        <v>0</v>
      </c>
      <c r="W50" s="14">
        <v>0</v>
      </c>
      <c r="X50" s="13">
        <v>1</v>
      </c>
      <c r="Y50" s="13">
        <v>1</v>
      </c>
      <c r="Z50" s="14">
        <v>0</v>
      </c>
      <c r="AA50" s="14">
        <v>0</v>
      </c>
      <c r="AD50" t="str">
        <f t="shared" si="4"/>
        <v xml:space="preserve">Devon Funds Management - Tama Willis - </v>
      </c>
      <c r="AE50">
        <f>MATCH(E50,'EMAIL LIST'!$F:$F,0)</f>
        <v>78</v>
      </c>
    </row>
    <row r="51" spans="3:31" x14ac:dyDescent="0.25">
      <c r="C51" t="s">
        <v>1064</v>
      </c>
      <c r="D51" t="s">
        <v>203</v>
      </c>
      <c r="E51" t="s">
        <v>1065</v>
      </c>
      <c r="F51" t="s">
        <v>2047</v>
      </c>
      <c r="G51" s="2" t="s">
        <v>2103</v>
      </c>
      <c r="I51" s="2" t="s">
        <v>1997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D51" t="str">
        <f t="shared" si="4"/>
        <v xml:space="preserve">Devon Funds Management - Ben Jenkins - </v>
      </c>
      <c r="AE51">
        <f>MATCH(E51,'EMAIL LIST'!$F:$F,0)</f>
        <v>79</v>
      </c>
    </row>
    <row r="52" spans="3:31" x14ac:dyDescent="0.25">
      <c r="K52" s="61"/>
      <c r="L52" s="61"/>
      <c r="M52" s="61"/>
      <c r="N52" s="61"/>
      <c r="O52" s="61"/>
      <c r="P52" s="61"/>
      <c r="Q52" s="61"/>
      <c r="R52" s="61"/>
      <c r="T52" s="61"/>
      <c r="U52" s="61"/>
      <c r="V52" s="61"/>
      <c r="W52" s="61"/>
      <c r="X52" s="61"/>
      <c r="Y52" s="61"/>
      <c r="Z52" s="61"/>
      <c r="AA52" s="61"/>
    </row>
    <row r="53" spans="3:31" x14ac:dyDescent="0.25">
      <c r="C53" s="19" t="s">
        <v>2070</v>
      </c>
      <c r="K53"/>
      <c r="L53"/>
      <c r="M53"/>
      <c r="N53"/>
      <c r="O53"/>
      <c r="P53"/>
      <c r="Q53"/>
      <c r="R53"/>
      <c r="T53"/>
      <c r="U53"/>
      <c r="V53"/>
      <c r="W53"/>
      <c r="X53"/>
      <c r="Y53"/>
      <c r="Z53"/>
      <c r="AA53"/>
    </row>
    <row r="54" spans="3:31" x14ac:dyDescent="0.25">
      <c r="C54" t="s">
        <v>1079</v>
      </c>
      <c r="D54" t="s">
        <v>1078</v>
      </c>
      <c r="E54" t="s">
        <v>1077</v>
      </c>
      <c r="F54" t="s">
        <v>2048</v>
      </c>
      <c r="G54" s="2" t="s">
        <v>2103</v>
      </c>
      <c r="H54" s="2" t="s">
        <v>2106</v>
      </c>
      <c r="K54" s="14">
        <v>0</v>
      </c>
      <c r="L54" s="14">
        <v>0</v>
      </c>
      <c r="M54" s="13">
        <v>1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T54" s="13">
        <v>1</v>
      </c>
      <c r="U54" s="13">
        <v>1</v>
      </c>
      <c r="V54" s="13">
        <v>1</v>
      </c>
      <c r="W54" s="13">
        <v>1</v>
      </c>
      <c r="X54" s="14">
        <v>0</v>
      </c>
      <c r="Y54" s="14">
        <v>0</v>
      </c>
      <c r="Z54" s="14">
        <v>0</v>
      </c>
      <c r="AA54" s="14">
        <v>0</v>
      </c>
      <c r="AD54" t="str">
        <f t="shared" ref="AD54:AD78" si="5">D54&amp;" - "&amp;C54&amp;" - "</f>
        <v xml:space="preserve">Arrow - Joe Miyashiro - </v>
      </c>
      <c r="AE54">
        <f>MATCH(E54,'EMAIL LIST'!$F:$F,0)</f>
        <v>24</v>
      </c>
    </row>
    <row r="55" spans="3:31" x14ac:dyDescent="0.25">
      <c r="C55" t="s">
        <v>338</v>
      </c>
      <c r="D55" t="s">
        <v>1083</v>
      </c>
      <c r="E55" t="s">
        <v>339</v>
      </c>
      <c r="F55" t="s">
        <v>2051</v>
      </c>
      <c r="G55" s="2" t="s">
        <v>2103</v>
      </c>
      <c r="I55" s="2" t="s">
        <v>1074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T55" s="13">
        <v>1</v>
      </c>
      <c r="U55" s="13">
        <v>1</v>
      </c>
      <c r="V55" s="13">
        <v>1</v>
      </c>
      <c r="W55" s="13">
        <v>1</v>
      </c>
      <c r="X55" s="14">
        <v>0</v>
      </c>
      <c r="Y55" s="14">
        <v>0</v>
      </c>
      <c r="Z55" s="14">
        <v>0</v>
      </c>
      <c r="AA55" s="14">
        <v>0</v>
      </c>
      <c r="AD55" t="str">
        <f t="shared" si="5"/>
        <v xml:space="preserve">Ophir - Steven Ng - </v>
      </c>
      <c r="AE55">
        <f>MATCH(E55,'EMAIL LIST'!$F:$F,0)</f>
        <v>214</v>
      </c>
    </row>
    <row r="56" spans="3:31" x14ac:dyDescent="0.25">
      <c r="C56" t="s">
        <v>242</v>
      </c>
      <c r="D56" t="s">
        <v>1083</v>
      </c>
      <c r="E56" t="s">
        <v>243</v>
      </c>
      <c r="F56" t="s">
        <v>2051</v>
      </c>
      <c r="G56" s="2" t="s">
        <v>2103</v>
      </c>
      <c r="I56" s="2" t="s">
        <v>1074</v>
      </c>
      <c r="K56" s="13">
        <v>1</v>
      </c>
      <c r="L56" s="13">
        <v>1</v>
      </c>
      <c r="M56" s="13">
        <v>1</v>
      </c>
      <c r="N56" s="13">
        <v>1</v>
      </c>
      <c r="O56" s="14">
        <v>0</v>
      </c>
      <c r="P56" s="14">
        <v>0</v>
      </c>
      <c r="Q56" s="14">
        <v>0</v>
      </c>
      <c r="R56" s="14">
        <v>0</v>
      </c>
      <c r="T56" s="13">
        <v>1</v>
      </c>
      <c r="U56" s="13">
        <v>1</v>
      </c>
      <c r="V56" s="13">
        <v>1</v>
      </c>
      <c r="W56" s="13">
        <v>1</v>
      </c>
      <c r="X56" s="13">
        <v>1</v>
      </c>
      <c r="Y56" s="13">
        <v>1</v>
      </c>
      <c r="Z56" s="14">
        <v>0</v>
      </c>
      <c r="AA56" s="14">
        <v>0</v>
      </c>
      <c r="AD56" t="str">
        <f t="shared" si="5"/>
        <v xml:space="preserve">Ophir - Tim Mitchell - </v>
      </c>
      <c r="AE56">
        <f>MATCH(E56,'EMAIL LIST'!$F:$F,0)</f>
        <v>212</v>
      </c>
    </row>
    <row r="57" spans="3:31" x14ac:dyDescent="0.25">
      <c r="C57" t="s">
        <v>247</v>
      </c>
      <c r="D57" t="s">
        <v>1989</v>
      </c>
      <c r="E57" t="s">
        <v>248</v>
      </c>
      <c r="F57" t="s">
        <v>2049</v>
      </c>
      <c r="G57" s="2" t="s">
        <v>2103</v>
      </c>
      <c r="I57" s="2" t="s">
        <v>1074</v>
      </c>
      <c r="K57" s="13">
        <v>1</v>
      </c>
      <c r="L57" s="13">
        <v>1</v>
      </c>
      <c r="M57" s="13">
        <v>1</v>
      </c>
      <c r="N57" s="13">
        <v>1</v>
      </c>
      <c r="O57" s="14">
        <v>0</v>
      </c>
      <c r="P57" s="14">
        <v>0</v>
      </c>
      <c r="Q57" s="14">
        <v>0</v>
      </c>
      <c r="R57" s="14">
        <v>0</v>
      </c>
      <c r="T57" s="13">
        <v>1</v>
      </c>
      <c r="U57" s="13">
        <v>1</v>
      </c>
      <c r="V57" s="13">
        <v>1</v>
      </c>
      <c r="W57" s="13">
        <v>1</v>
      </c>
      <c r="X57" s="14">
        <v>0</v>
      </c>
      <c r="Y57" s="14">
        <v>0</v>
      </c>
      <c r="Z57" s="14">
        <v>0</v>
      </c>
      <c r="AA57" s="14">
        <v>0</v>
      </c>
      <c r="AD57" t="str">
        <f t="shared" si="5"/>
        <v xml:space="preserve">Quest - Swapan Pandya - </v>
      </c>
      <c r="AE57">
        <f>MATCH(E57,'EMAIL LIST'!$F:$F,0)</f>
        <v>251</v>
      </c>
    </row>
    <row r="58" spans="3:31" x14ac:dyDescent="0.25">
      <c r="C58" t="s">
        <v>1017</v>
      </c>
      <c r="D58" t="s">
        <v>1990</v>
      </c>
      <c r="E58" t="s">
        <v>1018</v>
      </c>
      <c r="F58" t="s">
        <v>2050</v>
      </c>
      <c r="G58" s="2" t="s">
        <v>2103</v>
      </c>
      <c r="I58" s="2" t="s">
        <v>1074</v>
      </c>
      <c r="K58" s="14">
        <v>0</v>
      </c>
      <c r="L58" s="13">
        <v>1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T58" s="13">
        <v>1</v>
      </c>
      <c r="U58" s="13">
        <v>1</v>
      </c>
      <c r="V58" s="13">
        <v>1</v>
      </c>
      <c r="W58" s="13">
        <v>1</v>
      </c>
      <c r="X58" s="14">
        <v>0</v>
      </c>
      <c r="Y58" s="14">
        <v>0</v>
      </c>
      <c r="Z58" s="14">
        <v>0</v>
      </c>
      <c r="AA58" s="14">
        <v>0</v>
      </c>
      <c r="AD58" t="str">
        <f t="shared" si="5"/>
        <v xml:space="preserve">ICE - Roman Aliev - </v>
      </c>
      <c r="AE58">
        <f>MATCH(E58,'EMAIL LIST'!$F:$F,0)</f>
        <v>151</v>
      </c>
    </row>
    <row r="59" spans="3:31" x14ac:dyDescent="0.25">
      <c r="C59" t="s">
        <v>828</v>
      </c>
      <c r="D59" t="s">
        <v>1990</v>
      </c>
      <c r="E59" t="s">
        <v>827</v>
      </c>
      <c r="F59" t="s">
        <v>2050</v>
      </c>
      <c r="G59" s="2" t="s">
        <v>2103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T59" s="14">
        <v>0</v>
      </c>
      <c r="U59" s="13">
        <v>1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D59" t="str">
        <f t="shared" si="5"/>
        <v xml:space="preserve">ICE - Roger Walling - </v>
      </c>
      <c r="AE59">
        <f>MATCH(E59,'EMAIL LIST'!$F:$F,0)</f>
        <v>148</v>
      </c>
    </row>
    <row r="60" spans="3:31" x14ac:dyDescent="0.25">
      <c r="C60" t="s">
        <v>2041</v>
      </c>
      <c r="D60" t="s">
        <v>742</v>
      </c>
      <c r="E60" t="s">
        <v>2044</v>
      </c>
      <c r="F60" t="s">
        <v>2051</v>
      </c>
      <c r="G60" s="2" t="s">
        <v>2103</v>
      </c>
      <c r="I60" s="2" t="s">
        <v>2045</v>
      </c>
      <c r="K60" s="13">
        <v>1</v>
      </c>
      <c r="L60" s="13">
        <v>1</v>
      </c>
      <c r="M60" s="13">
        <v>1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T60" s="13">
        <v>1</v>
      </c>
      <c r="U60" s="13">
        <v>1</v>
      </c>
      <c r="V60" s="13">
        <v>1</v>
      </c>
      <c r="W60" s="13">
        <v>1</v>
      </c>
      <c r="X60" s="14">
        <v>0</v>
      </c>
      <c r="Y60" s="14">
        <v>0</v>
      </c>
      <c r="Z60" s="14">
        <v>0</v>
      </c>
      <c r="AA60" s="14">
        <v>0</v>
      </c>
      <c r="AD60" t="str">
        <f t="shared" si="5"/>
        <v xml:space="preserve">Perpetual Private - James Aghajanian - </v>
      </c>
      <c r="AE60">
        <f>MATCH(E60,'EMAIL LIST'!$F:$F,0)</f>
        <v>244</v>
      </c>
    </row>
    <row r="61" spans="3:31" x14ac:dyDescent="0.25">
      <c r="C61" t="s">
        <v>1993</v>
      </c>
      <c r="D61" t="s">
        <v>1082</v>
      </c>
      <c r="E61" t="s">
        <v>1994</v>
      </c>
      <c r="F61" t="s">
        <v>2050</v>
      </c>
      <c r="G61" s="2" t="s">
        <v>2103</v>
      </c>
      <c r="I61" s="2" t="s">
        <v>2052</v>
      </c>
      <c r="K61" s="13">
        <v>1</v>
      </c>
      <c r="L61" s="13">
        <v>1</v>
      </c>
      <c r="M61" s="13">
        <v>1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T61" s="13">
        <v>1</v>
      </c>
      <c r="U61" s="13">
        <v>1</v>
      </c>
      <c r="V61" s="13">
        <v>1</v>
      </c>
      <c r="W61" s="13">
        <v>1</v>
      </c>
      <c r="X61" s="14">
        <v>0</v>
      </c>
      <c r="Y61" s="14">
        <v>0</v>
      </c>
      <c r="Z61" s="14">
        <v>0</v>
      </c>
      <c r="AA61" s="14">
        <v>0</v>
      </c>
      <c r="AD61" t="str">
        <f t="shared" si="5"/>
        <v xml:space="preserve">Eley Griffith - Sean Kiriwan - </v>
      </c>
      <c r="AE61">
        <f>MATCH(E61,'EMAIL LIST'!$F:$F,0)</f>
        <v>347</v>
      </c>
    </row>
    <row r="62" spans="3:31" x14ac:dyDescent="0.25">
      <c r="C62" t="s">
        <v>91</v>
      </c>
      <c r="D62" t="s">
        <v>1085</v>
      </c>
      <c r="E62" t="s">
        <v>92</v>
      </c>
      <c r="F62" t="s">
        <v>2047</v>
      </c>
      <c r="G62" s="2" t="s">
        <v>2103</v>
      </c>
      <c r="I62" s="2" t="s">
        <v>1074</v>
      </c>
      <c r="K62" s="13">
        <v>1</v>
      </c>
      <c r="L62" s="13">
        <v>1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T62" s="13">
        <v>1</v>
      </c>
      <c r="U62" s="13">
        <v>1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D62" t="str">
        <f t="shared" si="5"/>
        <v xml:space="preserve">Equity Trustees  - Thi Doan - </v>
      </c>
      <c r="AE62">
        <f>MATCH(E62,'EMAIL LIST'!$F:$F,0)</f>
        <v>109</v>
      </c>
    </row>
    <row r="63" spans="3:31" x14ac:dyDescent="0.25">
      <c r="C63" t="s">
        <v>50</v>
      </c>
      <c r="D63" t="s">
        <v>49</v>
      </c>
      <c r="E63" t="s">
        <v>51</v>
      </c>
      <c r="F63" t="s">
        <v>2048</v>
      </c>
      <c r="G63" s="2" t="s">
        <v>2103</v>
      </c>
      <c r="I63" s="2" t="s">
        <v>1074</v>
      </c>
      <c r="K63" s="13">
        <v>1</v>
      </c>
      <c r="L63" s="13">
        <v>1</v>
      </c>
      <c r="M63" s="13">
        <v>1</v>
      </c>
      <c r="N63" s="13">
        <v>1</v>
      </c>
      <c r="O63" s="14">
        <v>0</v>
      </c>
      <c r="P63" s="14">
        <v>0</v>
      </c>
      <c r="Q63" s="14">
        <v>0</v>
      </c>
      <c r="R63" s="14">
        <v>0</v>
      </c>
      <c r="T63" s="13">
        <v>1</v>
      </c>
      <c r="U63" s="13">
        <v>1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D63" t="str">
        <f t="shared" si="5"/>
        <v xml:space="preserve">Hesta - Zik Qian - </v>
      </c>
      <c r="AE63">
        <f>MATCH(E63,'EMAIL LIST'!$F:$F,0)</f>
        <v>144</v>
      </c>
    </row>
    <row r="64" spans="3:31" x14ac:dyDescent="0.25">
      <c r="C64" t="s">
        <v>2123</v>
      </c>
      <c r="D64" t="s">
        <v>49</v>
      </c>
      <c r="E64" t="s">
        <v>2124</v>
      </c>
      <c r="F64" t="s">
        <v>2048</v>
      </c>
      <c r="G64" s="2" t="s">
        <v>2103</v>
      </c>
      <c r="I64" s="2" t="s">
        <v>1074</v>
      </c>
      <c r="K64" s="13">
        <v>1</v>
      </c>
      <c r="L64" s="13">
        <v>1</v>
      </c>
      <c r="M64" s="13">
        <v>1</v>
      </c>
      <c r="N64" s="13">
        <v>1</v>
      </c>
      <c r="O64" s="14">
        <v>0</v>
      </c>
      <c r="P64" s="14">
        <v>0</v>
      </c>
      <c r="Q64" s="14">
        <v>0</v>
      </c>
      <c r="R64" s="14">
        <v>0</v>
      </c>
      <c r="T64" s="13">
        <v>1</v>
      </c>
      <c r="U64" s="13">
        <v>1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D64" t="str">
        <f t="shared" ref="AD64" si="6">D64&amp;" - "&amp;C64&amp;" - "</f>
        <v xml:space="preserve">Hesta - Phoebe Jin - </v>
      </c>
      <c r="AE64">
        <f>MATCH(E64,'EMAIL LIST'!$F:$F,0)</f>
        <v>145</v>
      </c>
    </row>
    <row r="65" spans="3:31" x14ac:dyDescent="0.25">
      <c r="C65" t="s">
        <v>2030</v>
      </c>
      <c r="D65" t="s">
        <v>2020</v>
      </c>
      <c r="E65" t="s">
        <v>2031</v>
      </c>
      <c r="F65" t="s">
        <v>2047</v>
      </c>
      <c r="G65" s="2" t="s">
        <v>2103</v>
      </c>
      <c r="I65" s="2" t="s">
        <v>2092</v>
      </c>
      <c r="K65" s="13">
        <v>1</v>
      </c>
      <c r="L65" s="13">
        <v>1</v>
      </c>
      <c r="M65" s="14">
        <v>0</v>
      </c>
      <c r="N65" s="14">
        <v>0</v>
      </c>
      <c r="O65" s="13">
        <v>1</v>
      </c>
      <c r="P65" s="13">
        <v>1</v>
      </c>
      <c r="Q65" s="14">
        <v>0</v>
      </c>
      <c r="R65" s="14">
        <v>0</v>
      </c>
      <c r="T65" s="13">
        <v>1</v>
      </c>
      <c r="U65" s="13">
        <v>1</v>
      </c>
      <c r="V65" s="14">
        <v>0</v>
      </c>
      <c r="W65" s="14">
        <v>0</v>
      </c>
      <c r="X65" s="13">
        <v>1</v>
      </c>
      <c r="Y65" s="13">
        <v>1</v>
      </c>
      <c r="Z65" s="14">
        <v>0</v>
      </c>
      <c r="AA65" s="14">
        <v>0</v>
      </c>
      <c r="AD65" t="str">
        <f t="shared" si="5"/>
        <v xml:space="preserve">Antares - Hutch Ozdil - </v>
      </c>
      <c r="AE65">
        <f>MATCH(E65,'EMAIL LIST'!$F:$F,0)</f>
        <v>19</v>
      </c>
    </row>
    <row r="66" spans="3:31" x14ac:dyDescent="0.25">
      <c r="C66" t="s">
        <v>141</v>
      </c>
      <c r="D66" t="s">
        <v>2020</v>
      </c>
      <c r="E66" t="s">
        <v>142</v>
      </c>
      <c r="F66" t="s">
        <v>2047</v>
      </c>
      <c r="G66" s="2" t="s">
        <v>2103</v>
      </c>
      <c r="I66" s="2" t="s">
        <v>2023</v>
      </c>
      <c r="K66" s="14">
        <v>0</v>
      </c>
      <c r="L66" s="14">
        <v>0</v>
      </c>
      <c r="M66" s="14">
        <v>0</v>
      </c>
      <c r="N66" s="14">
        <v>0</v>
      </c>
      <c r="O66" s="13">
        <v>1</v>
      </c>
      <c r="P66" s="13">
        <v>1</v>
      </c>
      <c r="Q66" s="14">
        <v>0</v>
      </c>
      <c r="R66" s="14">
        <v>0</v>
      </c>
      <c r="T66" s="14">
        <v>0</v>
      </c>
      <c r="U66" s="14">
        <v>0</v>
      </c>
      <c r="V66" s="14">
        <v>0</v>
      </c>
      <c r="W66" s="14">
        <v>0</v>
      </c>
      <c r="X66" s="13">
        <v>1</v>
      </c>
      <c r="Y66" s="13">
        <v>1</v>
      </c>
      <c r="Z66" s="14">
        <v>0</v>
      </c>
      <c r="AA66" s="14">
        <v>0</v>
      </c>
      <c r="AD66" t="str">
        <f t="shared" si="5"/>
        <v xml:space="preserve">Antares - Nick Pashias - </v>
      </c>
      <c r="AE66">
        <f>MATCH(E66,'EMAIL LIST'!$F:$F,0)</f>
        <v>16</v>
      </c>
    </row>
    <row r="67" spans="3:31" x14ac:dyDescent="0.25">
      <c r="C67" t="s">
        <v>330</v>
      </c>
      <c r="D67" t="s">
        <v>1068</v>
      </c>
      <c r="E67" t="s">
        <v>331</v>
      </c>
      <c r="F67" t="s">
        <v>2048</v>
      </c>
      <c r="G67" s="2" t="s">
        <v>2103</v>
      </c>
      <c r="H67" s="2" t="s">
        <v>2106</v>
      </c>
      <c r="I67" s="2" t="s">
        <v>2038</v>
      </c>
      <c r="K67" s="13">
        <v>1</v>
      </c>
      <c r="L67" s="13">
        <v>1</v>
      </c>
      <c r="M67" s="13">
        <v>1</v>
      </c>
      <c r="N67" s="13">
        <v>1</v>
      </c>
      <c r="O67" s="13">
        <v>1</v>
      </c>
      <c r="P67" s="13">
        <v>1</v>
      </c>
      <c r="Q67" s="13">
        <v>1</v>
      </c>
      <c r="R67" s="13">
        <v>1</v>
      </c>
      <c r="T67" s="13">
        <v>1</v>
      </c>
      <c r="U67" s="13">
        <v>1</v>
      </c>
      <c r="V67" s="13">
        <v>1</v>
      </c>
      <c r="W67" s="13">
        <v>1</v>
      </c>
      <c r="X67" s="13">
        <v>1</v>
      </c>
      <c r="Y67" s="13">
        <v>1</v>
      </c>
      <c r="Z67" s="14">
        <v>0</v>
      </c>
      <c r="AA67" s="14">
        <v>0</v>
      </c>
      <c r="AD67" t="str">
        <f t="shared" si="5"/>
        <v xml:space="preserve">Opal - Omkar Joshi - </v>
      </c>
      <c r="AE67">
        <f>MATCH(E67,'EMAIL LIST'!$F:$F,0)</f>
        <v>209</v>
      </c>
    </row>
    <row r="68" spans="3:31" x14ac:dyDescent="0.25">
      <c r="C68" t="s">
        <v>1069</v>
      </c>
      <c r="D68" t="s">
        <v>1068</v>
      </c>
      <c r="E68" t="s">
        <v>1999</v>
      </c>
      <c r="F68" t="s">
        <v>2048</v>
      </c>
      <c r="G68" s="2" t="s">
        <v>2103</v>
      </c>
      <c r="H68" s="2" t="s">
        <v>2106</v>
      </c>
      <c r="I68" s="2" t="s">
        <v>2053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T68" s="13">
        <v>1</v>
      </c>
      <c r="U68" s="13">
        <v>1</v>
      </c>
      <c r="V68" s="13">
        <v>1</v>
      </c>
      <c r="W68" s="13">
        <v>1</v>
      </c>
      <c r="X68" s="13">
        <v>1</v>
      </c>
      <c r="Y68" s="13">
        <v>1</v>
      </c>
      <c r="Z68" s="14">
        <v>0</v>
      </c>
      <c r="AA68" s="14">
        <v>0</v>
      </c>
      <c r="AD68" t="str">
        <f t="shared" si="5"/>
        <v xml:space="preserve">Opal - Man Ho Lam - </v>
      </c>
      <c r="AE68">
        <f>MATCH(E68,'EMAIL LIST'!$F:$F,0)</f>
        <v>210</v>
      </c>
    </row>
    <row r="69" spans="3:31" x14ac:dyDescent="0.25">
      <c r="C69" t="s">
        <v>2060</v>
      </c>
      <c r="D69" t="s">
        <v>2063</v>
      </c>
      <c r="E69" t="s">
        <v>2062</v>
      </c>
      <c r="F69" t="s">
        <v>2050</v>
      </c>
      <c r="G69" s="2" t="s">
        <v>2103</v>
      </c>
      <c r="H69" s="2" t="s">
        <v>2106</v>
      </c>
      <c r="I69" s="2" t="s">
        <v>1074</v>
      </c>
      <c r="K69" s="13">
        <v>1</v>
      </c>
      <c r="L69" s="13">
        <v>1</v>
      </c>
      <c r="M69" s="13">
        <v>1</v>
      </c>
      <c r="N69" s="13">
        <v>1</v>
      </c>
      <c r="O69" s="13">
        <v>1</v>
      </c>
      <c r="P69" s="13">
        <v>1</v>
      </c>
      <c r="Q69" s="14">
        <v>0</v>
      </c>
      <c r="R69" s="14">
        <v>0</v>
      </c>
      <c r="T69" s="13">
        <v>1</v>
      </c>
      <c r="U69" s="13">
        <v>1</v>
      </c>
      <c r="V69" s="13">
        <v>1</v>
      </c>
      <c r="W69" s="13">
        <v>1</v>
      </c>
      <c r="X69" s="13">
        <v>1</v>
      </c>
      <c r="Y69" s="13">
        <v>1</v>
      </c>
      <c r="Z69" s="14">
        <v>0</v>
      </c>
      <c r="AA69" s="14">
        <v>0</v>
      </c>
      <c r="AD69" t="str">
        <f t="shared" si="5"/>
        <v xml:space="preserve">QVG Capital - Josh Clark - </v>
      </c>
      <c r="AE69">
        <f>MATCH(E69,'EMAIL LIST'!$F:$F,0)</f>
        <v>340</v>
      </c>
    </row>
    <row r="70" spans="3:31" x14ac:dyDescent="0.25">
      <c r="C70" t="s">
        <v>1005</v>
      </c>
      <c r="D70" t="s">
        <v>1080</v>
      </c>
      <c r="E70" t="s">
        <v>1006</v>
      </c>
      <c r="F70" t="s">
        <v>2048</v>
      </c>
      <c r="G70" s="2" t="s">
        <v>2103</v>
      </c>
      <c r="I70" s="2" t="s">
        <v>1074</v>
      </c>
      <c r="K70" s="13">
        <v>1</v>
      </c>
      <c r="L70" s="13">
        <v>1</v>
      </c>
      <c r="M70" s="14">
        <v>0</v>
      </c>
      <c r="N70" s="14">
        <v>0</v>
      </c>
      <c r="O70" s="13">
        <v>1</v>
      </c>
      <c r="P70" s="13">
        <v>1</v>
      </c>
      <c r="Q70" s="14">
        <v>0</v>
      </c>
      <c r="R70" s="14">
        <v>0</v>
      </c>
      <c r="T70" s="13">
        <v>1</v>
      </c>
      <c r="U70" s="13">
        <v>1</v>
      </c>
      <c r="V70" s="14">
        <v>0</v>
      </c>
      <c r="W70" s="14">
        <v>0</v>
      </c>
      <c r="X70" s="13">
        <v>1</v>
      </c>
      <c r="Y70" s="13">
        <v>1</v>
      </c>
      <c r="Z70" s="14">
        <v>0</v>
      </c>
      <c r="AA70" s="14">
        <v>0</v>
      </c>
      <c r="AD70" t="str">
        <f t="shared" si="5"/>
        <v xml:space="preserve">OC Funds - Aaron Yeoh - </v>
      </c>
      <c r="AE70">
        <f>MATCH(E70,'EMAIL LIST'!$F:$F,0)</f>
        <v>208</v>
      </c>
    </row>
    <row r="71" spans="3:31" x14ac:dyDescent="0.25">
      <c r="C71" t="s">
        <v>1003</v>
      </c>
      <c r="D71" t="s">
        <v>1080</v>
      </c>
      <c r="E71" t="s">
        <v>1004</v>
      </c>
      <c r="F71" t="s">
        <v>2048</v>
      </c>
      <c r="G71" s="2" t="s">
        <v>2103</v>
      </c>
      <c r="I71" s="2" t="s">
        <v>1074</v>
      </c>
      <c r="K71" s="14">
        <v>0</v>
      </c>
      <c r="L71" s="13">
        <v>1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D71" t="str">
        <f t="shared" si="5"/>
        <v xml:space="preserve">OC Funds - Nga Lucas - </v>
      </c>
      <c r="AE71">
        <f>MATCH(E71,'EMAIL LIST'!$F:$F,0)</f>
        <v>207</v>
      </c>
    </row>
    <row r="72" spans="3:31" x14ac:dyDescent="0.25">
      <c r="C72" t="s">
        <v>2058</v>
      </c>
      <c r="D72" t="s">
        <v>2057</v>
      </c>
      <c r="E72" t="s">
        <v>2059</v>
      </c>
      <c r="F72" t="s">
        <v>2047</v>
      </c>
      <c r="G72" s="2" t="s">
        <v>2103</v>
      </c>
      <c r="I72" s="2" t="s">
        <v>1074</v>
      </c>
      <c r="K72" s="13">
        <v>1</v>
      </c>
      <c r="L72" s="13">
        <v>1</v>
      </c>
      <c r="M72" s="13">
        <v>1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T72" s="13">
        <v>1</v>
      </c>
      <c r="U72" s="13">
        <v>1</v>
      </c>
      <c r="V72" s="13">
        <v>1</v>
      </c>
      <c r="W72" s="13">
        <v>1</v>
      </c>
      <c r="X72" s="13">
        <v>1</v>
      </c>
      <c r="Y72" s="13">
        <v>1</v>
      </c>
      <c r="Z72" s="14">
        <v>0</v>
      </c>
      <c r="AA72" s="14">
        <v>0</v>
      </c>
      <c r="AD72" t="str">
        <f t="shared" si="5"/>
        <v xml:space="preserve">VFMC - Ken Tham - </v>
      </c>
      <c r="AE72">
        <f>MATCH(E72,'EMAIL LIST'!$F:$F,0)</f>
        <v>337</v>
      </c>
    </row>
    <row r="73" spans="3:31" x14ac:dyDescent="0.25">
      <c r="C73" t="s">
        <v>315</v>
      </c>
      <c r="D73" t="s">
        <v>1094</v>
      </c>
      <c r="E73" t="s">
        <v>316</v>
      </c>
      <c r="F73" t="s">
        <v>2048</v>
      </c>
      <c r="G73" s="2" t="s">
        <v>2103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T73" s="13">
        <v>1</v>
      </c>
      <c r="U73" s="13">
        <v>1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D73" t="str">
        <f t="shared" si="5"/>
        <v xml:space="preserve">IFM - Reuben De Barros - </v>
      </c>
      <c r="AE73">
        <f>MATCH(E73,'EMAIL LIST'!$F:$F,0)</f>
        <v>154</v>
      </c>
    </row>
    <row r="74" spans="3:31" x14ac:dyDescent="0.25">
      <c r="C74" t="s">
        <v>476</v>
      </c>
      <c r="D74" t="s">
        <v>1996</v>
      </c>
      <c r="E74" t="s">
        <v>475</v>
      </c>
      <c r="F74" t="s">
        <v>2048</v>
      </c>
      <c r="G74" s="2" t="s">
        <v>2103</v>
      </c>
      <c r="I74" s="2" t="s">
        <v>2096</v>
      </c>
      <c r="K74" s="14">
        <v>0</v>
      </c>
      <c r="L74" s="14">
        <v>0</v>
      </c>
      <c r="M74" s="14">
        <v>0</v>
      </c>
      <c r="N74" s="14">
        <v>0</v>
      </c>
      <c r="O74" s="13">
        <v>1</v>
      </c>
      <c r="P74" s="13">
        <v>1</v>
      </c>
      <c r="Q74" s="13">
        <v>1</v>
      </c>
      <c r="R74" s="14">
        <v>0</v>
      </c>
      <c r="T74" s="13">
        <v>1</v>
      </c>
      <c r="U74" s="13">
        <v>1</v>
      </c>
      <c r="V74" s="14">
        <v>0</v>
      </c>
      <c r="W74" s="14">
        <v>0</v>
      </c>
      <c r="X74" s="13">
        <v>1</v>
      </c>
      <c r="Y74" s="13">
        <v>1</v>
      </c>
      <c r="Z74" s="13">
        <v>1</v>
      </c>
      <c r="AA74" s="13">
        <v>1</v>
      </c>
      <c r="AD74" t="str">
        <f t="shared" si="5"/>
        <v xml:space="preserve">Ellerston - Daniel Ragonese - </v>
      </c>
      <c r="AE74">
        <f>MATCH(E74,'EMAIL LIST'!$F:$F,0)</f>
        <v>104</v>
      </c>
    </row>
    <row r="75" spans="3:31" x14ac:dyDescent="0.25">
      <c r="C75" t="s">
        <v>2079</v>
      </c>
      <c r="D75" t="s">
        <v>1996</v>
      </c>
      <c r="E75" t="s">
        <v>2080</v>
      </c>
      <c r="F75" t="s">
        <v>2048</v>
      </c>
      <c r="G75" s="2" t="s">
        <v>2103</v>
      </c>
      <c r="I75" s="2" t="s">
        <v>2084</v>
      </c>
      <c r="K75" s="14">
        <v>0</v>
      </c>
      <c r="L75" s="13">
        <v>1</v>
      </c>
      <c r="M75" s="13">
        <v>1</v>
      </c>
      <c r="N75" s="13">
        <v>1</v>
      </c>
      <c r="O75" s="14">
        <v>0</v>
      </c>
      <c r="P75" s="14">
        <v>0</v>
      </c>
      <c r="Q75" s="14">
        <v>0</v>
      </c>
      <c r="R75" s="14">
        <v>0</v>
      </c>
      <c r="T75" s="13">
        <v>1</v>
      </c>
      <c r="U75" s="13">
        <v>1</v>
      </c>
      <c r="V75" s="13">
        <v>1</v>
      </c>
      <c r="W75" s="13">
        <v>1</v>
      </c>
      <c r="X75" s="14">
        <v>0</v>
      </c>
      <c r="Y75" s="14">
        <v>0</v>
      </c>
      <c r="Z75" s="14">
        <v>0</v>
      </c>
      <c r="AA75" s="14">
        <v>0</v>
      </c>
      <c r="AD75" t="str">
        <f t="shared" si="5"/>
        <v xml:space="preserve">Ellerston - Todd Briggs - </v>
      </c>
      <c r="AE75">
        <f>MATCH(E75,'EMAIL LIST'!$F:$F,0)</f>
        <v>107</v>
      </c>
    </row>
    <row r="76" spans="3:31" x14ac:dyDescent="0.25">
      <c r="C76" t="s">
        <v>912</v>
      </c>
      <c r="D76" t="s">
        <v>1996</v>
      </c>
      <c r="E76" s="65" t="s">
        <v>911</v>
      </c>
      <c r="F76" t="s">
        <v>2048</v>
      </c>
      <c r="G76" s="2" t="s">
        <v>2103</v>
      </c>
      <c r="I76" s="2" t="s">
        <v>2084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T76" s="13">
        <v>1</v>
      </c>
      <c r="U76" s="13">
        <v>1</v>
      </c>
      <c r="V76" s="13">
        <v>1</v>
      </c>
      <c r="W76" s="13">
        <v>1</v>
      </c>
      <c r="X76" s="14">
        <v>0</v>
      </c>
      <c r="Y76" s="14">
        <v>0</v>
      </c>
      <c r="Z76" s="14">
        <v>0</v>
      </c>
      <c r="AA76" s="14">
        <v>0</v>
      </c>
      <c r="AD76" t="str">
        <f t="shared" si="5"/>
        <v xml:space="preserve">Ellerston - Jack Briggs - </v>
      </c>
      <c r="AE76">
        <f>MATCH(E76,'EMAIL LIST'!$F:$F,0)</f>
        <v>48</v>
      </c>
    </row>
    <row r="77" spans="3:31" x14ac:dyDescent="0.25">
      <c r="C77" t="s">
        <v>470</v>
      </c>
      <c r="D77" t="s">
        <v>1073</v>
      </c>
      <c r="E77" t="s">
        <v>471</v>
      </c>
      <c r="F77" t="s">
        <v>2051</v>
      </c>
      <c r="G77" s="2" t="s">
        <v>2103</v>
      </c>
      <c r="I77" s="2" t="s">
        <v>2066</v>
      </c>
      <c r="K77" s="13">
        <v>1</v>
      </c>
      <c r="L77" s="13">
        <v>1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T77" s="14">
        <v>0</v>
      </c>
      <c r="U77" s="14">
        <v>0</v>
      </c>
      <c r="V77" s="13">
        <v>1</v>
      </c>
      <c r="W77" s="13">
        <v>1</v>
      </c>
      <c r="X77" s="14">
        <v>0</v>
      </c>
      <c r="Y77" s="14">
        <v>0</v>
      </c>
      <c r="Z77" s="14">
        <v>0</v>
      </c>
      <c r="AA77" s="14">
        <v>0</v>
      </c>
      <c r="AD77" t="str">
        <f t="shared" si="5"/>
        <v xml:space="preserve">DNR Capital - Brendan Mowry - </v>
      </c>
      <c r="AE77">
        <f>MATCH(E77,'EMAIL LIST'!$F:$F,0)</f>
        <v>88</v>
      </c>
    </row>
    <row r="78" spans="3:31" x14ac:dyDescent="0.25">
      <c r="C78" t="s">
        <v>349</v>
      </c>
      <c r="D78" t="s">
        <v>1073</v>
      </c>
      <c r="E78" t="s">
        <v>350</v>
      </c>
      <c r="F78" t="s">
        <v>2051</v>
      </c>
      <c r="G78" s="2" t="s">
        <v>2103</v>
      </c>
      <c r="I78" s="2" t="s">
        <v>972</v>
      </c>
      <c r="K78" s="14">
        <v>0</v>
      </c>
      <c r="L78" s="14">
        <v>0</v>
      </c>
      <c r="M78" s="13">
        <v>1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T78" s="14">
        <v>0</v>
      </c>
      <c r="U78" s="14">
        <v>0</v>
      </c>
      <c r="V78" s="13">
        <v>1</v>
      </c>
      <c r="W78" s="13">
        <v>1</v>
      </c>
      <c r="X78" s="14">
        <v>0</v>
      </c>
      <c r="Y78" s="14">
        <v>0</v>
      </c>
      <c r="Z78" s="14">
        <v>0</v>
      </c>
      <c r="AA78" s="14">
        <v>0</v>
      </c>
      <c r="AD78" t="str">
        <f t="shared" si="5"/>
        <v xml:space="preserve">DNR Capital - Scott Bender - </v>
      </c>
      <c r="AE78">
        <f>MATCH(E78,'EMAIL LIST'!$F:$F,0)</f>
        <v>83</v>
      </c>
    </row>
    <row r="79" spans="3:31" x14ac:dyDescent="0.25">
      <c r="C79" t="s">
        <v>2076</v>
      </c>
      <c r="D79" t="s">
        <v>1073</v>
      </c>
      <c r="E79" t="s">
        <v>2077</v>
      </c>
      <c r="F79" t="s">
        <v>2051</v>
      </c>
      <c r="G79" s="2" t="s">
        <v>2103</v>
      </c>
      <c r="I79" s="2" t="s">
        <v>2066</v>
      </c>
      <c r="K79" s="13">
        <v>1</v>
      </c>
      <c r="L79" s="13">
        <v>1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T79" s="14">
        <v>0</v>
      </c>
      <c r="U79" s="14">
        <v>0</v>
      </c>
      <c r="V79" s="13">
        <v>1</v>
      </c>
      <c r="W79" s="13">
        <v>1</v>
      </c>
      <c r="X79" s="14">
        <v>0</v>
      </c>
      <c r="Y79" s="14">
        <v>0</v>
      </c>
      <c r="Z79" s="14">
        <v>0</v>
      </c>
      <c r="AA79" s="14">
        <v>0</v>
      </c>
      <c r="AD79" t="str">
        <f t="shared" ref="AD79" si="7">D79&amp;" - "&amp;C79&amp;" - "</f>
        <v xml:space="preserve">DNR Capital - Michael Lever - </v>
      </c>
      <c r="AE79">
        <f>MATCH(E79,'EMAIL LIST'!$F:$F,0)</f>
        <v>89</v>
      </c>
    </row>
    <row r="80" spans="3:31" x14ac:dyDescent="0.25">
      <c r="K80"/>
      <c r="L80"/>
      <c r="M80"/>
      <c r="N80"/>
      <c r="O80"/>
      <c r="P80"/>
      <c r="Q80"/>
      <c r="R80"/>
      <c r="T80"/>
      <c r="U80"/>
      <c r="V80"/>
      <c r="W80"/>
      <c r="X80"/>
      <c r="Y80"/>
      <c r="Z80"/>
      <c r="AA80"/>
    </row>
    <row r="81" spans="3:31" x14ac:dyDescent="0.25">
      <c r="C81" s="19" t="s">
        <v>2017</v>
      </c>
      <c r="K81"/>
      <c r="L81"/>
      <c r="M81"/>
      <c r="N81"/>
      <c r="O81"/>
      <c r="P81"/>
      <c r="Q81"/>
      <c r="R81"/>
      <c r="T81"/>
      <c r="U81"/>
      <c r="V81"/>
      <c r="W81"/>
      <c r="X81"/>
      <c r="Y81"/>
      <c r="Z81"/>
      <c r="AA81"/>
    </row>
    <row r="82" spans="3:31" x14ac:dyDescent="0.25">
      <c r="C82" t="s">
        <v>80</v>
      </c>
      <c r="D82" t="s">
        <v>1992</v>
      </c>
      <c r="E82" t="s">
        <v>81</v>
      </c>
      <c r="F82" t="s">
        <v>2048</v>
      </c>
      <c r="G82" s="2" t="s">
        <v>2103</v>
      </c>
      <c r="I82" s="2" t="s">
        <v>959</v>
      </c>
      <c r="K82" s="14">
        <v>0</v>
      </c>
      <c r="L82" s="13">
        <v>1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T82" s="13">
        <v>1</v>
      </c>
      <c r="U82" s="13">
        <v>1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D82" t="str">
        <f t="shared" ref="AD82:AD106" si="8">D82&amp;" - "&amp;C82&amp;" - "</f>
        <v xml:space="preserve">IML - Bruce Du - </v>
      </c>
      <c r="AE82">
        <f>MATCH(E82,'EMAIL LIST'!$F:$F,0)</f>
        <v>157</v>
      </c>
    </row>
    <row r="83" spans="3:31" x14ac:dyDescent="0.25">
      <c r="C83" t="s">
        <v>396</v>
      </c>
      <c r="D83" t="s">
        <v>1072</v>
      </c>
      <c r="E83" t="s">
        <v>397</v>
      </c>
      <c r="F83" t="s">
        <v>2051</v>
      </c>
      <c r="G83" s="2" t="s">
        <v>2103</v>
      </c>
      <c r="I83" s="2" t="s">
        <v>2109</v>
      </c>
      <c r="K83" s="13">
        <v>1</v>
      </c>
      <c r="L83" s="13">
        <v>1</v>
      </c>
      <c r="M83" s="13">
        <v>1</v>
      </c>
      <c r="N83" s="14">
        <v>0</v>
      </c>
      <c r="O83" s="13">
        <v>1</v>
      </c>
      <c r="P83" s="14">
        <v>0</v>
      </c>
      <c r="Q83" s="14">
        <v>0</v>
      </c>
      <c r="R83" s="14">
        <v>0</v>
      </c>
      <c r="T83" s="13">
        <v>1</v>
      </c>
      <c r="U83" s="13">
        <v>1</v>
      </c>
      <c r="V83" s="13">
        <v>1</v>
      </c>
      <c r="W83" s="13">
        <v>1</v>
      </c>
      <c r="X83" s="13">
        <v>1</v>
      </c>
      <c r="Y83" s="13">
        <v>1</v>
      </c>
      <c r="Z83" s="14">
        <v>0</v>
      </c>
      <c r="AA83" s="14">
        <v>0</v>
      </c>
      <c r="AD83" t="str">
        <f t="shared" si="8"/>
        <v xml:space="preserve">Platypus - Brendan Warton - </v>
      </c>
      <c r="AE83">
        <f>MATCH(E83,'EMAIL LIST'!$F:$F,0)</f>
        <v>247</v>
      </c>
    </row>
    <row r="84" spans="3:31" x14ac:dyDescent="0.25">
      <c r="C84" t="s">
        <v>354</v>
      </c>
      <c r="D84" t="s">
        <v>1072</v>
      </c>
      <c r="E84" t="s">
        <v>355</v>
      </c>
      <c r="F84" t="s">
        <v>2051</v>
      </c>
      <c r="G84" s="2" t="s">
        <v>2103</v>
      </c>
      <c r="I84" s="2" t="s">
        <v>2023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T84" s="13">
        <v>1</v>
      </c>
      <c r="U84" s="13">
        <v>1</v>
      </c>
      <c r="V84" s="14">
        <v>0</v>
      </c>
      <c r="W84" s="14">
        <v>0</v>
      </c>
      <c r="X84" s="13">
        <v>1</v>
      </c>
      <c r="Y84" s="13">
        <v>1</v>
      </c>
      <c r="Z84" s="14">
        <v>0</v>
      </c>
      <c r="AA84" s="14">
        <v>0</v>
      </c>
      <c r="AD84" t="str">
        <f t="shared" si="8"/>
        <v xml:space="preserve">Platypus - Prasad Patkar - </v>
      </c>
      <c r="AE84">
        <f>MATCH(E84,'EMAIL LIST'!$F:$F,0)</f>
        <v>246</v>
      </c>
    </row>
    <row r="85" spans="3:31" x14ac:dyDescent="0.25">
      <c r="C85" t="s">
        <v>427</v>
      </c>
      <c r="D85" t="s">
        <v>2000</v>
      </c>
      <c r="E85" t="s">
        <v>428</v>
      </c>
      <c r="F85" t="s">
        <v>2050</v>
      </c>
      <c r="G85" s="2" t="s">
        <v>2103</v>
      </c>
      <c r="K85" s="13">
        <v>1</v>
      </c>
      <c r="L85" s="13">
        <v>1</v>
      </c>
      <c r="M85" s="13">
        <v>1</v>
      </c>
      <c r="N85" s="13">
        <v>1</v>
      </c>
      <c r="O85" s="14">
        <v>0</v>
      </c>
      <c r="P85" s="14">
        <v>0</v>
      </c>
      <c r="Q85" s="14">
        <v>0</v>
      </c>
      <c r="R85" s="14">
        <v>0</v>
      </c>
      <c r="T85" s="13">
        <v>1</v>
      </c>
      <c r="U85" s="13">
        <v>1</v>
      </c>
      <c r="V85" s="13">
        <v>1</v>
      </c>
      <c r="W85" s="13">
        <v>1</v>
      </c>
      <c r="X85" s="13">
        <v>1</v>
      </c>
      <c r="Y85" s="13">
        <v>1</v>
      </c>
      <c r="Z85" s="14">
        <v>0</v>
      </c>
      <c r="AA85" s="14">
        <v>0</v>
      </c>
      <c r="AD85" t="str">
        <f t="shared" si="8"/>
        <v xml:space="preserve">Schroders - Adam Alexander - </v>
      </c>
      <c r="AE85">
        <f>MATCH(E85,'EMAIL LIST'!$F:$F,0)</f>
        <v>280</v>
      </c>
    </row>
    <row r="86" spans="3:31" x14ac:dyDescent="0.25">
      <c r="C86" t="s">
        <v>976</v>
      </c>
      <c r="D86" t="s">
        <v>1075</v>
      </c>
      <c r="E86" t="s">
        <v>975</v>
      </c>
      <c r="F86" t="s">
        <v>2051</v>
      </c>
      <c r="G86" s="2" t="s">
        <v>2103</v>
      </c>
      <c r="I86" s="2" t="s">
        <v>1995</v>
      </c>
      <c r="K86" s="14">
        <v>0</v>
      </c>
      <c r="L86" s="14">
        <v>0</v>
      </c>
      <c r="M86" s="14">
        <v>0</v>
      </c>
      <c r="N86" s="14">
        <v>0</v>
      </c>
      <c r="O86" s="13">
        <v>1</v>
      </c>
      <c r="P86" s="13">
        <v>1</v>
      </c>
      <c r="Q86" s="14">
        <v>0</v>
      </c>
      <c r="R86" s="14">
        <v>0</v>
      </c>
      <c r="T86" s="13">
        <v>1</v>
      </c>
      <c r="U86" s="13">
        <v>1</v>
      </c>
      <c r="V86" s="14">
        <v>0</v>
      </c>
      <c r="W86" s="14">
        <v>0</v>
      </c>
      <c r="X86" s="13">
        <v>1</v>
      </c>
      <c r="Y86" s="13">
        <v>1</v>
      </c>
      <c r="Z86" s="14">
        <v>0</v>
      </c>
      <c r="AA86" s="14">
        <v>0</v>
      </c>
      <c r="AD86" t="str">
        <f t="shared" si="8"/>
        <v xml:space="preserve">Hyperion - Michael Mewburn - </v>
      </c>
      <c r="AE86">
        <f>MATCH(E86,'EMAIL LIST'!$F:$F,0)</f>
        <v>147</v>
      </c>
    </row>
    <row r="87" spans="3:31" x14ac:dyDescent="0.25">
      <c r="C87" t="s">
        <v>2136</v>
      </c>
      <c r="D87" t="s">
        <v>1075</v>
      </c>
      <c r="E87" t="s">
        <v>2137</v>
      </c>
      <c r="F87" t="s">
        <v>2051</v>
      </c>
      <c r="G87" s="2" t="s">
        <v>2103</v>
      </c>
      <c r="I87" s="2" t="s">
        <v>2138</v>
      </c>
      <c r="K87" s="14">
        <v>0</v>
      </c>
      <c r="L87" s="14">
        <v>0</v>
      </c>
      <c r="M87" s="14">
        <v>0</v>
      </c>
      <c r="N87" s="14">
        <v>0</v>
      </c>
      <c r="O87" s="13">
        <v>1</v>
      </c>
      <c r="P87" s="13">
        <v>1</v>
      </c>
      <c r="Q87" s="14">
        <v>0</v>
      </c>
      <c r="R87" s="14">
        <v>0</v>
      </c>
      <c r="T87" s="13">
        <v>1</v>
      </c>
      <c r="U87" s="13">
        <v>1</v>
      </c>
      <c r="V87" s="14">
        <v>0</v>
      </c>
      <c r="W87" s="14">
        <v>0</v>
      </c>
      <c r="X87" s="13">
        <v>1</v>
      </c>
      <c r="Y87" s="13">
        <v>1</v>
      </c>
      <c r="Z87" s="14">
        <v>0</v>
      </c>
      <c r="AA87" s="14">
        <v>0</v>
      </c>
      <c r="AD87" t="str">
        <f t="shared" ref="AD87" si="9">D87&amp;" - "&amp;C87&amp;" - "</f>
        <v xml:space="preserve">Hyperion - Patrick Egstorf - </v>
      </c>
      <c r="AE87" t="e">
        <f>MATCH(E87,'EMAIL LIST'!$F:$F,0)</f>
        <v>#N/A</v>
      </c>
    </row>
    <row r="88" spans="3:31" x14ac:dyDescent="0.25">
      <c r="C88" t="s">
        <v>462</v>
      </c>
      <c r="D88" t="s">
        <v>2032</v>
      </c>
      <c r="E88" t="s">
        <v>463</v>
      </c>
      <c r="F88" t="s">
        <v>2051</v>
      </c>
      <c r="G88" s="2" t="s">
        <v>2103</v>
      </c>
      <c r="K88" s="13">
        <v>1</v>
      </c>
      <c r="L88" s="13">
        <v>1</v>
      </c>
      <c r="M88" s="14">
        <v>0</v>
      </c>
      <c r="N88" s="14">
        <v>0</v>
      </c>
      <c r="O88" s="13">
        <v>1</v>
      </c>
      <c r="P88" s="13">
        <v>1</v>
      </c>
      <c r="Q88" s="14">
        <v>0</v>
      </c>
      <c r="R88" s="14">
        <v>0</v>
      </c>
      <c r="T88" s="13">
        <v>1</v>
      </c>
      <c r="U88" s="13">
        <v>1</v>
      </c>
      <c r="V88" s="14">
        <v>0</v>
      </c>
      <c r="W88" s="14">
        <v>0</v>
      </c>
      <c r="X88" s="13">
        <v>1</v>
      </c>
      <c r="Y88" s="13">
        <v>1</v>
      </c>
      <c r="Z88" s="14">
        <v>0</v>
      </c>
      <c r="AA88" s="14">
        <v>0</v>
      </c>
      <c r="AD88" t="str">
        <f t="shared" si="8"/>
        <v xml:space="preserve">Aware - Luke Macnab - </v>
      </c>
      <c r="AE88">
        <f>MATCH(E88,'EMAIL LIST'!$F:$F,0)</f>
        <v>45</v>
      </c>
    </row>
    <row r="89" spans="3:31" x14ac:dyDescent="0.25">
      <c r="C89" t="s">
        <v>496</v>
      </c>
      <c r="D89" t="s">
        <v>2105</v>
      </c>
      <c r="E89" t="s">
        <v>2104</v>
      </c>
      <c r="F89" t="s">
        <v>2049</v>
      </c>
      <c r="G89" s="2" t="s">
        <v>2103</v>
      </c>
      <c r="I89" s="2" t="s">
        <v>2072</v>
      </c>
      <c r="K89" s="13">
        <v>1</v>
      </c>
      <c r="L89" s="13">
        <v>1</v>
      </c>
      <c r="M89" s="13">
        <v>1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T89" s="13">
        <v>1</v>
      </c>
      <c r="U89" s="13">
        <v>1</v>
      </c>
      <c r="V89" s="13">
        <v>1</v>
      </c>
      <c r="W89" s="13">
        <v>1</v>
      </c>
      <c r="X89" s="14">
        <v>0</v>
      </c>
      <c r="Y89" s="14">
        <v>0</v>
      </c>
      <c r="Z89" s="14">
        <v>0</v>
      </c>
      <c r="AA89" s="14">
        <v>0</v>
      </c>
      <c r="AD89" t="str">
        <f t="shared" si="8"/>
        <v xml:space="preserve">Susquehanna - Max Molinari - </v>
      </c>
      <c r="AE89" t="e">
        <f>MATCH(E89,'EMAIL LIST'!$F:$F,0)</f>
        <v>#N/A</v>
      </c>
    </row>
    <row r="90" spans="3:31" x14ac:dyDescent="0.25">
      <c r="C90" t="s">
        <v>425</v>
      </c>
      <c r="D90" t="s">
        <v>2033</v>
      </c>
      <c r="E90" t="s">
        <v>426</v>
      </c>
      <c r="G90" s="2" t="s">
        <v>2103</v>
      </c>
      <c r="K90" s="13">
        <v>1</v>
      </c>
      <c r="L90" s="13">
        <v>1</v>
      </c>
      <c r="M90" s="13">
        <v>1</v>
      </c>
      <c r="N90" s="13">
        <v>1</v>
      </c>
      <c r="O90" s="13">
        <v>1</v>
      </c>
      <c r="P90" s="13">
        <v>1</v>
      </c>
      <c r="Q90" s="14">
        <v>0</v>
      </c>
      <c r="R90" s="14">
        <v>0</v>
      </c>
      <c r="T90" s="13">
        <v>1</v>
      </c>
      <c r="U90" s="13">
        <v>1</v>
      </c>
      <c r="V90" s="13">
        <v>1</v>
      </c>
      <c r="W90" s="13">
        <v>1</v>
      </c>
      <c r="X90" s="13">
        <v>1</v>
      </c>
      <c r="Y90" s="13">
        <v>1</v>
      </c>
      <c r="Z90" s="14">
        <v>0</v>
      </c>
      <c r="AA90" s="14">
        <v>0</v>
      </c>
      <c r="AD90" t="str">
        <f t="shared" si="8"/>
        <v xml:space="preserve">Fairview Equity Partners - Ben Chan - </v>
      </c>
      <c r="AE90">
        <f>MATCH(E90,'EMAIL LIST'!$F:$F,0)</f>
        <v>279</v>
      </c>
    </row>
    <row r="91" spans="3:31" x14ac:dyDescent="0.25">
      <c r="C91" t="s">
        <v>1030</v>
      </c>
      <c r="D91" t="s">
        <v>1084</v>
      </c>
      <c r="E91" t="s">
        <v>1031</v>
      </c>
      <c r="G91" s="2" t="s">
        <v>2103</v>
      </c>
      <c r="I91" s="2" t="s">
        <v>1074</v>
      </c>
      <c r="K91" s="13">
        <v>1</v>
      </c>
      <c r="L91" s="13">
        <v>1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T91" s="13">
        <v>1</v>
      </c>
      <c r="U91" s="13">
        <v>1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D91" t="str">
        <f t="shared" si="8"/>
        <v xml:space="preserve">Northcape - Paul Parsons - </v>
      </c>
      <c r="AE91">
        <f>MATCH(E91,'EMAIL LIST'!$F:$F,0)</f>
        <v>201</v>
      </c>
    </row>
    <row r="92" spans="3:31" x14ac:dyDescent="0.25">
      <c r="C92" t="s">
        <v>413</v>
      </c>
      <c r="D92" t="s">
        <v>1084</v>
      </c>
      <c r="E92" t="s">
        <v>414</v>
      </c>
      <c r="G92" s="2" t="s">
        <v>2103</v>
      </c>
      <c r="K92" s="13">
        <v>1</v>
      </c>
      <c r="L92" s="13">
        <v>1</v>
      </c>
      <c r="M92" s="13">
        <v>1</v>
      </c>
      <c r="N92" s="13">
        <v>1</v>
      </c>
      <c r="O92" s="14">
        <v>0</v>
      </c>
      <c r="P92" s="14">
        <v>0</v>
      </c>
      <c r="Q92" s="14">
        <v>0</v>
      </c>
      <c r="R92" s="14">
        <v>0</v>
      </c>
      <c r="T92" s="13">
        <v>1</v>
      </c>
      <c r="U92" s="13">
        <v>1</v>
      </c>
      <c r="V92" s="13">
        <v>1</v>
      </c>
      <c r="W92" s="13">
        <v>1</v>
      </c>
      <c r="X92" s="14">
        <v>0</v>
      </c>
      <c r="Y92" s="14">
        <v>0</v>
      </c>
      <c r="Z92" s="14">
        <v>0</v>
      </c>
      <c r="AA92" s="14">
        <v>0</v>
      </c>
      <c r="AD92" t="str">
        <f t="shared" si="8"/>
        <v xml:space="preserve">Northcape - Peiting Liang - </v>
      </c>
      <c r="AE92">
        <f>MATCH(E92,'EMAIL LIST'!$F:$F,0)</f>
        <v>199</v>
      </c>
    </row>
    <row r="93" spans="3:31" x14ac:dyDescent="0.25">
      <c r="C93" t="s">
        <v>1033</v>
      </c>
      <c r="D93" t="s">
        <v>1991</v>
      </c>
      <c r="E93" t="s">
        <v>1034</v>
      </c>
      <c r="F93" t="s">
        <v>2050</v>
      </c>
      <c r="G93" s="2" t="s">
        <v>2103</v>
      </c>
      <c r="K93" s="13">
        <v>1</v>
      </c>
      <c r="L93" s="13">
        <v>1</v>
      </c>
      <c r="M93" s="13">
        <v>1</v>
      </c>
      <c r="N93" s="13">
        <v>1</v>
      </c>
      <c r="O93" s="14">
        <v>0</v>
      </c>
      <c r="P93" s="14">
        <v>0</v>
      </c>
      <c r="Q93" s="14">
        <v>0</v>
      </c>
      <c r="R93" s="14">
        <v>0</v>
      </c>
      <c r="T93" s="13">
        <v>1</v>
      </c>
      <c r="U93" s="13">
        <v>1</v>
      </c>
      <c r="V93" s="13">
        <v>1</v>
      </c>
      <c r="W93" s="13">
        <v>1</v>
      </c>
      <c r="X93" s="14">
        <v>0</v>
      </c>
      <c r="Y93" s="14">
        <v>0</v>
      </c>
      <c r="Z93" s="14">
        <v>0</v>
      </c>
      <c r="AA93" s="14">
        <v>0</v>
      </c>
      <c r="AD93" t="str">
        <f t="shared" si="8"/>
        <v xml:space="preserve">Clime - Oskar King - </v>
      </c>
      <c r="AE93">
        <f>MATCH(E93,'EMAIL LIST'!$F:$F,0)</f>
        <v>75</v>
      </c>
    </row>
    <row r="94" spans="3:31" x14ac:dyDescent="0.25">
      <c r="C94" t="s">
        <v>221</v>
      </c>
      <c r="D94" t="s">
        <v>1076</v>
      </c>
      <c r="E94" t="s">
        <v>222</v>
      </c>
      <c r="F94" t="s">
        <v>2050</v>
      </c>
      <c r="G94" s="2" t="s">
        <v>2103</v>
      </c>
      <c r="I94" s="2" t="s">
        <v>1074</v>
      </c>
      <c r="K94" s="14">
        <v>0</v>
      </c>
      <c r="L94" s="14">
        <v>0</v>
      </c>
      <c r="M94" s="13">
        <v>1</v>
      </c>
      <c r="N94" s="13">
        <v>1</v>
      </c>
      <c r="O94" s="14">
        <v>0</v>
      </c>
      <c r="P94" s="14">
        <v>0</v>
      </c>
      <c r="Q94" s="14">
        <v>0</v>
      </c>
      <c r="R94" s="14">
        <v>0</v>
      </c>
      <c r="T94" s="14">
        <v>0</v>
      </c>
      <c r="U94" s="14">
        <v>0</v>
      </c>
      <c r="V94" s="13">
        <v>1</v>
      </c>
      <c r="W94" s="13">
        <v>1</v>
      </c>
      <c r="X94" s="14">
        <v>0</v>
      </c>
      <c r="Y94" s="14">
        <v>0</v>
      </c>
      <c r="Z94" s="14">
        <v>0</v>
      </c>
      <c r="AA94" s="14">
        <v>0</v>
      </c>
      <c r="AD94" t="str">
        <f t="shared" si="8"/>
        <v xml:space="preserve">Chester - Luke Howard - </v>
      </c>
      <c r="AE94">
        <f>MATCH(E94,'EMAIL LIST'!$F:$F,0)</f>
        <v>69</v>
      </c>
    </row>
    <row r="95" spans="3:31" x14ac:dyDescent="0.25">
      <c r="C95" t="s">
        <v>1015</v>
      </c>
      <c r="D95" t="s">
        <v>1076</v>
      </c>
      <c r="E95" t="s">
        <v>1016</v>
      </c>
      <c r="F95" t="s">
        <v>2050</v>
      </c>
      <c r="G95" s="2" t="s">
        <v>2103</v>
      </c>
      <c r="K95" s="13">
        <v>1</v>
      </c>
      <c r="L95" s="13">
        <v>1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T95" s="13">
        <v>1</v>
      </c>
      <c r="U95" s="13">
        <v>1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D95" t="str">
        <f t="shared" si="8"/>
        <v xml:space="preserve">Chester - Anthony Kavanagh - </v>
      </c>
      <c r="AE95">
        <f>MATCH(E95,'EMAIL LIST'!$F:$F,0)</f>
        <v>71</v>
      </c>
    </row>
    <row r="96" spans="3:31" x14ac:dyDescent="0.25">
      <c r="C96" t="s">
        <v>937</v>
      </c>
      <c r="D96" s="62" t="s">
        <v>195</v>
      </c>
      <c r="E96" t="s">
        <v>936</v>
      </c>
      <c r="F96" t="s">
        <v>2050</v>
      </c>
      <c r="G96" s="2" t="s">
        <v>2103</v>
      </c>
      <c r="K96" s="14">
        <v>0</v>
      </c>
      <c r="L96" s="13">
        <v>1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T96" s="14">
        <v>0</v>
      </c>
      <c r="U96" s="13">
        <v>1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D96" t="str">
        <f t="shared" si="8"/>
        <v xml:space="preserve">1851 Capital - Chris Stott - </v>
      </c>
      <c r="AE96">
        <f>MATCH(E96,'EMAIL LIST'!$F:$F,0)</f>
        <v>348</v>
      </c>
    </row>
    <row r="97" spans="3:31" x14ac:dyDescent="0.25">
      <c r="C97" t="s">
        <v>494</v>
      </c>
      <c r="D97" t="s">
        <v>1086</v>
      </c>
      <c r="E97" t="s">
        <v>493</v>
      </c>
      <c r="G97" s="2" t="s">
        <v>2103</v>
      </c>
      <c r="K97" s="13">
        <v>1</v>
      </c>
      <c r="L97" s="13">
        <v>1</v>
      </c>
      <c r="M97" s="13">
        <v>1</v>
      </c>
      <c r="N97" s="13">
        <v>1</v>
      </c>
      <c r="O97" s="14">
        <v>0</v>
      </c>
      <c r="P97" s="14">
        <v>0</v>
      </c>
      <c r="Q97" s="14">
        <v>0</v>
      </c>
      <c r="R97" s="14">
        <v>0</v>
      </c>
      <c r="T97" s="13">
        <v>1</v>
      </c>
      <c r="U97" s="13">
        <v>1</v>
      </c>
      <c r="V97" s="13">
        <v>1</v>
      </c>
      <c r="W97" s="13">
        <v>1</v>
      </c>
      <c r="X97" s="14">
        <v>0</v>
      </c>
      <c r="Y97" s="14">
        <v>0</v>
      </c>
      <c r="Z97" s="14">
        <v>0</v>
      </c>
      <c r="AA97" s="14">
        <v>0</v>
      </c>
      <c r="AD97" t="str">
        <f t="shared" si="8"/>
        <v xml:space="preserve">Airlie - Jack McNally - </v>
      </c>
      <c r="AE97">
        <f>MATCH(E97,'EMAIL LIST'!$F:$F,0)</f>
        <v>8</v>
      </c>
    </row>
    <row r="98" spans="3:31" x14ac:dyDescent="0.25">
      <c r="C98" t="s">
        <v>1013</v>
      </c>
      <c r="D98" t="s">
        <v>1070</v>
      </c>
      <c r="E98" t="s">
        <v>992</v>
      </c>
      <c r="G98" s="2" t="s">
        <v>2103</v>
      </c>
      <c r="K98" s="13">
        <v>1</v>
      </c>
      <c r="L98" s="13">
        <v>1</v>
      </c>
      <c r="M98" s="14">
        <v>0</v>
      </c>
      <c r="N98" s="14">
        <v>0</v>
      </c>
      <c r="O98" s="13">
        <v>1</v>
      </c>
      <c r="P98" s="13">
        <v>1</v>
      </c>
      <c r="Q98" s="13">
        <v>1</v>
      </c>
      <c r="R98" s="13">
        <v>1</v>
      </c>
      <c r="T98" s="13">
        <v>1</v>
      </c>
      <c r="U98" s="13">
        <v>1</v>
      </c>
      <c r="V98" s="14">
        <v>0</v>
      </c>
      <c r="W98" s="14">
        <v>0</v>
      </c>
      <c r="X98" s="13">
        <v>1</v>
      </c>
      <c r="Y98" s="13">
        <v>1</v>
      </c>
      <c r="Z98" s="13">
        <v>1</v>
      </c>
      <c r="AA98" s="13">
        <v>1</v>
      </c>
      <c r="AD98" t="str">
        <f t="shared" si="8"/>
        <v xml:space="preserve">Allan Gray - Yipeng Liu - </v>
      </c>
      <c r="AE98">
        <f>MATCH(E98,'EMAIL LIST'!$F:$F,0)</f>
        <v>10</v>
      </c>
    </row>
    <row r="99" spans="3:31" x14ac:dyDescent="0.25">
      <c r="C99" t="s">
        <v>2016</v>
      </c>
      <c r="D99" t="s">
        <v>1070</v>
      </c>
      <c r="E99" t="s">
        <v>2019</v>
      </c>
      <c r="G99" s="2" t="s">
        <v>2103</v>
      </c>
      <c r="K99" s="13">
        <v>1</v>
      </c>
      <c r="L99" s="13">
        <v>1</v>
      </c>
      <c r="M99" s="14">
        <v>0</v>
      </c>
      <c r="N99" s="14">
        <v>0</v>
      </c>
      <c r="O99" s="13">
        <v>1</v>
      </c>
      <c r="P99" s="13">
        <v>1</v>
      </c>
      <c r="Q99" s="13">
        <v>1</v>
      </c>
      <c r="R99" s="13">
        <v>1</v>
      </c>
      <c r="T99" s="13">
        <v>1</v>
      </c>
      <c r="U99" s="13">
        <v>1</v>
      </c>
      <c r="V99" s="14">
        <v>0</v>
      </c>
      <c r="W99" s="14">
        <v>0</v>
      </c>
      <c r="X99" s="13">
        <v>1</v>
      </c>
      <c r="Y99" s="13">
        <v>1</v>
      </c>
      <c r="Z99" s="13">
        <v>1</v>
      </c>
      <c r="AA99" s="13">
        <v>1</v>
      </c>
      <c r="AD99" t="str">
        <f t="shared" si="8"/>
        <v xml:space="preserve">Allan Gray - Tim Morrison - </v>
      </c>
      <c r="AE99">
        <f>MATCH(E99,'EMAIL LIST'!$F:$F,0)</f>
        <v>11</v>
      </c>
    </row>
    <row r="100" spans="3:31" x14ac:dyDescent="0.25">
      <c r="C100" t="s">
        <v>2018</v>
      </c>
      <c r="D100" t="s">
        <v>971</v>
      </c>
      <c r="E100" t="s">
        <v>269</v>
      </c>
      <c r="G100" s="2" t="s">
        <v>2103</v>
      </c>
      <c r="K100" s="13">
        <v>1</v>
      </c>
      <c r="L100" s="13">
        <v>1</v>
      </c>
      <c r="M100" s="14">
        <v>0</v>
      </c>
      <c r="N100" s="14">
        <v>0</v>
      </c>
      <c r="O100" s="13">
        <v>1</v>
      </c>
      <c r="P100" s="13">
        <v>1</v>
      </c>
      <c r="Q100" s="14">
        <v>0</v>
      </c>
      <c r="R100" s="14">
        <v>0</v>
      </c>
      <c r="T100" s="13">
        <v>1</v>
      </c>
      <c r="U100" s="13">
        <v>1</v>
      </c>
      <c r="V100" s="14">
        <v>0</v>
      </c>
      <c r="W100" s="14">
        <v>0</v>
      </c>
      <c r="X100" s="13">
        <v>1</v>
      </c>
      <c r="Y100" s="13">
        <v>1</v>
      </c>
      <c r="Z100" s="14">
        <v>0</v>
      </c>
      <c r="AA100" s="14">
        <v>0</v>
      </c>
      <c r="AD100" t="str">
        <f t="shared" si="8"/>
        <v xml:space="preserve">Martin Currie - Patrick Potts - </v>
      </c>
      <c r="AE100">
        <f>MATCH(E100,'EMAIL LIST'!$F:$F,0)</f>
        <v>178</v>
      </c>
    </row>
    <row r="101" spans="3:31" x14ac:dyDescent="0.25">
      <c r="C101" t="s">
        <v>1067</v>
      </c>
      <c r="D101" t="s">
        <v>1066</v>
      </c>
      <c r="E101" t="s">
        <v>2021</v>
      </c>
      <c r="F101" t="s">
        <v>2051</v>
      </c>
      <c r="G101" s="2" t="s">
        <v>2103</v>
      </c>
      <c r="I101" s="2" t="s">
        <v>2004</v>
      </c>
      <c r="K101" s="13">
        <v>1</v>
      </c>
      <c r="L101" s="13">
        <v>1</v>
      </c>
      <c r="M101" s="13">
        <v>1</v>
      </c>
      <c r="N101" s="13">
        <v>1</v>
      </c>
      <c r="O101" s="14">
        <v>0</v>
      </c>
      <c r="P101" s="14">
        <v>0</v>
      </c>
      <c r="Q101" s="14">
        <v>0</v>
      </c>
      <c r="R101" s="14">
        <v>0</v>
      </c>
      <c r="T101" s="13">
        <v>1</v>
      </c>
      <c r="U101" s="13">
        <v>1</v>
      </c>
      <c r="V101" s="13">
        <v>1</v>
      </c>
      <c r="W101" s="13">
        <v>1</v>
      </c>
      <c r="X101" s="14">
        <v>0</v>
      </c>
      <c r="Y101" s="14">
        <v>0</v>
      </c>
      <c r="Z101" s="14">
        <v>0</v>
      </c>
      <c r="AA101" s="14">
        <v>0</v>
      </c>
      <c r="AD101" t="str">
        <f t="shared" si="8"/>
        <v xml:space="preserve">Blackwattle - Peter Wilson - </v>
      </c>
      <c r="AE101" t="e">
        <f>MATCH(E101,'EMAIL LIST'!$F:$F,0)</f>
        <v>#N/A</v>
      </c>
    </row>
    <row r="102" spans="3:31" x14ac:dyDescent="0.25">
      <c r="C102" t="s">
        <v>1046</v>
      </c>
      <c r="D102" t="s">
        <v>1066</v>
      </c>
      <c r="E102" t="s">
        <v>1047</v>
      </c>
      <c r="F102" t="s">
        <v>2051</v>
      </c>
      <c r="G102" s="2" t="s">
        <v>2103</v>
      </c>
      <c r="I102" s="2" t="s">
        <v>2004</v>
      </c>
      <c r="K102" s="13">
        <v>1</v>
      </c>
      <c r="L102" s="13">
        <v>1</v>
      </c>
      <c r="M102" s="13">
        <v>1</v>
      </c>
      <c r="N102" s="13">
        <v>1</v>
      </c>
      <c r="O102" s="14">
        <v>0</v>
      </c>
      <c r="P102" s="14">
        <v>0</v>
      </c>
      <c r="Q102" s="14">
        <v>0</v>
      </c>
      <c r="R102" s="14">
        <v>0</v>
      </c>
      <c r="T102" s="13">
        <v>1</v>
      </c>
      <c r="U102" s="13">
        <v>1</v>
      </c>
      <c r="V102" s="13">
        <v>1</v>
      </c>
      <c r="W102" s="13">
        <v>1</v>
      </c>
      <c r="X102" s="14">
        <v>0</v>
      </c>
      <c r="Y102" s="14">
        <v>0</v>
      </c>
      <c r="Z102" s="14">
        <v>0</v>
      </c>
      <c r="AA102" s="14">
        <v>0</v>
      </c>
      <c r="AD102" t="str">
        <f t="shared" si="8"/>
        <v xml:space="preserve">Blackwattle - Michael Teran - </v>
      </c>
      <c r="AE102">
        <f>MATCH(E102,'EMAIL LIST'!$F:$F,0)</f>
        <v>57</v>
      </c>
    </row>
    <row r="103" spans="3:31" x14ac:dyDescent="0.25">
      <c r="C103" t="s">
        <v>1998</v>
      </c>
      <c r="D103" t="s">
        <v>806</v>
      </c>
      <c r="E103" t="s">
        <v>2022</v>
      </c>
      <c r="G103" s="2" t="s">
        <v>2103</v>
      </c>
      <c r="I103" s="2" t="s">
        <v>1074</v>
      </c>
      <c r="K103" s="13">
        <v>1</v>
      </c>
      <c r="L103" s="13">
        <v>1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T103" s="13">
        <v>1</v>
      </c>
      <c r="U103" s="13">
        <v>1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D103" t="str">
        <f t="shared" si="8"/>
        <v xml:space="preserve">Endeavor Asset Management - Daniel Gafforini - </v>
      </c>
      <c r="AE103" t="e">
        <f>MATCH(E103,'EMAIL LIST'!$F:$F,0)</f>
        <v>#N/A</v>
      </c>
    </row>
    <row r="104" spans="3:31" x14ac:dyDescent="0.25">
      <c r="C104" t="s">
        <v>2001</v>
      </c>
      <c r="D104" t="s">
        <v>2035</v>
      </c>
      <c r="E104" t="s">
        <v>2002</v>
      </c>
      <c r="G104" s="2" t="s">
        <v>2103</v>
      </c>
      <c r="I104" s="2" t="s">
        <v>1074</v>
      </c>
      <c r="K104" s="13">
        <v>1</v>
      </c>
      <c r="L104" s="13">
        <v>1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T104" s="13">
        <v>1</v>
      </c>
      <c r="U104" s="13">
        <v>1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D104" t="str">
        <f t="shared" si="8"/>
        <v xml:space="preserve">Bell Asset Management - Darshana Nair Syama - </v>
      </c>
      <c r="AE104" t="e">
        <f>MATCH(E104,'EMAIL LIST'!$F:$F,0)</f>
        <v>#N/A</v>
      </c>
    </row>
    <row r="105" spans="3:31" x14ac:dyDescent="0.25">
      <c r="C105" t="s">
        <v>863</v>
      </c>
      <c r="D105" t="s">
        <v>2034</v>
      </c>
      <c r="E105" t="s">
        <v>862</v>
      </c>
      <c r="G105" s="2" t="s">
        <v>2103</v>
      </c>
      <c r="I105" s="2" t="s">
        <v>1074</v>
      </c>
      <c r="K105" s="13">
        <v>1</v>
      </c>
      <c r="L105" s="13">
        <v>1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T105" s="13">
        <v>1</v>
      </c>
      <c r="U105" s="13">
        <v>1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D105" t="str">
        <f t="shared" si="8"/>
        <v xml:space="preserve">Centennial Asset Management - Charlie Gray - </v>
      </c>
      <c r="AE105">
        <f>MATCH(E105,'EMAIL LIST'!$F:$F,0)</f>
        <v>58</v>
      </c>
    </row>
    <row r="106" spans="3:31" x14ac:dyDescent="0.25">
      <c r="C106" t="s">
        <v>438</v>
      </c>
      <c r="D106" t="s">
        <v>87</v>
      </c>
      <c r="E106" t="s">
        <v>439</v>
      </c>
      <c r="F106" t="s">
        <v>2048</v>
      </c>
      <c r="G106" s="2" t="s">
        <v>2103</v>
      </c>
      <c r="I106" s="2" t="s">
        <v>2067</v>
      </c>
      <c r="K106" s="13">
        <v>1</v>
      </c>
      <c r="L106" s="13">
        <v>1</v>
      </c>
      <c r="M106" s="14">
        <v>0</v>
      </c>
      <c r="N106" s="14">
        <v>0</v>
      </c>
      <c r="O106" s="13">
        <v>1</v>
      </c>
      <c r="P106" s="13">
        <v>1</v>
      </c>
      <c r="Q106" s="14">
        <v>0</v>
      </c>
      <c r="R106" s="14">
        <v>0</v>
      </c>
      <c r="T106" s="13">
        <v>1</v>
      </c>
      <c r="U106" s="13">
        <v>1</v>
      </c>
      <c r="V106" s="14">
        <v>0</v>
      </c>
      <c r="W106" s="14">
        <v>0</v>
      </c>
      <c r="X106" s="13">
        <v>1</v>
      </c>
      <c r="Y106" s="13">
        <v>1</v>
      </c>
      <c r="Z106" s="14">
        <v>0</v>
      </c>
      <c r="AA106" s="14">
        <v>0</v>
      </c>
      <c r="AD106" t="str">
        <f t="shared" si="8"/>
        <v xml:space="preserve">Yarra Funds Management Limited - David Schwartz - </v>
      </c>
      <c r="AE106">
        <f>MATCH(E106,'EMAIL LIST'!$F:$F,0)</f>
        <v>329</v>
      </c>
    </row>
    <row r="110" spans="3:31" x14ac:dyDescent="0.25">
      <c r="C110" t="s">
        <v>2141</v>
      </c>
      <c r="D110" s="67" t="s">
        <v>2142</v>
      </c>
      <c r="K110" s="13">
        <v>1</v>
      </c>
      <c r="L110" s="13">
        <v>1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</row>
  </sheetData>
  <autoFilter ref="C2:AA79" xr:uid="{E37793F0-FE1B-47A2-B4AB-03A9C5F28A56}"/>
  <hyperlinks>
    <hyperlink ref="E86" r:id="rId1" display="mailto:michael.mewburn@hyperion.com.au" xr:uid="{AF6F8E64-F212-49FD-AEB1-4970A4536D3C}"/>
    <hyperlink ref="E76" r:id="rId2" xr:uid="{12B59B9A-57FC-4DBC-BF1C-60523F30262F}"/>
    <hyperlink ref="E5" r:id="rId3" xr:uid="{823351FB-48E9-4E6B-9E95-4C7D548A65EF}"/>
  </hyperlinks>
  <pageMargins left="0.7" right="0.7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35ABA-7E7E-422F-B379-37D662051986}">
  <dimension ref="B1:Q28"/>
  <sheetViews>
    <sheetView workbookViewId="0">
      <selection activeCell="C36" sqref="C36"/>
    </sheetView>
  </sheetViews>
  <sheetFormatPr defaultRowHeight="15" x14ac:dyDescent="0.25"/>
  <cols>
    <col min="2" max="2" width="19.42578125" bestFit="1" customWidth="1"/>
    <col min="3" max="3" width="33.140625" bestFit="1" customWidth="1"/>
    <col min="4" max="4" width="9.7109375" bestFit="1" customWidth="1"/>
    <col min="5" max="5" width="41.85546875" bestFit="1" customWidth="1"/>
    <col min="6" max="6" width="2.7109375" customWidth="1"/>
    <col min="7" max="15" width="5.7109375" customWidth="1"/>
    <col min="16" max="16" width="2.7109375" customWidth="1"/>
    <col min="17" max="17" width="42.5703125" bestFit="1" customWidth="1"/>
  </cols>
  <sheetData>
    <row r="1" spans="2:17" s="2" customFormat="1" x14ac:dyDescent="0.25">
      <c r="B1" s="4" t="s">
        <v>997</v>
      </c>
      <c r="C1" s="4" t="s">
        <v>996</v>
      </c>
      <c r="D1" s="4"/>
      <c r="E1" s="4" t="s">
        <v>986</v>
      </c>
      <c r="F1" s="5"/>
      <c r="G1" s="6" t="s">
        <v>472</v>
      </c>
      <c r="H1" s="4" t="s">
        <v>3</v>
      </c>
      <c r="I1" s="4" t="s">
        <v>959</v>
      </c>
      <c r="J1" s="6" t="s">
        <v>972</v>
      </c>
      <c r="K1" s="6" t="s">
        <v>973</v>
      </c>
      <c r="L1" s="6" t="s">
        <v>982</v>
      </c>
      <c r="M1" s="6" t="s">
        <v>983</v>
      </c>
      <c r="N1" s="6" t="s">
        <v>984</v>
      </c>
      <c r="O1" s="6" t="s">
        <v>985</v>
      </c>
      <c r="P1" s="5"/>
      <c r="Q1" s="4" t="s">
        <v>1056</v>
      </c>
    </row>
    <row r="2" spans="2:17" x14ac:dyDescent="0.25">
      <c r="B2" t="s">
        <v>443</v>
      </c>
      <c r="C2" t="s">
        <v>442</v>
      </c>
      <c r="D2" t="s">
        <v>1001</v>
      </c>
      <c r="E2" s="1" t="s">
        <v>444</v>
      </c>
      <c r="G2" s="3">
        <v>1</v>
      </c>
      <c r="H2" s="3">
        <v>1</v>
      </c>
      <c r="I2" s="3">
        <v>1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Q2" t="str">
        <f>E2&amp;";"</f>
        <v>trevor.croker@aristocrat.com;</v>
      </c>
    </row>
    <row r="3" spans="2:17" x14ac:dyDescent="0.25">
      <c r="B3" t="s">
        <v>440</v>
      </c>
      <c r="C3" t="s">
        <v>442</v>
      </c>
      <c r="D3" t="s">
        <v>1001</v>
      </c>
      <c r="E3" s="1" t="s">
        <v>441</v>
      </c>
      <c r="G3" s="3">
        <v>1</v>
      </c>
      <c r="H3" s="3">
        <v>1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Q3" t="str">
        <f t="shared" ref="Q3:Q28" si="0">E3&amp;";"</f>
        <v>james.coghill@aristocrat.com;</v>
      </c>
    </row>
    <row r="4" spans="2:17" x14ac:dyDescent="0.25">
      <c r="B4" t="s">
        <v>445</v>
      </c>
      <c r="C4" t="s">
        <v>442</v>
      </c>
      <c r="D4" t="s">
        <v>1001</v>
      </c>
      <c r="E4" s="1" t="s">
        <v>446</v>
      </c>
      <c r="G4" s="3">
        <v>1</v>
      </c>
      <c r="H4" s="3">
        <v>1</v>
      </c>
      <c r="I4" s="3">
        <v>1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Q4" t="str">
        <f t="shared" si="0"/>
        <v>marla.sims@aristocrat.com;</v>
      </c>
    </row>
    <row r="5" spans="2:17" x14ac:dyDescent="0.25">
      <c r="B5" t="s">
        <v>464</v>
      </c>
      <c r="C5" t="s">
        <v>442</v>
      </c>
      <c r="D5" t="s">
        <v>1001</v>
      </c>
      <c r="E5" s="1" t="s">
        <v>465</v>
      </c>
      <c r="G5" s="3">
        <v>1</v>
      </c>
      <c r="H5" s="3">
        <v>1</v>
      </c>
      <c r="I5" s="3">
        <v>1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Q5" t="str">
        <f t="shared" si="0"/>
        <v>prashani.veerasamy@aristocrat.com;</v>
      </c>
    </row>
    <row r="6" spans="2:17" x14ac:dyDescent="0.25">
      <c r="B6" t="s">
        <v>447</v>
      </c>
      <c r="C6" t="s">
        <v>449</v>
      </c>
      <c r="D6" t="s">
        <v>1001</v>
      </c>
      <c r="E6" s="1" t="s">
        <v>448</v>
      </c>
      <c r="G6" s="3">
        <v>1</v>
      </c>
      <c r="H6" s="3">
        <v>1</v>
      </c>
      <c r="I6" s="3">
        <v>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Q6" t="str">
        <f t="shared" si="0"/>
        <v>rrattos@lnw.com;</v>
      </c>
    </row>
    <row r="7" spans="2:17" x14ac:dyDescent="0.25">
      <c r="B7" t="s">
        <v>450</v>
      </c>
      <c r="C7" t="s">
        <v>449</v>
      </c>
      <c r="D7" t="s">
        <v>1001</v>
      </c>
      <c r="E7" s="1" t="s">
        <v>451</v>
      </c>
      <c r="G7" s="3">
        <v>1</v>
      </c>
      <c r="H7" s="3">
        <v>1</v>
      </c>
      <c r="I7" s="3">
        <v>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Q7" t="str">
        <f t="shared" si="0"/>
        <v>dzangari@lnw.com;</v>
      </c>
    </row>
    <row r="8" spans="2:17" x14ac:dyDescent="0.25">
      <c r="B8" t="s">
        <v>452</v>
      </c>
      <c r="C8" t="s">
        <v>449</v>
      </c>
      <c r="D8" t="s">
        <v>1001</v>
      </c>
      <c r="E8" s="1" t="s">
        <v>453</v>
      </c>
      <c r="G8" s="3">
        <v>1</v>
      </c>
      <c r="H8" s="3">
        <v>1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Q8" t="str">
        <f t="shared" si="0"/>
        <v>swan@lnw.com;</v>
      </c>
    </row>
    <row r="9" spans="2:17" x14ac:dyDescent="0.25">
      <c r="B9" t="s">
        <v>454</v>
      </c>
      <c r="C9" t="s">
        <v>449</v>
      </c>
      <c r="D9" t="s">
        <v>1001</v>
      </c>
      <c r="E9" s="1" t="s">
        <v>455</v>
      </c>
      <c r="G9" s="3">
        <v>1</v>
      </c>
      <c r="H9" s="3">
        <v>1</v>
      </c>
      <c r="I9" s="3">
        <v>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Q9" t="str">
        <f t="shared" si="0"/>
        <v>mwilson@lnw.com;</v>
      </c>
    </row>
    <row r="10" spans="2:17" x14ac:dyDescent="0.25">
      <c r="B10" t="s">
        <v>456</v>
      </c>
      <c r="C10" t="s">
        <v>449</v>
      </c>
      <c r="D10" t="s">
        <v>1001</v>
      </c>
      <c r="E10" s="1" t="s">
        <v>457</v>
      </c>
      <c r="G10" s="3">
        <v>1</v>
      </c>
      <c r="H10" s="3">
        <v>1</v>
      </c>
      <c r="I10" s="3">
        <v>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Q10" t="str">
        <f t="shared" si="0"/>
        <v>toni.korsanos@icloud.com;</v>
      </c>
    </row>
    <row r="11" spans="2:17" x14ac:dyDescent="0.25">
      <c r="B11" t="s">
        <v>460</v>
      </c>
      <c r="C11" t="s">
        <v>449</v>
      </c>
      <c r="D11" t="s">
        <v>1001</v>
      </c>
      <c r="E11" s="1" t="s">
        <v>461</v>
      </c>
      <c r="G11" s="3">
        <v>1</v>
      </c>
      <c r="H11" s="3">
        <v>1</v>
      </c>
      <c r="I11" s="3">
        <v>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Q11" t="str">
        <f t="shared" si="0"/>
        <v>ochow@lnw.com;</v>
      </c>
    </row>
    <row r="12" spans="2:17" x14ac:dyDescent="0.25">
      <c r="B12" t="s">
        <v>458</v>
      </c>
      <c r="C12" t="s">
        <v>449</v>
      </c>
      <c r="D12" t="s">
        <v>1001</v>
      </c>
      <c r="E12" s="1" t="s">
        <v>459</v>
      </c>
      <c r="G12" s="3">
        <v>1</v>
      </c>
      <c r="H12" s="3">
        <v>1</v>
      </c>
      <c r="I12" s="3">
        <v>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Q12" t="str">
        <f t="shared" si="0"/>
        <v>jamie@jamieodell.com.au;</v>
      </c>
    </row>
    <row r="13" spans="2:17" x14ac:dyDescent="0.25">
      <c r="B13" t="s">
        <v>480</v>
      </c>
      <c r="C13" t="s">
        <v>449</v>
      </c>
      <c r="D13" t="s">
        <v>1001</v>
      </c>
      <c r="E13" s="1" t="s">
        <v>479</v>
      </c>
      <c r="G13" s="3">
        <v>1</v>
      </c>
      <c r="H13" s="3">
        <v>1</v>
      </c>
      <c r="I13" s="3">
        <v>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Q13" t="str">
        <f t="shared" si="0"/>
        <v>irresearch@lnw.com;</v>
      </c>
    </row>
    <row r="14" spans="2:17" x14ac:dyDescent="0.25">
      <c r="B14" t="s">
        <v>2028</v>
      </c>
      <c r="C14" t="s">
        <v>449</v>
      </c>
      <c r="D14" t="s">
        <v>1001</v>
      </c>
      <c r="E14" s="1" t="s">
        <v>2029</v>
      </c>
      <c r="G14" s="3">
        <v>1</v>
      </c>
      <c r="H14" s="3">
        <v>1</v>
      </c>
      <c r="I14" s="3">
        <v>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Q14" t="str">
        <f t="shared" si="0"/>
        <v>SSivaram@lnw.com;</v>
      </c>
    </row>
    <row r="15" spans="2:17" x14ac:dyDescent="0.25">
      <c r="B15" t="s">
        <v>2115</v>
      </c>
      <c r="C15" t="s">
        <v>449</v>
      </c>
      <c r="D15" t="s">
        <v>1001</v>
      </c>
      <c r="E15" s="1" t="s">
        <v>2116</v>
      </c>
      <c r="G15" s="3">
        <v>1</v>
      </c>
      <c r="H15" s="3">
        <v>1</v>
      </c>
      <c r="I15" s="3">
        <v>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Q15" t="s">
        <v>2116</v>
      </c>
    </row>
    <row r="16" spans="2:17" x14ac:dyDescent="0.25">
      <c r="B16" t="s">
        <v>44</v>
      </c>
      <c r="C16" t="s">
        <v>46</v>
      </c>
      <c r="D16" t="s">
        <v>1001</v>
      </c>
      <c r="E16" s="1" t="s">
        <v>45</v>
      </c>
      <c r="G16" s="3">
        <v>1</v>
      </c>
      <c r="H16" s="3">
        <v>0</v>
      </c>
      <c r="I16" s="3">
        <v>0</v>
      </c>
      <c r="J16" s="3">
        <v>1</v>
      </c>
      <c r="K16" s="3">
        <v>1</v>
      </c>
      <c r="L16" s="3">
        <v>0</v>
      </c>
      <c r="M16" s="3">
        <v>0</v>
      </c>
      <c r="N16" s="3">
        <v>0</v>
      </c>
      <c r="O16" s="3">
        <v>0</v>
      </c>
      <c r="Q16" t="str">
        <f t="shared" si="0"/>
        <v>jatink@jumbointeractive.com;</v>
      </c>
    </row>
    <row r="17" spans="2:17" x14ac:dyDescent="0.25">
      <c r="B17" t="s">
        <v>478</v>
      </c>
      <c r="C17" t="s">
        <v>46</v>
      </c>
      <c r="D17" t="s">
        <v>1001</v>
      </c>
      <c r="E17" s="1" t="s">
        <v>477</v>
      </c>
      <c r="G17" s="3">
        <v>1</v>
      </c>
      <c r="H17" s="3">
        <v>0</v>
      </c>
      <c r="I17" s="3">
        <v>0</v>
      </c>
      <c r="J17" s="3">
        <v>1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Q17" t="str">
        <f t="shared" si="0"/>
        <v>jonathanch@jumbointeractive.com;</v>
      </c>
    </row>
    <row r="18" spans="2:17" x14ac:dyDescent="0.25">
      <c r="B18" t="s">
        <v>55</v>
      </c>
      <c r="C18" t="s">
        <v>57</v>
      </c>
      <c r="D18" t="s">
        <v>1001</v>
      </c>
      <c r="E18" s="1" t="s">
        <v>56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1</v>
      </c>
      <c r="M18" s="3">
        <v>1</v>
      </c>
      <c r="N18" s="3">
        <v>0</v>
      </c>
      <c r="O18" s="3">
        <v>0</v>
      </c>
      <c r="Q18" t="str">
        <f t="shared" si="0"/>
        <v>stephen.forman@pointsbet.com;</v>
      </c>
    </row>
    <row r="19" spans="2:17" x14ac:dyDescent="0.25">
      <c r="B19" t="s">
        <v>489</v>
      </c>
      <c r="C19" t="s">
        <v>487</v>
      </c>
      <c r="D19" t="s">
        <v>1001</v>
      </c>
      <c r="E19" s="1" t="s">
        <v>488</v>
      </c>
      <c r="G19" s="3">
        <v>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1</v>
      </c>
      <c r="O19" s="3">
        <v>1</v>
      </c>
      <c r="Q19" t="str">
        <f t="shared" si="0"/>
        <v>craig.brown@skycity.co.nz;</v>
      </c>
    </row>
    <row r="20" spans="2:17" x14ac:dyDescent="0.25">
      <c r="B20" t="s">
        <v>27</v>
      </c>
      <c r="C20" t="s">
        <v>29</v>
      </c>
      <c r="D20" t="s">
        <v>1001</v>
      </c>
      <c r="E20" s="1" t="s">
        <v>28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3">
        <v>1</v>
      </c>
      <c r="M20" s="3">
        <v>1</v>
      </c>
      <c r="N20" s="3">
        <v>0</v>
      </c>
      <c r="O20" s="3">
        <v>0</v>
      </c>
      <c r="Q20" t="str">
        <f t="shared" si="0"/>
        <v>christopher.martin@sportsbet.com.au;</v>
      </c>
    </row>
    <row r="21" spans="2:17" x14ac:dyDescent="0.25">
      <c r="B21" t="s">
        <v>58</v>
      </c>
      <c r="C21" t="s">
        <v>60</v>
      </c>
      <c r="D21" t="s">
        <v>1001</v>
      </c>
      <c r="E21" s="1" t="s">
        <v>59</v>
      </c>
      <c r="G21" s="3">
        <v>1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1</v>
      </c>
      <c r="O21" s="3">
        <v>1</v>
      </c>
      <c r="Q21" t="str">
        <f t="shared" si="0"/>
        <v>dannyzhaoxiang.huang@star.com.au;</v>
      </c>
    </row>
    <row r="22" spans="2:17" x14ac:dyDescent="0.25">
      <c r="B22" t="s">
        <v>507</v>
      </c>
      <c r="C22" t="s">
        <v>486</v>
      </c>
      <c r="D22" t="s">
        <v>1001</v>
      </c>
      <c r="E22" s="1" t="s">
        <v>506</v>
      </c>
      <c r="G22" s="3">
        <v>1</v>
      </c>
      <c r="H22" s="3">
        <v>0</v>
      </c>
      <c r="I22" s="3">
        <v>0</v>
      </c>
      <c r="J22" s="3">
        <v>0</v>
      </c>
      <c r="K22" s="3">
        <v>0</v>
      </c>
      <c r="L22" s="3">
        <v>1</v>
      </c>
      <c r="M22" s="3">
        <v>1</v>
      </c>
      <c r="N22" s="3">
        <v>0</v>
      </c>
      <c r="O22" s="3">
        <v>0</v>
      </c>
      <c r="Q22" t="str">
        <f t="shared" si="0"/>
        <v>terry.couper@tabcorp.com.au;</v>
      </c>
    </row>
    <row r="23" spans="2:17" x14ac:dyDescent="0.25">
      <c r="B23" t="s">
        <v>2039</v>
      </c>
      <c r="C23" t="s">
        <v>486</v>
      </c>
      <c r="D23" t="s">
        <v>1001</v>
      </c>
      <c r="E23" s="1" t="s">
        <v>2040</v>
      </c>
      <c r="G23" s="3">
        <v>1</v>
      </c>
      <c r="H23" s="3">
        <v>0</v>
      </c>
      <c r="I23" s="3">
        <v>0</v>
      </c>
      <c r="J23" s="3">
        <v>0</v>
      </c>
      <c r="K23" s="3">
        <v>0</v>
      </c>
      <c r="L23" s="3">
        <v>1</v>
      </c>
      <c r="M23" s="3">
        <v>1</v>
      </c>
      <c r="N23" s="3">
        <v>0</v>
      </c>
      <c r="O23" s="3">
        <v>0</v>
      </c>
      <c r="Q23" t="str">
        <f>E23&amp;";"</f>
        <v>dan.butcher@tabcorp.com.au;</v>
      </c>
    </row>
    <row r="24" spans="2:17" x14ac:dyDescent="0.25">
      <c r="B24" t="s">
        <v>2122</v>
      </c>
      <c r="C24" t="s">
        <v>486</v>
      </c>
      <c r="D24" t="s">
        <v>1001</v>
      </c>
      <c r="E24" s="1" t="s">
        <v>2121</v>
      </c>
      <c r="G24" s="3">
        <v>1</v>
      </c>
      <c r="H24" s="3">
        <v>0</v>
      </c>
      <c r="I24" s="3">
        <v>0</v>
      </c>
      <c r="J24" s="3">
        <v>0</v>
      </c>
      <c r="K24" s="3">
        <v>0</v>
      </c>
      <c r="L24" s="3">
        <v>1</v>
      </c>
      <c r="M24" s="3">
        <v>1</v>
      </c>
      <c r="N24" s="3">
        <v>0</v>
      </c>
      <c r="O24" s="3">
        <v>0</v>
      </c>
      <c r="Q24" t="str">
        <f>E24&amp;";"</f>
        <v>jacky.dong@tabcorp.com.au;</v>
      </c>
    </row>
    <row r="25" spans="2:17" x14ac:dyDescent="0.25">
      <c r="B25" t="s">
        <v>502</v>
      </c>
      <c r="C25" t="s">
        <v>481</v>
      </c>
      <c r="D25" t="s">
        <v>1001</v>
      </c>
      <c r="E25" s="1" t="s">
        <v>501</v>
      </c>
      <c r="G25" s="3">
        <v>1</v>
      </c>
      <c r="H25" s="3">
        <v>0</v>
      </c>
      <c r="I25" s="3">
        <v>0</v>
      </c>
      <c r="J25" s="3">
        <v>1</v>
      </c>
      <c r="K25" s="3">
        <v>1</v>
      </c>
      <c r="L25" s="3">
        <v>0</v>
      </c>
      <c r="M25" s="3">
        <v>0</v>
      </c>
      <c r="N25" s="3">
        <v>0</v>
      </c>
      <c r="O25" s="3">
        <v>0</v>
      </c>
      <c r="Q25" t="str">
        <f t="shared" si="0"/>
        <v>chris.richardson@thelotterycorporation.com;</v>
      </c>
    </row>
    <row r="26" spans="2:17" x14ac:dyDescent="0.25">
      <c r="B26" t="s">
        <v>500</v>
      </c>
      <c r="C26" t="s">
        <v>481</v>
      </c>
      <c r="D26" t="s">
        <v>1001</v>
      </c>
      <c r="E26" s="1" t="s">
        <v>499</v>
      </c>
      <c r="G26" s="3">
        <v>1</v>
      </c>
      <c r="H26" s="3">
        <v>0</v>
      </c>
      <c r="I26" s="3">
        <v>0</v>
      </c>
      <c r="J26" s="3">
        <v>1</v>
      </c>
      <c r="K26" s="3">
        <v>1</v>
      </c>
      <c r="L26" s="3">
        <v>0</v>
      </c>
      <c r="M26" s="3">
        <v>0</v>
      </c>
      <c r="N26" s="3">
        <v>0</v>
      </c>
      <c r="O26" s="3">
        <v>0</v>
      </c>
      <c r="Q26" t="str">
        <f t="shared" si="0"/>
        <v>richard.nguyen@thelotterycorporation.com;</v>
      </c>
    </row>
    <row r="27" spans="2:17" x14ac:dyDescent="0.25">
      <c r="B27" t="s">
        <v>485</v>
      </c>
      <c r="C27" t="s">
        <v>481</v>
      </c>
      <c r="D27" t="s">
        <v>1001</v>
      </c>
      <c r="E27" s="1" t="s">
        <v>484</v>
      </c>
      <c r="G27" s="3">
        <v>1</v>
      </c>
      <c r="H27" s="3">
        <v>0</v>
      </c>
      <c r="I27" s="3">
        <v>0</v>
      </c>
      <c r="J27" s="3">
        <v>1</v>
      </c>
      <c r="K27" s="3">
        <v>1</v>
      </c>
      <c r="L27" s="3">
        <v>0</v>
      </c>
      <c r="M27" s="3">
        <v>0</v>
      </c>
      <c r="N27" s="3">
        <v>0</v>
      </c>
      <c r="O27" s="3">
        <v>0</v>
      </c>
      <c r="Q27" t="str">
        <f t="shared" si="0"/>
        <v>ruvani.fernando2@thelotterycorporation.com;</v>
      </c>
    </row>
    <row r="28" spans="2:17" x14ac:dyDescent="0.25">
      <c r="B28" t="s">
        <v>483</v>
      </c>
      <c r="C28" t="s">
        <v>481</v>
      </c>
      <c r="D28" t="s">
        <v>1001</v>
      </c>
      <c r="E28" s="1" t="s">
        <v>482</v>
      </c>
      <c r="G28" s="3">
        <v>1</v>
      </c>
      <c r="H28" s="3">
        <v>0</v>
      </c>
      <c r="I28" s="3">
        <v>0</v>
      </c>
      <c r="J28" s="3">
        <v>1</v>
      </c>
      <c r="K28" s="3">
        <v>1</v>
      </c>
      <c r="L28" s="3">
        <v>0</v>
      </c>
      <c r="M28" s="3">
        <v>0</v>
      </c>
      <c r="N28" s="3">
        <v>0</v>
      </c>
      <c r="O28" s="3">
        <v>0</v>
      </c>
      <c r="Q28" t="str">
        <f t="shared" si="0"/>
        <v>alex.hiotis@thelotterycorporation.com;</v>
      </c>
    </row>
  </sheetData>
  <hyperlinks>
    <hyperlink ref="E14" r:id="rId1" display="mailto:SSivaram@lnw.com" xr:uid="{7205CFCB-4FEB-4475-848F-1CC3CA536AB2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381C-69DE-402B-B0C4-F005457BEE7A}">
  <sheetPr>
    <tabColor theme="3" tint="0.249977111117893"/>
  </sheetPr>
  <dimension ref="A1"/>
  <sheetViews>
    <sheetView workbookViewId="0">
      <selection activeCell="O3" sqref="O3"/>
    </sheetView>
  </sheetViews>
  <sheetFormatPr defaultRowHeight="15" x14ac:dyDescent="0.25"/>
  <cols>
    <col min="2" max="2" width="16.85546875" bestFit="1" customWidth="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DFF5-E8C0-4130-B1FC-D0A0C1169D40}">
  <sheetPr>
    <tabColor theme="8"/>
    <outlinePr summaryRight="0"/>
    <pageSetUpPr fitToPage="1"/>
  </sheetPr>
  <dimension ref="A1:AH299"/>
  <sheetViews>
    <sheetView showGridLines="0" topLeftCell="B1" workbookViewId="0">
      <pane ySplit="1" topLeftCell="A2" activePane="bottomLeft" state="frozen"/>
      <selection pane="bottomLeft" activeCell="T12" sqref="T12"/>
    </sheetView>
  </sheetViews>
  <sheetFormatPr defaultColWidth="9.140625" defaultRowHeight="15" x14ac:dyDescent="0.25"/>
  <cols>
    <col min="1" max="1" width="10.5703125" style="20" hidden="1" customWidth="1"/>
    <col min="2" max="2" width="8.85546875" style="20" customWidth="1"/>
    <col min="3" max="3" width="51.85546875" style="20" customWidth="1"/>
    <col min="4" max="4" width="6" style="20" customWidth="1"/>
    <col min="5" max="5" width="7" style="20" customWidth="1"/>
    <col min="6" max="6" width="10.85546875" style="42" customWidth="1"/>
    <col min="7" max="7" width="10.42578125" style="42" customWidth="1"/>
    <col min="8" max="8" width="13.5703125" style="20" customWidth="1"/>
    <col min="9" max="9" width="11" style="20" customWidth="1"/>
    <col min="10" max="10" width="11.140625" style="20" customWidth="1"/>
    <col min="11" max="11" width="10.140625" style="20" customWidth="1"/>
    <col min="12" max="12" width="10.7109375" style="20" customWidth="1"/>
    <col min="13" max="13" width="11.42578125" style="20" customWidth="1"/>
    <col min="14" max="14" width="11" style="20" customWidth="1"/>
    <col min="15" max="15" width="11.28515625" style="20" customWidth="1"/>
    <col min="16" max="16" width="11" style="20" customWidth="1"/>
    <col min="17" max="17" width="10.5703125" style="20" customWidth="1"/>
    <col min="18" max="18" width="11" style="20" customWidth="1"/>
    <col min="19" max="19" width="11.28515625" style="20" customWidth="1"/>
    <col min="20" max="20" width="10.85546875" style="20" customWidth="1"/>
    <col min="21" max="21" width="14.140625" style="20" customWidth="1"/>
    <col min="22" max="22" width="9.85546875" style="20" customWidth="1"/>
    <col min="23" max="23" width="12" style="20" customWidth="1"/>
    <col min="24" max="24" width="9.42578125" style="20" customWidth="1"/>
    <col min="25" max="25" width="10" style="20" customWidth="1"/>
    <col min="26" max="27" width="9.28515625" style="20" customWidth="1"/>
    <col min="28" max="28" width="26" style="20" customWidth="1"/>
    <col min="29" max="29" width="10.42578125" style="20" customWidth="1"/>
    <col min="30" max="30" width="12.140625" style="20" customWidth="1"/>
    <col min="31" max="31" width="8.42578125" style="20" customWidth="1"/>
    <col min="32" max="32" width="10.5703125" style="20" customWidth="1"/>
    <col min="33" max="33" width="16.85546875" style="20" customWidth="1"/>
    <col min="34" max="34" width="17.85546875" style="20" customWidth="1"/>
    <col min="35" max="16384" width="9.140625" style="20"/>
  </cols>
  <sheetData>
    <row r="1" spans="1:34" ht="39" x14ac:dyDescent="0.25">
      <c r="A1" s="21" t="s">
        <v>1988</v>
      </c>
      <c r="B1" s="40" t="s">
        <v>1987</v>
      </c>
      <c r="C1" s="45" t="s">
        <v>997</v>
      </c>
      <c r="D1" s="40" t="s">
        <v>1986</v>
      </c>
      <c r="E1" s="40" t="s">
        <v>1985</v>
      </c>
      <c r="F1" s="40" t="s">
        <v>1984</v>
      </c>
      <c r="G1" s="40" t="s">
        <v>1983</v>
      </c>
      <c r="H1" s="40" t="s">
        <v>1982</v>
      </c>
      <c r="I1" s="40" t="s">
        <v>1981</v>
      </c>
      <c r="J1" s="40" t="s">
        <v>1980</v>
      </c>
      <c r="K1" s="40" t="s">
        <v>1979</v>
      </c>
      <c r="L1" s="40" t="s">
        <v>1978</v>
      </c>
      <c r="M1" s="40" t="s">
        <v>1977</v>
      </c>
      <c r="N1" s="40" t="s">
        <v>1976</v>
      </c>
      <c r="O1" s="40" t="s">
        <v>1975</v>
      </c>
      <c r="P1" s="40" t="s">
        <v>1974</v>
      </c>
      <c r="Q1" s="40" t="s">
        <v>1973</v>
      </c>
      <c r="R1" s="40" t="s">
        <v>1972</v>
      </c>
      <c r="S1" s="40" t="s">
        <v>1971</v>
      </c>
      <c r="T1" s="40" t="s">
        <v>1970</v>
      </c>
      <c r="U1" s="40" t="s">
        <v>1969</v>
      </c>
      <c r="V1" s="40" t="s">
        <v>1968</v>
      </c>
      <c r="W1" s="40" t="s">
        <v>1967</v>
      </c>
      <c r="X1" s="40" t="s">
        <v>1966</v>
      </c>
      <c r="Y1" s="40" t="s">
        <v>1965</v>
      </c>
      <c r="Z1" s="40" t="s">
        <v>1964</v>
      </c>
      <c r="AA1" s="40" t="s">
        <v>1963</v>
      </c>
      <c r="AB1" s="40" t="s">
        <v>1962</v>
      </c>
      <c r="AC1" s="40" t="s">
        <v>1961</v>
      </c>
      <c r="AD1" s="40" t="s">
        <v>1960</v>
      </c>
      <c r="AE1" s="40" t="s">
        <v>1959</v>
      </c>
      <c r="AF1" s="40" t="s">
        <v>1958</v>
      </c>
      <c r="AG1" s="40" t="s">
        <v>1957</v>
      </c>
      <c r="AH1" s="40" t="s">
        <v>1956</v>
      </c>
    </row>
    <row r="2" spans="1:34" ht="19.899999999999999" customHeight="1" x14ac:dyDescent="0.25">
      <c r="A2" s="21" t="s">
        <v>1114</v>
      </c>
      <c r="B2" s="46" t="s">
        <v>1114</v>
      </c>
      <c r="C2" s="48" t="s">
        <v>1115</v>
      </c>
      <c r="D2" s="50">
        <v>0.96978903000000005</v>
      </c>
      <c r="E2" s="50">
        <v>1.0000000200000001</v>
      </c>
      <c r="F2" s="52">
        <v>24697505</v>
      </c>
      <c r="G2" s="54">
        <v>566361</v>
      </c>
      <c r="H2" s="46" t="s">
        <v>1114</v>
      </c>
      <c r="I2" s="57">
        <v>24131144</v>
      </c>
      <c r="J2" s="57">
        <v>23051002</v>
      </c>
      <c r="K2" s="57">
        <v>22462427</v>
      </c>
      <c r="L2" s="57">
        <v>22279904</v>
      </c>
      <c r="M2" s="57">
        <v>22204962</v>
      </c>
      <c r="N2" s="57">
        <v>19447641</v>
      </c>
      <c r="O2" s="57">
        <v>17580079</v>
      </c>
      <c r="P2" s="57">
        <v>17569290</v>
      </c>
      <c r="Q2" s="57">
        <v>15160233</v>
      </c>
      <c r="R2" s="57">
        <v>15267359</v>
      </c>
      <c r="S2" s="57">
        <v>15339532</v>
      </c>
      <c r="T2" s="57">
        <v>15512303</v>
      </c>
      <c r="U2" s="46" t="s">
        <v>1114</v>
      </c>
      <c r="V2" s="46" t="s">
        <v>1114</v>
      </c>
      <c r="W2" s="46" t="s">
        <v>1114</v>
      </c>
      <c r="X2" s="46" t="s">
        <v>1114</v>
      </c>
      <c r="Y2" s="46" t="s">
        <v>1114</v>
      </c>
      <c r="Z2" s="46" t="s">
        <v>1114</v>
      </c>
      <c r="AA2" s="46" t="s">
        <v>1114</v>
      </c>
      <c r="AB2" s="46" t="s">
        <v>1114</v>
      </c>
      <c r="AC2" s="46" t="s">
        <v>1114</v>
      </c>
      <c r="AD2" s="46" t="s">
        <v>1114</v>
      </c>
      <c r="AE2" s="46" t="s">
        <v>1114</v>
      </c>
      <c r="AF2" s="46" t="s">
        <v>1114</v>
      </c>
      <c r="AG2" s="46" t="s">
        <v>1114</v>
      </c>
      <c r="AH2" s="46" t="s">
        <v>1114</v>
      </c>
    </row>
    <row r="3" spans="1:34" ht="19.899999999999999" customHeight="1" x14ac:dyDescent="0.25">
      <c r="A3" s="29" t="s">
        <v>1955</v>
      </c>
      <c r="B3" s="22" t="s">
        <v>1954</v>
      </c>
      <c r="C3" s="28" t="s">
        <v>1953</v>
      </c>
      <c r="D3" s="27">
        <v>0.22599591999999999</v>
      </c>
      <c r="E3" s="27">
        <v>0.2530636</v>
      </c>
      <c r="F3" s="41">
        <v>5755412</v>
      </c>
      <c r="G3" s="41">
        <v>0</v>
      </c>
      <c r="H3" s="24"/>
      <c r="I3" s="26">
        <v>5755412</v>
      </c>
      <c r="J3" s="26">
        <v>5927501</v>
      </c>
      <c r="K3" s="26">
        <v>7041264</v>
      </c>
      <c r="L3" s="26">
        <v>7042404</v>
      </c>
      <c r="M3" s="26">
        <v>7766025</v>
      </c>
      <c r="N3" s="26">
        <v>7766025</v>
      </c>
      <c r="O3" s="26">
        <v>7191195</v>
      </c>
      <c r="P3" s="26">
        <v>6597862</v>
      </c>
      <c r="Q3" s="26">
        <v>5231359</v>
      </c>
      <c r="R3" s="26">
        <v>5358593</v>
      </c>
      <c r="S3" s="26">
        <v>5542979</v>
      </c>
      <c r="T3" s="26">
        <v>5043429</v>
      </c>
      <c r="U3" s="27">
        <v>5.81143E-4</v>
      </c>
      <c r="V3" s="27">
        <v>7.61953E-4</v>
      </c>
      <c r="W3" s="39">
        <v>-5738.0829432999999</v>
      </c>
      <c r="X3" s="34">
        <v>1</v>
      </c>
      <c r="Y3" s="38" t="s">
        <v>1366</v>
      </c>
      <c r="Z3" s="22"/>
      <c r="AA3" s="24"/>
      <c r="AB3" s="22" t="s">
        <v>1186</v>
      </c>
      <c r="AC3" s="22" t="s">
        <v>1176</v>
      </c>
      <c r="AD3" s="22" t="s">
        <v>1471</v>
      </c>
      <c r="AE3" s="22" t="s">
        <v>1174</v>
      </c>
      <c r="AF3" s="23">
        <v>8.0257199999999997</v>
      </c>
      <c r="AG3" s="22" t="s">
        <v>1138</v>
      </c>
      <c r="AH3" s="22" t="s">
        <v>1123</v>
      </c>
    </row>
    <row r="4" spans="1:34" ht="19.899999999999999" customHeight="1" x14ac:dyDescent="0.25">
      <c r="A4" s="29" t="s">
        <v>1952</v>
      </c>
      <c r="B4" s="22" t="s">
        <v>1951</v>
      </c>
      <c r="C4" s="28" t="s">
        <v>1950</v>
      </c>
      <c r="D4" s="27">
        <v>5.5527880000000002E-2</v>
      </c>
      <c r="E4" s="27">
        <v>6.2178490000000003E-2</v>
      </c>
      <c r="F4" s="41">
        <v>1414122</v>
      </c>
      <c r="G4" s="43">
        <v>90500</v>
      </c>
      <c r="H4" s="24"/>
      <c r="I4" s="26">
        <v>1323622</v>
      </c>
      <c r="J4" s="26">
        <v>1005606</v>
      </c>
      <c r="K4" s="26">
        <v>818907</v>
      </c>
      <c r="L4" s="26">
        <v>1206094</v>
      </c>
      <c r="M4" s="26">
        <v>1129072</v>
      </c>
      <c r="N4" s="26">
        <v>940513</v>
      </c>
      <c r="O4" s="26">
        <v>940513</v>
      </c>
      <c r="P4" s="26">
        <v>1166219</v>
      </c>
      <c r="Q4" s="26">
        <v>1190238</v>
      </c>
      <c r="R4" s="26">
        <v>1190238</v>
      </c>
      <c r="S4" s="26">
        <v>1156753</v>
      </c>
      <c r="T4" s="26">
        <v>1155804</v>
      </c>
      <c r="U4" s="27">
        <v>3.2719823000000002E-2</v>
      </c>
      <c r="V4" s="27">
        <v>3.9868056999999998E-2</v>
      </c>
      <c r="W4" s="39">
        <v>-507.40489265999997</v>
      </c>
      <c r="X4" s="34">
        <v>1</v>
      </c>
      <c r="Y4" s="37" t="s">
        <v>1248</v>
      </c>
      <c r="Z4" s="31">
        <v>52</v>
      </c>
      <c r="AA4" s="24"/>
      <c r="AB4" s="22" t="s">
        <v>1186</v>
      </c>
      <c r="AC4" s="22" t="s">
        <v>1176</v>
      </c>
      <c r="AD4" s="22" t="s">
        <v>1273</v>
      </c>
      <c r="AE4" s="22" t="s">
        <v>1174</v>
      </c>
      <c r="AF4" s="23">
        <v>0.80503999999999998</v>
      </c>
      <c r="AG4" s="22" t="s">
        <v>1124</v>
      </c>
      <c r="AH4" s="22" t="s">
        <v>1123</v>
      </c>
    </row>
    <row r="5" spans="1:34" ht="19.899999999999999" customHeight="1" x14ac:dyDescent="0.25">
      <c r="A5" s="29" t="s">
        <v>1946</v>
      </c>
      <c r="B5" s="22" t="s">
        <v>1945</v>
      </c>
      <c r="C5" s="28" t="s">
        <v>1944</v>
      </c>
      <c r="D5" s="27">
        <v>4.2071419999999998E-2</v>
      </c>
      <c r="E5" s="27">
        <v>0</v>
      </c>
      <c r="F5" s="41">
        <v>1071428</v>
      </c>
      <c r="G5" s="41">
        <v>0</v>
      </c>
      <c r="H5" s="24"/>
      <c r="I5" s="26">
        <v>1071428</v>
      </c>
      <c r="J5" s="26">
        <v>1071428</v>
      </c>
      <c r="K5" s="26">
        <v>1071428</v>
      </c>
      <c r="L5" s="26">
        <v>1071428</v>
      </c>
      <c r="M5" s="26">
        <v>1071428</v>
      </c>
      <c r="N5" s="26">
        <v>1071428</v>
      </c>
      <c r="O5" s="26">
        <v>1071428</v>
      </c>
      <c r="P5" s="26">
        <v>1071428</v>
      </c>
      <c r="Q5" s="26">
        <v>1071428</v>
      </c>
      <c r="R5" s="26">
        <v>1071428</v>
      </c>
      <c r="S5" s="26">
        <v>1071428</v>
      </c>
      <c r="T5" s="26">
        <v>1071428</v>
      </c>
      <c r="U5" s="22"/>
      <c r="V5" s="22"/>
      <c r="W5" s="22"/>
      <c r="X5" s="22"/>
      <c r="Y5" s="25"/>
      <c r="Z5" s="22"/>
      <c r="AA5" s="24"/>
      <c r="AB5" s="22" t="s">
        <v>1161</v>
      </c>
      <c r="AC5" s="22"/>
      <c r="AD5" s="22" t="s">
        <v>1118</v>
      </c>
      <c r="AE5" s="22" t="s">
        <v>1118</v>
      </c>
      <c r="AF5" s="23">
        <v>0</v>
      </c>
      <c r="AG5" s="22" t="s">
        <v>1124</v>
      </c>
      <c r="AH5" s="22" t="s">
        <v>1123</v>
      </c>
    </row>
    <row r="6" spans="1:34" ht="19.899999999999999" customHeight="1" x14ac:dyDescent="0.25">
      <c r="A6" s="29" t="s">
        <v>1280</v>
      </c>
      <c r="B6" s="22" t="s">
        <v>1121</v>
      </c>
      <c r="C6" s="28" t="s">
        <v>1279</v>
      </c>
      <c r="D6" s="27">
        <v>0</v>
      </c>
      <c r="E6" s="27">
        <v>0</v>
      </c>
      <c r="F6" s="41">
        <v>0</v>
      </c>
      <c r="G6" s="41">
        <v>0</v>
      </c>
      <c r="H6" s="24"/>
      <c r="I6" s="26">
        <v>0</v>
      </c>
      <c r="J6" s="26">
        <v>0</v>
      </c>
      <c r="K6" s="26">
        <v>0</v>
      </c>
      <c r="L6" s="26">
        <v>714285</v>
      </c>
      <c r="M6" s="26">
        <v>714285</v>
      </c>
      <c r="N6" s="26">
        <v>714285</v>
      </c>
      <c r="O6" s="26">
        <v>714285</v>
      </c>
      <c r="P6" s="26">
        <v>714285</v>
      </c>
      <c r="Q6" s="26">
        <v>714285</v>
      </c>
      <c r="R6" s="26">
        <v>714285</v>
      </c>
      <c r="S6" s="26">
        <v>714285</v>
      </c>
      <c r="T6" s="26">
        <v>714285</v>
      </c>
      <c r="U6" s="22"/>
      <c r="V6" s="22"/>
      <c r="W6" s="22"/>
      <c r="X6" s="22"/>
      <c r="Y6" s="30" t="s">
        <v>1178</v>
      </c>
      <c r="Z6" s="22"/>
      <c r="AA6" s="24"/>
      <c r="AB6" s="22" t="s">
        <v>1278</v>
      </c>
      <c r="AC6" s="22" t="s">
        <v>1176</v>
      </c>
      <c r="AD6" s="22" t="s">
        <v>1277</v>
      </c>
      <c r="AE6" s="22" t="s">
        <v>1174</v>
      </c>
      <c r="AF6" s="23">
        <v>7.0849999999999996E-2</v>
      </c>
      <c r="AG6" s="22" t="s">
        <v>1276</v>
      </c>
      <c r="AH6" s="22" t="s">
        <v>1141</v>
      </c>
    </row>
    <row r="7" spans="1:34" ht="19.899999999999999" customHeight="1" x14ac:dyDescent="0.25">
      <c r="A7" s="29" t="s">
        <v>1481</v>
      </c>
      <c r="B7" s="22" t="s">
        <v>1480</v>
      </c>
      <c r="C7" s="28" t="s">
        <v>1479</v>
      </c>
      <c r="D7" s="27">
        <v>4.3000000000000001E-7</v>
      </c>
      <c r="E7" s="27">
        <v>0</v>
      </c>
      <c r="F7" s="41">
        <v>11</v>
      </c>
      <c r="G7" s="41">
        <v>0</v>
      </c>
      <c r="H7" s="24"/>
      <c r="I7" s="26">
        <v>11</v>
      </c>
      <c r="J7" s="26">
        <v>11</v>
      </c>
      <c r="K7" s="26">
        <v>11</v>
      </c>
      <c r="L7" s="26">
        <v>11</v>
      </c>
      <c r="M7" s="26">
        <v>0</v>
      </c>
      <c r="N7" s="26">
        <v>0</v>
      </c>
      <c r="O7" s="26">
        <v>0</v>
      </c>
      <c r="P7" s="26">
        <v>537456</v>
      </c>
      <c r="Q7" s="26">
        <v>0</v>
      </c>
      <c r="R7" s="26">
        <v>0</v>
      </c>
      <c r="S7" s="26">
        <v>0</v>
      </c>
      <c r="T7" s="26">
        <v>0</v>
      </c>
      <c r="U7" s="22"/>
      <c r="V7" s="22"/>
      <c r="W7" s="22"/>
      <c r="X7" s="22"/>
      <c r="Y7" s="25"/>
      <c r="Z7" s="22"/>
      <c r="AA7" s="24"/>
      <c r="AB7" s="22" t="s">
        <v>1222</v>
      </c>
      <c r="AC7" s="22" t="s">
        <v>1169</v>
      </c>
      <c r="AD7" s="22" t="s">
        <v>1118</v>
      </c>
      <c r="AE7" s="22" t="s">
        <v>1174</v>
      </c>
      <c r="AF7" s="23">
        <v>8.2199999999999999E-3</v>
      </c>
      <c r="AG7" s="22" t="s">
        <v>1138</v>
      </c>
      <c r="AH7" s="22" t="s">
        <v>1123</v>
      </c>
    </row>
    <row r="8" spans="1:34" ht="19.899999999999999" customHeight="1" x14ac:dyDescent="0.25">
      <c r="A8" s="29" t="s">
        <v>1934</v>
      </c>
      <c r="B8" s="22" t="s">
        <v>1933</v>
      </c>
      <c r="C8" s="28" t="s">
        <v>162</v>
      </c>
      <c r="D8" s="27">
        <v>3.1881399999999997E-2</v>
      </c>
      <c r="E8" s="27">
        <v>3.569986E-2</v>
      </c>
      <c r="F8" s="41">
        <v>811920</v>
      </c>
      <c r="G8" s="44">
        <v>-7976</v>
      </c>
      <c r="H8" s="24"/>
      <c r="I8" s="26">
        <v>819896</v>
      </c>
      <c r="J8" s="26">
        <v>775720</v>
      </c>
      <c r="K8" s="26">
        <v>815720</v>
      </c>
      <c r="L8" s="26">
        <v>782689</v>
      </c>
      <c r="M8" s="26">
        <v>782689</v>
      </c>
      <c r="N8" s="26">
        <v>643453</v>
      </c>
      <c r="O8" s="26">
        <v>581561</v>
      </c>
      <c r="P8" s="26">
        <v>501750</v>
      </c>
      <c r="Q8" s="26">
        <v>472403</v>
      </c>
      <c r="R8" s="26">
        <v>454933</v>
      </c>
      <c r="S8" s="26">
        <v>426359</v>
      </c>
      <c r="T8" s="26">
        <v>452183</v>
      </c>
      <c r="U8" s="27">
        <v>1.7716236E-2</v>
      </c>
      <c r="V8" s="27">
        <v>5.7206037000000001E-2</v>
      </c>
      <c r="W8" s="35">
        <v>489.11386757000002</v>
      </c>
      <c r="X8" s="34">
        <v>0.62</v>
      </c>
      <c r="Y8" s="38" t="s">
        <v>1366</v>
      </c>
      <c r="Z8" s="31">
        <v>81</v>
      </c>
      <c r="AA8" s="24"/>
      <c r="AB8" s="22" t="s">
        <v>1177</v>
      </c>
      <c r="AC8" s="22" t="s">
        <v>1176</v>
      </c>
      <c r="AD8" s="22" t="s">
        <v>1342</v>
      </c>
      <c r="AE8" s="22" t="s">
        <v>1174</v>
      </c>
      <c r="AF8" s="23">
        <v>5.6026800000000003</v>
      </c>
      <c r="AG8" s="22" t="s">
        <v>1138</v>
      </c>
      <c r="AH8" s="22" t="s">
        <v>1123</v>
      </c>
    </row>
    <row r="9" spans="1:34" ht="19.899999999999999" customHeight="1" x14ac:dyDescent="0.25">
      <c r="A9" s="29" t="s">
        <v>1923</v>
      </c>
      <c r="B9" s="22" t="s">
        <v>1922</v>
      </c>
      <c r="C9" s="28" t="s">
        <v>1921</v>
      </c>
      <c r="D9" s="27">
        <v>1.8845299999999999E-2</v>
      </c>
      <c r="E9" s="27">
        <v>2.1102409999999999E-2</v>
      </c>
      <c r="F9" s="41">
        <v>479931</v>
      </c>
      <c r="G9" s="44">
        <v>-99534</v>
      </c>
      <c r="H9" s="24"/>
      <c r="I9" s="26">
        <v>579465</v>
      </c>
      <c r="J9" s="26">
        <v>528320</v>
      </c>
      <c r="K9" s="26">
        <v>526220</v>
      </c>
      <c r="L9" s="26">
        <v>518820</v>
      </c>
      <c r="M9" s="26">
        <v>517960</v>
      </c>
      <c r="N9" s="26">
        <v>518073</v>
      </c>
      <c r="O9" s="26">
        <v>318396</v>
      </c>
      <c r="P9" s="26">
        <v>432308</v>
      </c>
      <c r="Q9" s="26">
        <v>422338</v>
      </c>
      <c r="R9" s="26">
        <v>422452</v>
      </c>
      <c r="S9" s="26">
        <v>406481</v>
      </c>
      <c r="T9" s="26">
        <v>365211</v>
      </c>
      <c r="U9" s="27">
        <v>1.9112117000000001E-2</v>
      </c>
      <c r="V9" s="27">
        <v>4.4837039000000002E-2</v>
      </c>
      <c r="W9" s="35">
        <v>539.79540161</v>
      </c>
      <c r="X9" s="34">
        <v>0.47</v>
      </c>
      <c r="Y9" s="33" t="s">
        <v>1196</v>
      </c>
      <c r="Z9" s="32">
        <v>-31</v>
      </c>
      <c r="AA9" s="24"/>
      <c r="AB9" s="22" t="s">
        <v>1186</v>
      </c>
      <c r="AC9" s="22" t="s">
        <v>1176</v>
      </c>
      <c r="AD9" s="22" t="s">
        <v>1342</v>
      </c>
      <c r="AE9" s="22" t="s">
        <v>1174</v>
      </c>
      <c r="AF9" s="23">
        <v>1.69234</v>
      </c>
      <c r="AG9" s="22" t="s">
        <v>1138</v>
      </c>
      <c r="AH9" s="22" t="s">
        <v>1123</v>
      </c>
    </row>
    <row r="10" spans="1:34" ht="19.899999999999999" customHeight="1" x14ac:dyDescent="0.25">
      <c r="A10" s="29" t="s">
        <v>1855</v>
      </c>
      <c r="B10" s="22" t="s">
        <v>1854</v>
      </c>
      <c r="C10" s="28" t="s">
        <v>1853</v>
      </c>
      <c r="D10" s="27">
        <v>5.8978600000000004E-3</v>
      </c>
      <c r="E10" s="27">
        <v>6.6042499999999999E-3</v>
      </c>
      <c r="F10" s="41">
        <v>150200</v>
      </c>
      <c r="G10" s="44">
        <v>-20240</v>
      </c>
      <c r="H10" s="24"/>
      <c r="I10" s="26">
        <v>170440</v>
      </c>
      <c r="J10" s="26">
        <v>177404</v>
      </c>
      <c r="K10" s="26">
        <v>208934</v>
      </c>
      <c r="L10" s="26">
        <v>194568</v>
      </c>
      <c r="M10" s="26">
        <v>399967</v>
      </c>
      <c r="N10" s="26">
        <v>417864</v>
      </c>
      <c r="O10" s="26">
        <v>374076</v>
      </c>
      <c r="P10" s="26">
        <v>394619</v>
      </c>
      <c r="Q10" s="26">
        <v>100809</v>
      </c>
      <c r="R10" s="26">
        <v>84724</v>
      </c>
      <c r="S10" s="26">
        <v>60389</v>
      </c>
      <c r="T10" s="26">
        <v>21687</v>
      </c>
      <c r="U10" s="27">
        <v>1.6721897999999999E-2</v>
      </c>
      <c r="V10" s="27">
        <v>4.8047952999999997E-2</v>
      </c>
      <c r="W10" s="35">
        <v>942.55204853999999</v>
      </c>
      <c r="X10" s="34">
        <v>0.14000000000000001</v>
      </c>
      <c r="Y10" s="37" t="s">
        <v>1248</v>
      </c>
      <c r="Z10" s="31">
        <v>81</v>
      </c>
      <c r="AA10" s="24"/>
      <c r="AB10" s="22" t="s">
        <v>1186</v>
      </c>
      <c r="AC10" s="22" t="s">
        <v>1176</v>
      </c>
      <c r="AD10" s="22" t="s">
        <v>1471</v>
      </c>
      <c r="AE10" s="22" t="s">
        <v>1174</v>
      </c>
      <c r="AF10" s="23">
        <v>0.81115000000000004</v>
      </c>
      <c r="AG10" s="22" t="s">
        <v>1653</v>
      </c>
      <c r="AH10" s="22" t="s">
        <v>1116</v>
      </c>
    </row>
    <row r="11" spans="1:34" ht="19.899999999999999" customHeight="1" x14ac:dyDescent="0.25">
      <c r="A11" s="29" t="s">
        <v>1920</v>
      </c>
      <c r="B11" s="22" t="s">
        <v>1919</v>
      </c>
      <c r="C11" s="28" t="s">
        <v>1918</v>
      </c>
      <c r="D11" s="27">
        <v>1.8627999999999999E-2</v>
      </c>
      <c r="E11" s="27">
        <v>2.0859079999999999E-2</v>
      </c>
      <c r="F11" s="41">
        <v>474397</v>
      </c>
      <c r="G11" s="41">
        <v>0</v>
      </c>
      <c r="H11" s="24"/>
      <c r="I11" s="26">
        <v>474397</v>
      </c>
      <c r="J11" s="26">
        <v>475000</v>
      </c>
      <c r="K11" s="26">
        <v>468249</v>
      </c>
      <c r="L11" s="26">
        <v>386952</v>
      </c>
      <c r="M11" s="26">
        <v>385000</v>
      </c>
      <c r="N11" s="26">
        <v>378000</v>
      </c>
      <c r="O11" s="26">
        <v>350000</v>
      </c>
      <c r="P11" s="26">
        <v>358752</v>
      </c>
      <c r="Q11" s="26">
        <v>358752</v>
      </c>
      <c r="R11" s="26">
        <v>350000</v>
      </c>
      <c r="S11" s="26">
        <v>350000</v>
      </c>
      <c r="T11" s="26">
        <v>350000</v>
      </c>
      <c r="U11" s="27">
        <v>1.4060049999999999E-2</v>
      </c>
      <c r="V11" s="27">
        <v>3.7135074999999997E-2</v>
      </c>
      <c r="W11" s="35">
        <v>370.16404256999999</v>
      </c>
      <c r="X11" s="34">
        <v>0.56000000000000005</v>
      </c>
      <c r="Y11" s="33" t="s">
        <v>1196</v>
      </c>
      <c r="Z11" s="22"/>
      <c r="AA11" s="24"/>
      <c r="AB11" s="22" t="s">
        <v>1186</v>
      </c>
      <c r="AC11" s="22" t="s">
        <v>1176</v>
      </c>
      <c r="AD11" s="22" t="s">
        <v>1118</v>
      </c>
      <c r="AE11" s="22" t="s">
        <v>1174</v>
      </c>
      <c r="AF11" s="23">
        <v>5.2659900000000004</v>
      </c>
      <c r="AG11" s="22" t="s">
        <v>1138</v>
      </c>
      <c r="AH11" s="22" t="s">
        <v>1123</v>
      </c>
    </row>
    <row r="12" spans="1:34" ht="19.899999999999999" customHeight="1" x14ac:dyDescent="0.25">
      <c r="A12" s="29" t="s">
        <v>1834</v>
      </c>
      <c r="B12" s="22" t="s">
        <v>1833</v>
      </c>
      <c r="C12" s="28" t="s">
        <v>290</v>
      </c>
      <c r="D12" s="27">
        <v>4.7338299999999996E-3</v>
      </c>
      <c r="E12" s="27">
        <v>5.3008100000000004E-3</v>
      </c>
      <c r="F12" s="41">
        <v>120556</v>
      </c>
      <c r="G12" s="44">
        <v>-61028</v>
      </c>
      <c r="H12" s="24"/>
      <c r="I12" s="26">
        <v>181584</v>
      </c>
      <c r="J12" s="26">
        <v>194635</v>
      </c>
      <c r="K12" s="26">
        <v>202656</v>
      </c>
      <c r="L12" s="26">
        <v>222484</v>
      </c>
      <c r="M12" s="26">
        <v>229612</v>
      </c>
      <c r="N12" s="26">
        <v>316754</v>
      </c>
      <c r="O12" s="26">
        <v>306070</v>
      </c>
      <c r="P12" s="26">
        <v>351426</v>
      </c>
      <c r="Q12" s="26">
        <v>356952</v>
      </c>
      <c r="R12" s="26">
        <v>292715</v>
      </c>
      <c r="S12" s="26">
        <v>198178</v>
      </c>
      <c r="T12" s="26">
        <v>198996</v>
      </c>
      <c r="U12" s="27">
        <v>1.5368148E-2</v>
      </c>
      <c r="V12" s="27">
        <v>4.9003855999999998E-2</v>
      </c>
      <c r="W12" s="35">
        <v>993.93609979999997</v>
      </c>
      <c r="X12" s="34">
        <v>0.11</v>
      </c>
      <c r="Y12" s="38" t="s">
        <v>1366</v>
      </c>
      <c r="Z12" s="32">
        <v>-218</v>
      </c>
      <c r="AA12" s="24"/>
      <c r="AB12" s="22" t="s">
        <v>1186</v>
      </c>
      <c r="AC12" s="22" t="s">
        <v>1176</v>
      </c>
      <c r="AD12" s="22" t="s">
        <v>1273</v>
      </c>
      <c r="AE12" s="22" t="s">
        <v>1174</v>
      </c>
      <c r="AF12" s="23">
        <v>4.0088100000000004</v>
      </c>
      <c r="AG12" s="22" t="s">
        <v>1138</v>
      </c>
      <c r="AH12" s="22" t="s">
        <v>1123</v>
      </c>
    </row>
    <row r="13" spans="1:34" ht="19.899999999999999" customHeight="1" x14ac:dyDescent="0.25">
      <c r="A13" s="29" t="s">
        <v>1837</v>
      </c>
      <c r="B13" s="22" t="s">
        <v>1836</v>
      </c>
      <c r="C13" s="28" t="s">
        <v>1835</v>
      </c>
      <c r="D13" s="27">
        <v>5.0064200000000001E-3</v>
      </c>
      <c r="E13" s="27">
        <v>5.6060499999999996E-3</v>
      </c>
      <c r="F13" s="41">
        <v>127498</v>
      </c>
      <c r="G13" s="44">
        <v>-190947</v>
      </c>
      <c r="H13" s="24"/>
      <c r="I13" s="26">
        <v>318445</v>
      </c>
      <c r="J13" s="26">
        <v>336069</v>
      </c>
      <c r="K13" s="26">
        <v>435735</v>
      </c>
      <c r="L13" s="26">
        <v>347079</v>
      </c>
      <c r="M13" s="26">
        <v>411191</v>
      </c>
      <c r="N13" s="26">
        <v>381948</v>
      </c>
      <c r="O13" s="26">
        <v>247347</v>
      </c>
      <c r="P13" s="26">
        <v>345276</v>
      </c>
      <c r="Q13" s="26">
        <v>399900</v>
      </c>
      <c r="R13" s="26">
        <v>469020</v>
      </c>
      <c r="S13" s="26">
        <v>356216</v>
      </c>
      <c r="T13" s="26">
        <v>346387</v>
      </c>
      <c r="U13" s="27">
        <v>8.3944880000000003E-3</v>
      </c>
      <c r="V13" s="27">
        <v>3.0774501999999999E-2</v>
      </c>
      <c r="W13" s="35">
        <v>572.40486794000003</v>
      </c>
      <c r="X13" s="34">
        <v>0.18</v>
      </c>
      <c r="Y13" s="37" t="s">
        <v>1248</v>
      </c>
      <c r="Z13" s="22"/>
      <c r="AA13" s="24"/>
      <c r="AB13" s="22" t="s">
        <v>1186</v>
      </c>
      <c r="AC13" s="22" t="s">
        <v>1176</v>
      </c>
      <c r="AD13" s="22" t="s">
        <v>1273</v>
      </c>
      <c r="AE13" s="22" t="s">
        <v>1174</v>
      </c>
      <c r="AF13" s="23">
        <v>1.05026</v>
      </c>
      <c r="AG13" s="22" t="s">
        <v>1138</v>
      </c>
      <c r="AH13" s="22" t="s">
        <v>1123</v>
      </c>
    </row>
    <row r="14" spans="1:34" ht="19.899999999999999" customHeight="1" x14ac:dyDescent="0.25">
      <c r="A14" s="29" t="s">
        <v>1902</v>
      </c>
      <c r="B14" s="22" t="s">
        <v>1901</v>
      </c>
      <c r="C14" s="28" t="s">
        <v>1900</v>
      </c>
      <c r="D14" s="27">
        <v>1.4566600000000001E-2</v>
      </c>
      <c r="E14" s="27">
        <v>1.6311249999999999E-2</v>
      </c>
      <c r="F14" s="41">
        <v>370966</v>
      </c>
      <c r="G14" s="44">
        <v>-45000</v>
      </c>
      <c r="H14" s="24"/>
      <c r="I14" s="26">
        <v>415966</v>
      </c>
      <c r="J14" s="26">
        <v>400148</v>
      </c>
      <c r="K14" s="26">
        <v>380148</v>
      </c>
      <c r="L14" s="26">
        <v>440794</v>
      </c>
      <c r="M14" s="26">
        <v>413640</v>
      </c>
      <c r="N14" s="26">
        <v>367640</v>
      </c>
      <c r="O14" s="26">
        <v>330640</v>
      </c>
      <c r="P14" s="26">
        <v>330640</v>
      </c>
      <c r="Q14" s="26">
        <v>320074</v>
      </c>
      <c r="R14" s="26">
        <v>307640</v>
      </c>
      <c r="S14" s="26">
        <v>307640</v>
      </c>
      <c r="T14" s="26">
        <v>327640</v>
      </c>
      <c r="U14" s="27">
        <v>1.7064192999999998E-2</v>
      </c>
      <c r="V14" s="27">
        <v>4.3425298000000001E-2</v>
      </c>
      <c r="W14" s="35">
        <v>616.65325086999997</v>
      </c>
      <c r="X14" s="34">
        <v>0.38</v>
      </c>
      <c r="Y14" s="36" t="s">
        <v>1204</v>
      </c>
      <c r="Z14" s="22"/>
      <c r="AA14" s="24"/>
      <c r="AB14" s="22" t="s">
        <v>1472</v>
      </c>
      <c r="AC14" s="22" t="s">
        <v>1176</v>
      </c>
      <c r="AD14" s="22" t="s">
        <v>1118</v>
      </c>
      <c r="AE14" s="22" t="s">
        <v>1174</v>
      </c>
      <c r="AF14" s="23">
        <v>1.528E-2</v>
      </c>
      <c r="AG14" s="22" t="s">
        <v>1124</v>
      </c>
      <c r="AH14" s="22" t="s">
        <v>1123</v>
      </c>
    </row>
    <row r="15" spans="1:34" ht="19.899999999999999" customHeight="1" x14ac:dyDescent="0.25">
      <c r="A15" s="29" t="s">
        <v>1899</v>
      </c>
      <c r="B15" s="22" t="s">
        <v>1898</v>
      </c>
      <c r="C15" s="28" t="s">
        <v>71</v>
      </c>
      <c r="D15" s="27">
        <v>1.349333E-2</v>
      </c>
      <c r="E15" s="27">
        <v>1.510943E-2</v>
      </c>
      <c r="F15" s="41">
        <v>343633</v>
      </c>
      <c r="G15" s="43">
        <v>26967</v>
      </c>
      <c r="H15" s="24"/>
      <c r="I15" s="26">
        <v>316666</v>
      </c>
      <c r="J15" s="26">
        <v>409577</v>
      </c>
      <c r="K15" s="26">
        <v>408428</v>
      </c>
      <c r="L15" s="26">
        <v>406545</v>
      </c>
      <c r="M15" s="26">
        <v>406545</v>
      </c>
      <c r="N15" s="26">
        <v>383479</v>
      </c>
      <c r="O15" s="26">
        <v>354226</v>
      </c>
      <c r="P15" s="26">
        <v>310406</v>
      </c>
      <c r="Q15" s="26">
        <v>131687</v>
      </c>
      <c r="R15" s="26">
        <v>95112</v>
      </c>
      <c r="S15" s="26">
        <v>105617</v>
      </c>
      <c r="T15" s="26">
        <v>105617</v>
      </c>
      <c r="U15" s="27">
        <v>1.1961757999999999E-2</v>
      </c>
      <c r="V15" s="27">
        <v>3.4761158E-2</v>
      </c>
      <c r="W15" s="35">
        <v>446.93817404999999</v>
      </c>
      <c r="X15" s="34">
        <v>0.43</v>
      </c>
      <c r="Y15" s="36" t="s">
        <v>1204</v>
      </c>
      <c r="Z15" s="32">
        <v>-1216</v>
      </c>
      <c r="AA15" s="24"/>
      <c r="AB15" s="22" t="s">
        <v>1186</v>
      </c>
      <c r="AC15" s="22" t="s">
        <v>1176</v>
      </c>
      <c r="AD15" s="22" t="s">
        <v>1594</v>
      </c>
      <c r="AE15" s="22" t="s">
        <v>1174</v>
      </c>
      <c r="AF15" s="23">
        <v>5.4951699999999999</v>
      </c>
      <c r="AG15" s="22" t="s">
        <v>1138</v>
      </c>
      <c r="AH15" s="22" t="s">
        <v>1123</v>
      </c>
    </row>
    <row r="16" spans="1:34" ht="19.899999999999999" customHeight="1" x14ac:dyDescent="0.25">
      <c r="A16" s="29" t="s">
        <v>1470</v>
      </c>
      <c r="B16" s="22" t="s">
        <v>1469</v>
      </c>
      <c r="C16" s="28" t="s">
        <v>1468</v>
      </c>
      <c r="D16" s="27">
        <v>0</v>
      </c>
      <c r="E16" s="27">
        <v>0</v>
      </c>
      <c r="F16" s="41">
        <v>0</v>
      </c>
      <c r="G16" s="44">
        <v>-176754</v>
      </c>
      <c r="H16" s="24"/>
      <c r="I16" s="26">
        <v>176754</v>
      </c>
      <c r="J16" s="26">
        <v>375825</v>
      </c>
      <c r="K16" s="26">
        <v>352007</v>
      </c>
      <c r="L16" s="26">
        <v>324780</v>
      </c>
      <c r="M16" s="26">
        <v>325465</v>
      </c>
      <c r="N16" s="26">
        <v>296578</v>
      </c>
      <c r="O16" s="26">
        <v>275817</v>
      </c>
      <c r="P16" s="26">
        <v>269974</v>
      </c>
      <c r="Q16" s="26">
        <v>146958</v>
      </c>
      <c r="R16" s="26">
        <v>275304</v>
      </c>
      <c r="S16" s="26">
        <v>275215</v>
      </c>
      <c r="T16" s="26">
        <v>219573</v>
      </c>
      <c r="U16" s="27">
        <v>1.2202184E-2</v>
      </c>
      <c r="V16" s="27">
        <v>2.6954175E-2</v>
      </c>
      <c r="W16" s="35">
        <v>613.01737345000004</v>
      </c>
      <c r="X16" s="34">
        <v>0</v>
      </c>
      <c r="Y16" s="37" t="s">
        <v>1248</v>
      </c>
      <c r="Z16" s="31">
        <v>27</v>
      </c>
      <c r="AA16" s="24"/>
      <c r="AB16" s="22" t="s">
        <v>1186</v>
      </c>
      <c r="AC16" s="22" t="s">
        <v>1176</v>
      </c>
      <c r="AD16" s="22" t="s">
        <v>1342</v>
      </c>
      <c r="AE16" s="22" t="s">
        <v>1174</v>
      </c>
      <c r="AF16" s="23">
        <v>0.17985999999999999</v>
      </c>
      <c r="AG16" s="22" t="s">
        <v>1138</v>
      </c>
      <c r="AH16" s="22" t="s">
        <v>1123</v>
      </c>
    </row>
    <row r="17" spans="1:34" ht="19.899999999999999" customHeight="1" x14ac:dyDescent="0.25">
      <c r="A17" s="29" t="s">
        <v>1937</v>
      </c>
      <c r="B17" s="22" t="s">
        <v>1936</v>
      </c>
      <c r="C17" s="28" t="s">
        <v>1935</v>
      </c>
      <c r="D17" s="27">
        <v>3.266956E-2</v>
      </c>
      <c r="E17" s="27">
        <v>3.6582419999999997E-2</v>
      </c>
      <c r="F17" s="41">
        <v>831992</v>
      </c>
      <c r="G17" s="43">
        <v>14397</v>
      </c>
      <c r="H17" s="24"/>
      <c r="I17" s="26">
        <v>817595</v>
      </c>
      <c r="J17" s="26">
        <v>665961</v>
      </c>
      <c r="K17" s="26">
        <v>501107</v>
      </c>
      <c r="L17" s="26">
        <v>459758</v>
      </c>
      <c r="M17" s="26">
        <v>373125</v>
      </c>
      <c r="N17" s="26">
        <v>280841</v>
      </c>
      <c r="O17" s="26">
        <v>279831</v>
      </c>
      <c r="P17" s="26">
        <v>226495</v>
      </c>
      <c r="Q17" s="26">
        <v>172228</v>
      </c>
      <c r="R17" s="26">
        <v>155707</v>
      </c>
      <c r="S17" s="26">
        <v>112292</v>
      </c>
      <c r="T17" s="26">
        <v>111180</v>
      </c>
      <c r="U17" s="27">
        <v>4.2074572999999997E-2</v>
      </c>
      <c r="V17" s="27">
        <v>6.9620494000000005E-2</v>
      </c>
      <c r="W17" s="35">
        <v>751.38320515999999</v>
      </c>
      <c r="X17" s="34">
        <v>0.53</v>
      </c>
      <c r="Y17" s="38" t="s">
        <v>1366</v>
      </c>
      <c r="Z17" s="32">
        <v>-163</v>
      </c>
      <c r="AA17" s="24"/>
      <c r="AB17" s="22" t="s">
        <v>1177</v>
      </c>
      <c r="AC17" s="22" t="s">
        <v>1169</v>
      </c>
      <c r="AD17" s="22" t="s">
        <v>1518</v>
      </c>
      <c r="AE17" s="22" t="s">
        <v>1174</v>
      </c>
      <c r="AF17" s="23">
        <v>62.720550000000003</v>
      </c>
      <c r="AG17" s="22" t="s">
        <v>1138</v>
      </c>
      <c r="AH17" s="22" t="s">
        <v>1123</v>
      </c>
    </row>
    <row r="18" spans="1:34" ht="19.899999999999999" customHeight="1" x14ac:dyDescent="0.25">
      <c r="A18" s="29" t="s">
        <v>1885</v>
      </c>
      <c r="B18" s="22" t="s">
        <v>1884</v>
      </c>
      <c r="C18" s="28" t="s">
        <v>1883</v>
      </c>
      <c r="D18" s="27">
        <v>1.110854E-2</v>
      </c>
      <c r="E18" s="27">
        <v>1.243902E-2</v>
      </c>
      <c r="F18" s="41">
        <v>282900</v>
      </c>
      <c r="G18" s="43">
        <v>30350</v>
      </c>
      <c r="H18" s="24"/>
      <c r="I18" s="26">
        <v>252550</v>
      </c>
      <c r="J18" s="26">
        <v>207000</v>
      </c>
      <c r="K18" s="26">
        <v>181800</v>
      </c>
      <c r="L18" s="26">
        <v>166250</v>
      </c>
      <c r="M18" s="26">
        <v>192000</v>
      </c>
      <c r="N18" s="26">
        <v>182150</v>
      </c>
      <c r="O18" s="26">
        <v>202200</v>
      </c>
      <c r="P18" s="26">
        <v>217500</v>
      </c>
      <c r="Q18" s="26">
        <v>132700</v>
      </c>
      <c r="R18" s="26">
        <v>112062</v>
      </c>
      <c r="S18" s="26">
        <v>212500</v>
      </c>
      <c r="T18" s="26">
        <v>252200</v>
      </c>
      <c r="U18" s="27">
        <v>1.0980224E-2</v>
      </c>
      <c r="V18" s="27">
        <v>1.19486E-2</v>
      </c>
      <c r="W18" s="39">
        <v>-11.15362348</v>
      </c>
      <c r="X18" s="34">
        <v>1</v>
      </c>
      <c r="Y18" s="30" t="s">
        <v>1178</v>
      </c>
      <c r="Z18" s="31">
        <v>167</v>
      </c>
      <c r="AA18" s="24"/>
      <c r="AB18" s="22" t="s">
        <v>1186</v>
      </c>
      <c r="AC18" s="22" t="s">
        <v>1176</v>
      </c>
      <c r="AD18" s="22" t="s">
        <v>1273</v>
      </c>
      <c r="AE18" s="22" t="s">
        <v>1174</v>
      </c>
      <c r="AF18" s="23">
        <v>4.8489999999999998E-2</v>
      </c>
      <c r="AG18" s="22" t="s">
        <v>1124</v>
      </c>
      <c r="AH18" s="22" t="s">
        <v>1123</v>
      </c>
    </row>
    <row r="19" spans="1:34" ht="19.899999999999999" customHeight="1" x14ac:dyDescent="0.25">
      <c r="A19" s="29" t="s">
        <v>1897</v>
      </c>
      <c r="B19" s="22" t="s">
        <v>1896</v>
      </c>
      <c r="C19" s="28" t="s">
        <v>1895</v>
      </c>
      <c r="D19" s="27">
        <v>1.329778E-2</v>
      </c>
      <c r="E19" s="27">
        <v>1.4890459999999999E-2</v>
      </c>
      <c r="F19" s="41">
        <v>338653</v>
      </c>
      <c r="G19" s="43">
        <v>3581</v>
      </c>
      <c r="H19" s="24"/>
      <c r="I19" s="26">
        <v>335072</v>
      </c>
      <c r="J19" s="26">
        <v>269290</v>
      </c>
      <c r="K19" s="26">
        <v>267018</v>
      </c>
      <c r="L19" s="26">
        <v>265466</v>
      </c>
      <c r="M19" s="26">
        <v>223658</v>
      </c>
      <c r="N19" s="26">
        <v>222556</v>
      </c>
      <c r="O19" s="26">
        <v>223483</v>
      </c>
      <c r="P19" s="26">
        <v>202790</v>
      </c>
      <c r="Q19" s="26">
        <v>202880</v>
      </c>
      <c r="R19" s="26">
        <v>201875</v>
      </c>
      <c r="S19" s="26">
        <v>168702</v>
      </c>
      <c r="T19" s="26">
        <v>167403</v>
      </c>
      <c r="U19" s="27">
        <v>2.0312238E-2</v>
      </c>
      <c r="V19" s="27">
        <v>4.3478874000000001E-2</v>
      </c>
      <c r="W19" s="35">
        <v>650.18472699999995</v>
      </c>
      <c r="X19" s="34">
        <v>0.34</v>
      </c>
      <c r="Y19" s="36" t="s">
        <v>1204</v>
      </c>
      <c r="Z19" s="32">
        <v>-582</v>
      </c>
      <c r="AA19" s="24"/>
      <c r="AB19" s="22" t="s">
        <v>1186</v>
      </c>
      <c r="AC19" s="22" t="s">
        <v>1169</v>
      </c>
      <c r="AD19" s="22" t="s">
        <v>1518</v>
      </c>
      <c r="AE19" s="22" t="s">
        <v>1174</v>
      </c>
      <c r="AF19" s="23">
        <v>82.157430000000005</v>
      </c>
      <c r="AG19" s="22" t="s">
        <v>1124</v>
      </c>
      <c r="AH19" s="22" t="s">
        <v>1123</v>
      </c>
    </row>
    <row r="20" spans="1:34" ht="19.899999999999999" customHeight="1" x14ac:dyDescent="0.25">
      <c r="A20" s="29" t="s">
        <v>1861</v>
      </c>
      <c r="B20" s="22" t="s">
        <v>1860</v>
      </c>
      <c r="C20" s="28" t="s">
        <v>1859</v>
      </c>
      <c r="D20" s="27">
        <v>6.1418999999999996E-3</v>
      </c>
      <c r="E20" s="27">
        <v>6.8775199999999998E-3</v>
      </c>
      <c r="F20" s="41">
        <v>156415</v>
      </c>
      <c r="G20" s="44">
        <v>-42469</v>
      </c>
      <c r="H20" s="24"/>
      <c r="I20" s="26">
        <v>198884</v>
      </c>
      <c r="J20" s="26">
        <v>198995</v>
      </c>
      <c r="K20" s="26">
        <v>198586</v>
      </c>
      <c r="L20" s="26">
        <v>208749</v>
      </c>
      <c r="M20" s="26">
        <v>208749</v>
      </c>
      <c r="N20" s="26">
        <v>208442</v>
      </c>
      <c r="O20" s="26">
        <v>183471</v>
      </c>
      <c r="P20" s="26">
        <v>200757</v>
      </c>
      <c r="Q20" s="26">
        <v>236020</v>
      </c>
      <c r="R20" s="26">
        <v>213888</v>
      </c>
      <c r="S20" s="26">
        <v>213973</v>
      </c>
      <c r="T20" s="26">
        <v>206723</v>
      </c>
      <c r="U20" s="27">
        <v>8.5837199999999995E-3</v>
      </c>
      <c r="V20" s="27">
        <v>1.0007452999999999E-2</v>
      </c>
      <c r="W20" s="35">
        <v>71.183973179999995</v>
      </c>
      <c r="X20" s="34">
        <v>0.69</v>
      </c>
      <c r="Y20" s="30" t="s">
        <v>1178</v>
      </c>
      <c r="Z20" s="32">
        <v>-32</v>
      </c>
      <c r="AA20" s="24"/>
      <c r="AB20" s="22" t="s">
        <v>1186</v>
      </c>
      <c r="AC20" s="22" t="s">
        <v>1176</v>
      </c>
      <c r="AD20" s="22" t="s">
        <v>1118</v>
      </c>
      <c r="AE20" s="22" t="s">
        <v>1174</v>
      </c>
      <c r="AF20" s="23">
        <v>3.066E-2</v>
      </c>
      <c r="AG20" s="22" t="s">
        <v>1124</v>
      </c>
      <c r="AH20" s="22" t="s">
        <v>1123</v>
      </c>
    </row>
    <row r="21" spans="1:34" ht="19.899999999999999" customHeight="1" x14ac:dyDescent="0.25">
      <c r="A21" s="29" t="s">
        <v>1876</v>
      </c>
      <c r="B21" s="22" t="s">
        <v>1875</v>
      </c>
      <c r="C21" s="28" t="s">
        <v>1874</v>
      </c>
      <c r="D21" s="27">
        <v>8.3021199999999996E-3</v>
      </c>
      <c r="E21" s="27">
        <v>9.2964599999999994E-3</v>
      </c>
      <c r="F21" s="41">
        <v>211429</v>
      </c>
      <c r="G21" s="44">
        <v>-3395</v>
      </c>
      <c r="H21" s="24"/>
      <c r="I21" s="26">
        <v>214824</v>
      </c>
      <c r="J21" s="26">
        <v>256043</v>
      </c>
      <c r="K21" s="26">
        <v>260201</v>
      </c>
      <c r="L21" s="26">
        <v>262255</v>
      </c>
      <c r="M21" s="26">
        <v>262377</v>
      </c>
      <c r="N21" s="26">
        <v>262058</v>
      </c>
      <c r="O21" s="26">
        <v>254189</v>
      </c>
      <c r="P21" s="26">
        <v>199521</v>
      </c>
      <c r="Q21" s="26">
        <v>269184</v>
      </c>
      <c r="R21" s="26">
        <v>262390</v>
      </c>
      <c r="S21" s="26">
        <v>252749</v>
      </c>
      <c r="T21" s="26">
        <v>212346</v>
      </c>
      <c r="U21" s="27">
        <v>5.0455029999999998E-3</v>
      </c>
      <c r="V21" s="27">
        <v>9.0277729999999994E-3</v>
      </c>
      <c r="W21" s="39">
        <v>-6.1108371300000002</v>
      </c>
      <c r="X21" s="34">
        <v>1</v>
      </c>
      <c r="Y21" s="30" t="s">
        <v>1178</v>
      </c>
      <c r="Z21" s="32">
        <v>-3</v>
      </c>
      <c r="AA21" s="24"/>
      <c r="AB21" s="22" t="s">
        <v>1186</v>
      </c>
      <c r="AC21" s="22" t="s">
        <v>1176</v>
      </c>
      <c r="AD21" s="22" t="s">
        <v>1273</v>
      </c>
      <c r="AE21" s="22" t="s">
        <v>1174</v>
      </c>
      <c r="AF21" s="23">
        <v>5.0180000000000002E-2</v>
      </c>
      <c r="AG21" s="22" t="s">
        <v>1138</v>
      </c>
      <c r="AH21" s="22" t="s">
        <v>1123</v>
      </c>
    </row>
    <row r="22" spans="1:34" ht="19.899999999999999" customHeight="1" x14ac:dyDescent="0.25">
      <c r="A22" s="29" t="s">
        <v>1656</v>
      </c>
      <c r="B22" s="22" t="s">
        <v>1655</v>
      </c>
      <c r="C22" s="28" t="s">
        <v>1654</v>
      </c>
      <c r="D22" s="27">
        <v>1.593E-4</v>
      </c>
      <c r="E22" s="27">
        <v>1.7838000000000001E-4</v>
      </c>
      <c r="F22" s="41">
        <v>4057</v>
      </c>
      <c r="G22" s="44">
        <v>-41616</v>
      </c>
      <c r="H22" s="24"/>
      <c r="I22" s="26">
        <v>45673</v>
      </c>
      <c r="J22" s="26">
        <v>188338</v>
      </c>
      <c r="K22" s="26">
        <v>163206</v>
      </c>
      <c r="L22" s="26">
        <v>175042</v>
      </c>
      <c r="M22" s="26">
        <v>167189</v>
      </c>
      <c r="N22" s="26">
        <v>172761</v>
      </c>
      <c r="O22" s="26">
        <v>171660</v>
      </c>
      <c r="P22" s="26">
        <v>191674</v>
      </c>
      <c r="Q22" s="26">
        <v>272953</v>
      </c>
      <c r="R22" s="26">
        <v>142232</v>
      </c>
      <c r="S22" s="26">
        <v>78209</v>
      </c>
      <c r="T22" s="26">
        <v>91571</v>
      </c>
      <c r="U22" s="27">
        <v>1.4352401000000001E-2</v>
      </c>
      <c r="V22" s="27">
        <v>2.9899617999999999E-2</v>
      </c>
      <c r="W22" s="35">
        <v>675.94842748999997</v>
      </c>
      <c r="X22" s="34">
        <v>0.01</v>
      </c>
      <c r="Y22" s="33" t="s">
        <v>1196</v>
      </c>
      <c r="Z22" s="22"/>
      <c r="AA22" s="24"/>
      <c r="AB22" s="22" t="s">
        <v>1186</v>
      </c>
      <c r="AC22" s="22" t="s">
        <v>1176</v>
      </c>
      <c r="AD22" s="22" t="s">
        <v>1471</v>
      </c>
      <c r="AE22" s="22" t="s">
        <v>1174</v>
      </c>
      <c r="AF22" s="23">
        <v>6.2899999999999996E-3</v>
      </c>
      <c r="AG22" s="22" t="s">
        <v>1653</v>
      </c>
      <c r="AH22" s="22" t="s">
        <v>1116</v>
      </c>
    </row>
    <row r="23" spans="1:34" ht="19.899999999999999" customHeight="1" x14ac:dyDescent="0.25">
      <c r="A23" s="29" t="s">
        <v>1917</v>
      </c>
      <c r="B23" s="22" t="s">
        <v>1916</v>
      </c>
      <c r="C23" s="28" t="s">
        <v>1915</v>
      </c>
      <c r="D23" s="27">
        <v>1.7966860000000001E-2</v>
      </c>
      <c r="E23" s="27">
        <v>2.0118759999999999E-2</v>
      </c>
      <c r="F23" s="41">
        <v>457560</v>
      </c>
      <c r="G23" s="43">
        <v>2560</v>
      </c>
      <c r="H23" s="24"/>
      <c r="I23" s="26">
        <v>455000</v>
      </c>
      <c r="J23" s="26">
        <v>477600</v>
      </c>
      <c r="K23" s="26">
        <v>492480</v>
      </c>
      <c r="L23" s="26">
        <v>473230</v>
      </c>
      <c r="M23" s="26">
        <v>383748</v>
      </c>
      <c r="N23" s="26">
        <v>148040</v>
      </c>
      <c r="O23" s="26">
        <v>147850</v>
      </c>
      <c r="P23" s="26">
        <v>191625</v>
      </c>
      <c r="Q23" s="26">
        <v>191625</v>
      </c>
      <c r="R23" s="26">
        <v>191625</v>
      </c>
      <c r="S23" s="26">
        <v>99475</v>
      </c>
      <c r="T23" s="26">
        <v>0</v>
      </c>
      <c r="U23" s="27">
        <v>7.8445709999999998E-3</v>
      </c>
      <c r="V23" s="27">
        <v>2.0459339E-2</v>
      </c>
      <c r="W23" s="35">
        <v>7.7456625299999997</v>
      </c>
      <c r="X23" s="34">
        <v>0.98</v>
      </c>
      <c r="Y23" s="38" t="s">
        <v>1366</v>
      </c>
      <c r="Z23" s="32">
        <v>-49</v>
      </c>
      <c r="AA23" s="24"/>
      <c r="AB23" s="22" t="s">
        <v>1186</v>
      </c>
      <c r="AC23" s="22" t="s">
        <v>1176</v>
      </c>
      <c r="AD23" s="22" t="s">
        <v>1342</v>
      </c>
      <c r="AE23" s="22" t="s">
        <v>1174</v>
      </c>
      <c r="AF23" s="23">
        <v>0.12313</v>
      </c>
      <c r="AG23" s="22" t="s">
        <v>1124</v>
      </c>
      <c r="AH23" s="22" t="s">
        <v>1123</v>
      </c>
    </row>
    <row r="24" spans="1:34" ht="19.899999999999999" customHeight="1" x14ac:dyDescent="0.25">
      <c r="A24" s="29" t="s">
        <v>1904</v>
      </c>
      <c r="B24" s="22" t="s">
        <v>1903</v>
      </c>
      <c r="C24" s="28" t="s">
        <v>198</v>
      </c>
      <c r="D24" s="27">
        <v>1.5815949999999999E-2</v>
      </c>
      <c r="E24" s="27">
        <v>1.7710239999999999E-2</v>
      </c>
      <c r="F24" s="41">
        <v>402783</v>
      </c>
      <c r="G24" s="43">
        <v>21099</v>
      </c>
      <c r="H24" s="24"/>
      <c r="I24" s="26">
        <v>381684</v>
      </c>
      <c r="J24" s="26">
        <v>293103</v>
      </c>
      <c r="K24" s="26">
        <v>292184</v>
      </c>
      <c r="L24" s="26">
        <v>286835</v>
      </c>
      <c r="M24" s="26">
        <v>276385</v>
      </c>
      <c r="N24" s="26">
        <v>272452</v>
      </c>
      <c r="O24" s="26">
        <v>212847</v>
      </c>
      <c r="P24" s="26">
        <v>190354</v>
      </c>
      <c r="Q24" s="26">
        <v>179320</v>
      </c>
      <c r="R24" s="26">
        <v>209658</v>
      </c>
      <c r="S24" s="26">
        <v>191677</v>
      </c>
      <c r="T24" s="26">
        <v>185392</v>
      </c>
      <c r="U24" s="27">
        <v>1.5495800000000001E-2</v>
      </c>
      <c r="V24" s="27">
        <v>2.8650318000000001E-2</v>
      </c>
      <c r="W24" s="35">
        <v>248.80966380999999</v>
      </c>
      <c r="X24" s="34">
        <v>0.62</v>
      </c>
      <c r="Y24" s="38" t="s">
        <v>1366</v>
      </c>
      <c r="Z24" s="22"/>
      <c r="AA24" s="24"/>
      <c r="AB24" s="22" t="s">
        <v>1186</v>
      </c>
      <c r="AC24" s="22" t="s">
        <v>1169</v>
      </c>
      <c r="AD24" s="22" t="s">
        <v>1518</v>
      </c>
      <c r="AE24" s="22" t="s">
        <v>1174</v>
      </c>
      <c r="AF24" s="23">
        <v>12.889810000000001</v>
      </c>
      <c r="AG24" s="22" t="s">
        <v>1124</v>
      </c>
      <c r="AH24" s="22" t="s">
        <v>1123</v>
      </c>
    </row>
    <row r="25" spans="1:34" ht="19.899999999999999" customHeight="1" x14ac:dyDescent="0.25">
      <c r="A25" s="29" t="s">
        <v>1858</v>
      </c>
      <c r="B25" s="22" t="s">
        <v>1857</v>
      </c>
      <c r="C25" s="28" t="s">
        <v>1856</v>
      </c>
      <c r="D25" s="27">
        <v>5.9798799999999999E-3</v>
      </c>
      <c r="E25" s="27">
        <v>6.6961E-3</v>
      </c>
      <c r="F25" s="41">
        <v>152289</v>
      </c>
      <c r="G25" s="43">
        <v>30061</v>
      </c>
      <c r="H25" s="24"/>
      <c r="I25" s="26">
        <v>122228</v>
      </c>
      <c r="J25" s="26">
        <v>145564</v>
      </c>
      <c r="K25" s="26">
        <v>136163</v>
      </c>
      <c r="L25" s="26">
        <v>140471</v>
      </c>
      <c r="M25" s="26">
        <v>162122</v>
      </c>
      <c r="N25" s="26">
        <v>165622</v>
      </c>
      <c r="O25" s="26">
        <v>164160</v>
      </c>
      <c r="P25" s="26">
        <v>185172</v>
      </c>
      <c r="Q25" s="26">
        <v>141910</v>
      </c>
      <c r="R25" s="26">
        <v>152789</v>
      </c>
      <c r="S25" s="26">
        <v>144875</v>
      </c>
      <c r="T25" s="26">
        <v>158953</v>
      </c>
      <c r="U25" s="27">
        <v>9.0359770000000006E-3</v>
      </c>
      <c r="V25" s="27">
        <v>1.7264974999999998E-2</v>
      </c>
      <c r="W25" s="35">
        <v>240.36741137999999</v>
      </c>
      <c r="X25" s="34">
        <v>0.39</v>
      </c>
      <c r="Y25" s="36" t="s">
        <v>1204</v>
      </c>
      <c r="Z25" s="32">
        <v>-10</v>
      </c>
      <c r="AA25" s="24"/>
      <c r="AB25" s="22" t="s">
        <v>1175</v>
      </c>
      <c r="AC25" s="22" t="s">
        <v>1176</v>
      </c>
      <c r="AD25" s="22" t="s">
        <v>1175</v>
      </c>
      <c r="AE25" s="22" t="s">
        <v>1168</v>
      </c>
      <c r="AF25" s="23">
        <v>0.53591</v>
      </c>
      <c r="AG25" s="22" t="s">
        <v>1138</v>
      </c>
      <c r="AH25" s="22" t="s">
        <v>1123</v>
      </c>
    </row>
    <row r="26" spans="1:34" ht="19.899999999999999" customHeight="1" x14ac:dyDescent="0.25">
      <c r="A26" s="29" t="s">
        <v>1840</v>
      </c>
      <c r="B26" s="22" t="s">
        <v>1839</v>
      </c>
      <c r="C26" s="28" t="s">
        <v>1838</v>
      </c>
      <c r="D26" s="27">
        <v>5.1109500000000004E-3</v>
      </c>
      <c r="E26" s="27">
        <v>5.7230900000000001E-3</v>
      </c>
      <c r="F26" s="41">
        <v>130160</v>
      </c>
      <c r="G26" s="41">
        <v>0</v>
      </c>
      <c r="H26" s="24"/>
      <c r="I26" s="26">
        <v>130160</v>
      </c>
      <c r="J26" s="26">
        <v>95673</v>
      </c>
      <c r="K26" s="26">
        <v>87452</v>
      </c>
      <c r="L26" s="26">
        <v>66502</v>
      </c>
      <c r="M26" s="26">
        <v>148846</v>
      </c>
      <c r="N26" s="26">
        <v>199557</v>
      </c>
      <c r="O26" s="26">
        <v>161057</v>
      </c>
      <c r="P26" s="26">
        <v>161057</v>
      </c>
      <c r="Q26" s="26">
        <v>161057</v>
      </c>
      <c r="R26" s="26">
        <v>161057</v>
      </c>
      <c r="S26" s="26">
        <v>142057</v>
      </c>
      <c r="T26" s="26">
        <v>120057</v>
      </c>
      <c r="U26" s="27">
        <v>7.4134370000000002E-3</v>
      </c>
      <c r="V26" s="27">
        <v>8.9683880000000007E-3</v>
      </c>
      <c r="W26" s="35">
        <v>73.807572960000002</v>
      </c>
      <c r="X26" s="34">
        <v>0.64</v>
      </c>
      <c r="Y26" s="33" t="s">
        <v>1196</v>
      </c>
      <c r="Z26" s="31">
        <v>8</v>
      </c>
      <c r="AA26" s="24"/>
      <c r="AB26" s="22" t="s">
        <v>1186</v>
      </c>
      <c r="AC26" s="22" t="s">
        <v>1176</v>
      </c>
      <c r="AD26" s="22" t="s">
        <v>1118</v>
      </c>
      <c r="AE26" s="22" t="s">
        <v>1174</v>
      </c>
      <c r="AF26" s="23">
        <v>2.4080000000000001E-2</v>
      </c>
      <c r="AG26" s="22" t="s">
        <v>1138</v>
      </c>
      <c r="AH26" s="22" t="s">
        <v>1123</v>
      </c>
    </row>
    <row r="27" spans="1:34" ht="19.899999999999999" customHeight="1" x14ac:dyDescent="0.25">
      <c r="A27" s="29" t="s">
        <v>1870</v>
      </c>
      <c r="B27" s="22" t="s">
        <v>1869</v>
      </c>
      <c r="C27" s="28" t="s">
        <v>1868</v>
      </c>
      <c r="D27" s="27">
        <v>7.1326000000000002E-3</v>
      </c>
      <c r="E27" s="27">
        <v>7.9868700000000001E-3</v>
      </c>
      <c r="F27" s="41">
        <v>181645</v>
      </c>
      <c r="G27" s="43">
        <v>2916</v>
      </c>
      <c r="H27" s="24"/>
      <c r="I27" s="26">
        <v>178729</v>
      </c>
      <c r="J27" s="26">
        <v>130476</v>
      </c>
      <c r="K27" s="26">
        <v>128633</v>
      </c>
      <c r="L27" s="26">
        <v>128073</v>
      </c>
      <c r="M27" s="26">
        <v>153720</v>
      </c>
      <c r="N27" s="26">
        <v>123212</v>
      </c>
      <c r="O27" s="26">
        <v>123212</v>
      </c>
      <c r="P27" s="26">
        <v>160826</v>
      </c>
      <c r="Q27" s="26">
        <v>160663</v>
      </c>
      <c r="R27" s="26">
        <v>85845</v>
      </c>
      <c r="S27" s="26">
        <v>0</v>
      </c>
      <c r="T27" s="26">
        <v>0</v>
      </c>
      <c r="U27" s="27">
        <v>1.0964649E-2</v>
      </c>
      <c r="V27" s="27">
        <v>2.9576571999999999E-2</v>
      </c>
      <c r="W27" s="35">
        <v>491.01340943999998</v>
      </c>
      <c r="X27" s="34">
        <v>0.27</v>
      </c>
      <c r="Y27" s="33" t="s">
        <v>1196</v>
      </c>
      <c r="Z27" s="31">
        <v>42</v>
      </c>
      <c r="AA27" s="24"/>
      <c r="AB27" s="22" t="s">
        <v>1186</v>
      </c>
      <c r="AC27" s="22" t="s">
        <v>1176</v>
      </c>
      <c r="AD27" s="22" t="s">
        <v>1342</v>
      </c>
      <c r="AE27" s="22" t="s">
        <v>1174</v>
      </c>
      <c r="AF27" s="23">
        <v>1.86005</v>
      </c>
      <c r="AG27" s="22" t="s">
        <v>1138</v>
      </c>
      <c r="AH27" s="22" t="s">
        <v>1123</v>
      </c>
    </row>
    <row r="28" spans="1:34" ht="19.899999999999999" customHeight="1" x14ac:dyDescent="0.25">
      <c r="A28" s="29" t="s">
        <v>1943</v>
      </c>
      <c r="B28" s="22" t="s">
        <v>1942</v>
      </c>
      <c r="C28" s="28" t="s">
        <v>1941</v>
      </c>
      <c r="D28" s="27">
        <v>3.323599E-2</v>
      </c>
      <c r="E28" s="27">
        <v>3.7216680000000002E-2</v>
      </c>
      <c r="F28" s="41">
        <v>846417</v>
      </c>
      <c r="G28" s="43">
        <v>40131</v>
      </c>
      <c r="H28" s="24"/>
      <c r="I28" s="26">
        <v>806286</v>
      </c>
      <c r="J28" s="26">
        <v>704855</v>
      </c>
      <c r="K28" s="26">
        <v>683298</v>
      </c>
      <c r="L28" s="26">
        <v>666636</v>
      </c>
      <c r="M28" s="26">
        <v>580903</v>
      </c>
      <c r="N28" s="26">
        <v>448299</v>
      </c>
      <c r="O28" s="26">
        <v>247950</v>
      </c>
      <c r="P28" s="26">
        <v>158629</v>
      </c>
      <c r="Q28" s="26">
        <v>141814</v>
      </c>
      <c r="R28" s="26">
        <v>141606</v>
      </c>
      <c r="S28" s="26">
        <v>131106</v>
      </c>
      <c r="T28" s="26">
        <v>0</v>
      </c>
      <c r="U28" s="27">
        <v>1.5440715000000001E-2</v>
      </c>
      <c r="V28" s="27">
        <v>3.7796590999999997E-2</v>
      </c>
      <c r="W28" s="35">
        <v>13.188865890000001</v>
      </c>
      <c r="X28" s="34">
        <v>0.98</v>
      </c>
      <c r="Y28" s="37" t="s">
        <v>1248</v>
      </c>
      <c r="Z28" s="22"/>
      <c r="AA28" s="24"/>
      <c r="AB28" s="22" t="s">
        <v>1177</v>
      </c>
      <c r="AC28" s="22" t="s">
        <v>1169</v>
      </c>
      <c r="AD28" s="22" t="s">
        <v>1118</v>
      </c>
      <c r="AE28" s="22" t="s">
        <v>1174</v>
      </c>
      <c r="AF28" s="23">
        <v>3.0444900000000001</v>
      </c>
      <c r="AG28" s="22" t="s">
        <v>1138</v>
      </c>
      <c r="AH28" s="22" t="s">
        <v>1123</v>
      </c>
    </row>
    <row r="29" spans="1:34" ht="19.899999999999999" customHeight="1" x14ac:dyDescent="0.25">
      <c r="A29" s="29" t="s">
        <v>1882</v>
      </c>
      <c r="B29" s="22" t="s">
        <v>1881</v>
      </c>
      <c r="C29" s="28" t="s">
        <v>1880</v>
      </c>
      <c r="D29" s="27">
        <v>1.0524489999999999E-2</v>
      </c>
      <c r="E29" s="27">
        <v>1.178502E-2</v>
      </c>
      <c r="F29" s="41">
        <v>268026</v>
      </c>
      <c r="G29" s="43">
        <v>7509</v>
      </c>
      <c r="H29" s="24"/>
      <c r="I29" s="26">
        <v>260517</v>
      </c>
      <c r="J29" s="26">
        <v>225813</v>
      </c>
      <c r="K29" s="26">
        <v>219565</v>
      </c>
      <c r="L29" s="26">
        <v>225160</v>
      </c>
      <c r="M29" s="26">
        <v>211061</v>
      </c>
      <c r="N29" s="26">
        <v>206283</v>
      </c>
      <c r="O29" s="26">
        <v>201525</v>
      </c>
      <c r="P29" s="26">
        <v>152276</v>
      </c>
      <c r="Q29" s="26">
        <v>147985</v>
      </c>
      <c r="R29" s="26">
        <v>149286</v>
      </c>
      <c r="S29" s="26">
        <v>163381</v>
      </c>
      <c r="T29" s="26">
        <v>134834</v>
      </c>
      <c r="U29" s="27">
        <v>1.5683254000000001E-2</v>
      </c>
      <c r="V29" s="27">
        <v>2.6813979000000002E-2</v>
      </c>
      <c r="W29" s="35">
        <v>341.80290325999999</v>
      </c>
      <c r="X29" s="34">
        <v>0.44</v>
      </c>
      <c r="Y29" s="38" t="s">
        <v>1366</v>
      </c>
      <c r="Z29" s="31">
        <v>1163</v>
      </c>
      <c r="AA29" s="24"/>
      <c r="AB29" s="22" t="s">
        <v>1186</v>
      </c>
      <c r="AC29" s="22" t="s">
        <v>1169</v>
      </c>
      <c r="AD29" s="22" t="s">
        <v>1518</v>
      </c>
      <c r="AE29" s="22" t="s">
        <v>1174</v>
      </c>
      <c r="AF29" s="23">
        <v>87.376009999999994</v>
      </c>
      <c r="AG29" s="22" t="s">
        <v>1124</v>
      </c>
      <c r="AH29" s="22" t="s">
        <v>1123</v>
      </c>
    </row>
    <row r="30" spans="1:34" ht="19.899999999999999" customHeight="1" x14ac:dyDescent="0.25">
      <c r="A30" s="29" t="s">
        <v>1832</v>
      </c>
      <c r="B30" s="22" t="s">
        <v>1831</v>
      </c>
      <c r="C30" s="28" t="s">
        <v>1830</v>
      </c>
      <c r="D30" s="27">
        <v>4.7009299999999999E-3</v>
      </c>
      <c r="E30" s="27">
        <v>5.2639599999999998E-3</v>
      </c>
      <c r="F30" s="41">
        <v>119718</v>
      </c>
      <c r="G30" s="44">
        <v>-5400</v>
      </c>
      <c r="H30" s="24"/>
      <c r="I30" s="26">
        <v>125118</v>
      </c>
      <c r="J30" s="26">
        <v>130000</v>
      </c>
      <c r="K30" s="26">
        <v>130000</v>
      </c>
      <c r="L30" s="26">
        <v>150000</v>
      </c>
      <c r="M30" s="26">
        <v>150000</v>
      </c>
      <c r="N30" s="26">
        <v>150000</v>
      </c>
      <c r="O30" s="26">
        <v>150000</v>
      </c>
      <c r="P30" s="26">
        <v>150000</v>
      </c>
      <c r="Q30" s="26">
        <v>150000</v>
      </c>
      <c r="R30" s="26">
        <v>150000</v>
      </c>
      <c r="S30" s="26">
        <v>184000</v>
      </c>
      <c r="T30" s="26">
        <v>192000</v>
      </c>
      <c r="U30" s="27">
        <v>5.4088829999999997E-3</v>
      </c>
      <c r="V30" s="27">
        <v>9.2478209999999998E-3</v>
      </c>
      <c r="W30" s="35">
        <v>90.604702869999997</v>
      </c>
      <c r="X30" s="34">
        <v>0.56999999999999995</v>
      </c>
      <c r="Y30" s="33" t="s">
        <v>1196</v>
      </c>
      <c r="Z30" s="22"/>
      <c r="AA30" s="24"/>
      <c r="AB30" s="22" t="s">
        <v>1175</v>
      </c>
      <c r="AC30" s="22" t="s">
        <v>1176</v>
      </c>
      <c r="AD30" s="22" t="s">
        <v>1175</v>
      </c>
      <c r="AE30" s="22" t="s">
        <v>1237</v>
      </c>
      <c r="AF30" s="23">
        <v>0.27599000000000001</v>
      </c>
      <c r="AG30" s="22" t="s">
        <v>1124</v>
      </c>
      <c r="AH30" s="22" t="s">
        <v>1123</v>
      </c>
    </row>
    <row r="31" spans="1:34" ht="19.899999999999999" customHeight="1" x14ac:dyDescent="0.25">
      <c r="A31" s="29" t="s">
        <v>1873</v>
      </c>
      <c r="B31" s="22" t="s">
        <v>1872</v>
      </c>
      <c r="C31" s="28" t="s">
        <v>1871</v>
      </c>
      <c r="D31" s="27">
        <v>8.0919600000000005E-3</v>
      </c>
      <c r="E31" s="27">
        <v>9.0611400000000005E-3</v>
      </c>
      <c r="F31" s="41">
        <v>206077</v>
      </c>
      <c r="G31" s="43">
        <v>15000</v>
      </c>
      <c r="H31" s="24"/>
      <c r="I31" s="26">
        <v>191077</v>
      </c>
      <c r="J31" s="26">
        <v>181077</v>
      </c>
      <c r="K31" s="26">
        <v>174577</v>
      </c>
      <c r="L31" s="26">
        <v>182077</v>
      </c>
      <c r="M31" s="26">
        <v>182077</v>
      </c>
      <c r="N31" s="26">
        <v>176077</v>
      </c>
      <c r="O31" s="26">
        <v>151577</v>
      </c>
      <c r="P31" s="26">
        <v>142377</v>
      </c>
      <c r="Q31" s="26">
        <v>120577</v>
      </c>
      <c r="R31" s="26">
        <v>120577</v>
      </c>
      <c r="S31" s="26">
        <v>109680</v>
      </c>
      <c r="T31" s="26">
        <v>71680</v>
      </c>
      <c r="U31" s="27">
        <v>7.8067570000000001E-3</v>
      </c>
      <c r="V31" s="27">
        <v>2.9716421E-2</v>
      </c>
      <c r="W31" s="35">
        <v>469.76198783000001</v>
      </c>
      <c r="X31" s="34">
        <v>0.3</v>
      </c>
      <c r="Y31" s="36" t="s">
        <v>1204</v>
      </c>
      <c r="Z31" s="31">
        <v>3</v>
      </c>
      <c r="AA31" s="24"/>
      <c r="AB31" s="22" t="s">
        <v>1186</v>
      </c>
      <c r="AC31" s="22" t="s">
        <v>1176</v>
      </c>
      <c r="AD31" s="22" t="s">
        <v>1118</v>
      </c>
      <c r="AE31" s="22" t="s">
        <v>1168</v>
      </c>
      <c r="AF31" s="23">
        <v>0.39945999999999998</v>
      </c>
      <c r="AG31" s="22" t="s">
        <v>1138</v>
      </c>
      <c r="AH31" s="22" t="s">
        <v>1123</v>
      </c>
    </row>
    <row r="32" spans="1:34" ht="19.899999999999999" customHeight="1" x14ac:dyDescent="0.25">
      <c r="A32" s="29" t="s">
        <v>1754</v>
      </c>
      <c r="B32" s="22" t="s">
        <v>1753</v>
      </c>
      <c r="C32" s="28" t="s">
        <v>1752</v>
      </c>
      <c r="D32" s="27">
        <v>6.7126000000000002E-4</v>
      </c>
      <c r="E32" s="27">
        <v>0</v>
      </c>
      <c r="F32" s="41">
        <v>17095</v>
      </c>
      <c r="G32" s="44">
        <v>-117736</v>
      </c>
      <c r="H32" s="24"/>
      <c r="I32" s="26">
        <v>134831</v>
      </c>
      <c r="J32" s="26">
        <v>132327</v>
      </c>
      <c r="K32" s="26">
        <v>162214</v>
      </c>
      <c r="L32" s="26">
        <v>162708</v>
      </c>
      <c r="M32" s="26">
        <v>163096</v>
      </c>
      <c r="N32" s="26">
        <v>135686</v>
      </c>
      <c r="O32" s="26">
        <v>97489</v>
      </c>
      <c r="P32" s="26">
        <v>137181</v>
      </c>
      <c r="Q32" s="26">
        <v>162880</v>
      </c>
      <c r="R32" s="26">
        <v>142879</v>
      </c>
      <c r="S32" s="26">
        <v>141282</v>
      </c>
      <c r="T32" s="26">
        <v>143302</v>
      </c>
      <c r="U32" s="22"/>
      <c r="V32" s="22"/>
      <c r="W32" s="22"/>
      <c r="X32" s="22"/>
      <c r="Y32" s="25"/>
      <c r="Z32" s="22"/>
      <c r="AA32" s="24"/>
      <c r="AB32" s="22" t="s">
        <v>1222</v>
      </c>
      <c r="AC32" s="22" t="s">
        <v>1169</v>
      </c>
      <c r="AD32" s="22" t="s">
        <v>1238</v>
      </c>
      <c r="AE32" s="22" t="s">
        <v>1174</v>
      </c>
      <c r="AF32" s="23">
        <v>50.663379999999997</v>
      </c>
      <c r="AG32" s="22" t="s">
        <v>1185</v>
      </c>
      <c r="AH32" s="22" t="s">
        <v>1184</v>
      </c>
    </row>
    <row r="33" spans="1:34" ht="19.899999999999999" customHeight="1" x14ac:dyDescent="0.25">
      <c r="A33" s="29" t="s">
        <v>1879</v>
      </c>
      <c r="B33" s="22" t="s">
        <v>1878</v>
      </c>
      <c r="C33" s="28" t="s">
        <v>1877</v>
      </c>
      <c r="D33" s="27">
        <v>1.0002789999999999E-2</v>
      </c>
      <c r="E33" s="27">
        <v>1.120084E-2</v>
      </c>
      <c r="F33" s="41">
        <v>254740</v>
      </c>
      <c r="G33" s="43">
        <v>38334</v>
      </c>
      <c r="H33" s="24"/>
      <c r="I33" s="26">
        <v>216406</v>
      </c>
      <c r="J33" s="26">
        <v>193457</v>
      </c>
      <c r="K33" s="26">
        <v>163188</v>
      </c>
      <c r="L33" s="26">
        <v>188677</v>
      </c>
      <c r="M33" s="26">
        <v>147210</v>
      </c>
      <c r="N33" s="26">
        <v>103320</v>
      </c>
      <c r="O33" s="26">
        <v>111059</v>
      </c>
      <c r="P33" s="26">
        <v>118554</v>
      </c>
      <c r="Q33" s="26">
        <v>118554</v>
      </c>
      <c r="R33" s="26">
        <v>136715</v>
      </c>
      <c r="S33" s="26">
        <v>136715</v>
      </c>
      <c r="T33" s="26">
        <v>123118</v>
      </c>
      <c r="U33" s="27">
        <v>7.9860030000000002E-3</v>
      </c>
      <c r="V33" s="27">
        <v>1.7952552E-2</v>
      </c>
      <c r="W33" s="35">
        <v>153.55393864999999</v>
      </c>
      <c r="X33" s="34">
        <v>0.62</v>
      </c>
      <c r="Y33" s="33" t="s">
        <v>1196</v>
      </c>
      <c r="Z33" s="22"/>
      <c r="AA33" s="24"/>
      <c r="AB33" s="22" t="s">
        <v>1186</v>
      </c>
      <c r="AC33" s="22" t="s">
        <v>1176</v>
      </c>
      <c r="AD33" s="22" t="s">
        <v>1118</v>
      </c>
      <c r="AE33" s="22" t="s">
        <v>1174</v>
      </c>
      <c r="AF33" s="23">
        <v>7.5199999999999998E-3</v>
      </c>
      <c r="AG33" s="22" t="s">
        <v>1124</v>
      </c>
      <c r="AH33" s="22" t="s">
        <v>1123</v>
      </c>
    </row>
    <row r="34" spans="1:34" ht="19.899999999999999" customHeight="1" x14ac:dyDescent="0.25">
      <c r="A34" s="29" t="s">
        <v>1846</v>
      </c>
      <c r="B34" s="22" t="s">
        <v>1845</v>
      </c>
      <c r="C34" s="28" t="s">
        <v>1844</v>
      </c>
      <c r="D34" s="27">
        <v>5.20492E-3</v>
      </c>
      <c r="E34" s="27">
        <v>5.8283099999999997E-3</v>
      </c>
      <c r="F34" s="41">
        <v>132553</v>
      </c>
      <c r="G34" s="43">
        <v>3187</v>
      </c>
      <c r="H34" s="24"/>
      <c r="I34" s="26">
        <v>129366</v>
      </c>
      <c r="J34" s="26">
        <v>113902</v>
      </c>
      <c r="K34" s="26">
        <v>125489</v>
      </c>
      <c r="L34" s="26">
        <v>119148</v>
      </c>
      <c r="M34" s="26">
        <v>119062</v>
      </c>
      <c r="N34" s="26">
        <v>107880</v>
      </c>
      <c r="O34" s="26">
        <v>107843</v>
      </c>
      <c r="P34" s="26">
        <v>103231</v>
      </c>
      <c r="Q34" s="26">
        <v>102702</v>
      </c>
      <c r="R34" s="26">
        <v>73716</v>
      </c>
      <c r="S34" s="26">
        <v>40375</v>
      </c>
      <c r="T34" s="26">
        <v>33538</v>
      </c>
      <c r="U34" s="27">
        <v>8.6001949999999997E-3</v>
      </c>
      <c r="V34" s="27">
        <v>2.6198004E-2</v>
      </c>
      <c r="W34" s="35">
        <v>463.26681647999999</v>
      </c>
      <c r="X34" s="34">
        <v>0.22</v>
      </c>
      <c r="Y34" s="33" t="s">
        <v>1196</v>
      </c>
      <c r="Z34" s="32">
        <v>-148</v>
      </c>
      <c r="AA34" s="24"/>
      <c r="AB34" s="22" t="s">
        <v>1186</v>
      </c>
      <c r="AC34" s="22" t="s">
        <v>1169</v>
      </c>
      <c r="AD34" s="22" t="s">
        <v>1518</v>
      </c>
      <c r="AE34" s="22" t="s">
        <v>1174</v>
      </c>
      <c r="AF34" s="23">
        <v>1.5058400000000001</v>
      </c>
      <c r="AG34" s="22" t="s">
        <v>1138</v>
      </c>
      <c r="AH34" s="22" t="s">
        <v>1123</v>
      </c>
    </row>
    <row r="35" spans="1:34" ht="19.899999999999999" customHeight="1" x14ac:dyDescent="0.25">
      <c r="A35" s="29" t="s">
        <v>1411</v>
      </c>
      <c r="B35" s="22" t="s">
        <v>1121</v>
      </c>
      <c r="C35" s="28" t="s">
        <v>1410</v>
      </c>
      <c r="D35" s="27">
        <v>0</v>
      </c>
      <c r="E35" s="27">
        <v>0</v>
      </c>
      <c r="F35" s="41">
        <v>0</v>
      </c>
      <c r="G35" s="41">
        <v>0</v>
      </c>
      <c r="H35" s="24"/>
      <c r="I35" s="26">
        <v>0</v>
      </c>
      <c r="J35" s="26">
        <v>165240</v>
      </c>
      <c r="K35" s="26">
        <v>151019</v>
      </c>
      <c r="L35" s="26">
        <v>170215</v>
      </c>
      <c r="M35" s="26">
        <v>200820</v>
      </c>
      <c r="N35" s="26">
        <v>161892</v>
      </c>
      <c r="O35" s="26">
        <v>161892</v>
      </c>
      <c r="P35" s="26">
        <v>83442</v>
      </c>
      <c r="Q35" s="26">
        <v>0</v>
      </c>
      <c r="R35" s="26">
        <v>0</v>
      </c>
      <c r="S35" s="26">
        <v>2450</v>
      </c>
      <c r="T35" s="26">
        <v>0</v>
      </c>
      <c r="U35" s="27">
        <v>1.0576945000000001E-2</v>
      </c>
      <c r="V35" s="27">
        <v>1.4804617000000001E-2</v>
      </c>
      <c r="W35" s="35">
        <v>336.70061979000002</v>
      </c>
      <c r="X35" s="34">
        <v>0</v>
      </c>
      <c r="Y35" s="30" t="s">
        <v>1178</v>
      </c>
      <c r="Z35" s="22"/>
      <c r="AA35" s="24"/>
      <c r="AB35" s="22" t="s">
        <v>1186</v>
      </c>
      <c r="AC35" s="22" t="s">
        <v>1176</v>
      </c>
      <c r="AD35" s="22" t="s">
        <v>1273</v>
      </c>
      <c r="AE35" s="22" t="s">
        <v>1168</v>
      </c>
      <c r="AF35" s="23">
        <v>0.68564999999999998</v>
      </c>
      <c r="AG35" s="22" t="s">
        <v>1138</v>
      </c>
      <c r="AH35" s="22" t="s">
        <v>1123</v>
      </c>
    </row>
    <row r="36" spans="1:34" ht="19.899999999999999" customHeight="1" x14ac:dyDescent="0.25">
      <c r="A36" s="29" t="s">
        <v>1852</v>
      </c>
      <c r="B36" s="22" t="s">
        <v>1851</v>
      </c>
      <c r="C36" s="28" t="s">
        <v>1850</v>
      </c>
      <c r="D36" s="27">
        <v>5.7786399999999998E-3</v>
      </c>
      <c r="E36" s="27">
        <v>6.4707499999999999E-3</v>
      </c>
      <c r="F36" s="41">
        <v>147164</v>
      </c>
      <c r="G36" s="43">
        <v>84107</v>
      </c>
      <c r="H36" s="24"/>
      <c r="I36" s="26">
        <v>63057</v>
      </c>
      <c r="J36" s="26">
        <v>108523</v>
      </c>
      <c r="K36" s="26">
        <v>105101</v>
      </c>
      <c r="L36" s="26">
        <v>96167</v>
      </c>
      <c r="M36" s="26">
        <v>84867</v>
      </c>
      <c r="N36" s="26">
        <v>81345</v>
      </c>
      <c r="O36" s="26">
        <v>76132</v>
      </c>
      <c r="P36" s="26">
        <v>76132</v>
      </c>
      <c r="Q36" s="26">
        <v>76132</v>
      </c>
      <c r="R36" s="26">
        <v>76132</v>
      </c>
      <c r="S36" s="26">
        <v>61880</v>
      </c>
      <c r="T36" s="26">
        <v>55011</v>
      </c>
      <c r="U36" s="27">
        <v>6.4124610000000004E-3</v>
      </c>
      <c r="V36" s="27">
        <v>1.257083E-2</v>
      </c>
      <c r="W36" s="35">
        <v>138.73372044000001</v>
      </c>
      <c r="X36" s="34">
        <v>0.51</v>
      </c>
      <c r="Y36" s="33" t="s">
        <v>1196</v>
      </c>
      <c r="Z36" s="32">
        <v>-292</v>
      </c>
      <c r="AA36" s="24"/>
      <c r="AB36" s="22" t="s">
        <v>1186</v>
      </c>
      <c r="AC36" s="22" t="s">
        <v>1176</v>
      </c>
      <c r="AD36" s="22" t="s">
        <v>1273</v>
      </c>
      <c r="AE36" s="22" t="s">
        <v>1174</v>
      </c>
      <c r="AF36" s="23">
        <v>0.59170999999999996</v>
      </c>
      <c r="AG36" s="22" t="s">
        <v>1138</v>
      </c>
      <c r="AH36" s="22" t="s">
        <v>1123</v>
      </c>
    </row>
    <row r="37" spans="1:34" ht="19.899999999999999" customHeight="1" x14ac:dyDescent="0.25">
      <c r="A37" s="29" t="s">
        <v>1817</v>
      </c>
      <c r="B37" s="22" t="s">
        <v>1816</v>
      </c>
      <c r="C37" s="28" t="s">
        <v>787</v>
      </c>
      <c r="D37" s="27">
        <v>2.6393100000000002E-3</v>
      </c>
      <c r="E37" s="27">
        <v>2.9554199999999998E-3</v>
      </c>
      <c r="F37" s="41">
        <v>67215</v>
      </c>
      <c r="G37" s="43">
        <v>23125</v>
      </c>
      <c r="H37" s="24"/>
      <c r="I37" s="26">
        <v>44090</v>
      </c>
      <c r="J37" s="26">
        <v>107952</v>
      </c>
      <c r="K37" s="26">
        <v>109148</v>
      </c>
      <c r="L37" s="26">
        <v>100760</v>
      </c>
      <c r="M37" s="26">
        <v>105452</v>
      </c>
      <c r="N37" s="26">
        <v>83816</v>
      </c>
      <c r="O37" s="26">
        <v>78766</v>
      </c>
      <c r="P37" s="26">
        <v>68766</v>
      </c>
      <c r="Q37" s="26">
        <v>0</v>
      </c>
      <c r="R37" s="26">
        <v>0</v>
      </c>
      <c r="S37" s="26">
        <v>0</v>
      </c>
      <c r="T37" s="26">
        <v>0</v>
      </c>
      <c r="U37" s="27">
        <v>8.0394590000000005E-3</v>
      </c>
      <c r="V37" s="27">
        <v>1.4791233000000001E-2</v>
      </c>
      <c r="W37" s="35">
        <v>269.18122818000001</v>
      </c>
      <c r="X37" s="34">
        <v>0.2</v>
      </c>
      <c r="Y37" s="36" t="s">
        <v>1204</v>
      </c>
      <c r="Z37" s="32">
        <v>-7</v>
      </c>
      <c r="AA37" s="24"/>
      <c r="AB37" s="22" t="s">
        <v>1186</v>
      </c>
      <c r="AC37" s="22" t="s">
        <v>1176</v>
      </c>
      <c r="AD37" s="22" t="s">
        <v>1471</v>
      </c>
      <c r="AE37" s="22" t="s">
        <v>1174</v>
      </c>
      <c r="AF37" s="23">
        <v>0</v>
      </c>
      <c r="AG37" s="22" t="s">
        <v>1124</v>
      </c>
      <c r="AH37" s="22" t="s">
        <v>1123</v>
      </c>
    </row>
    <row r="38" spans="1:34" ht="19.899999999999999" customHeight="1" x14ac:dyDescent="0.25">
      <c r="A38" s="29" t="s">
        <v>1864</v>
      </c>
      <c r="B38" s="22" t="s">
        <v>1863</v>
      </c>
      <c r="C38" s="28" t="s">
        <v>1862</v>
      </c>
      <c r="D38" s="27">
        <v>6.2889499999999997E-3</v>
      </c>
      <c r="E38" s="27">
        <v>7.0421800000000003E-3</v>
      </c>
      <c r="F38" s="41">
        <v>160160</v>
      </c>
      <c r="G38" s="43">
        <v>7</v>
      </c>
      <c r="H38" s="24"/>
      <c r="I38" s="26">
        <v>160153</v>
      </c>
      <c r="J38" s="26">
        <v>177860</v>
      </c>
      <c r="K38" s="26">
        <v>176548</v>
      </c>
      <c r="L38" s="26">
        <v>176888</v>
      </c>
      <c r="M38" s="26">
        <v>186433</v>
      </c>
      <c r="N38" s="26">
        <v>162941</v>
      </c>
      <c r="O38" s="26">
        <v>96560</v>
      </c>
      <c r="P38" s="26">
        <v>66292</v>
      </c>
      <c r="Q38" s="26">
        <v>0</v>
      </c>
      <c r="R38" s="26">
        <v>0</v>
      </c>
      <c r="S38" s="26">
        <v>6478</v>
      </c>
      <c r="T38" s="26">
        <v>1474</v>
      </c>
      <c r="U38" s="27">
        <v>1.369301E-2</v>
      </c>
      <c r="V38" s="27">
        <v>4.0020332999999998E-2</v>
      </c>
      <c r="W38" s="35">
        <v>750.02031234000003</v>
      </c>
      <c r="X38" s="34">
        <v>0.18</v>
      </c>
      <c r="Y38" s="38" t="s">
        <v>1366</v>
      </c>
      <c r="Z38" s="32">
        <v>-1591</v>
      </c>
      <c r="AA38" s="24"/>
      <c r="AB38" s="22" t="s">
        <v>1186</v>
      </c>
      <c r="AC38" s="22" t="s">
        <v>1176</v>
      </c>
      <c r="AD38" s="22" t="s">
        <v>1118</v>
      </c>
      <c r="AE38" s="22" t="s">
        <v>1174</v>
      </c>
      <c r="AF38" s="23">
        <v>8.7840000000000007</v>
      </c>
      <c r="AG38" s="22" t="s">
        <v>1138</v>
      </c>
      <c r="AH38" s="22" t="s">
        <v>1123</v>
      </c>
    </row>
    <row r="39" spans="1:34" ht="19.899999999999999" customHeight="1" x14ac:dyDescent="0.25">
      <c r="A39" s="29" t="s">
        <v>1940</v>
      </c>
      <c r="B39" s="22" t="s">
        <v>1939</v>
      </c>
      <c r="C39" s="28" t="s">
        <v>1938</v>
      </c>
      <c r="D39" s="27">
        <v>3.2847359999999999E-2</v>
      </c>
      <c r="E39" s="27">
        <v>3.6781510000000003E-2</v>
      </c>
      <c r="F39" s="41">
        <v>836520</v>
      </c>
      <c r="G39" s="43">
        <v>183061</v>
      </c>
      <c r="H39" s="24"/>
      <c r="I39" s="26">
        <v>653459</v>
      </c>
      <c r="J39" s="26">
        <v>538101</v>
      </c>
      <c r="K39" s="26">
        <v>64015</v>
      </c>
      <c r="L39" s="26">
        <v>59531</v>
      </c>
      <c r="M39" s="26">
        <v>59531</v>
      </c>
      <c r="N39" s="26">
        <v>59531</v>
      </c>
      <c r="O39" s="26">
        <v>77929</v>
      </c>
      <c r="P39" s="26">
        <v>66200</v>
      </c>
      <c r="Q39" s="26">
        <v>81118</v>
      </c>
      <c r="R39" s="26">
        <v>71700</v>
      </c>
      <c r="S39" s="26">
        <v>103600</v>
      </c>
      <c r="T39" s="26">
        <v>113400</v>
      </c>
      <c r="U39" s="27">
        <v>1.5487592E-2</v>
      </c>
      <c r="V39" s="27">
        <v>3.8261755000000001E-2</v>
      </c>
      <c r="W39" s="35">
        <v>33.665066090000003</v>
      </c>
      <c r="X39" s="34">
        <v>0.96</v>
      </c>
      <c r="Y39" s="38" t="s">
        <v>1366</v>
      </c>
      <c r="Z39" s="32">
        <v>-106</v>
      </c>
      <c r="AA39" s="24"/>
      <c r="AB39" s="22" t="s">
        <v>1186</v>
      </c>
      <c r="AC39" s="22" t="s">
        <v>1176</v>
      </c>
      <c r="AD39" s="22" t="s">
        <v>1118</v>
      </c>
      <c r="AE39" s="22" t="s">
        <v>1174</v>
      </c>
      <c r="AF39" s="23">
        <v>1.5531900000000001</v>
      </c>
      <c r="AG39" s="22" t="s">
        <v>1138</v>
      </c>
      <c r="AH39" s="22" t="s">
        <v>1123</v>
      </c>
    </row>
    <row r="40" spans="1:34" ht="19.899999999999999" customHeight="1" x14ac:dyDescent="0.25">
      <c r="A40" s="29" t="s">
        <v>1823</v>
      </c>
      <c r="B40" s="22" t="s">
        <v>1822</v>
      </c>
      <c r="C40" s="28" t="s">
        <v>1821</v>
      </c>
      <c r="D40" s="27">
        <v>2.7661000000000001E-3</v>
      </c>
      <c r="E40" s="27">
        <v>3.0974000000000002E-3</v>
      </c>
      <c r="F40" s="41">
        <v>70444</v>
      </c>
      <c r="G40" s="41">
        <v>0</v>
      </c>
      <c r="H40" s="24"/>
      <c r="I40" s="26">
        <v>70444</v>
      </c>
      <c r="J40" s="26">
        <v>119334</v>
      </c>
      <c r="K40" s="26">
        <v>77388</v>
      </c>
      <c r="L40" s="26">
        <v>61981</v>
      </c>
      <c r="M40" s="26">
        <v>61981</v>
      </c>
      <c r="N40" s="26">
        <v>61981</v>
      </c>
      <c r="O40" s="26">
        <v>61981</v>
      </c>
      <c r="P40" s="26">
        <v>61981</v>
      </c>
      <c r="Q40" s="26">
        <v>61981</v>
      </c>
      <c r="R40" s="26">
        <v>61981</v>
      </c>
      <c r="S40" s="26">
        <v>40282</v>
      </c>
      <c r="T40" s="26">
        <v>0</v>
      </c>
      <c r="U40" s="27">
        <v>2.6853574000000002E-2</v>
      </c>
      <c r="V40" s="27">
        <v>5.8267637999999997E-2</v>
      </c>
      <c r="W40" s="35">
        <v>1254.7338028500001</v>
      </c>
      <c r="X40" s="34">
        <v>0.05</v>
      </c>
      <c r="Y40" s="36" t="s">
        <v>1204</v>
      </c>
      <c r="Z40" s="32">
        <v>-879</v>
      </c>
      <c r="AA40" s="24"/>
      <c r="AB40" s="22" t="s">
        <v>1186</v>
      </c>
      <c r="AC40" s="22" t="s">
        <v>1176</v>
      </c>
      <c r="AD40" s="22" t="s">
        <v>1273</v>
      </c>
      <c r="AE40" s="22" t="s">
        <v>1174</v>
      </c>
      <c r="AF40" s="23">
        <v>6.3308799999999996</v>
      </c>
      <c r="AG40" s="22" t="s">
        <v>1138</v>
      </c>
      <c r="AH40" s="22" t="s">
        <v>1123</v>
      </c>
    </row>
    <row r="41" spans="1:34" ht="19.899999999999999" customHeight="1" x14ac:dyDescent="0.25">
      <c r="A41" s="29" t="s">
        <v>1826</v>
      </c>
      <c r="B41" s="22" t="s">
        <v>1825</v>
      </c>
      <c r="C41" s="28" t="s">
        <v>1824</v>
      </c>
      <c r="D41" s="27">
        <v>3.4734499999999999E-3</v>
      </c>
      <c r="E41" s="27">
        <v>3.8894699999999999E-3</v>
      </c>
      <c r="F41" s="41">
        <v>88458</v>
      </c>
      <c r="G41" s="44">
        <v>-832</v>
      </c>
      <c r="H41" s="24"/>
      <c r="I41" s="26">
        <v>89290</v>
      </c>
      <c r="J41" s="26">
        <v>72524</v>
      </c>
      <c r="K41" s="26">
        <v>70859</v>
      </c>
      <c r="L41" s="26">
        <v>69942</v>
      </c>
      <c r="M41" s="26">
        <v>59257</v>
      </c>
      <c r="N41" s="26">
        <v>59257</v>
      </c>
      <c r="O41" s="26">
        <v>59257</v>
      </c>
      <c r="P41" s="26">
        <v>53891</v>
      </c>
      <c r="Q41" s="26">
        <v>53891</v>
      </c>
      <c r="R41" s="26">
        <v>53891</v>
      </c>
      <c r="S41" s="26">
        <v>45987</v>
      </c>
      <c r="T41" s="26">
        <v>46021</v>
      </c>
      <c r="U41" s="27">
        <v>4.7742849999999996E-3</v>
      </c>
      <c r="V41" s="27">
        <v>9.6470280000000002E-3</v>
      </c>
      <c r="W41" s="35">
        <v>130.94384650999999</v>
      </c>
      <c r="X41" s="34">
        <v>0.4</v>
      </c>
      <c r="Y41" s="36" t="s">
        <v>1204</v>
      </c>
      <c r="Z41" s="32">
        <v>-319</v>
      </c>
      <c r="AA41" s="24"/>
      <c r="AB41" s="22" t="s">
        <v>1186</v>
      </c>
      <c r="AC41" s="22" t="s">
        <v>1169</v>
      </c>
      <c r="AD41" s="22" t="s">
        <v>1273</v>
      </c>
      <c r="AE41" s="22" t="s">
        <v>1174</v>
      </c>
      <c r="AF41" s="23">
        <v>5.4780000000000002E-2</v>
      </c>
      <c r="AG41" s="22" t="s">
        <v>1124</v>
      </c>
      <c r="AH41" s="22" t="s">
        <v>1123</v>
      </c>
    </row>
    <row r="42" spans="1:34" ht="19.899999999999999" customHeight="1" x14ac:dyDescent="0.25">
      <c r="A42" s="29" t="s">
        <v>1275</v>
      </c>
      <c r="B42" s="22" t="s">
        <v>1121</v>
      </c>
      <c r="C42" s="28" t="s">
        <v>1274</v>
      </c>
      <c r="D42" s="27">
        <v>0</v>
      </c>
      <c r="E42" s="27">
        <v>0</v>
      </c>
      <c r="F42" s="41">
        <v>0</v>
      </c>
      <c r="G42" s="41">
        <v>0</v>
      </c>
      <c r="H42" s="24"/>
      <c r="I42" s="26">
        <v>0</v>
      </c>
      <c r="J42" s="26">
        <v>0</v>
      </c>
      <c r="K42" s="26">
        <v>0</v>
      </c>
      <c r="L42" s="26">
        <v>24678</v>
      </c>
      <c r="M42" s="26">
        <v>36673</v>
      </c>
      <c r="N42" s="26">
        <v>53374</v>
      </c>
      <c r="O42" s="26">
        <v>53374</v>
      </c>
      <c r="P42" s="26">
        <v>53374</v>
      </c>
      <c r="Q42" s="26">
        <v>53374</v>
      </c>
      <c r="R42" s="26">
        <v>53374</v>
      </c>
      <c r="S42" s="26">
        <v>47351</v>
      </c>
      <c r="T42" s="26">
        <v>34475</v>
      </c>
      <c r="U42" s="27">
        <v>1.2160354999999999E-2</v>
      </c>
      <c r="V42" s="27">
        <v>3.4325115000000003E-2</v>
      </c>
      <c r="W42" s="35">
        <v>780.65427121000005</v>
      </c>
      <c r="X42" s="34">
        <v>0</v>
      </c>
      <c r="Y42" s="30" t="s">
        <v>1178</v>
      </c>
      <c r="Z42" s="32">
        <v>-11</v>
      </c>
      <c r="AA42" s="24"/>
      <c r="AB42" s="22" t="s">
        <v>1186</v>
      </c>
      <c r="AC42" s="22" t="s">
        <v>1176</v>
      </c>
      <c r="AD42" s="22" t="s">
        <v>1273</v>
      </c>
      <c r="AE42" s="22" t="s">
        <v>1168</v>
      </c>
      <c r="AF42" s="23">
        <v>0.41138999999999998</v>
      </c>
      <c r="AG42" s="22" t="s">
        <v>1138</v>
      </c>
      <c r="AH42" s="22" t="s">
        <v>1123</v>
      </c>
    </row>
    <row r="43" spans="1:34" ht="19.899999999999999" customHeight="1" x14ac:dyDescent="0.25">
      <c r="A43" s="29" t="s">
        <v>1812</v>
      </c>
      <c r="B43" s="22" t="s">
        <v>1811</v>
      </c>
      <c r="C43" s="28" t="s">
        <v>1810</v>
      </c>
      <c r="D43" s="27">
        <v>2.3392299999999999E-3</v>
      </c>
      <c r="E43" s="27">
        <v>2.61941E-3</v>
      </c>
      <c r="F43" s="41">
        <v>59573</v>
      </c>
      <c r="G43" s="44">
        <v>-6539</v>
      </c>
      <c r="H43" s="24"/>
      <c r="I43" s="26">
        <v>66112</v>
      </c>
      <c r="J43" s="26">
        <v>68155</v>
      </c>
      <c r="K43" s="26">
        <v>69139</v>
      </c>
      <c r="L43" s="26">
        <v>70455</v>
      </c>
      <c r="M43" s="26">
        <v>71378</v>
      </c>
      <c r="N43" s="26">
        <v>57621</v>
      </c>
      <c r="O43" s="26">
        <v>57621</v>
      </c>
      <c r="P43" s="26">
        <v>38679</v>
      </c>
      <c r="Q43" s="26">
        <v>38679</v>
      </c>
      <c r="R43" s="26">
        <v>24378</v>
      </c>
      <c r="S43" s="26">
        <v>15215</v>
      </c>
      <c r="T43" s="26">
        <v>4308</v>
      </c>
      <c r="U43" s="27">
        <v>5.7591999999999995E-4</v>
      </c>
      <c r="V43" s="27">
        <v>1.8981930000000001E-3</v>
      </c>
      <c r="W43" s="39">
        <v>-16.40249721</v>
      </c>
      <c r="X43" s="34">
        <v>1</v>
      </c>
      <c r="Y43" s="36" t="s">
        <v>1204</v>
      </c>
      <c r="Z43" s="31">
        <v>44</v>
      </c>
      <c r="AA43" s="24"/>
      <c r="AB43" s="22" t="s">
        <v>1186</v>
      </c>
      <c r="AC43" s="22" t="s">
        <v>1176</v>
      </c>
      <c r="AD43" s="22" t="s">
        <v>1342</v>
      </c>
      <c r="AE43" s="22" t="s">
        <v>1174</v>
      </c>
      <c r="AF43" s="23">
        <v>1.7600000000000001E-3</v>
      </c>
      <c r="AG43" s="22" t="s">
        <v>1138</v>
      </c>
      <c r="AH43" s="22" t="s">
        <v>1123</v>
      </c>
    </row>
    <row r="44" spans="1:34" ht="19.899999999999999" customHeight="1" x14ac:dyDescent="0.25">
      <c r="A44" s="29" t="s">
        <v>1228</v>
      </c>
      <c r="B44" s="22" t="s">
        <v>1121</v>
      </c>
      <c r="C44" s="28" t="s">
        <v>1227</v>
      </c>
      <c r="D44" s="27">
        <v>0</v>
      </c>
      <c r="E44" s="27">
        <v>0</v>
      </c>
      <c r="F44" s="41">
        <v>0</v>
      </c>
      <c r="G44" s="41">
        <v>0</v>
      </c>
      <c r="H44" s="24"/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  <c r="O44" s="26">
        <v>36220</v>
      </c>
      <c r="P44" s="26">
        <v>36220</v>
      </c>
      <c r="Q44" s="26">
        <v>36220</v>
      </c>
      <c r="R44" s="26">
        <v>36220</v>
      </c>
      <c r="S44" s="26">
        <v>16613</v>
      </c>
      <c r="T44" s="26">
        <v>0</v>
      </c>
      <c r="U44" s="22"/>
      <c r="V44" s="22"/>
      <c r="W44" s="22"/>
      <c r="X44" s="22"/>
      <c r="Y44" s="25"/>
      <c r="Z44" s="22"/>
      <c r="AA44" s="24"/>
      <c r="AB44" s="22" t="s">
        <v>1161</v>
      </c>
      <c r="AC44" s="22"/>
      <c r="AD44" s="22" t="s">
        <v>1118</v>
      </c>
      <c r="AE44" s="22" t="s">
        <v>1118</v>
      </c>
      <c r="AF44" s="23">
        <v>0</v>
      </c>
      <c r="AG44" s="22" t="s">
        <v>1138</v>
      </c>
      <c r="AH44" s="22" t="s">
        <v>1123</v>
      </c>
    </row>
    <row r="45" spans="1:34" ht="19.899999999999999" customHeight="1" x14ac:dyDescent="0.25">
      <c r="A45" s="29" t="s">
        <v>1709</v>
      </c>
      <c r="B45" s="22" t="s">
        <v>1708</v>
      </c>
      <c r="C45" s="28" t="s">
        <v>35</v>
      </c>
      <c r="D45" s="27">
        <v>3.1021E-4</v>
      </c>
      <c r="E45" s="27">
        <v>3.4736000000000001E-4</v>
      </c>
      <c r="F45" s="41">
        <v>7900</v>
      </c>
      <c r="G45" s="43">
        <v>7900</v>
      </c>
      <c r="H45" s="24"/>
      <c r="I45" s="26">
        <v>0</v>
      </c>
      <c r="J45" s="26">
        <v>0</v>
      </c>
      <c r="K45" s="26">
        <v>0</v>
      </c>
      <c r="L45" s="26">
        <v>0</v>
      </c>
      <c r="M45" s="26">
        <v>0</v>
      </c>
      <c r="N45" s="26">
        <v>36000</v>
      </c>
      <c r="O45" s="26">
        <v>36000</v>
      </c>
      <c r="P45" s="26">
        <v>36000</v>
      </c>
      <c r="Q45" s="26">
        <v>36000</v>
      </c>
      <c r="R45" s="26">
        <v>17000</v>
      </c>
      <c r="S45" s="26">
        <v>0</v>
      </c>
      <c r="T45" s="26">
        <v>0</v>
      </c>
      <c r="U45" s="27">
        <v>5.8455740000000001E-3</v>
      </c>
      <c r="V45" s="27">
        <v>1.2858391E-2</v>
      </c>
      <c r="W45" s="35">
        <v>284.53770501999998</v>
      </c>
      <c r="X45" s="34">
        <v>0.03</v>
      </c>
      <c r="Y45" s="30" t="s">
        <v>1178</v>
      </c>
      <c r="Z45" s="32">
        <v>-6</v>
      </c>
      <c r="AA45" s="24"/>
      <c r="AB45" s="22" t="s">
        <v>1177</v>
      </c>
      <c r="AC45" s="22" t="s">
        <v>1176</v>
      </c>
      <c r="AD45" s="22" t="s">
        <v>1175</v>
      </c>
      <c r="AE45" s="22" t="s">
        <v>1174</v>
      </c>
      <c r="AF45" s="23">
        <v>0.15032999999999999</v>
      </c>
      <c r="AG45" s="22" t="s">
        <v>1138</v>
      </c>
      <c r="AH45" s="22" t="s">
        <v>1123</v>
      </c>
    </row>
    <row r="46" spans="1:34" ht="19.899999999999999" customHeight="1" x14ac:dyDescent="0.25">
      <c r="A46" s="29" t="s">
        <v>1820</v>
      </c>
      <c r="B46" s="22" t="s">
        <v>1819</v>
      </c>
      <c r="C46" s="28" t="s">
        <v>1818</v>
      </c>
      <c r="D46" s="27">
        <v>2.6499900000000001E-3</v>
      </c>
      <c r="E46" s="27">
        <v>2.9673799999999999E-3</v>
      </c>
      <c r="F46" s="41">
        <v>67487</v>
      </c>
      <c r="G46" s="44">
        <v>-779</v>
      </c>
      <c r="H46" s="24"/>
      <c r="I46" s="26">
        <v>68266</v>
      </c>
      <c r="J46" s="26">
        <v>53037</v>
      </c>
      <c r="K46" s="26">
        <v>50763</v>
      </c>
      <c r="L46" s="26">
        <v>48402</v>
      </c>
      <c r="M46" s="26">
        <v>38990</v>
      </c>
      <c r="N46" s="26">
        <v>36325</v>
      </c>
      <c r="O46" s="26">
        <v>35753</v>
      </c>
      <c r="P46" s="26">
        <v>35013</v>
      </c>
      <c r="Q46" s="26">
        <v>33962</v>
      </c>
      <c r="R46" s="26">
        <v>32057</v>
      </c>
      <c r="S46" s="26">
        <v>19425</v>
      </c>
      <c r="T46" s="26">
        <v>18608</v>
      </c>
      <c r="U46" s="27">
        <v>5.519899E-3</v>
      </c>
      <c r="V46" s="27">
        <v>1.2460011E-2</v>
      </c>
      <c r="W46" s="35">
        <v>215.89036978999999</v>
      </c>
      <c r="X46" s="34">
        <v>0.24</v>
      </c>
      <c r="Y46" s="38" t="s">
        <v>1366</v>
      </c>
      <c r="Z46" s="31">
        <v>3245</v>
      </c>
      <c r="AA46" s="24"/>
      <c r="AB46" s="22" t="s">
        <v>1186</v>
      </c>
      <c r="AC46" s="22" t="s">
        <v>1169</v>
      </c>
      <c r="AD46" s="22" t="s">
        <v>1518</v>
      </c>
      <c r="AE46" s="22" t="s">
        <v>1174</v>
      </c>
      <c r="AF46" s="23">
        <v>19.738440000000001</v>
      </c>
      <c r="AG46" s="22" t="s">
        <v>1138</v>
      </c>
      <c r="AH46" s="22" t="s">
        <v>1123</v>
      </c>
    </row>
    <row r="47" spans="1:34" ht="19.899999999999999" customHeight="1" x14ac:dyDescent="0.25">
      <c r="A47" s="29" t="s">
        <v>1829</v>
      </c>
      <c r="B47" s="22" t="s">
        <v>1828</v>
      </c>
      <c r="C47" s="28" t="s">
        <v>1827</v>
      </c>
      <c r="D47" s="27">
        <v>4.3785899999999999E-3</v>
      </c>
      <c r="E47" s="27">
        <v>4.9030100000000002E-3</v>
      </c>
      <c r="F47" s="41">
        <v>111509</v>
      </c>
      <c r="G47" s="44">
        <v>-4270</v>
      </c>
      <c r="H47" s="24"/>
      <c r="I47" s="26">
        <v>115779</v>
      </c>
      <c r="J47" s="26">
        <v>57661</v>
      </c>
      <c r="K47" s="26">
        <v>70001</v>
      </c>
      <c r="L47" s="26">
        <v>42722</v>
      </c>
      <c r="M47" s="26">
        <v>50856</v>
      </c>
      <c r="N47" s="26">
        <v>31606</v>
      </c>
      <c r="O47" s="26">
        <v>46798</v>
      </c>
      <c r="P47" s="26">
        <v>31227</v>
      </c>
      <c r="Q47" s="26">
        <v>31227</v>
      </c>
      <c r="R47" s="26">
        <v>31227</v>
      </c>
      <c r="S47" s="26">
        <v>22267</v>
      </c>
      <c r="T47" s="26">
        <v>12253</v>
      </c>
      <c r="U47" s="27">
        <v>2.1430461000000001E-2</v>
      </c>
      <c r="V47" s="27">
        <v>4.2591152E-2</v>
      </c>
      <c r="W47" s="35">
        <v>857.13931260000004</v>
      </c>
      <c r="X47" s="34">
        <v>0.12</v>
      </c>
      <c r="Y47" s="36" t="s">
        <v>1204</v>
      </c>
      <c r="Z47" s="31">
        <v>996</v>
      </c>
      <c r="AA47" s="24"/>
      <c r="AB47" s="22" t="s">
        <v>1186</v>
      </c>
      <c r="AC47" s="22" t="s">
        <v>1176</v>
      </c>
      <c r="AD47" s="22" t="s">
        <v>1118</v>
      </c>
      <c r="AE47" s="22" t="s">
        <v>1168</v>
      </c>
      <c r="AF47" s="23">
        <v>18.39696</v>
      </c>
      <c r="AG47" s="22" t="s">
        <v>1138</v>
      </c>
      <c r="AH47" s="22" t="s">
        <v>1123</v>
      </c>
    </row>
    <row r="48" spans="1:34" ht="19.899999999999999" customHeight="1" x14ac:dyDescent="0.25">
      <c r="A48" s="29" t="s">
        <v>1907</v>
      </c>
      <c r="B48" s="22" t="s">
        <v>1906</v>
      </c>
      <c r="C48" s="28" t="s">
        <v>1905</v>
      </c>
      <c r="D48" s="27">
        <v>1.590312E-2</v>
      </c>
      <c r="E48" s="27">
        <v>1.780785E-2</v>
      </c>
      <c r="F48" s="41">
        <v>405003</v>
      </c>
      <c r="G48" s="43">
        <v>139205</v>
      </c>
      <c r="H48" s="24"/>
      <c r="I48" s="26">
        <v>265798</v>
      </c>
      <c r="J48" s="26">
        <v>222211</v>
      </c>
      <c r="K48" s="26">
        <v>248037</v>
      </c>
      <c r="L48" s="26">
        <v>223903</v>
      </c>
      <c r="M48" s="26">
        <v>195543</v>
      </c>
      <c r="N48" s="26">
        <v>23369</v>
      </c>
      <c r="O48" s="26">
        <v>18788</v>
      </c>
      <c r="P48" s="26">
        <v>22725</v>
      </c>
      <c r="Q48" s="26">
        <v>20405</v>
      </c>
      <c r="R48" s="26">
        <v>19166</v>
      </c>
      <c r="S48" s="26">
        <v>5524</v>
      </c>
      <c r="T48" s="26">
        <v>5313</v>
      </c>
      <c r="U48" s="27">
        <v>4.1604839999999999E-3</v>
      </c>
      <c r="V48" s="27">
        <v>2.1683542E-2</v>
      </c>
      <c r="W48" s="35">
        <v>88.144646480000006</v>
      </c>
      <c r="X48" s="34">
        <v>0.82</v>
      </c>
      <c r="Y48" s="36" t="s">
        <v>1204</v>
      </c>
      <c r="Z48" s="22"/>
      <c r="AA48" s="24"/>
      <c r="AB48" s="22" t="s">
        <v>1177</v>
      </c>
      <c r="AC48" s="22" t="s">
        <v>1176</v>
      </c>
      <c r="AD48" s="22" t="s">
        <v>1175</v>
      </c>
      <c r="AE48" s="22" t="s">
        <v>1174</v>
      </c>
      <c r="AF48" s="23">
        <v>6.3089999999999993E-2</v>
      </c>
      <c r="AG48" s="22" t="s">
        <v>1138</v>
      </c>
      <c r="AH48" s="22" t="s">
        <v>1123</v>
      </c>
    </row>
    <row r="49" spans="1:34" ht="19.899999999999999" customHeight="1" x14ac:dyDescent="0.25">
      <c r="A49" s="29" t="s">
        <v>1634</v>
      </c>
      <c r="B49" s="22" t="s">
        <v>1633</v>
      </c>
      <c r="C49" s="28" t="s">
        <v>1632</v>
      </c>
      <c r="D49" s="27">
        <v>1.3087999999999999E-4</v>
      </c>
      <c r="E49" s="27">
        <v>0</v>
      </c>
      <c r="F49" s="41">
        <v>3333</v>
      </c>
      <c r="G49" s="44">
        <v>-130</v>
      </c>
      <c r="H49" s="24"/>
      <c r="I49" s="26">
        <v>3463</v>
      </c>
      <c r="J49" s="26">
        <v>8566</v>
      </c>
      <c r="K49" s="26">
        <v>2894</v>
      </c>
      <c r="L49" s="26">
        <v>18072</v>
      </c>
      <c r="M49" s="26">
        <v>22149</v>
      </c>
      <c r="N49" s="26">
        <v>2699</v>
      </c>
      <c r="O49" s="26">
        <v>26651</v>
      </c>
      <c r="P49" s="26">
        <v>22133</v>
      </c>
      <c r="Q49" s="26">
        <v>9949</v>
      </c>
      <c r="R49" s="26">
        <v>2400</v>
      </c>
      <c r="S49" s="26">
        <v>8020</v>
      </c>
      <c r="T49" s="26">
        <v>28194</v>
      </c>
      <c r="U49" s="22"/>
      <c r="V49" s="22"/>
      <c r="W49" s="22"/>
      <c r="X49" s="22"/>
      <c r="Y49" s="25"/>
      <c r="Z49" s="22"/>
      <c r="AA49" s="24"/>
      <c r="AB49" s="22" t="s">
        <v>1222</v>
      </c>
      <c r="AC49" s="22" t="s">
        <v>1169</v>
      </c>
      <c r="AD49" s="22" t="s">
        <v>1118</v>
      </c>
      <c r="AE49" s="22" t="s">
        <v>1118</v>
      </c>
      <c r="AF49" s="23">
        <v>0</v>
      </c>
      <c r="AG49" s="22" t="s">
        <v>1407</v>
      </c>
      <c r="AH49" s="22" t="s">
        <v>1164</v>
      </c>
    </row>
    <row r="50" spans="1:34" ht="19.899999999999999" customHeight="1" x14ac:dyDescent="0.25">
      <c r="A50" s="29" t="s">
        <v>1843</v>
      </c>
      <c r="B50" s="22" t="s">
        <v>1842</v>
      </c>
      <c r="C50" s="28" t="s">
        <v>1841</v>
      </c>
      <c r="D50" s="27">
        <v>5.1308200000000003E-3</v>
      </c>
      <c r="E50" s="27">
        <v>5.7453399999999998E-3</v>
      </c>
      <c r="F50" s="41">
        <v>130666</v>
      </c>
      <c r="G50" s="43">
        <v>17623</v>
      </c>
      <c r="H50" s="24"/>
      <c r="I50" s="26">
        <v>113043</v>
      </c>
      <c r="J50" s="26">
        <v>80770</v>
      </c>
      <c r="K50" s="26">
        <v>15751</v>
      </c>
      <c r="L50" s="26">
        <v>15751</v>
      </c>
      <c r="M50" s="26">
        <v>18675</v>
      </c>
      <c r="N50" s="26">
        <v>18805</v>
      </c>
      <c r="O50" s="26">
        <v>18805</v>
      </c>
      <c r="P50" s="26">
        <v>18740</v>
      </c>
      <c r="Q50" s="26">
        <v>18740</v>
      </c>
      <c r="R50" s="26">
        <v>15906</v>
      </c>
      <c r="S50" s="26">
        <v>2868</v>
      </c>
      <c r="T50" s="26">
        <v>0</v>
      </c>
      <c r="U50" s="27">
        <v>3.833375E-3</v>
      </c>
      <c r="V50" s="27">
        <v>7.7191430000000004E-3</v>
      </c>
      <c r="W50" s="35">
        <v>44.890060130000002</v>
      </c>
      <c r="X50" s="34">
        <v>0.74</v>
      </c>
      <c r="Y50" s="36" t="s">
        <v>1204</v>
      </c>
      <c r="Z50" s="32">
        <v>-1204</v>
      </c>
      <c r="AA50" s="24"/>
      <c r="AB50" s="22" t="s">
        <v>1186</v>
      </c>
      <c r="AC50" s="22" t="s">
        <v>1176</v>
      </c>
      <c r="AD50" s="22" t="s">
        <v>1118</v>
      </c>
      <c r="AE50" s="22" t="s">
        <v>1174</v>
      </c>
      <c r="AF50" s="23">
        <v>0.43801000000000001</v>
      </c>
      <c r="AG50" s="22" t="s">
        <v>1138</v>
      </c>
      <c r="AH50" s="22" t="s">
        <v>1123</v>
      </c>
    </row>
    <row r="51" spans="1:34" ht="19.899999999999999" customHeight="1" x14ac:dyDescent="0.25">
      <c r="A51" s="29" t="s">
        <v>1736</v>
      </c>
      <c r="B51" s="22" t="s">
        <v>1735</v>
      </c>
      <c r="C51" s="28" t="s">
        <v>1734</v>
      </c>
      <c r="D51" s="27">
        <v>4.4254E-4</v>
      </c>
      <c r="E51" s="27">
        <v>0</v>
      </c>
      <c r="F51" s="41">
        <v>11270</v>
      </c>
      <c r="G51" s="43">
        <v>4770</v>
      </c>
      <c r="H51" s="24"/>
      <c r="I51" s="26">
        <v>6500</v>
      </c>
      <c r="J51" s="26">
        <v>3081</v>
      </c>
      <c r="K51" s="26">
        <v>400</v>
      </c>
      <c r="L51" s="26">
        <v>28000</v>
      </c>
      <c r="M51" s="26">
        <v>18000</v>
      </c>
      <c r="N51" s="26">
        <v>28541</v>
      </c>
      <c r="O51" s="26">
        <v>10282</v>
      </c>
      <c r="P51" s="26">
        <v>18500</v>
      </c>
      <c r="Q51" s="26">
        <v>12332</v>
      </c>
      <c r="R51" s="26">
        <v>40819</v>
      </c>
      <c r="S51" s="26">
        <v>20000</v>
      </c>
      <c r="T51" s="26">
        <v>16206</v>
      </c>
      <c r="U51" s="22"/>
      <c r="V51" s="22"/>
      <c r="W51" s="22"/>
      <c r="X51" s="22"/>
      <c r="Y51" s="25"/>
      <c r="Z51" s="22"/>
      <c r="AA51" s="24"/>
      <c r="AB51" s="22" t="s">
        <v>1222</v>
      </c>
      <c r="AC51" s="22" t="s">
        <v>1169</v>
      </c>
      <c r="AD51" s="22" t="s">
        <v>1118</v>
      </c>
      <c r="AE51" s="22" t="s">
        <v>1174</v>
      </c>
      <c r="AF51" s="23">
        <v>0</v>
      </c>
      <c r="AG51" s="22" t="s">
        <v>1653</v>
      </c>
      <c r="AH51" s="22" t="s">
        <v>1116</v>
      </c>
    </row>
    <row r="52" spans="1:34" ht="19.899999999999999" customHeight="1" x14ac:dyDescent="0.25">
      <c r="A52" s="29" t="s">
        <v>1406</v>
      </c>
      <c r="B52" s="22" t="s">
        <v>1121</v>
      </c>
      <c r="C52" s="28" t="s">
        <v>1405</v>
      </c>
      <c r="D52" s="27">
        <v>0</v>
      </c>
      <c r="E52" s="27">
        <v>0</v>
      </c>
      <c r="F52" s="41">
        <v>0</v>
      </c>
      <c r="G52" s="41">
        <v>0</v>
      </c>
      <c r="H52" s="24"/>
      <c r="I52" s="26">
        <v>0</v>
      </c>
      <c r="J52" s="26">
        <v>20000</v>
      </c>
      <c r="K52" s="26">
        <v>0</v>
      </c>
      <c r="L52" s="26">
        <v>0</v>
      </c>
      <c r="M52" s="26">
        <v>0</v>
      </c>
      <c r="N52" s="26">
        <v>15000</v>
      </c>
      <c r="O52" s="26">
        <v>30000</v>
      </c>
      <c r="P52" s="26">
        <v>17455</v>
      </c>
      <c r="Q52" s="26">
        <v>0</v>
      </c>
      <c r="R52" s="26">
        <v>0</v>
      </c>
      <c r="S52" s="26">
        <v>0</v>
      </c>
      <c r="T52" s="26">
        <v>0</v>
      </c>
      <c r="U52" s="22"/>
      <c r="V52" s="22"/>
      <c r="W52" s="22"/>
      <c r="X52" s="22"/>
      <c r="Y52" s="30" t="s">
        <v>1178</v>
      </c>
      <c r="Z52" s="22"/>
      <c r="AA52" s="24"/>
      <c r="AB52" s="22" t="s">
        <v>1175</v>
      </c>
      <c r="AC52" s="22" t="s">
        <v>1176</v>
      </c>
      <c r="AD52" s="22" t="s">
        <v>1175</v>
      </c>
      <c r="AE52" s="22" t="s">
        <v>1174</v>
      </c>
      <c r="AF52" s="23">
        <v>1.2999999999999999E-4</v>
      </c>
      <c r="AG52" s="22" t="s">
        <v>1138</v>
      </c>
      <c r="AH52" s="22" t="s">
        <v>1123</v>
      </c>
    </row>
    <row r="53" spans="1:34" ht="19.899999999999999" customHeight="1" x14ac:dyDescent="0.25">
      <c r="A53" s="29" t="s">
        <v>1849</v>
      </c>
      <c r="B53" s="22" t="s">
        <v>1848</v>
      </c>
      <c r="C53" s="28" t="s">
        <v>1847</v>
      </c>
      <c r="D53" s="27">
        <v>5.2220000000000001E-3</v>
      </c>
      <c r="E53" s="27">
        <v>0</v>
      </c>
      <c r="F53" s="41">
        <v>132988</v>
      </c>
      <c r="G53" s="43">
        <v>107912</v>
      </c>
      <c r="H53" s="24"/>
      <c r="I53" s="26">
        <v>25076</v>
      </c>
      <c r="J53" s="26">
        <v>93028</v>
      </c>
      <c r="K53" s="26">
        <v>55352</v>
      </c>
      <c r="L53" s="26">
        <v>54471</v>
      </c>
      <c r="M53" s="26">
        <v>90758</v>
      </c>
      <c r="N53" s="26">
        <v>62902</v>
      </c>
      <c r="O53" s="26">
        <v>31587</v>
      </c>
      <c r="P53" s="26">
        <v>17371</v>
      </c>
      <c r="Q53" s="26">
        <v>42842</v>
      </c>
      <c r="R53" s="26">
        <v>7899</v>
      </c>
      <c r="S53" s="26">
        <v>12168</v>
      </c>
      <c r="T53" s="26">
        <v>81196</v>
      </c>
      <c r="U53" s="22"/>
      <c r="V53" s="22"/>
      <c r="W53" s="22"/>
      <c r="X53" s="22"/>
      <c r="Y53" s="25"/>
      <c r="Z53" s="22"/>
      <c r="AA53" s="24"/>
      <c r="AB53" s="22" t="s">
        <v>1222</v>
      </c>
      <c r="AC53" s="22" t="s">
        <v>1169</v>
      </c>
      <c r="AD53" s="22" t="s">
        <v>1238</v>
      </c>
      <c r="AE53" s="22" t="s">
        <v>1174</v>
      </c>
      <c r="AF53" s="23">
        <v>13.776490000000001</v>
      </c>
      <c r="AG53" s="22" t="s">
        <v>1185</v>
      </c>
      <c r="AH53" s="22" t="s">
        <v>1184</v>
      </c>
    </row>
    <row r="54" spans="1:34" ht="19.899999999999999" customHeight="1" x14ac:dyDescent="0.25">
      <c r="A54" s="29" t="s">
        <v>1449</v>
      </c>
      <c r="B54" s="22" t="s">
        <v>1448</v>
      </c>
      <c r="C54" s="28" t="s">
        <v>1447</v>
      </c>
      <c r="D54" s="27">
        <v>0</v>
      </c>
      <c r="E54" s="27">
        <v>0</v>
      </c>
      <c r="F54" s="41">
        <v>0</v>
      </c>
      <c r="G54" s="44">
        <v>-11842</v>
      </c>
      <c r="H54" s="24"/>
      <c r="I54" s="26">
        <v>11842</v>
      </c>
      <c r="J54" s="26">
        <v>9666</v>
      </c>
      <c r="K54" s="26">
        <v>9666</v>
      </c>
      <c r="L54" s="26">
        <v>9666</v>
      </c>
      <c r="M54" s="26">
        <v>13614</v>
      </c>
      <c r="N54" s="26">
        <v>13614</v>
      </c>
      <c r="O54" s="26">
        <v>13614</v>
      </c>
      <c r="P54" s="26">
        <v>17285</v>
      </c>
      <c r="Q54" s="26">
        <v>17285</v>
      </c>
      <c r="R54" s="26">
        <v>8297</v>
      </c>
      <c r="S54" s="26">
        <v>8297</v>
      </c>
      <c r="T54" s="26">
        <v>0</v>
      </c>
      <c r="U54" s="22"/>
      <c r="V54" s="22"/>
      <c r="W54" s="22"/>
      <c r="X54" s="22"/>
      <c r="Y54" s="25"/>
      <c r="Z54" s="22"/>
      <c r="AA54" s="24"/>
      <c r="AB54" s="22" t="s">
        <v>1158</v>
      </c>
      <c r="AC54" s="22"/>
      <c r="AD54" s="22" t="s">
        <v>1118</v>
      </c>
      <c r="AE54" s="22" t="s">
        <v>1118</v>
      </c>
      <c r="AF54" s="23">
        <v>0</v>
      </c>
      <c r="AG54" s="22" t="s">
        <v>1446</v>
      </c>
      <c r="AH54" s="22" t="s">
        <v>1445</v>
      </c>
    </row>
    <row r="55" spans="1:34" ht="19.899999999999999" customHeight="1" x14ac:dyDescent="0.25">
      <c r="A55" s="29" t="s">
        <v>1781</v>
      </c>
      <c r="B55" s="22" t="s">
        <v>1780</v>
      </c>
      <c r="C55" s="28" t="s">
        <v>103</v>
      </c>
      <c r="D55" s="27">
        <v>9.923899999999999E-4</v>
      </c>
      <c r="E55" s="27">
        <v>1.11125E-3</v>
      </c>
      <c r="F55" s="41">
        <v>25273</v>
      </c>
      <c r="G55" s="43">
        <v>243</v>
      </c>
      <c r="H55" s="24"/>
      <c r="I55" s="26">
        <v>25030</v>
      </c>
      <c r="J55" s="26">
        <v>34685</v>
      </c>
      <c r="K55" s="26">
        <v>31012</v>
      </c>
      <c r="L55" s="26">
        <v>30995</v>
      </c>
      <c r="M55" s="26">
        <v>28375</v>
      </c>
      <c r="N55" s="26">
        <v>26393</v>
      </c>
      <c r="O55" s="26">
        <v>24420</v>
      </c>
      <c r="P55" s="26">
        <v>14500</v>
      </c>
      <c r="Q55" s="26">
        <v>13300</v>
      </c>
      <c r="R55" s="26">
        <v>13000</v>
      </c>
      <c r="S55" s="26">
        <v>11000</v>
      </c>
      <c r="T55" s="26">
        <v>10030</v>
      </c>
      <c r="U55" s="27">
        <v>8.7347469999999993E-3</v>
      </c>
      <c r="V55" s="27">
        <v>5.3952122999999998E-2</v>
      </c>
      <c r="W55" s="35">
        <v>1201.7572739300001</v>
      </c>
      <c r="X55" s="34">
        <v>0.02</v>
      </c>
      <c r="Y55" s="30" t="s">
        <v>1178</v>
      </c>
      <c r="Z55" s="22"/>
      <c r="AA55" s="24"/>
      <c r="AB55" s="22" t="s">
        <v>1779</v>
      </c>
      <c r="AC55" s="22" t="s">
        <v>1176</v>
      </c>
      <c r="AD55" s="22" t="s">
        <v>1342</v>
      </c>
      <c r="AE55" s="22" t="s">
        <v>1174</v>
      </c>
      <c r="AF55" s="23">
        <v>2.9289000000000001</v>
      </c>
      <c r="AG55" s="22" t="s">
        <v>1117</v>
      </c>
      <c r="AH55" s="22" t="s">
        <v>1116</v>
      </c>
    </row>
    <row r="56" spans="1:34" ht="19.899999999999999" customHeight="1" x14ac:dyDescent="0.25">
      <c r="A56" s="29" t="s">
        <v>1766</v>
      </c>
      <c r="B56" s="22" t="s">
        <v>1765</v>
      </c>
      <c r="C56" s="28" t="s">
        <v>1764</v>
      </c>
      <c r="D56" s="27">
        <v>7.9056000000000005E-4</v>
      </c>
      <c r="E56" s="27">
        <v>8.8524000000000003E-4</v>
      </c>
      <c r="F56" s="41">
        <v>20133</v>
      </c>
      <c r="G56" s="43">
        <v>151</v>
      </c>
      <c r="H56" s="24"/>
      <c r="I56" s="26">
        <v>19982</v>
      </c>
      <c r="J56" s="26">
        <v>15976</v>
      </c>
      <c r="K56" s="26">
        <v>15954</v>
      </c>
      <c r="L56" s="26">
        <v>15879</v>
      </c>
      <c r="M56" s="26">
        <v>13399</v>
      </c>
      <c r="N56" s="26">
        <v>13417</v>
      </c>
      <c r="O56" s="26">
        <v>13278</v>
      </c>
      <c r="P56" s="26">
        <v>12130</v>
      </c>
      <c r="Q56" s="26">
        <v>12130</v>
      </c>
      <c r="R56" s="26">
        <v>12117</v>
      </c>
      <c r="S56" s="26">
        <v>10325</v>
      </c>
      <c r="T56" s="26">
        <v>10330</v>
      </c>
      <c r="U56" s="27">
        <v>1.344537E-3</v>
      </c>
      <c r="V56" s="27">
        <v>2.2095209999999999E-3</v>
      </c>
      <c r="W56" s="35">
        <v>30.118019</v>
      </c>
      <c r="X56" s="34">
        <v>0.4</v>
      </c>
      <c r="Y56" s="33" t="s">
        <v>1196</v>
      </c>
      <c r="Z56" s="22"/>
      <c r="AA56" s="24"/>
      <c r="AB56" s="22" t="s">
        <v>1763</v>
      </c>
      <c r="AC56" s="22" t="s">
        <v>1169</v>
      </c>
      <c r="AD56" s="22" t="s">
        <v>1518</v>
      </c>
      <c r="AE56" s="22" t="s">
        <v>1174</v>
      </c>
      <c r="AF56" s="23">
        <v>10.224769999999999</v>
      </c>
      <c r="AG56" s="22" t="s">
        <v>1762</v>
      </c>
      <c r="AH56" s="22" t="s">
        <v>1761</v>
      </c>
    </row>
    <row r="57" spans="1:34" ht="19.899999999999999" customHeight="1" x14ac:dyDescent="0.25">
      <c r="A57" s="29" t="s">
        <v>1784</v>
      </c>
      <c r="B57" s="22" t="s">
        <v>1783</v>
      </c>
      <c r="C57" s="28" t="s">
        <v>1782</v>
      </c>
      <c r="D57" s="27">
        <v>1.07642E-3</v>
      </c>
      <c r="E57" s="27">
        <v>0</v>
      </c>
      <c r="F57" s="41">
        <v>27413</v>
      </c>
      <c r="G57" s="43">
        <v>4803</v>
      </c>
      <c r="H57" s="24"/>
      <c r="I57" s="26">
        <v>22610</v>
      </c>
      <c r="J57" s="26">
        <v>21022</v>
      </c>
      <c r="K57" s="26">
        <v>17452</v>
      </c>
      <c r="L57" s="26">
        <v>16811</v>
      </c>
      <c r="M57" s="26">
        <v>13109</v>
      </c>
      <c r="N57" s="26">
        <v>11823</v>
      </c>
      <c r="O57" s="26">
        <v>11085</v>
      </c>
      <c r="P57" s="26">
        <v>11206</v>
      </c>
      <c r="Q57" s="26">
        <v>10995</v>
      </c>
      <c r="R57" s="26">
        <v>10885</v>
      </c>
      <c r="S57" s="26">
        <v>10085</v>
      </c>
      <c r="T57" s="26">
        <v>10085</v>
      </c>
      <c r="U57" s="22"/>
      <c r="V57" s="22"/>
      <c r="W57" s="22"/>
      <c r="X57" s="22"/>
      <c r="Y57" s="25"/>
      <c r="Z57" s="22"/>
      <c r="AA57" s="24"/>
      <c r="AB57" s="22" t="s">
        <v>1181</v>
      </c>
      <c r="AC57" s="22" t="s">
        <v>1169</v>
      </c>
      <c r="AD57" s="22" t="s">
        <v>1118</v>
      </c>
      <c r="AE57" s="22" t="s">
        <v>1174</v>
      </c>
      <c r="AF57" s="23">
        <v>2.886E-2</v>
      </c>
      <c r="AG57" s="22" t="s">
        <v>1138</v>
      </c>
      <c r="AH57" s="22" t="s">
        <v>1123</v>
      </c>
    </row>
    <row r="58" spans="1:34" ht="19.899999999999999" customHeight="1" x14ac:dyDescent="0.25">
      <c r="A58" s="29" t="s">
        <v>1778</v>
      </c>
      <c r="B58" s="22" t="s">
        <v>1777</v>
      </c>
      <c r="C58" s="28" t="s">
        <v>1776</v>
      </c>
      <c r="D58" s="27">
        <v>9.5591000000000003E-4</v>
      </c>
      <c r="E58" s="27">
        <v>0</v>
      </c>
      <c r="F58" s="41">
        <v>24344</v>
      </c>
      <c r="G58" s="43">
        <v>1761</v>
      </c>
      <c r="H58" s="24"/>
      <c r="I58" s="26">
        <v>22583</v>
      </c>
      <c r="J58" s="26">
        <v>23022</v>
      </c>
      <c r="K58" s="26">
        <v>22265</v>
      </c>
      <c r="L58" s="26">
        <v>20579</v>
      </c>
      <c r="M58" s="26">
        <v>18962</v>
      </c>
      <c r="N58" s="26">
        <v>16128</v>
      </c>
      <c r="O58" s="26">
        <v>10354</v>
      </c>
      <c r="P58" s="26">
        <v>10951</v>
      </c>
      <c r="Q58" s="26">
        <v>11256</v>
      </c>
      <c r="R58" s="26">
        <v>7691</v>
      </c>
      <c r="S58" s="26">
        <v>7790</v>
      </c>
      <c r="T58" s="26">
        <v>0</v>
      </c>
      <c r="U58" s="22"/>
      <c r="V58" s="22"/>
      <c r="W58" s="22"/>
      <c r="X58" s="22"/>
      <c r="Y58" s="25"/>
      <c r="Z58" s="22"/>
      <c r="AA58" s="24"/>
      <c r="AB58" s="22" t="s">
        <v>1181</v>
      </c>
      <c r="AC58" s="22" t="s">
        <v>1169</v>
      </c>
      <c r="AD58" s="22" t="s">
        <v>1118</v>
      </c>
      <c r="AE58" s="22" t="s">
        <v>1174</v>
      </c>
      <c r="AF58" s="23">
        <v>1.8000000000000001E-4</v>
      </c>
      <c r="AG58" s="22" t="s">
        <v>1124</v>
      </c>
      <c r="AH58" s="22" t="s">
        <v>1123</v>
      </c>
    </row>
    <row r="59" spans="1:34" ht="19.899999999999999" customHeight="1" x14ac:dyDescent="0.25">
      <c r="A59" s="29" t="s">
        <v>1772</v>
      </c>
      <c r="B59" s="22" t="s">
        <v>1771</v>
      </c>
      <c r="C59" s="28" t="s">
        <v>1770</v>
      </c>
      <c r="D59" s="27">
        <v>8.9378999999999999E-4</v>
      </c>
      <c r="E59" s="27">
        <v>1.00084E-3</v>
      </c>
      <c r="F59" s="41">
        <v>22762</v>
      </c>
      <c r="G59" s="43">
        <v>17302</v>
      </c>
      <c r="H59" s="24"/>
      <c r="I59" s="26">
        <v>5460</v>
      </c>
      <c r="J59" s="26">
        <v>5460</v>
      </c>
      <c r="K59" s="26">
        <v>10478</v>
      </c>
      <c r="L59" s="26">
        <v>21768</v>
      </c>
      <c r="M59" s="26">
        <v>21768</v>
      </c>
      <c r="N59" s="26">
        <v>21768</v>
      </c>
      <c r="O59" s="26">
        <v>12117</v>
      </c>
      <c r="P59" s="26">
        <v>10908</v>
      </c>
      <c r="Q59" s="26">
        <v>0</v>
      </c>
      <c r="R59" s="26">
        <v>0</v>
      </c>
      <c r="S59" s="26">
        <v>0</v>
      </c>
      <c r="T59" s="26">
        <v>0</v>
      </c>
      <c r="U59" s="27">
        <v>5.9422200000000004E-4</v>
      </c>
      <c r="V59" s="27">
        <v>1.241778E-3</v>
      </c>
      <c r="W59" s="35">
        <v>5.4796912400000002</v>
      </c>
      <c r="X59" s="34">
        <v>0.81</v>
      </c>
      <c r="Y59" s="30" t="s">
        <v>1178</v>
      </c>
      <c r="Z59" s="32">
        <v>-21</v>
      </c>
      <c r="AA59" s="24"/>
      <c r="AB59" s="22" t="s">
        <v>1186</v>
      </c>
      <c r="AC59" s="22" t="s">
        <v>1176</v>
      </c>
      <c r="AD59" s="22" t="s">
        <v>1118</v>
      </c>
      <c r="AE59" s="22" t="s">
        <v>1118</v>
      </c>
      <c r="AF59" s="23">
        <v>3.5929999999999997E-2</v>
      </c>
      <c r="AG59" s="22" t="s">
        <v>1138</v>
      </c>
      <c r="AH59" s="22" t="s">
        <v>1123</v>
      </c>
    </row>
    <row r="60" spans="1:34" ht="19.899999999999999" customHeight="1" x14ac:dyDescent="0.25">
      <c r="A60" s="29" t="s">
        <v>1730</v>
      </c>
      <c r="B60" s="22" t="s">
        <v>1729</v>
      </c>
      <c r="C60" s="28" t="s">
        <v>1728</v>
      </c>
      <c r="D60" s="27">
        <v>3.8984000000000002E-4</v>
      </c>
      <c r="E60" s="27">
        <v>0</v>
      </c>
      <c r="F60" s="41">
        <v>9928</v>
      </c>
      <c r="G60" s="44">
        <v>-120</v>
      </c>
      <c r="H60" s="24"/>
      <c r="I60" s="26">
        <v>10048</v>
      </c>
      <c r="J60" s="26">
        <v>12333</v>
      </c>
      <c r="K60" s="26">
        <v>12333</v>
      </c>
      <c r="L60" s="26">
        <v>12333</v>
      </c>
      <c r="M60" s="26">
        <v>12333</v>
      </c>
      <c r="N60" s="26">
        <v>12333</v>
      </c>
      <c r="O60" s="26">
        <v>9459</v>
      </c>
      <c r="P60" s="26">
        <v>9459</v>
      </c>
      <c r="Q60" s="26">
        <v>0</v>
      </c>
      <c r="R60" s="26">
        <v>0</v>
      </c>
      <c r="S60" s="26">
        <v>0</v>
      </c>
      <c r="T60" s="26">
        <v>0</v>
      </c>
      <c r="U60" s="22"/>
      <c r="V60" s="22"/>
      <c r="W60" s="22"/>
      <c r="X60" s="22"/>
      <c r="Y60" s="25"/>
      <c r="Z60" s="22"/>
      <c r="AA60" s="24"/>
      <c r="AB60" s="22" t="s">
        <v>1181</v>
      </c>
      <c r="AC60" s="22" t="s">
        <v>1169</v>
      </c>
      <c r="AD60" s="22" t="s">
        <v>1118</v>
      </c>
      <c r="AE60" s="22" t="s">
        <v>1118</v>
      </c>
      <c r="AF60" s="23">
        <v>0</v>
      </c>
      <c r="AG60" s="22" t="s">
        <v>1132</v>
      </c>
      <c r="AH60" s="22" t="s">
        <v>1727</v>
      </c>
    </row>
    <row r="61" spans="1:34" ht="19.899999999999999" customHeight="1" x14ac:dyDescent="0.25">
      <c r="A61" s="29" t="s">
        <v>1714</v>
      </c>
      <c r="B61" s="22" t="s">
        <v>1713</v>
      </c>
      <c r="C61" s="28" t="s">
        <v>490</v>
      </c>
      <c r="D61" s="27">
        <v>3.1366E-4</v>
      </c>
      <c r="E61" s="27">
        <v>3.5123000000000001E-4</v>
      </c>
      <c r="F61" s="41">
        <v>7988</v>
      </c>
      <c r="G61" s="44">
        <v>-8607</v>
      </c>
      <c r="H61" s="24"/>
      <c r="I61" s="26">
        <v>16595</v>
      </c>
      <c r="J61" s="26">
        <v>20340</v>
      </c>
      <c r="K61" s="26">
        <v>24038</v>
      </c>
      <c r="L61" s="26">
        <v>27457</v>
      </c>
      <c r="M61" s="26">
        <v>27476</v>
      </c>
      <c r="N61" s="26">
        <v>10995</v>
      </c>
      <c r="O61" s="26">
        <v>6367</v>
      </c>
      <c r="P61" s="26">
        <v>9174</v>
      </c>
      <c r="Q61" s="26">
        <v>12335</v>
      </c>
      <c r="R61" s="26">
        <v>12224</v>
      </c>
      <c r="S61" s="26">
        <v>11888</v>
      </c>
      <c r="T61" s="26">
        <v>4269</v>
      </c>
      <c r="U61" s="27">
        <v>7.4955400000000004E-4</v>
      </c>
      <c r="V61" s="27">
        <v>2.5023850000000002E-3</v>
      </c>
      <c r="W61" s="35">
        <v>48.923609429999999</v>
      </c>
      <c r="X61" s="34">
        <v>0.14000000000000001</v>
      </c>
      <c r="Y61" s="36" t="s">
        <v>1204</v>
      </c>
      <c r="Z61" s="31">
        <v>6</v>
      </c>
      <c r="AA61" s="24"/>
      <c r="AB61" s="22" t="s">
        <v>1186</v>
      </c>
      <c r="AC61" s="22" t="s">
        <v>1176</v>
      </c>
      <c r="AD61" s="22" t="s">
        <v>1118</v>
      </c>
      <c r="AE61" s="22" t="s">
        <v>1118</v>
      </c>
      <c r="AF61" s="23">
        <v>0</v>
      </c>
      <c r="AG61" s="22" t="s">
        <v>1138</v>
      </c>
      <c r="AH61" s="22" t="s">
        <v>1123</v>
      </c>
    </row>
    <row r="62" spans="1:34" ht="19.899999999999999" customHeight="1" x14ac:dyDescent="0.25">
      <c r="A62" s="29" t="s">
        <v>1790</v>
      </c>
      <c r="B62" s="22" t="s">
        <v>1789</v>
      </c>
      <c r="C62" s="28" t="s">
        <v>1788</v>
      </c>
      <c r="D62" s="27">
        <v>1.3183400000000001E-3</v>
      </c>
      <c r="E62" s="27">
        <v>1.47624E-3</v>
      </c>
      <c r="F62" s="41">
        <v>33574</v>
      </c>
      <c r="G62" s="43">
        <v>5650</v>
      </c>
      <c r="H62" s="24"/>
      <c r="I62" s="26">
        <v>27924</v>
      </c>
      <c r="J62" s="26">
        <v>24264</v>
      </c>
      <c r="K62" s="26">
        <v>22733</v>
      </c>
      <c r="L62" s="26">
        <v>19180</v>
      </c>
      <c r="M62" s="26">
        <v>17557</v>
      </c>
      <c r="N62" s="26">
        <v>15794</v>
      </c>
      <c r="O62" s="26">
        <v>11260</v>
      </c>
      <c r="P62" s="26">
        <v>9159</v>
      </c>
      <c r="Q62" s="26">
        <v>6234</v>
      </c>
      <c r="R62" s="26">
        <v>3658</v>
      </c>
      <c r="S62" s="26">
        <v>2966</v>
      </c>
      <c r="T62" s="26">
        <v>78</v>
      </c>
      <c r="U62" s="27">
        <v>5.7565369999999999E-3</v>
      </c>
      <c r="V62" s="27">
        <v>1.802076E-2</v>
      </c>
      <c r="W62" s="35">
        <v>376.27118958</v>
      </c>
      <c r="X62" s="34">
        <v>0.08</v>
      </c>
      <c r="Y62" s="33" t="s">
        <v>1196</v>
      </c>
      <c r="Z62" s="22"/>
      <c r="AA62" s="24"/>
      <c r="AB62" s="22" t="s">
        <v>1186</v>
      </c>
      <c r="AC62" s="22" t="s">
        <v>1176</v>
      </c>
      <c r="AD62" s="22" t="s">
        <v>1118</v>
      </c>
      <c r="AE62" s="22" t="s">
        <v>1174</v>
      </c>
      <c r="AF62" s="23">
        <v>8.9116400000000002</v>
      </c>
      <c r="AG62" s="22" t="s">
        <v>1124</v>
      </c>
      <c r="AH62" s="22" t="s">
        <v>1123</v>
      </c>
    </row>
    <row r="63" spans="1:34" ht="19.899999999999999" customHeight="1" x14ac:dyDescent="0.25">
      <c r="A63" s="29" t="s">
        <v>1270</v>
      </c>
      <c r="B63" s="22" t="s">
        <v>1121</v>
      </c>
      <c r="C63" s="28" t="s">
        <v>1269</v>
      </c>
      <c r="D63" s="27">
        <v>0</v>
      </c>
      <c r="E63" s="27">
        <v>0</v>
      </c>
      <c r="F63" s="41">
        <v>0</v>
      </c>
      <c r="G63" s="41">
        <v>0</v>
      </c>
      <c r="H63" s="24"/>
      <c r="I63" s="26">
        <v>0</v>
      </c>
      <c r="J63" s="26">
        <v>0</v>
      </c>
      <c r="K63" s="26">
        <v>0</v>
      </c>
      <c r="L63" s="26">
        <v>4091</v>
      </c>
      <c r="M63" s="26">
        <v>4091</v>
      </c>
      <c r="N63" s="26">
        <v>4091</v>
      </c>
      <c r="O63" s="26">
        <v>8017</v>
      </c>
      <c r="P63" s="26">
        <v>8017</v>
      </c>
      <c r="Q63" s="26">
        <v>1648</v>
      </c>
      <c r="R63" s="26">
        <v>0</v>
      </c>
      <c r="S63" s="26">
        <v>0</v>
      </c>
      <c r="T63" s="26">
        <v>9500</v>
      </c>
      <c r="U63" s="27">
        <v>8.7327800000000001E-4</v>
      </c>
      <c r="V63" s="27">
        <v>1.2149439999999999E-3</v>
      </c>
      <c r="W63" s="35">
        <v>27.631406999999999</v>
      </c>
      <c r="X63" s="34">
        <v>0</v>
      </c>
      <c r="Y63" s="36" t="s">
        <v>1204</v>
      </c>
      <c r="Z63" s="22"/>
      <c r="AA63" s="24"/>
      <c r="AB63" s="22" t="s">
        <v>1268</v>
      </c>
      <c r="AC63" s="22"/>
      <c r="AD63" s="22" t="s">
        <v>1118</v>
      </c>
      <c r="AE63" s="22" t="s">
        <v>1118</v>
      </c>
      <c r="AF63" s="23">
        <v>0</v>
      </c>
      <c r="AG63" s="22" t="s">
        <v>1267</v>
      </c>
      <c r="AH63" s="22" t="s">
        <v>1184</v>
      </c>
    </row>
    <row r="64" spans="1:34" ht="19.899999999999999" customHeight="1" x14ac:dyDescent="0.25">
      <c r="A64" s="29" t="s">
        <v>1815</v>
      </c>
      <c r="B64" s="22" t="s">
        <v>1814</v>
      </c>
      <c r="C64" s="28" t="s">
        <v>1813</v>
      </c>
      <c r="D64" s="27">
        <v>2.37418E-3</v>
      </c>
      <c r="E64" s="27">
        <v>2.65854E-3</v>
      </c>
      <c r="F64" s="41">
        <v>60463</v>
      </c>
      <c r="G64" s="44">
        <v>-15448</v>
      </c>
      <c r="H64" s="24"/>
      <c r="I64" s="26">
        <v>75911</v>
      </c>
      <c r="J64" s="26">
        <v>62490</v>
      </c>
      <c r="K64" s="26">
        <v>55532</v>
      </c>
      <c r="L64" s="26">
        <v>51949</v>
      </c>
      <c r="M64" s="26">
        <v>55096</v>
      </c>
      <c r="N64" s="26">
        <v>56053</v>
      </c>
      <c r="O64" s="26">
        <v>29336</v>
      </c>
      <c r="P64" s="26">
        <v>7171</v>
      </c>
      <c r="Q64" s="26">
        <v>13576</v>
      </c>
      <c r="R64" s="26">
        <v>14484</v>
      </c>
      <c r="S64" s="26">
        <v>5246</v>
      </c>
      <c r="T64" s="26">
        <v>0</v>
      </c>
      <c r="U64" s="27">
        <v>5.9030289999999997E-3</v>
      </c>
      <c r="V64" s="27">
        <v>1.2812705000000001E-2</v>
      </c>
      <c r="W64" s="35">
        <v>230.93567074000001</v>
      </c>
      <c r="X64" s="34">
        <v>0.21</v>
      </c>
      <c r="Y64" s="33" t="s">
        <v>1196</v>
      </c>
      <c r="Z64" s="32">
        <v>-97</v>
      </c>
      <c r="AA64" s="24"/>
      <c r="AB64" s="22" t="s">
        <v>1186</v>
      </c>
      <c r="AC64" s="22" t="s">
        <v>1169</v>
      </c>
      <c r="AD64" s="22" t="s">
        <v>1195</v>
      </c>
      <c r="AE64" s="22" t="s">
        <v>1174</v>
      </c>
      <c r="AF64" s="23">
        <v>8.9899999999999997E-3</v>
      </c>
      <c r="AG64" s="22" t="s">
        <v>1138</v>
      </c>
      <c r="AH64" s="22" t="s">
        <v>1123</v>
      </c>
    </row>
    <row r="65" spans="1:34" ht="19.899999999999999" customHeight="1" x14ac:dyDescent="0.25">
      <c r="A65" s="29" t="s">
        <v>1717</v>
      </c>
      <c r="B65" s="22" t="s">
        <v>1716</v>
      </c>
      <c r="C65" s="28" t="s">
        <v>1715</v>
      </c>
      <c r="D65" s="27">
        <v>3.1751000000000001E-4</v>
      </c>
      <c r="E65" s="27">
        <v>3.5554E-4</v>
      </c>
      <c r="F65" s="41">
        <v>8086</v>
      </c>
      <c r="G65" s="41">
        <v>0</v>
      </c>
      <c r="H65" s="24"/>
      <c r="I65" s="26">
        <v>8086</v>
      </c>
      <c r="J65" s="26">
        <v>7988</v>
      </c>
      <c r="K65" s="26">
        <v>8296</v>
      </c>
      <c r="L65" s="26">
        <v>8296</v>
      </c>
      <c r="M65" s="26">
        <v>6174</v>
      </c>
      <c r="N65" s="26">
        <v>6246</v>
      </c>
      <c r="O65" s="26">
        <v>6516</v>
      </c>
      <c r="P65" s="26">
        <v>6638</v>
      </c>
      <c r="Q65" s="26">
        <v>6712</v>
      </c>
      <c r="R65" s="26">
        <v>6712</v>
      </c>
      <c r="S65" s="26">
        <v>3352</v>
      </c>
      <c r="T65" s="26">
        <v>0</v>
      </c>
      <c r="U65" s="27">
        <v>1.127451E-3</v>
      </c>
      <c r="V65" s="27">
        <v>2.5629720000000002E-3</v>
      </c>
      <c r="W65" s="35">
        <v>50.203536360000001</v>
      </c>
      <c r="X65" s="34">
        <v>0.14000000000000001</v>
      </c>
      <c r="Y65" s="30" t="s">
        <v>1178</v>
      </c>
      <c r="Z65" s="22"/>
      <c r="AA65" s="24"/>
      <c r="AB65" s="22" t="s">
        <v>1177</v>
      </c>
      <c r="AC65" s="22" t="s">
        <v>1176</v>
      </c>
      <c r="AD65" s="22" t="s">
        <v>1175</v>
      </c>
      <c r="AE65" s="22" t="s">
        <v>1118</v>
      </c>
      <c r="AF65" s="23">
        <v>1.1E-4</v>
      </c>
      <c r="AG65" s="22" t="s">
        <v>1124</v>
      </c>
      <c r="AH65" s="22" t="s">
        <v>1123</v>
      </c>
    </row>
    <row r="66" spans="1:34" ht="19.899999999999999" customHeight="1" x14ac:dyDescent="0.25">
      <c r="A66" s="29" t="s">
        <v>1671</v>
      </c>
      <c r="B66" s="22" t="s">
        <v>1670</v>
      </c>
      <c r="C66" s="28" t="s">
        <v>1669</v>
      </c>
      <c r="D66" s="27">
        <v>1.8734000000000001E-4</v>
      </c>
      <c r="E66" s="27">
        <v>0</v>
      </c>
      <c r="F66" s="41">
        <v>4771</v>
      </c>
      <c r="G66" s="43">
        <v>4771</v>
      </c>
      <c r="H66" s="24"/>
      <c r="I66" s="26">
        <v>0</v>
      </c>
      <c r="J66" s="26">
        <v>0</v>
      </c>
      <c r="K66" s="26">
        <v>0</v>
      </c>
      <c r="L66" s="26">
        <v>0</v>
      </c>
      <c r="M66" s="26">
        <v>0</v>
      </c>
      <c r="N66" s="26">
        <v>0</v>
      </c>
      <c r="O66" s="26">
        <v>0</v>
      </c>
      <c r="P66" s="26">
        <v>6000</v>
      </c>
      <c r="Q66" s="26">
        <v>62804</v>
      </c>
      <c r="R66" s="26">
        <v>0</v>
      </c>
      <c r="S66" s="26">
        <v>0</v>
      </c>
      <c r="T66" s="26">
        <v>0</v>
      </c>
      <c r="U66" s="22"/>
      <c r="V66" s="22"/>
      <c r="W66" s="22"/>
      <c r="X66" s="22"/>
      <c r="Y66" s="25"/>
      <c r="Z66" s="22"/>
      <c r="AA66" s="24"/>
      <c r="AB66" s="22" t="s">
        <v>1222</v>
      </c>
      <c r="AC66" s="22" t="s">
        <v>1169</v>
      </c>
      <c r="AD66" s="22" t="s">
        <v>1118</v>
      </c>
      <c r="AE66" s="22" t="s">
        <v>1168</v>
      </c>
      <c r="AF66" s="23">
        <v>4.0000000000000003E-5</v>
      </c>
      <c r="AG66" s="22" t="s">
        <v>1138</v>
      </c>
      <c r="AH66" s="22" t="s">
        <v>1123</v>
      </c>
    </row>
    <row r="67" spans="1:34" ht="19.899999999999999" customHeight="1" x14ac:dyDescent="0.25">
      <c r="A67" s="29" t="s">
        <v>1681</v>
      </c>
      <c r="B67" s="22" t="s">
        <v>1680</v>
      </c>
      <c r="C67" s="28" t="s">
        <v>1679</v>
      </c>
      <c r="D67" s="27">
        <v>2.1772999999999999E-4</v>
      </c>
      <c r="E67" s="27">
        <v>0</v>
      </c>
      <c r="F67" s="41">
        <v>5545</v>
      </c>
      <c r="G67" s="43">
        <v>2652</v>
      </c>
      <c r="H67" s="24"/>
      <c r="I67" s="26">
        <v>2893</v>
      </c>
      <c r="J67" s="26">
        <v>2257</v>
      </c>
      <c r="K67" s="26">
        <v>2257</v>
      </c>
      <c r="L67" s="26">
        <v>3834</v>
      </c>
      <c r="M67" s="26">
        <v>3834</v>
      </c>
      <c r="N67" s="26">
        <v>3834</v>
      </c>
      <c r="O67" s="26">
        <v>5527</v>
      </c>
      <c r="P67" s="26">
        <v>5527</v>
      </c>
      <c r="Q67" s="26">
        <v>5527</v>
      </c>
      <c r="R67" s="26">
        <v>1701</v>
      </c>
      <c r="S67" s="26">
        <v>0</v>
      </c>
      <c r="T67" s="26">
        <v>0</v>
      </c>
      <c r="U67" s="22"/>
      <c r="V67" s="22"/>
      <c r="W67" s="22"/>
      <c r="X67" s="22"/>
      <c r="Y67" s="25"/>
      <c r="Z67" s="22"/>
      <c r="AA67" s="24"/>
      <c r="AB67" s="22" t="s">
        <v>1158</v>
      </c>
      <c r="AC67" s="22"/>
      <c r="AD67" s="22" t="s">
        <v>1118</v>
      </c>
      <c r="AE67" s="22" t="s">
        <v>1118</v>
      </c>
      <c r="AF67" s="23">
        <v>0</v>
      </c>
      <c r="AG67" s="22" t="s">
        <v>1365</v>
      </c>
      <c r="AH67" s="22" t="s">
        <v>1365</v>
      </c>
    </row>
    <row r="68" spans="1:34" ht="19.899999999999999" customHeight="1" x14ac:dyDescent="0.25">
      <c r="A68" s="29" t="s">
        <v>1726</v>
      </c>
      <c r="B68" s="22" t="s">
        <v>1725</v>
      </c>
      <c r="C68" s="28" t="s">
        <v>1724</v>
      </c>
      <c r="D68" s="27">
        <v>3.6911000000000002E-4</v>
      </c>
      <c r="E68" s="27">
        <v>0</v>
      </c>
      <c r="F68" s="41">
        <v>9400</v>
      </c>
      <c r="G68" s="43">
        <v>150</v>
      </c>
      <c r="H68" s="24"/>
      <c r="I68" s="26">
        <v>9250</v>
      </c>
      <c r="J68" s="26">
        <v>9250</v>
      </c>
      <c r="K68" s="26">
        <v>9000</v>
      </c>
      <c r="L68" s="26">
        <v>6685</v>
      </c>
      <c r="M68" s="26">
        <v>5750</v>
      </c>
      <c r="N68" s="26">
        <v>5000</v>
      </c>
      <c r="O68" s="26">
        <v>5000</v>
      </c>
      <c r="P68" s="26">
        <v>5000</v>
      </c>
      <c r="Q68" s="26">
        <v>3000</v>
      </c>
      <c r="R68" s="26">
        <v>3000</v>
      </c>
      <c r="S68" s="26">
        <v>0</v>
      </c>
      <c r="T68" s="26">
        <v>0</v>
      </c>
      <c r="U68" s="22"/>
      <c r="V68" s="22"/>
      <c r="W68" s="22"/>
      <c r="X68" s="22"/>
      <c r="Y68" s="25"/>
      <c r="Z68" s="22"/>
      <c r="AA68" s="24"/>
      <c r="AB68" s="22" t="s">
        <v>1181</v>
      </c>
      <c r="AC68" s="22"/>
      <c r="AD68" s="22" t="s">
        <v>1118</v>
      </c>
      <c r="AE68" s="22" t="s">
        <v>1118</v>
      </c>
      <c r="AF68" s="23">
        <v>0</v>
      </c>
      <c r="AG68" s="22" t="s">
        <v>1138</v>
      </c>
      <c r="AH68" s="22" t="s">
        <v>1123</v>
      </c>
    </row>
    <row r="69" spans="1:34" ht="19.899999999999999" customHeight="1" x14ac:dyDescent="0.25">
      <c r="A69" s="29" t="s">
        <v>1723</v>
      </c>
      <c r="B69" s="22" t="s">
        <v>1722</v>
      </c>
      <c r="C69" s="28" t="s">
        <v>1721</v>
      </c>
      <c r="D69" s="27">
        <v>3.547E-4</v>
      </c>
      <c r="E69" s="27">
        <v>3.9718000000000002E-4</v>
      </c>
      <c r="F69" s="41">
        <v>9033</v>
      </c>
      <c r="G69" s="41">
        <v>0</v>
      </c>
      <c r="H69" s="24"/>
      <c r="I69" s="26">
        <v>9033</v>
      </c>
      <c r="J69" s="26">
        <v>6033</v>
      </c>
      <c r="K69" s="26">
        <v>6033</v>
      </c>
      <c r="L69" s="26">
        <v>6033</v>
      </c>
      <c r="M69" s="26">
        <v>6033</v>
      </c>
      <c r="N69" s="26">
        <v>5033</v>
      </c>
      <c r="O69" s="26">
        <v>5033</v>
      </c>
      <c r="P69" s="26">
        <v>4533</v>
      </c>
      <c r="Q69" s="26">
        <v>4533</v>
      </c>
      <c r="R69" s="26">
        <v>3533</v>
      </c>
      <c r="S69" s="26">
        <v>3533</v>
      </c>
      <c r="T69" s="26">
        <v>0</v>
      </c>
      <c r="U69" s="22"/>
      <c r="V69" s="22"/>
      <c r="W69" s="22"/>
      <c r="X69" s="22"/>
      <c r="Y69" s="30" t="s">
        <v>1178</v>
      </c>
      <c r="Z69" s="22"/>
      <c r="AA69" s="24"/>
      <c r="AB69" s="22" t="s">
        <v>1186</v>
      </c>
      <c r="AC69" s="22"/>
      <c r="AD69" s="22" t="s">
        <v>1118</v>
      </c>
      <c r="AE69" s="22" t="s">
        <v>1118</v>
      </c>
      <c r="AF69" s="23">
        <v>0</v>
      </c>
      <c r="AG69" s="22" t="s">
        <v>1124</v>
      </c>
      <c r="AH69" s="22" t="s">
        <v>1123</v>
      </c>
    </row>
    <row r="70" spans="1:34" ht="19.899999999999999" customHeight="1" x14ac:dyDescent="0.25">
      <c r="A70" s="29" t="s">
        <v>1504</v>
      </c>
      <c r="B70" s="22" t="s">
        <v>1503</v>
      </c>
      <c r="C70" s="28" t="s">
        <v>1502</v>
      </c>
      <c r="D70" s="27">
        <v>1.0679999999999999E-5</v>
      </c>
      <c r="E70" s="27">
        <v>0</v>
      </c>
      <c r="F70" s="41">
        <v>272</v>
      </c>
      <c r="G70" s="44">
        <v>-6575</v>
      </c>
      <c r="H70" s="24"/>
      <c r="I70" s="26">
        <v>6847</v>
      </c>
      <c r="J70" s="26">
        <v>3482</v>
      </c>
      <c r="K70" s="26">
        <v>3482</v>
      </c>
      <c r="L70" s="26">
        <v>5012</v>
      </c>
      <c r="M70" s="26">
        <v>642</v>
      </c>
      <c r="N70" s="26">
        <v>9671</v>
      </c>
      <c r="O70" s="26">
        <v>2087</v>
      </c>
      <c r="P70" s="26">
        <v>4389</v>
      </c>
      <c r="Q70" s="26">
        <v>1490</v>
      </c>
      <c r="R70" s="26">
        <v>7022</v>
      </c>
      <c r="S70" s="26">
        <v>78201</v>
      </c>
      <c r="T70" s="26">
        <v>72773</v>
      </c>
      <c r="U70" s="22"/>
      <c r="V70" s="22"/>
      <c r="W70" s="22"/>
      <c r="X70" s="22"/>
      <c r="Y70" s="25"/>
      <c r="Z70" s="22"/>
      <c r="AA70" s="24"/>
      <c r="AB70" s="22" t="s">
        <v>1158</v>
      </c>
      <c r="AC70" s="22"/>
      <c r="AD70" s="22" t="s">
        <v>1118</v>
      </c>
      <c r="AE70" s="22" t="s">
        <v>1118</v>
      </c>
      <c r="AF70" s="23">
        <v>0</v>
      </c>
      <c r="AG70" s="22" t="s">
        <v>1138</v>
      </c>
      <c r="AH70" s="22" t="s">
        <v>1123</v>
      </c>
    </row>
    <row r="71" spans="1:34" ht="19.899999999999999" customHeight="1" x14ac:dyDescent="0.25">
      <c r="A71" s="29" t="s">
        <v>1742</v>
      </c>
      <c r="B71" s="22" t="s">
        <v>1741</v>
      </c>
      <c r="C71" s="28" t="s">
        <v>1740</v>
      </c>
      <c r="D71" s="27">
        <v>4.8997000000000005E-4</v>
      </c>
      <c r="E71" s="27">
        <v>5.4865000000000003E-4</v>
      </c>
      <c r="F71" s="41">
        <v>12478</v>
      </c>
      <c r="G71" s="43">
        <v>1409</v>
      </c>
      <c r="H71" s="24"/>
      <c r="I71" s="26">
        <v>11069</v>
      </c>
      <c r="J71" s="26">
        <v>11135</v>
      </c>
      <c r="K71" s="26">
        <v>11184</v>
      </c>
      <c r="L71" s="26">
        <v>11191</v>
      </c>
      <c r="M71" s="26">
        <v>9167</v>
      </c>
      <c r="N71" s="26">
        <v>9380</v>
      </c>
      <c r="O71" s="26">
        <v>4320</v>
      </c>
      <c r="P71" s="26">
        <v>4372</v>
      </c>
      <c r="Q71" s="26">
        <v>4534</v>
      </c>
      <c r="R71" s="26">
        <v>3134</v>
      </c>
      <c r="S71" s="26">
        <v>0</v>
      </c>
      <c r="T71" s="26">
        <v>0</v>
      </c>
      <c r="U71" s="27">
        <v>2.17102E-4</v>
      </c>
      <c r="V71" s="27">
        <v>1.0626660000000001E-3</v>
      </c>
      <c r="W71" s="35">
        <v>11.69015652</v>
      </c>
      <c r="X71" s="34">
        <v>0.52</v>
      </c>
      <c r="Y71" s="30" t="s">
        <v>1178</v>
      </c>
      <c r="Z71" s="32">
        <v>-1</v>
      </c>
      <c r="AA71" s="24"/>
      <c r="AB71" s="22" t="s">
        <v>1186</v>
      </c>
      <c r="AC71" s="22" t="s">
        <v>1176</v>
      </c>
      <c r="AD71" s="22" t="s">
        <v>1342</v>
      </c>
      <c r="AE71" s="22" t="s">
        <v>1237</v>
      </c>
      <c r="AF71" s="23">
        <v>5.1000000000000004E-4</v>
      </c>
      <c r="AG71" s="22" t="s">
        <v>1138</v>
      </c>
      <c r="AH71" s="22" t="s">
        <v>1123</v>
      </c>
    </row>
    <row r="72" spans="1:34" ht="19.899999999999999" customHeight="1" x14ac:dyDescent="0.25">
      <c r="A72" s="29" t="s">
        <v>1561</v>
      </c>
      <c r="B72" s="22" t="s">
        <v>1560</v>
      </c>
      <c r="C72" s="28" t="s">
        <v>1559</v>
      </c>
      <c r="D72" s="27">
        <v>4.0800000000000002E-5</v>
      </c>
      <c r="E72" s="27">
        <v>0</v>
      </c>
      <c r="F72" s="41">
        <v>1039</v>
      </c>
      <c r="G72" s="44">
        <v>-606</v>
      </c>
      <c r="H72" s="24"/>
      <c r="I72" s="26">
        <v>1645</v>
      </c>
      <c r="J72" s="26">
        <v>1645</v>
      </c>
      <c r="K72" s="26">
        <v>2418</v>
      </c>
      <c r="L72" s="26">
        <v>2118</v>
      </c>
      <c r="M72" s="26">
        <v>3279</v>
      </c>
      <c r="N72" s="26">
        <v>3684</v>
      </c>
      <c r="O72" s="26">
        <v>4332</v>
      </c>
      <c r="P72" s="26">
        <v>4332</v>
      </c>
      <c r="Q72" s="26">
        <v>4332</v>
      </c>
      <c r="R72" s="26">
        <v>3920</v>
      </c>
      <c r="S72" s="26">
        <v>3344</v>
      </c>
      <c r="T72" s="26">
        <v>2504</v>
      </c>
      <c r="U72" s="22"/>
      <c r="V72" s="22"/>
      <c r="W72" s="22"/>
      <c r="X72" s="22"/>
      <c r="Y72" s="25"/>
      <c r="Z72" s="22"/>
      <c r="AA72" s="24"/>
      <c r="AB72" s="22" t="s">
        <v>1181</v>
      </c>
      <c r="AC72" s="22" t="s">
        <v>1169</v>
      </c>
      <c r="AD72" s="22" t="s">
        <v>1118</v>
      </c>
      <c r="AE72" s="22" t="s">
        <v>1174</v>
      </c>
      <c r="AF72" s="23">
        <v>9.3000000000000005E-4</v>
      </c>
      <c r="AG72" s="22" t="s">
        <v>1138</v>
      </c>
      <c r="AH72" s="22" t="s">
        <v>1123</v>
      </c>
    </row>
    <row r="73" spans="1:34" ht="19.899999999999999" customHeight="1" x14ac:dyDescent="0.25">
      <c r="A73" s="29" t="s">
        <v>1631</v>
      </c>
      <c r="B73" s="22" t="s">
        <v>1630</v>
      </c>
      <c r="C73" s="28" t="s">
        <v>1629</v>
      </c>
      <c r="D73" s="27">
        <v>1.2542E-4</v>
      </c>
      <c r="E73" s="27">
        <v>1.4044E-4</v>
      </c>
      <c r="F73" s="41">
        <v>3194</v>
      </c>
      <c r="G73" s="41">
        <v>0</v>
      </c>
      <c r="H73" s="24"/>
      <c r="I73" s="26">
        <v>3194</v>
      </c>
      <c r="J73" s="26">
        <v>3194</v>
      </c>
      <c r="K73" s="26">
        <v>3194</v>
      </c>
      <c r="L73" s="26">
        <v>4158</v>
      </c>
      <c r="M73" s="26">
        <v>4158</v>
      </c>
      <c r="N73" s="26">
        <v>4158</v>
      </c>
      <c r="O73" s="26">
        <v>4158</v>
      </c>
      <c r="P73" s="26">
        <v>4247</v>
      </c>
      <c r="Q73" s="26">
        <v>3456</v>
      </c>
      <c r="R73" s="26">
        <v>2347</v>
      </c>
      <c r="S73" s="26">
        <v>2347</v>
      </c>
      <c r="T73" s="26">
        <v>0</v>
      </c>
      <c r="U73" s="27">
        <v>6.7418399999999998E-4</v>
      </c>
      <c r="V73" s="27">
        <v>2.2728090000000002E-3</v>
      </c>
      <c r="W73" s="35">
        <v>48.496374629999998</v>
      </c>
      <c r="X73" s="34">
        <v>0.06</v>
      </c>
      <c r="Y73" s="30" t="s">
        <v>1178</v>
      </c>
      <c r="Z73" s="31">
        <v>164</v>
      </c>
      <c r="AA73" s="24"/>
      <c r="AB73" s="22" t="s">
        <v>1186</v>
      </c>
      <c r="AC73" s="22" t="s">
        <v>1176</v>
      </c>
      <c r="AD73" s="22" t="s">
        <v>1594</v>
      </c>
      <c r="AE73" s="22" t="s">
        <v>1174</v>
      </c>
      <c r="AF73" s="23">
        <v>2.2286899999999998</v>
      </c>
      <c r="AG73" s="22" t="s">
        <v>1365</v>
      </c>
      <c r="AH73" s="22" t="s">
        <v>1365</v>
      </c>
    </row>
    <row r="74" spans="1:34" ht="19.899999999999999" customHeight="1" x14ac:dyDescent="0.25">
      <c r="A74" s="29" t="s">
        <v>1272</v>
      </c>
      <c r="B74" s="22" t="s">
        <v>1121</v>
      </c>
      <c r="C74" s="28" t="s">
        <v>1271</v>
      </c>
      <c r="D74" s="27">
        <v>0</v>
      </c>
      <c r="E74" s="27">
        <v>0</v>
      </c>
      <c r="F74" s="41">
        <v>0</v>
      </c>
      <c r="G74" s="41">
        <v>0</v>
      </c>
      <c r="H74" s="24"/>
      <c r="I74" s="26">
        <v>0</v>
      </c>
      <c r="J74" s="26">
        <v>0</v>
      </c>
      <c r="K74" s="26">
        <v>0</v>
      </c>
      <c r="L74" s="26">
        <v>12251</v>
      </c>
      <c r="M74" s="26">
        <v>38409</v>
      </c>
      <c r="N74" s="26">
        <v>12000</v>
      </c>
      <c r="O74" s="26">
        <v>4000</v>
      </c>
      <c r="P74" s="26">
        <v>4000</v>
      </c>
      <c r="Q74" s="26">
        <v>4000</v>
      </c>
      <c r="R74" s="26">
        <v>0</v>
      </c>
      <c r="S74" s="26">
        <v>2786</v>
      </c>
      <c r="T74" s="26">
        <v>13363</v>
      </c>
      <c r="U74" s="22"/>
      <c r="V74" s="22"/>
      <c r="W74" s="22"/>
      <c r="X74" s="22"/>
      <c r="Y74" s="25"/>
      <c r="Z74" s="22"/>
      <c r="AA74" s="24"/>
      <c r="AB74" s="22" t="s">
        <v>1222</v>
      </c>
      <c r="AC74" s="22" t="s">
        <v>1169</v>
      </c>
      <c r="AD74" s="22" t="s">
        <v>1118</v>
      </c>
      <c r="AE74" s="22" t="s">
        <v>1118</v>
      </c>
      <c r="AF74" s="23">
        <v>0</v>
      </c>
      <c r="AG74" s="22" t="s">
        <v>1138</v>
      </c>
      <c r="AH74" s="22" t="s">
        <v>1123</v>
      </c>
    </row>
    <row r="75" spans="1:34" ht="19.899999999999999" customHeight="1" x14ac:dyDescent="0.25">
      <c r="A75" s="29" t="s">
        <v>1226</v>
      </c>
      <c r="B75" s="22" t="s">
        <v>1121</v>
      </c>
      <c r="C75" s="28" t="s">
        <v>1225</v>
      </c>
      <c r="D75" s="27">
        <v>0</v>
      </c>
      <c r="E75" s="27">
        <v>0</v>
      </c>
      <c r="F75" s="41">
        <v>0</v>
      </c>
      <c r="G75" s="41">
        <v>0</v>
      </c>
      <c r="H75" s="24"/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2500</v>
      </c>
      <c r="P75" s="26">
        <v>4000</v>
      </c>
      <c r="Q75" s="26">
        <v>4000</v>
      </c>
      <c r="R75" s="26">
        <v>0</v>
      </c>
      <c r="S75" s="26">
        <v>0</v>
      </c>
      <c r="T75" s="26">
        <v>0</v>
      </c>
      <c r="U75" s="22"/>
      <c r="V75" s="22"/>
      <c r="W75" s="22"/>
      <c r="X75" s="22"/>
      <c r="Y75" s="25"/>
      <c r="Z75" s="22"/>
      <c r="AA75" s="24"/>
      <c r="AB75" s="22" t="s">
        <v>1158</v>
      </c>
      <c r="AC75" s="22"/>
      <c r="AD75" s="22" t="s">
        <v>1118</v>
      </c>
      <c r="AE75" s="22" t="s">
        <v>1118</v>
      </c>
      <c r="AF75" s="23">
        <v>0</v>
      </c>
      <c r="AG75" s="22" t="s">
        <v>1138</v>
      </c>
      <c r="AH75" s="22" t="s">
        <v>1123</v>
      </c>
    </row>
    <row r="76" spans="1:34" ht="19.899999999999999" customHeight="1" x14ac:dyDescent="0.25">
      <c r="A76" s="29" t="s">
        <v>1266</v>
      </c>
      <c r="B76" s="22" t="s">
        <v>1121</v>
      </c>
      <c r="C76" s="28" t="s">
        <v>1265</v>
      </c>
      <c r="D76" s="27">
        <v>0</v>
      </c>
      <c r="E76" s="27">
        <v>0</v>
      </c>
      <c r="F76" s="41">
        <v>0</v>
      </c>
      <c r="G76" s="41">
        <v>0</v>
      </c>
      <c r="H76" s="24"/>
      <c r="I76" s="26">
        <v>0</v>
      </c>
      <c r="J76" s="26">
        <v>0</v>
      </c>
      <c r="K76" s="26">
        <v>0</v>
      </c>
      <c r="L76" s="26">
        <v>3975</v>
      </c>
      <c r="M76" s="26">
        <v>3975</v>
      </c>
      <c r="N76" s="26">
        <v>3975</v>
      </c>
      <c r="O76" s="26">
        <v>3975</v>
      </c>
      <c r="P76" s="26">
        <v>3975</v>
      </c>
      <c r="Q76" s="26">
        <v>3975</v>
      </c>
      <c r="R76" s="26">
        <v>3975</v>
      </c>
      <c r="S76" s="26">
        <v>3975</v>
      </c>
      <c r="T76" s="26">
        <v>3975</v>
      </c>
      <c r="U76" s="22"/>
      <c r="V76" s="22"/>
      <c r="W76" s="22"/>
      <c r="X76" s="22"/>
      <c r="Y76" s="25"/>
      <c r="Z76" s="22"/>
      <c r="AA76" s="24"/>
      <c r="AB76" s="22" t="s">
        <v>1181</v>
      </c>
      <c r="AC76" s="22"/>
      <c r="AD76" s="22" t="s">
        <v>1118</v>
      </c>
      <c r="AE76" s="22" t="s">
        <v>1118</v>
      </c>
      <c r="AF76" s="23">
        <v>0</v>
      </c>
      <c r="AG76" s="22" t="s">
        <v>1138</v>
      </c>
      <c r="AH76" s="22" t="s">
        <v>1123</v>
      </c>
    </row>
    <row r="77" spans="1:34" ht="19.899999999999999" customHeight="1" x14ac:dyDescent="0.25">
      <c r="A77" s="29" t="s">
        <v>1757</v>
      </c>
      <c r="B77" s="22" t="s">
        <v>1756</v>
      </c>
      <c r="C77" s="28" t="s">
        <v>1755</v>
      </c>
      <c r="D77" s="27">
        <v>7.6475999999999996E-4</v>
      </c>
      <c r="E77" s="27">
        <v>8.5634999999999997E-4</v>
      </c>
      <c r="F77" s="41">
        <v>19476</v>
      </c>
      <c r="G77" s="43">
        <v>1284</v>
      </c>
      <c r="H77" s="24"/>
      <c r="I77" s="26">
        <v>18192</v>
      </c>
      <c r="J77" s="26">
        <v>9969</v>
      </c>
      <c r="K77" s="26">
        <v>9662</v>
      </c>
      <c r="L77" s="26">
        <v>7743</v>
      </c>
      <c r="M77" s="26">
        <v>7024</v>
      </c>
      <c r="N77" s="26">
        <v>3346</v>
      </c>
      <c r="O77" s="26">
        <v>3350</v>
      </c>
      <c r="P77" s="26">
        <v>3350</v>
      </c>
      <c r="Q77" s="26">
        <v>3410</v>
      </c>
      <c r="R77" s="26">
        <v>3410</v>
      </c>
      <c r="S77" s="26">
        <v>3410</v>
      </c>
      <c r="T77" s="26">
        <v>3568</v>
      </c>
      <c r="U77" s="27">
        <v>2.3146199999999999E-4</v>
      </c>
      <c r="V77" s="27">
        <v>3.2929200000000002E-4</v>
      </c>
      <c r="W77" s="39">
        <v>-11.9869295</v>
      </c>
      <c r="X77" s="34">
        <v>1</v>
      </c>
      <c r="Y77" s="30" t="s">
        <v>1178</v>
      </c>
      <c r="Z77" s="22"/>
      <c r="AA77" s="24"/>
      <c r="AB77" s="22" t="s">
        <v>1186</v>
      </c>
      <c r="AC77" s="22" t="s">
        <v>1176</v>
      </c>
      <c r="AD77" s="22" t="s">
        <v>1118</v>
      </c>
      <c r="AE77" s="22" t="s">
        <v>1174</v>
      </c>
      <c r="AF77" s="23">
        <v>3.0699999999999998E-3</v>
      </c>
      <c r="AG77" s="22" t="s">
        <v>1138</v>
      </c>
      <c r="AH77" s="22" t="s">
        <v>1123</v>
      </c>
    </row>
    <row r="78" spans="1:34" ht="19.899999999999999" customHeight="1" x14ac:dyDescent="0.25">
      <c r="A78" s="29" t="s">
        <v>1628</v>
      </c>
      <c r="B78" s="22" t="s">
        <v>1627</v>
      </c>
      <c r="C78" s="28" t="s">
        <v>1626</v>
      </c>
      <c r="D78" s="27">
        <v>1.2313999999999999E-4</v>
      </c>
      <c r="E78" s="27">
        <v>1.3789E-4</v>
      </c>
      <c r="F78" s="41">
        <v>3136</v>
      </c>
      <c r="G78" s="43">
        <v>948</v>
      </c>
      <c r="H78" s="24"/>
      <c r="I78" s="26">
        <v>2188</v>
      </c>
      <c r="J78" s="26">
        <v>2150</v>
      </c>
      <c r="K78" s="26">
        <v>2150</v>
      </c>
      <c r="L78" s="26">
        <v>2150</v>
      </c>
      <c r="M78" s="26">
        <v>2150</v>
      </c>
      <c r="N78" s="26">
        <v>2150</v>
      </c>
      <c r="O78" s="26">
        <v>2150</v>
      </c>
      <c r="P78" s="26">
        <v>3150</v>
      </c>
      <c r="Q78" s="26">
        <v>2150</v>
      </c>
      <c r="R78" s="26">
        <v>2150</v>
      </c>
      <c r="S78" s="26">
        <v>2150</v>
      </c>
      <c r="T78" s="26">
        <v>2150</v>
      </c>
      <c r="U78" s="27">
        <v>1.341973E-3</v>
      </c>
      <c r="V78" s="27">
        <v>8.1989739999999995E-3</v>
      </c>
      <c r="W78" s="35">
        <v>183.33283114</v>
      </c>
      <c r="X78" s="34">
        <v>0.02</v>
      </c>
      <c r="Y78" s="33" t="s">
        <v>1196</v>
      </c>
      <c r="Z78" s="22"/>
      <c r="AA78" s="24"/>
      <c r="AB78" s="22" t="s">
        <v>1186</v>
      </c>
      <c r="AC78" s="22" t="s">
        <v>1176</v>
      </c>
      <c r="AD78" s="22" t="s">
        <v>1118</v>
      </c>
      <c r="AE78" s="22" t="s">
        <v>1174</v>
      </c>
      <c r="AF78" s="23">
        <v>0.17326</v>
      </c>
      <c r="AG78" s="22" t="s">
        <v>1138</v>
      </c>
      <c r="AH78" s="22" t="s">
        <v>1123</v>
      </c>
    </row>
    <row r="79" spans="1:34" ht="19.899999999999999" customHeight="1" x14ac:dyDescent="0.25">
      <c r="A79" s="29" t="s">
        <v>1404</v>
      </c>
      <c r="B79" s="22" t="s">
        <v>1121</v>
      </c>
      <c r="C79" s="28" t="s">
        <v>1403</v>
      </c>
      <c r="D79" s="27">
        <v>0</v>
      </c>
      <c r="E79" s="27">
        <v>0</v>
      </c>
      <c r="F79" s="41">
        <v>0</v>
      </c>
      <c r="G79" s="41">
        <v>0</v>
      </c>
      <c r="H79" s="24"/>
      <c r="I79" s="26">
        <v>0</v>
      </c>
      <c r="J79" s="26">
        <v>3129</v>
      </c>
      <c r="K79" s="26">
        <v>3129</v>
      </c>
      <c r="L79" s="26">
        <v>3129</v>
      </c>
      <c r="M79" s="26">
        <v>3129</v>
      </c>
      <c r="N79" s="26">
        <v>3129</v>
      </c>
      <c r="O79" s="26">
        <v>3129</v>
      </c>
      <c r="P79" s="26">
        <v>3129</v>
      </c>
      <c r="Q79" s="26">
        <v>3129</v>
      </c>
      <c r="R79" s="26">
        <v>3129</v>
      </c>
      <c r="S79" s="26">
        <v>3129</v>
      </c>
      <c r="T79" s="26">
        <v>3129</v>
      </c>
      <c r="U79" s="22"/>
      <c r="V79" s="22"/>
      <c r="W79" s="22"/>
      <c r="X79" s="22"/>
      <c r="Y79" s="25"/>
      <c r="Z79" s="22"/>
      <c r="AA79" s="24"/>
      <c r="AB79" s="22" t="s">
        <v>1181</v>
      </c>
      <c r="AC79" s="22"/>
      <c r="AD79" s="22" t="s">
        <v>1118</v>
      </c>
      <c r="AE79" s="22" t="s">
        <v>1118</v>
      </c>
      <c r="AF79" s="23">
        <v>0</v>
      </c>
      <c r="AG79" s="22" t="s">
        <v>1138</v>
      </c>
      <c r="AH79" s="22" t="s">
        <v>1123</v>
      </c>
    </row>
    <row r="80" spans="1:34" ht="19.899999999999999" customHeight="1" x14ac:dyDescent="0.25">
      <c r="A80" s="29" t="s">
        <v>1616</v>
      </c>
      <c r="B80" s="22" t="s">
        <v>1615</v>
      </c>
      <c r="C80" s="28" t="s">
        <v>1614</v>
      </c>
      <c r="D80" s="27">
        <v>1.178E-4</v>
      </c>
      <c r="E80" s="27">
        <v>0</v>
      </c>
      <c r="F80" s="41">
        <v>3000</v>
      </c>
      <c r="G80" s="41">
        <v>0</v>
      </c>
      <c r="H80" s="24"/>
      <c r="I80" s="26">
        <v>3000</v>
      </c>
      <c r="J80" s="26">
        <v>3000</v>
      </c>
      <c r="K80" s="26">
        <v>3000</v>
      </c>
      <c r="L80" s="26">
        <v>3000</v>
      </c>
      <c r="M80" s="26">
        <v>3000</v>
      </c>
      <c r="N80" s="26">
        <v>3000</v>
      </c>
      <c r="O80" s="26">
        <v>3000</v>
      </c>
      <c r="P80" s="26">
        <v>3000</v>
      </c>
      <c r="Q80" s="26">
        <v>0</v>
      </c>
      <c r="R80" s="26">
        <v>0</v>
      </c>
      <c r="S80" s="26">
        <v>0</v>
      </c>
      <c r="T80" s="26">
        <v>0</v>
      </c>
      <c r="U80" s="22"/>
      <c r="V80" s="22"/>
      <c r="W80" s="22"/>
      <c r="X80" s="22"/>
      <c r="Y80" s="25"/>
      <c r="Z80" s="22"/>
      <c r="AA80" s="24"/>
      <c r="AB80" s="22" t="s">
        <v>1181</v>
      </c>
      <c r="AC80" s="22"/>
      <c r="AD80" s="22" t="s">
        <v>1118</v>
      </c>
      <c r="AE80" s="22" t="s">
        <v>1118</v>
      </c>
      <c r="AF80" s="23">
        <v>0</v>
      </c>
      <c r="AG80" s="22" t="s">
        <v>1329</v>
      </c>
      <c r="AH80" s="22" t="s">
        <v>1123</v>
      </c>
    </row>
    <row r="81" spans="1:34" ht="19.899999999999999" customHeight="1" x14ac:dyDescent="0.25">
      <c r="A81" s="29" t="s">
        <v>1398</v>
      </c>
      <c r="B81" s="22" t="s">
        <v>1121</v>
      </c>
      <c r="C81" s="28" t="s">
        <v>1397</v>
      </c>
      <c r="D81" s="27">
        <v>0</v>
      </c>
      <c r="E81" s="27">
        <v>0</v>
      </c>
      <c r="F81" s="41">
        <v>0</v>
      </c>
      <c r="G81" s="41">
        <v>0</v>
      </c>
      <c r="H81" s="24"/>
      <c r="I81" s="26">
        <v>0</v>
      </c>
      <c r="J81" s="26">
        <v>2955</v>
      </c>
      <c r="K81" s="26">
        <v>2955</v>
      </c>
      <c r="L81" s="26">
        <v>2955</v>
      </c>
      <c r="M81" s="26">
        <v>2955</v>
      </c>
      <c r="N81" s="26">
        <v>2955</v>
      </c>
      <c r="O81" s="26">
        <v>2955</v>
      </c>
      <c r="P81" s="26">
        <v>2955</v>
      </c>
      <c r="Q81" s="26">
        <v>2955</v>
      </c>
      <c r="R81" s="26">
        <v>2955</v>
      </c>
      <c r="S81" s="26">
        <v>2955</v>
      </c>
      <c r="T81" s="26">
        <v>2955</v>
      </c>
      <c r="U81" s="22"/>
      <c r="V81" s="22"/>
      <c r="W81" s="22"/>
      <c r="X81" s="22"/>
      <c r="Y81" s="25"/>
      <c r="Z81" s="22"/>
      <c r="AA81" s="24"/>
      <c r="AB81" s="22" t="s">
        <v>1161</v>
      </c>
      <c r="AC81" s="22"/>
      <c r="AD81" s="22" t="s">
        <v>1118</v>
      </c>
      <c r="AE81" s="22" t="s">
        <v>1118</v>
      </c>
      <c r="AF81" s="23">
        <v>0</v>
      </c>
      <c r="AG81" s="22" t="s">
        <v>1138</v>
      </c>
      <c r="AH81" s="22" t="s">
        <v>1123</v>
      </c>
    </row>
    <row r="82" spans="1:34" ht="19.899999999999999" customHeight="1" x14ac:dyDescent="0.25">
      <c r="A82" s="29" t="s">
        <v>1224</v>
      </c>
      <c r="B82" s="22" t="s">
        <v>1121</v>
      </c>
      <c r="C82" s="28" t="s">
        <v>1223</v>
      </c>
      <c r="D82" s="27">
        <v>0</v>
      </c>
      <c r="E82" s="27">
        <v>0</v>
      </c>
      <c r="F82" s="41">
        <v>0</v>
      </c>
      <c r="G82" s="41">
        <v>0</v>
      </c>
      <c r="H82" s="24"/>
      <c r="I82" s="26">
        <v>0</v>
      </c>
      <c r="J82" s="26">
        <v>0</v>
      </c>
      <c r="K82" s="26">
        <v>0</v>
      </c>
      <c r="L82" s="26">
        <v>0</v>
      </c>
      <c r="M82" s="26">
        <v>0</v>
      </c>
      <c r="N82" s="26">
        <v>0</v>
      </c>
      <c r="O82" s="26">
        <v>0</v>
      </c>
      <c r="P82" s="26">
        <v>2917</v>
      </c>
      <c r="Q82" s="26">
        <v>0</v>
      </c>
      <c r="R82" s="26">
        <v>0</v>
      </c>
      <c r="S82" s="26">
        <v>0</v>
      </c>
      <c r="T82" s="26">
        <v>0</v>
      </c>
      <c r="U82" s="22"/>
      <c r="V82" s="22"/>
      <c r="W82" s="22"/>
      <c r="X82" s="22"/>
      <c r="Y82" s="25"/>
      <c r="Z82" s="22"/>
      <c r="AA82" s="24"/>
      <c r="AB82" s="22" t="s">
        <v>1222</v>
      </c>
      <c r="AC82" s="22" t="s">
        <v>1169</v>
      </c>
      <c r="AD82" s="22" t="s">
        <v>1118</v>
      </c>
      <c r="AE82" s="22" t="s">
        <v>1118</v>
      </c>
      <c r="AF82" s="23">
        <v>0</v>
      </c>
      <c r="AG82" s="22" t="s">
        <v>1135</v>
      </c>
      <c r="AH82" s="22" t="s">
        <v>1123</v>
      </c>
    </row>
    <row r="83" spans="1:34" ht="19.899999999999999" customHeight="1" x14ac:dyDescent="0.25">
      <c r="A83" s="29" t="s">
        <v>1608</v>
      </c>
      <c r="B83" s="22" t="s">
        <v>1607</v>
      </c>
      <c r="C83" s="28" t="s">
        <v>1606</v>
      </c>
      <c r="D83" s="27">
        <v>1.1112000000000001E-4</v>
      </c>
      <c r="E83" s="27">
        <v>0</v>
      </c>
      <c r="F83" s="41">
        <v>2830</v>
      </c>
      <c r="G83" s="41">
        <v>0</v>
      </c>
      <c r="H83" s="24"/>
      <c r="I83" s="26">
        <v>2830</v>
      </c>
      <c r="J83" s="26">
        <v>2830</v>
      </c>
      <c r="K83" s="26">
        <v>2830</v>
      </c>
      <c r="L83" s="26">
        <v>2830</v>
      </c>
      <c r="M83" s="26">
        <v>2830</v>
      </c>
      <c r="N83" s="26">
        <v>2830</v>
      </c>
      <c r="O83" s="26">
        <v>2830</v>
      </c>
      <c r="P83" s="26">
        <v>2830</v>
      </c>
      <c r="Q83" s="26">
        <v>0</v>
      </c>
      <c r="R83" s="26">
        <v>0</v>
      </c>
      <c r="S83" s="26">
        <v>0</v>
      </c>
      <c r="T83" s="26">
        <v>0</v>
      </c>
      <c r="U83" s="22"/>
      <c r="V83" s="22"/>
      <c r="W83" s="22"/>
      <c r="X83" s="22"/>
      <c r="Y83" s="25"/>
      <c r="Z83" s="22"/>
      <c r="AA83" s="24"/>
      <c r="AB83" s="22" t="s">
        <v>1161</v>
      </c>
      <c r="AC83" s="22"/>
      <c r="AD83" s="22" t="s">
        <v>1118</v>
      </c>
      <c r="AE83" s="22" t="s">
        <v>1118</v>
      </c>
      <c r="AF83" s="23">
        <v>0</v>
      </c>
      <c r="AG83" s="22" t="s">
        <v>1138</v>
      </c>
      <c r="AH83" s="22" t="s">
        <v>1123</v>
      </c>
    </row>
    <row r="84" spans="1:34" ht="19.899999999999999" customHeight="1" x14ac:dyDescent="0.25">
      <c r="A84" s="29" t="s">
        <v>1154</v>
      </c>
      <c r="B84" s="22" t="s">
        <v>1121</v>
      </c>
      <c r="C84" s="28" t="s">
        <v>1153</v>
      </c>
      <c r="D84" s="27">
        <v>3.1091000000000002E-4</v>
      </c>
      <c r="E84" s="27">
        <v>0</v>
      </c>
      <c r="F84" s="41">
        <v>7918</v>
      </c>
      <c r="G84" s="44">
        <v>-13745</v>
      </c>
      <c r="H84" s="24"/>
      <c r="I84" s="26">
        <v>21663</v>
      </c>
      <c r="J84" s="26">
        <v>3464</v>
      </c>
      <c r="K84" s="26">
        <v>3855</v>
      </c>
      <c r="L84" s="26">
        <v>3055</v>
      </c>
      <c r="M84" s="26">
        <v>4330</v>
      </c>
      <c r="N84" s="26">
        <v>3418</v>
      </c>
      <c r="O84" s="26">
        <v>3670</v>
      </c>
      <c r="P84" s="26">
        <v>2830</v>
      </c>
      <c r="Q84" s="26">
        <v>1668</v>
      </c>
      <c r="R84" s="26">
        <v>1602</v>
      </c>
      <c r="S84" s="26">
        <v>720</v>
      </c>
      <c r="T84" s="26">
        <v>720</v>
      </c>
      <c r="U84" s="22"/>
      <c r="V84" s="22"/>
      <c r="W84" s="22"/>
      <c r="X84" s="22"/>
      <c r="Y84" s="25"/>
      <c r="Z84" s="22"/>
      <c r="AA84" s="24"/>
      <c r="AB84" s="22" t="s">
        <v>1119</v>
      </c>
      <c r="AC84" s="22"/>
      <c r="AD84" s="22" t="s">
        <v>1118</v>
      </c>
      <c r="AE84" s="22" t="s">
        <v>1118</v>
      </c>
      <c r="AF84" s="23">
        <v>0</v>
      </c>
      <c r="AG84" s="22" t="s">
        <v>1138</v>
      </c>
      <c r="AH84" s="22" t="s">
        <v>1123</v>
      </c>
    </row>
    <row r="85" spans="1:34" ht="19.899999999999999" customHeight="1" x14ac:dyDescent="0.25">
      <c r="A85" s="29" t="s">
        <v>1640</v>
      </c>
      <c r="B85" s="22" t="s">
        <v>1639</v>
      </c>
      <c r="C85" s="28" t="s">
        <v>1638</v>
      </c>
      <c r="D85" s="27">
        <v>1.4355999999999999E-4</v>
      </c>
      <c r="E85" s="27">
        <v>1.6075E-4</v>
      </c>
      <c r="F85" s="41">
        <v>3656</v>
      </c>
      <c r="G85" s="43">
        <v>3656</v>
      </c>
      <c r="H85" s="24"/>
      <c r="I85" s="26">
        <v>0</v>
      </c>
      <c r="J85" s="26">
        <v>0</v>
      </c>
      <c r="K85" s="26">
        <v>0</v>
      </c>
      <c r="L85" s="26">
        <v>2671</v>
      </c>
      <c r="M85" s="26">
        <v>2671</v>
      </c>
      <c r="N85" s="26">
        <v>2671</v>
      </c>
      <c r="O85" s="26">
        <v>2671</v>
      </c>
      <c r="P85" s="26">
        <v>2671</v>
      </c>
      <c r="Q85" s="26">
        <v>12669</v>
      </c>
      <c r="R85" s="26">
        <v>12865</v>
      </c>
      <c r="S85" s="26">
        <v>0</v>
      </c>
      <c r="T85" s="26">
        <v>0</v>
      </c>
      <c r="U85" s="27">
        <v>1.6891152999999999E-2</v>
      </c>
      <c r="V85" s="27">
        <v>4.2604085999999999E-2</v>
      </c>
      <c r="W85" s="35">
        <v>965.28646988000003</v>
      </c>
      <c r="X85" s="34">
        <v>0</v>
      </c>
      <c r="Y85" s="38" t="s">
        <v>1366</v>
      </c>
      <c r="Z85" s="32">
        <v>-611</v>
      </c>
      <c r="AA85" s="24"/>
      <c r="AB85" s="22" t="s">
        <v>1186</v>
      </c>
      <c r="AC85" s="22" t="s">
        <v>1169</v>
      </c>
      <c r="AD85" s="22" t="s">
        <v>1518</v>
      </c>
      <c r="AE85" s="22" t="s">
        <v>1174</v>
      </c>
      <c r="AF85" s="23">
        <v>22.85333</v>
      </c>
      <c r="AG85" s="22" t="s">
        <v>1138</v>
      </c>
      <c r="AH85" s="22" t="s">
        <v>1123</v>
      </c>
    </row>
    <row r="86" spans="1:34" ht="19.899999999999999" customHeight="1" x14ac:dyDescent="0.25">
      <c r="A86" s="29" t="s">
        <v>1156</v>
      </c>
      <c r="B86" s="22" t="s">
        <v>1121</v>
      </c>
      <c r="C86" s="28" t="s">
        <v>1155</v>
      </c>
      <c r="D86" s="27">
        <v>2.8916800000000002E-3</v>
      </c>
      <c r="E86" s="27">
        <v>0</v>
      </c>
      <c r="F86" s="41">
        <v>73642</v>
      </c>
      <c r="G86" s="43">
        <v>18221</v>
      </c>
      <c r="H86" s="24"/>
      <c r="I86" s="26">
        <v>55421</v>
      </c>
      <c r="J86" s="26">
        <v>50057</v>
      </c>
      <c r="K86" s="26">
        <v>46410</v>
      </c>
      <c r="L86" s="26">
        <v>42386</v>
      </c>
      <c r="M86" s="26">
        <v>29307</v>
      </c>
      <c r="N86" s="26">
        <v>22199</v>
      </c>
      <c r="O86" s="26">
        <v>2369</v>
      </c>
      <c r="P86" s="26">
        <v>2577</v>
      </c>
      <c r="Q86" s="26">
        <v>2125</v>
      </c>
      <c r="R86" s="26">
        <v>0</v>
      </c>
      <c r="S86" s="26">
        <v>0</v>
      </c>
      <c r="T86" s="26">
        <v>0</v>
      </c>
      <c r="U86" s="22"/>
      <c r="V86" s="22"/>
      <c r="W86" s="22"/>
      <c r="X86" s="22"/>
      <c r="Y86" s="25"/>
      <c r="Z86" s="22"/>
      <c r="AA86" s="24"/>
      <c r="AB86" s="22" t="s">
        <v>1119</v>
      </c>
      <c r="AC86" s="22"/>
      <c r="AD86" s="22" t="s">
        <v>1118</v>
      </c>
      <c r="AE86" s="22" t="s">
        <v>1118</v>
      </c>
      <c r="AF86" s="23">
        <v>0</v>
      </c>
      <c r="AG86" s="22" t="s">
        <v>1138</v>
      </c>
      <c r="AH86" s="22" t="s">
        <v>1123</v>
      </c>
    </row>
    <row r="87" spans="1:34" ht="19.899999999999999" customHeight="1" x14ac:dyDescent="0.25">
      <c r="A87" s="29" t="s">
        <v>1692</v>
      </c>
      <c r="B87" s="22" t="s">
        <v>1691</v>
      </c>
      <c r="C87" s="28" t="s">
        <v>1690</v>
      </c>
      <c r="D87" s="27">
        <v>2.3717000000000001E-4</v>
      </c>
      <c r="E87" s="27">
        <v>2.6558000000000002E-4</v>
      </c>
      <c r="F87" s="41">
        <v>6040</v>
      </c>
      <c r="G87" s="44">
        <v>-8</v>
      </c>
      <c r="H87" s="24"/>
      <c r="I87" s="26">
        <v>6048</v>
      </c>
      <c r="J87" s="26">
        <v>4759</v>
      </c>
      <c r="K87" s="26">
        <v>7023</v>
      </c>
      <c r="L87" s="26">
        <v>2554</v>
      </c>
      <c r="M87" s="26">
        <v>2554</v>
      </c>
      <c r="N87" s="26">
        <v>2554</v>
      </c>
      <c r="O87" s="26">
        <v>2549</v>
      </c>
      <c r="P87" s="26">
        <v>2549</v>
      </c>
      <c r="Q87" s="26">
        <v>2549</v>
      </c>
      <c r="R87" s="26">
        <v>2506</v>
      </c>
      <c r="S87" s="26">
        <v>2522</v>
      </c>
      <c r="T87" s="26">
        <v>0</v>
      </c>
      <c r="U87" s="27">
        <v>3.3764100000000002E-4</v>
      </c>
      <c r="V87" s="27">
        <v>1.223387E-3</v>
      </c>
      <c r="W87" s="35">
        <v>21.783425699999999</v>
      </c>
      <c r="X87" s="34">
        <v>0.22</v>
      </c>
      <c r="Y87" s="30" t="s">
        <v>1178</v>
      </c>
      <c r="Z87" s="22"/>
      <c r="AA87" s="24"/>
      <c r="AB87" s="22" t="s">
        <v>1186</v>
      </c>
      <c r="AC87" s="22" t="s">
        <v>1176</v>
      </c>
      <c r="AD87" s="22" t="s">
        <v>1118</v>
      </c>
      <c r="AE87" s="22" t="s">
        <v>1174</v>
      </c>
      <c r="AF87" s="23">
        <v>0</v>
      </c>
      <c r="AG87" s="22" t="s">
        <v>1138</v>
      </c>
      <c r="AH87" s="22" t="s">
        <v>1123</v>
      </c>
    </row>
    <row r="88" spans="1:34" ht="19.899999999999999" customHeight="1" x14ac:dyDescent="0.25">
      <c r="A88" s="29" t="s">
        <v>1593</v>
      </c>
      <c r="B88" s="22" t="s">
        <v>1592</v>
      </c>
      <c r="C88" s="28" t="s">
        <v>1591</v>
      </c>
      <c r="D88" s="27">
        <v>9.0309999999999994E-5</v>
      </c>
      <c r="E88" s="27">
        <v>0</v>
      </c>
      <c r="F88" s="41">
        <v>2300</v>
      </c>
      <c r="G88" s="41">
        <v>0</v>
      </c>
      <c r="H88" s="24"/>
      <c r="I88" s="26">
        <v>2300</v>
      </c>
      <c r="J88" s="26">
        <v>2300</v>
      </c>
      <c r="K88" s="26">
        <v>2300</v>
      </c>
      <c r="L88" s="26">
        <v>2300</v>
      </c>
      <c r="M88" s="26">
        <v>2300</v>
      </c>
      <c r="N88" s="26">
        <v>2300</v>
      </c>
      <c r="O88" s="26">
        <v>2300</v>
      </c>
      <c r="P88" s="26">
        <v>2300</v>
      </c>
      <c r="Q88" s="26">
        <v>2300</v>
      </c>
      <c r="R88" s="26">
        <v>1800</v>
      </c>
      <c r="S88" s="26">
        <v>1800</v>
      </c>
      <c r="T88" s="26">
        <v>1800</v>
      </c>
      <c r="U88" s="22"/>
      <c r="V88" s="22"/>
      <c r="W88" s="22"/>
      <c r="X88" s="22"/>
      <c r="Y88" s="25"/>
      <c r="Z88" s="22"/>
      <c r="AA88" s="24"/>
      <c r="AB88" s="22" t="s">
        <v>1161</v>
      </c>
      <c r="AC88" s="22"/>
      <c r="AD88" s="22" t="s">
        <v>1118</v>
      </c>
      <c r="AE88" s="22" t="s">
        <v>1118</v>
      </c>
      <c r="AF88" s="23">
        <v>0</v>
      </c>
      <c r="AG88" s="22" t="s">
        <v>1124</v>
      </c>
      <c r="AH88" s="22" t="s">
        <v>1123</v>
      </c>
    </row>
    <row r="89" spans="1:34" ht="19.899999999999999" customHeight="1" x14ac:dyDescent="0.25">
      <c r="A89" s="29" t="s">
        <v>1524</v>
      </c>
      <c r="B89" s="22" t="s">
        <v>1523</v>
      </c>
      <c r="C89" s="28" t="s">
        <v>1522</v>
      </c>
      <c r="D89" s="27">
        <v>2.321E-5</v>
      </c>
      <c r="E89" s="27">
        <v>0</v>
      </c>
      <c r="F89" s="41">
        <v>591</v>
      </c>
      <c r="G89" s="44">
        <v>-395</v>
      </c>
      <c r="H89" s="24"/>
      <c r="I89" s="26">
        <v>986</v>
      </c>
      <c r="J89" s="26">
        <v>986</v>
      </c>
      <c r="K89" s="26">
        <v>1217</v>
      </c>
      <c r="L89" s="26">
        <v>1276</v>
      </c>
      <c r="M89" s="26">
        <v>2258</v>
      </c>
      <c r="N89" s="26">
        <v>2258</v>
      </c>
      <c r="O89" s="26">
        <v>2258</v>
      </c>
      <c r="P89" s="26">
        <v>2258</v>
      </c>
      <c r="Q89" s="26">
        <v>2258</v>
      </c>
      <c r="R89" s="26">
        <v>2258</v>
      </c>
      <c r="S89" s="26">
        <v>1504</v>
      </c>
      <c r="T89" s="26">
        <v>930</v>
      </c>
      <c r="U89" s="22"/>
      <c r="V89" s="22"/>
      <c r="W89" s="22"/>
      <c r="X89" s="22"/>
      <c r="Y89" s="25"/>
      <c r="Z89" s="22"/>
      <c r="AA89" s="24"/>
      <c r="AB89" s="22" t="s">
        <v>1161</v>
      </c>
      <c r="AC89" s="22"/>
      <c r="AD89" s="22" t="s">
        <v>1118</v>
      </c>
      <c r="AE89" s="22" t="s">
        <v>1118</v>
      </c>
      <c r="AF89" s="23">
        <v>0</v>
      </c>
      <c r="AG89" s="22" t="s">
        <v>1138</v>
      </c>
      <c r="AH89" s="22" t="s">
        <v>1123</v>
      </c>
    </row>
    <row r="90" spans="1:34" ht="19.899999999999999" customHeight="1" x14ac:dyDescent="0.25">
      <c r="A90" s="29" t="s">
        <v>1370</v>
      </c>
      <c r="B90" s="22" t="s">
        <v>1121</v>
      </c>
      <c r="C90" s="28" t="s">
        <v>1369</v>
      </c>
      <c r="D90" s="27">
        <v>0</v>
      </c>
      <c r="E90" s="27">
        <v>0</v>
      </c>
      <c r="F90" s="41">
        <v>0</v>
      </c>
      <c r="G90" s="41">
        <v>0</v>
      </c>
      <c r="H90" s="24"/>
      <c r="I90" s="26">
        <v>0</v>
      </c>
      <c r="J90" s="26">
        <v>900</v>
      </c>
      <c r="K90" s="26">
        <v>1200</v>
      </c>
      <c r="L90" s="26">
        <v>2035</v>
      </c>
      <c r="M90" s="26">
        <v>2035</v>
      </c>
      <c r="N90" s="26">
        <v>2035</v>
      </c>
      <c r="O90" s="26">
        <v>2035</v>
      </c>
      <c r="P90" s="26">
        <v>2035</v>
      </c>
      <c r="Q90" s="26">
        <v>2035</v>
      </c>
      <c r="R90" s="26">
        <v>1535</v>
      </c>
      <c r="S90" s="26">
        <v>1250</v>
      </c>
      <c r="T90" s="26">
        <v>1250</v>
      </c>
      <c r="U90" s="27">
        <v>1.5926199999999999E-4</v>
      </c>
      <c r="V90" s="27">
        <v>2.6645800000000002E-4</v>
      </c>
      <c r="W90" s="35">
        <v>6.0600401699999997</v>
      </c>
      <c r="X90" s="34">
        <v>0</v>
      </c>
      <c r="Y90" s="30" t="s">
        <v>1178</v>
      </c>
      <c r="Z90" s="22"/>
      <c r="AA90" s="24"/>
      <c r="AB90" s="22" t="s">
        <v>1186</v>
      </c>
      <c r="AC90" s="22" t="s">
        <v>1176</v>
      </c>
      <c r="AD90" s="22" t="s">
        <v>1118</v>
      </c>
      <c r="AE90" s="22" t="s">
        <v>1118</v>
      </c>
      <c r="AF90" s="23">
        <v>0</v>
      </c>
      <c r="AG90" s="22" t="s">
        <v>1124</v>
      </c>
      <c r="AH90" s="22" t="s">
        <v>1123</v>
      </c>
    </row>
    <row r="91" spans="1:34" ht="19.899999999999999" customHeight="1" x14ac:dyDescent="0.25">
      <c r="A91" s="29" t="s">
        <v>1250</v>
      </c>
      <c r="B91" s="22" t="s">
        <v>1121</v>
      </c>
      <c r="C91" s="28" t="s">
        <v>1249</v>
      </c>
      <c r="D91" s="27">
        <v>0</v>
      </c>
      <c r="E91" s="27">
        <v>0</v>
      </c>
      <c r="F91" s="41">
        <v>0</v>
      </c>
      <c r="G91" s="41">
        <v>0</v>
      </c>
      <c r="H91" s="24"/>
      <c r="I91" s="26">
        <v>0</v>
      </c>
      <c r="J91" s="26">
        <v>0</v>
      </c>
      <c r="K91" s="26">
        <v>0</v>
      </c>
      <c r="L91" s="26">
        <v>0</v>
      </c>
      <c r="M91" s="26">
        <v>47799</v>
      </c>
      <c r="N91" s="26">
        <v>0</v>
      </c>
      <c r="O91" s="26">
        <v>0</v>
      </c>
      <c r="P91" s="26">
        <v>2011</v>
      </c>
      <c r="Q91" s="26">
        <v>0</v>
      </c>
      <c r="R91" s="26">
        <v>0</v>
      </c>
      <c r="S91" s="26">
        <v>0</v>
      </c>
      <c r="T91" s="26">
        <v>0</v>
      </c>
      <c r="U91" s="27">
        <v>2.8434609999999998E-3</v>
      </c>
      <c r="V91" s="27">
        <v>3.1687870000000002E-3</v>
      </c>
      <c r="W91" s="35">
        <v>72.067554799999996</v>
      </c>
      <c r="X91" s="34">
        <v>0</v>
      </c>
      <c r="Y91" s="37" t="s">
        <v>1248</v>
      </c>
      <c r="Z91" s="22"/>
      <c r="AA91" s="24"/>
      <c r="AB91" s="22" t="s">
        <v>1186</v>
      </c>
      <c r="AC91" s="22"/>
      <c r="AD91" s="22" t="s">
        <v>1118</v>
      </c>
      <c r="AE91" s="22" t="s">
        <v>1118</v>
      </c>
      <c r="AF91" s="23">
        <v>0</v>
      </c>
      <c r="AG91" s="22" t="s">
        <v>1138</v>
      </c>
      <c r="AH91" s="22" t="s">
        <v>1123</v>
      </c>
    </row>
    <row r="92" spans="1:34" ht="19.899999999999999" customHeight="1" x14ac:dyDescent="0.25">
      <c r="A92" s="29" t="s">
        <v>1431</v>
      </c>
      <c r="B92" s="22" t="s">
        <v>1430</v>
      </c>
      <c r="C92" s="28" t="s">
        <v>1429</v>
      </c>
      <c r="D92" s="27">
        <v>0</v>
      </c>
      <c r="E92" s="27">
        <v>0</v>
      </c>
      <c r="F92" s="41">
        <v>0</v>
      </c>
      <c r="G92" s="44">
        <v>-2001</v>
      </c>
      <c r="H92" s="24"/>
      <c r="I92" s="26">
        <v>2001</v>
      </c>
      <c r="J92" s="26">
        <v>2001</v>
      </c>
      <c r="K92" s="26">
        <v>2001</v>
      </c>
      <c r="L92" s="26">
        <v>2001</v>
      </c>
      <c r="M92" s="26">
        <v>2001</v>
      </c>
      <c r="N92" s="26">
        <v>2000</v>
      </c>
      <c r="O92" s="26">
        <v>2000</v>
      </c>
      <c r="P92" s="26">
        <v>2000</v>
      </c>
      <c r="Q92" s="26">
        <v>2000</v>
      </c>
      <c r="R92" s="26">
        <v>0</v>
      </c>
      <c r="S92" s="26">
        <v>0</v>
      </c>
      <c r="T92" s="26">
        <v>0</v>
      </c>
      <c r="U92" s="22"/>
      <c r="V92" s="22"/>
      <c r="W92" s="22"/>
      <c r="X92" s="22"/>
      <c r="Y92" s="25"/>
      <c r="Z92" s="22"/>
      <c r="AA92" s="24"/>
      <c r="AB92" s="22" t="s">
        <v>1181</v>
      </c>
      <c r="AC92" s="22"/>
      <c r="AD92" s="22" t="s">
        <v>1118</v>
      </c>
      <c r="AE92" s="22" t="s">
        <v>1118</v>
      </c>
      <c r="AF92" s="23">
        <v>0</v>
      </c>
      <c r="AG92" s="22" t="s">
        <v>1138</v>
      </c>
      <c r="AH92" s="22" t="s">
        <v>1123</v>
      </c>
    </row>
    <row r="93" spans="1:34" ht="19.899999999999999" customHeight="1" x14ac:dyDescent="0.25">
      <c r="A93" s="29" t="s">
        <v>1425</v>
      </c>
      <c r="B93" s="22" t="s">
        <v>1424</v>
      </c>
      <c r="C93" s="28" t="s">
        <v>1423</v>
      </c>
      <c r="D93" s="27">
        <v>0</v>
      </c>
      <c r="E93" s="27">
        <v>0</v>
      </c>
      <c r="F93" s="41">
        <v>0</v>
      </c>
      <c r="G93" s="44">
        <v>-2000</v>
      </c>
      <c r="H93" s="24"/>
      <c r="I93" s="26">
        <v>2000</v>
      </c>
      <c r="J93" s="26">
        <v>2000</v>
      </c>
      <c r="K93" s="26">
        <v>2000</v>
      </c>
      <c r="L93" s="26">
        <v>2000</v>
      </c>
      <c r="M93" s="26">
        <v>2000</v>
      </c>
      <c r="N93" s="26">
        <v>2000</v>
      </c>
      <c r="O93" s="26">
        <v>2000</v>
      </c>
      <c r="P93" s="26">
        <v>2000</v>
      </c>
      <c r="Q93" s="26">
        <v>2000</v>
      </c>
      <c r="R93" s="26">
        <v>2000</v>
      </c>
      <c r="S93" s="26">
        <v>2000</v>
      </c>
      <c r="T93" s="26">
        <v>2000</v>
      </c>
      <c r="U93" s="22"/>
      <c r="V93" s="22"/>
      <c r="W93" s="22"/>
      <c r="X93" s="22"/>
      <c r="Y93" s="25"/>
      <c r="Z93" s="22"/>
      <c r="AA93" s="24"/>
      <c r="AB93" s="22" t="s">
        <v>1161</v>
      </c>
      <c r="AC93" s="22"/>
      <c r="AD93" s="22" t="s">
        <v>1118</v>
      </c>
      <c r="AE93" s="22" t="s">
        <v>1118</v>
      </c>
      <c r="AF93" s="23">
        <v>0</v>
      </c>
      <c r="AG93" s="22" t="s">
        <v>1124</v>
      </c>
      <c r="AH93" s="22" t="s">
        <v>1123</v>
      </c>
    </row>
    <row r="94" spans="1:34" ht="19.899999999999999" customHeight="1" x14ac:dyDescent="0.25">
      <c r="A94" s="29" t="s">
        <v>1402</v>
      </c>
      <c r="B94" s="22" t="s">
        <v>1121</v>
      </c>
      <c r="C94" s="28" t="s">
        <v>1401</v>
      </c>
      <c r="D94" s="27">
        <v>0</v>
      </c>
      <c r="E94" s="27">
        <v>0</v>
      </c>
      <c r="F94" s="41">
        <v>0</v>
      </c>
      <c r="G94" s="41">
        <v>0</v>
      </c>
      <c r="H94" s="24"/>
      <c r="I94" s="26">
        <v>0</v>
      </c>
      <c r="J94" s="26">
        <v>3000</v>
      </c>
      <c r="K94" s="26">
        <v>2000</v>
      </c>
      <c r="L94" s="26">
        <v>2000</v>
      </c>
      <c r="M94" s="26">
        <v>2000</v>
      </c>
      <c r="N94" s="26">
        <v>2000</v>
      </c>
      <c r="O94" s="26">
        <v>2000</v>
      </c>
      <c r="P94" s="26">
        <v>2000</v>
      </c>
      <c r="Q94" s="26">
        <v>2000</v>
      </c>
      <c r="R94" s="26">
        <v>2000</v>
      </c>
      <c r="S94" s="26">
        <v>2000</v>
      </c>
      <c r="T94" s="26">
        <v>0</v>
      </c>
      <c r="U94" s="22"/>
      <c r="V94" s="22"/>
      <c r="W94" s="22"/>
      <c r="X94" s="22"/>
      <c r="Y94" s="25"/>
      <c r="Z94" s="22"/>
      <c r="AA94" s="24"/>
      <c r="AB94" s="22" t="s">
        <v>1181</v>
      </c>
      <c r="AC94" s="22"/>
      <c r="AD94" s="22" t="s">
        <v>1118</v>
      </c>
      <c r="AE94" s="22" t="s">
        <v>1118</v>
      </c>
      <c r="AF94" s="23">
        <v>0</v>
      </c>
      <c r="AG94" s="22" t="s">
        <v>1124</v>
      </c>
      <c r="AH94" s="22" t="s">
        <v>1123</v>
      </c>
    </row>
    <row r="95" spans="1:34" ht="19.899999999999999" customHeight="1" x14ac:dyDescent="0.25">
      <c r="A95" s="29" t="s">
        <v>1284</v>
      </c>
      <c r="B95" s="22" t="s">
        <v>1121</v>
      </c>
      <c r="C95" s="28" t="s">
        <v>1283</v>
      </c>
      <c r="D95" s="27">
        <v>0</v>
      </c>
      <c r="E95" s="27">
        <v>0</v>
      </c>
      <c r="F95" s="41">
        <v>0</v>
      </c>
      <c r="G95" s="41">
        <v>0</v>
      </c>
      <c r="H95" s="24"/>
      <c r="I95" s="26">
        <v>0</v>
      </c>
      <c r="J95" s="26">
        <v>0</v>
      </c>
      <c r="K95" s="26">
        <v>2000</v>
      </c>
      <c r="L95" s="26">
        <v>2000</v>
      </c>
      <c r="M95" s="26">
        <v>2000</v>
      </c>
      <c r="N95" s="26">
        <v>2000</v>
      </c>
      <c r="O95" s="26">
        <v>2000</v>
      </c>
      <c r="P95" s="26">
        <v>2000</v>
      </c>
      <c r="Q95" s="26">
        <v>2000</v>
      </c>
      <c r="R95" s="26">
        <v>0</v>
      </c>
      <c r="S95" s="26">
        <v>0</v>
      </c>
      <c r="T95" s="26">
        <v>0</v>
      </c>
      <c r="U95" s="22"/>
      <c r="V95" s="22"/>
      <c r="W95" s="22"/>
      <c r="X95" s="22"/>
      <c r="Y95" s="25"/>
      <c r="Z95" s="22"/>
      <c r="AA95" s="24"/>
      <c r="AB95" s="22" t="s">
        <v>1161</v>
      </c>
      <c r="AC95" s="22"/>
      <c r="AD95" s="22" t="s">
        <v>1118</v>
      </c>
      <c r="AE95" s="22" t="s">
        <v>1118</v>
      </c>
      <c r="AF95" s="23">
        <v>0</v>
      </c>
      <c r="AG95" s="22" t="s">
        <v>1138</v>
      </c>
      <c r="AH95" s="22" t="s">
        <v>1123</v>
      </c>
    </row>
    <row r="96" spans="1:34" ht="19.899999999999999" customHeight="1" x14ac:dyDescent="0.25">
      <c r="A96" s="29" t="s">
        <v>1619</v>
      </c>
      <c r="B96" s="22" t="s">
        <v>1618</v>
      </c>
      <c r="C96" s="28" t="s">
        <v>1617</v>
      </c>
      <c r="D96" s="27">
        <v>1.178E-4</v>
      </c>
      <c r="E96" s="27">
        <v>0</v>
      </c>
      <c r="F96" s="41">
        <v>3000</v>
      </c>
      <c r="G96" s="41">
        <v>0</v>
      </c>
      <c r="H96" s="24"/>
      <c r="I96" s="26">
        <v>3000</v>
      </c>
      <c r="J96" s="26">
        <v>3000</v>
      </c>
      <c r="K96" s="26">
        <v>3000</v>
      </c>
      <c r="L96" s="26">
        <v>2500</v>
      </c>
      <c r="M96" s="26">
        <v>2500</v>
      </c>
      <c r="N96" s="26">
        <v>2000</v>
      </c>
      <c r="O96" s="26">
        <v>1800</v>
      </c>
      <c r="P96" s="26">
        <v>1800</v>
      </c>
      <c r="Q96" s="26">
        <v>0</v>
      </c>
      <c r="R96" s="26">
        <v>0</v>
      </c>
      <c r="S96" s="26">
        <v>0</v>
      </c>
      <c r="T96" s="26">
        <v>0</v>
      </c>
      <c r="U96" s="22"/>
      <c r="V96" s="22"/>
      <c r="W96" s="22"/>
      <c r="X96" s="22"/>
      <c r="Y96" s="25"/>
      <c r="Z96" s="22"/>
      <c r="AA96" s="24"/>
      <c r="AB96" s="22" t="s">
        <v>1181</v>
      </c>
      <c r="AC96" s="22" t="s">
        <v>1169</v>
      </c>
      <c r="AD96" s="22" t="s">
        <v>1118</v>
      </c>
      <c r="AE96" s="22" t="s">
        <v>1174</v>
      </c>
      <c r="AF96" s="23">
        <v>1E-4</v>
      </c>
      <c r="AG96" s="22" t="s">
        <v>1329</v>
      </c>
      <c r="AH96" s="22" t="s">
        <v>1123</v>
      </c>
    </row>
    <row r="97" spans="1:34" ht="19.899999999999999" customHeight="1" x14ac:dyDescent="0.25">
      <c r="A97" s="29" t="s">
        <v>1665</v>
      </c>
      <c r="B97" s="22" t="s">
        <v>1664</v>
      </c>
      <c r="C97" s="28" t="s">
        <v>1663</v>
      </c>
      <c r="D97" s="27">
        <v>1.8608000000000001E-4</v>
      </c>
      <c r="E97" s="27">
        <v>0</v>
      </c>
      <c r="F97" s="41">
        <v>4739</v>
      </c>
      <c r="G97" s="43">
        <v>1190</v>
      </c>
      <c r="H97" s="24"/>
      <c r="I97" s="26">
        <v>3549</v>
      </c>
      <c r="J97" s="26">
        <v>1979</v>
      </c>
      <c r="K97" s="26">
        <v>2143</v>
      </c>
      <c r="L97" s="26">
        <v>2115</v>
      </c>
      <c r="M97" s="26">
        <v>1818</v>
      </c>
      <c r="N97" s="26">
        <v>1731</v>
      </c>
      <c r="O97" s="26">
        <v>1604</v>
      </c>
      <c r="P97" s="26">
        <v>1700</v>
      </c>
      <c r="Q97" s="26">
        <v>520</v>
      </c>
      <c r="R97" s="26">
        <v>60</v>
      </c>
      <c r="S97" s="26">
        <v>0</v>
      </c>
      <c r="T97" s="26">
        <v>0</v>
      </c>
      <c r="U97" s="22"/>
      <c r="V97" s="22"/>
      <c r="W97" s="22"/>
      <c r="X97" s="22"/>
      <c r="Y97" s="25"/>
      <c r="Z97" s="22"/>
      <c r="AA97" s="24"/>
      <c r="AB97" s="22" t="s">
        <v>1161</v>
      </c>
      <c r="AC97" s="22"/>
      <c r="AD97" s="22" t="s">
        <v>1118</v>
      </c>
      <c r="AE97" s="22" t="s">
        <v>1118</v>
      </c>
      <c r="AF97" s="23">
        <v>0</v>
      </c>
      <c r="AG97" s="22" t="s">
        <v>1124</v>
      </c>
      <c r="AH97" s="22" t="s">
        <v>1123</v>
      </c>
    </row>
    <row r="98" spans="1:34" ht="19.899999999999999" customHeight="1" x14ac:dyDescent="0.25">
      <c r="A98" s="29" t="s">
        <v>1751</v>
      </c>
      <c r="B98" s="22" t="s">
        <v>1750</v>
      </c>
      <c r="C98" s="28" t="s">
        <v>1749</v>
      </c>
      <c r="D98" s="27">
        <v>5.9838000000000003E-4</v>
      </c>
      <c r="E98" s="27">
        <v>6.7005000000000005E-4</v>
      </c>
      <c r="F98" s="41">
        <v>15239</v>
      </c>
      <c r="G98" s="43">
        <v>377</v>
      </c>
      <c r="H98" s="24"/>
      <c r="I98" s="26">
        <v>14862</v>
      </c>
      <c r="J98" s="26">
        <v>2137</v>
      </c>
      <c r="K98" s="26">
        <v>2137</v>
      </c>
      <c r="L98" s="26">
        <v>2137</v>
      </c>
      <c r="M98" s="26">
        <v>1783</v>
      </c>
      <c r="N98" s="26">
        <v>1789</v>
      </c>
      <c r="O98" s="26">
        <v>1789</v>
      </c>
      <c r="P98" s="26">
        <v>1659</v>
      </c>
      <c r="Q98" s="26">
        <v>1754</v>
      </c>
      <c r="R98" s="26">
        <v>1754</v>
      </c>
      <c r="S98" s="26">
        <v>889</v>
      </c>
      <c r="T98" s="26">
        <v>889</v>
      </c>
      <c r="U98" s="27">
        <v>9.5008579999999992E-3</v>
      </c>
      <c r="V98" s="27">
        <v>4.8062605000000001E-2</v>
      </c>
      <c r="W98" s="35">
        <v>1077.8462781999999</v>
      </c>
      <c r="X98" s="34">
        <v>0.01</v>
      </c>
      <c r="Y98" s="30" t="s">
        <v>1178</v>
      </c>
      <c r="Z98" s="31">
        <v>513</v>
      </c>
      <c r="AA98" s="24"/>
      <c r="AB98" s="22" t="s">
        <v>1186</v>
      </c>
      <c r="AC98" s="22" t="s">
        <v>1169</v>
      </c>
      <c r="AD98" s="22" t="s">
        <v>1518</v>
      </c>
      <c r="AE98" s="22" t="s">
        <v>1174</v>
      </c>
      <c r="AF98" s="23">
        <v>9.5E-4</v>
      </c>
      <c r="AG98" s="22" t="s">
        <v>1653</v>
      </c>
      <c r="AH98" s="22" t="s">
        <v>1116</v>
      </c>
    </row>
    <row r="99" spans="1:34" ht="19.899999999999999" customHeight="1" x14ac:dyDescent="0.25">
      <c r="A99" s="29" t="s">
        <v>1286</v>
      </c>
      <c r="B99" s="22" t="s">
        <v>1121</v>
      </c>
      <c r="C99" s="28" t="s">
        <v>1285</v>
      </c>
      <c r="D99" s="27">
        <v>0</v>
      </c>
      <c r="E99" s="27">
        <v>0</v>
      </c>
      <c r="F99" s="41">
        <v>0</v>
      </c>
      <c r="G99" s="41">
        <v>0</v>
      </c>
      <c r="H99" s="24"/>
      <c r="I99" s="26">
        <v>0</v>
      </c>
      <c r="J99" s="26">
        <v>0</v>
      </c>
      <c r="K99" s="26">
        <v>2113</v>
      </c>
      <c r="L99" s="26">
        <v>2113</v>
      </c>
      <c r="M99" s="26">
        <v>1805</v>
      </c>
      <c r="N99" s="26">
        <v>1805</v>
      </c>
      <c r="O99" s="26">
        <v>1805</v>
      </c>
      <c r="P99" s="26">
        <v>1659</v>
      </c>
      <c r="Q99" s="26">
        <v>0</v>
      </c>
      <c r="R99" s="26">
        <v>0</v>
      </c>
      <c r="S99" s="26">
        <v>0</v>
      </c>
      <c r="T99" s="26">
        <v>0</v>
      </c>
      <c r="U99" s="22"/>
      <c r="V99" s="22"/>
      <c r="W99" s="22"/>
      <c r="X99" s="22"/>
      <c r="Y99" s="25"/>
      <c r="Z99" s="22"/>
      <c r="AA99" s="24"/>
      <c r="AB99" s="22" t="s">
        <v>1222</v>
      </c>
      <c r="AC99" s="22"/>
      <c r="AD99" s="22" t="s">
        <v>1118</v>
      </c>
      <c r="AE99" s="22" t="s">
        <v>1118</v>
      </c>
      <c r="AF99" s="23">
        <v>0</v>
      </c>
      <c r="AG99" s="22" t="s">
        <v>1138</v>
      </c>
      <c r="AH99" s="22" t="s">
        <v>1123</v>
      </c>
    </row>
    <row r="100" spans="1:34" ht="19.899999999999999" customHeight="1" x14ac:dyDescent="0.25">
      <c r="A100" s="29" t="s">
        <v>1221</v>
      </c>
      <c r="B100" s="22" t="s">
        <v>1121</v>
      </c>
      <c r="C100" s="28" t="s">
        <v>1220</v>
      </c>
      <c r="D100" s="27">
        <v>0</v>
      </c>
      <c r="E100" s="27">
        <v>0</v>
      </c>
      <c r="F100" s="41">
        <v>0</v>
      </c>
      <c r="G100" s="41">
        <v>0</v>
      </c>
      <c r="H100" s="24"/>
      <c r="I100" s="26">
        <v>0</v>
      </c>
      <c r="J100" s="26">
        <v>0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P100" s="26">
        <v>1500</v>
      </c>
      <c r="Q100" s="26">
        <v>1500</v>
      </c>
      <c r="R100" s="26">
        <v>0</v>
      </c>
      <c r="S100" s="26">
        <v>0</v>
      </c>
      <c r="T100" s="26">
        <v>0</v>
      </c>
      <c r="U100" s="22"/>
      <c r="V100" s="22"/>
      <c r="W100" s="22"/>
      <c r="X100" s="22"/>
      <c r="Y100" s="25"/>
      <c r="Z100" s="22"/>
      <c r="AA100" s="24"/>
      <c r="AB100" s="22" t="s">
        <v>1181</v>
      </c>
      <c r="AC100" s="22" t="s">
        <v>1169</v>
      </c>
      <c r="AD100" s="22" t="s">
        <v>1118</v>
      </c>
      <c r="AE100" s="22" t="s">
        <v>1118</v>
      </c>
      <c r="AF100" s="23">
        <v>3.3E-4</v>
      </c>
      <c r="AG100" s="22" t="s">
        <v>1138</v>
      </c>
      <c r="AH100" s="22" t="s">
        <v>1123</v>
      </c>
    </row>
    <row r="101" spans="1:34" ht="19.899999999999999" customHeight="1" x14ac:dyDescent="0.25">
      <c r="A101" s="29" t="s">
        <v>1219</v>
      </c>
      <c r="B101" s="22" t="s">
        <v>1121</v>
      </c>
      <c r="C101" s="28" t="s">
        <v>1218</v>
      </c>
      <c r="D101" s="27">
        <v>0</v>
      </c>
      <c r="E101" s="27">
        <v>0</v>
      </c>
      <c r="F101" s="41">
        <v>0</v>
      </c>
      <c r="G101" s="41">
        <v>0</v>
      </c>
      <c r="H101" s="24"/>
      <c r="I101" s="26">
        <v>0</v>
      </c>
      <c r="J101" s="26">
        <v>0</v>
      </c>
      <c r="K101" s="26">
        <v>0</v>
      </c>
      <c r="L101" s="26">
        <v>0</v>
      </c>
      <c r="M101" s="26">
        <v>0</v>
      </c>
      <c r="N101" s="26">
        <v>0</v>
      </c>
      <c r="O101" s="26">
        <v>0</v>
      </c>
      <c r="P101" s="26">
        <v>1500</v>
      </c>
      <c r="Q101" s="26">
        <v>0</v>
      </c>
      <c r="R101" s="26">
        <v>0</v>
      </c>
      <c r="S101" s="26">
        <v>0</v>
      </c>
      <c r="T101" s="26">
        <v>0</v>
      </c>
      <c r="U101" s="22"/>
      <c r="V101" s="22"/>
      <c r="W101" s="22"/>
      <c r="X101" s="22"/>
      <c r="Y101" s="25"/>
      <c r="Z101" s="22"/>
      <c r="AA101" s="24"/>
      <c r="AB101" s="22" t="s">
        <v>1181</v>
      </c>
      <c r="AC101" s="22"/>
      <c r="AD101" s="22" t="s">
        <v>1118</v>
      </c>
      <c r="AE101" s="22" t="s">
        <v>1118</v>
      </c>
      <c r="AF101" s="23">
        <v>0</v>
      </c>
      <c r="AG101" s="22" t="s">
        <v>1217</v>
      </c>
      <c r="AH101" s="22" t="s">
        <v>1123</v>
      </c>
    </row>
    <row r="102" spans="1:34" ht="19.899999999999999" customHeight="1" x14ac:dyDescent="0.25">
      <c r="A102" s="29" t="s">
        <v>1216</v>
      </c>
      <c r="B102" s="22" t="s">
        <v>1121</v>
      </c>
      <c r="C102" s="28" t="s">
        <v>1215</v>
      </c>
      <c r="D102" s="27">
        <v>0</v>
      </c>
      <c r="E102" s="27">
        <v>0</v>
      </c>
      <c r="F102" s="41">
        <v>0</v>
      </c>
      <c r="G102" s="41">
        <v>0</v>
      </c>
      <c r="H102" s="24"/>
      <c r="I102" s="26">
        <v>0</v>
      </c>
      <c r="J102" s="26">
        <v>0</v>
      </c>
      <c r="K102" s="26">
        <v>0</v>
      </c>
      <c r="L102" s="26">
        <v>0</v>
      </c>
      <c r="M102" s="26">
        <v>0</v>
      </c>
      <c r="N102" s="26">
        <v>0</v>
      </c>
      <c r="O102" s="26">
        <v>0</v>
      </c>
      <c r="P102" s="26">
        <v>1492</v>
      </c>
      <c r="Q102" s="26">
        <v>1492</v>
      </c>
      <c r="R102" s="26">
        <v>1492</v>
      </c>
      <c r="S102" s="26">
        <v>1284</v>
      </c>
      <c r="T102" s="26">
        <v>1284</v>
      </c>
      <c r="U102" s="22"/>
      <c r="V102" s="22"/>
      <c r="W102" s="22"/>
      <c r="X102" s="22"/>
      <c r="Y102" s="30" t="s">
        <v>1178</v>
      </c>
      <c r="Z102" s="22"/>
      <c r="AA102" s="24"/>
      <c r="AB102" s="22" t="s">
        <v>1186</v>
      </c>
      <c r="AC102" s="22"/>
      <c r="AD102" s="22" t="s">
        <v>1118</v>
      </c>
      <c r="AE102" s="22" t="s">
        <v>1118</v>
      </c>
      <c r="AF102" s="23">
        <v>0</v>
      </c>
      <c r="AG102" s="22" t="s">
        <v>1173</v>
      </c>
      <c r="AH102" s="22" t="s">
        <v>1141</v>
      </c>
    </row>
    <row r="103" spans="1:34" ht="19.899999999999999" customHeight="1" x14ac:dyDescent="0.25">
      <c r="A103" s="29" t="s">
        <v>1386</v>
      </c>
      <c r="B103" s="22" t="s">
        <v>1121</v>
      </c>
      <c r="C103" s="28" t="s">
        <v>1385</v>
      </c>
      <c r="D103" s="27">
        <v>0</v>
      </c>
      <c r="E103" s="27">
        <v>0</v>
      </c>
      <c r="F103" s="41">
        <v>0</v>
      </c>
      <c r="G103" s="41">
        <v>0</v>
      </c>
      <c r="H103" s="24"/>
      <c r="I103" s="26">
        <v>0</v>
      </c>
      <c r="J103" s="26">
        <v>1485</v>
      </c>
      <c r="K103" s="26">
        <v>1485</v>
      </c>
      <c r="L103" s="26">
        <v>1485</v>
      </c>
      <c r="M103" s="26">
        <v>1485</v>
      </c>
      <c r="N103" s="26">
        <v>1485</v>
      </c>
      <c r="O103" s="26">
        <v>1485</v>
      </c>
      <c r="P103" s="26">
        <v>1485</v>
      </c>
      <c r="Q103" s="26">
        <v>0</v>
      </c>
      <c r="R103" s="26">
        <v>0</v>
      </c>
      <c r="S103" s="26">
        <v>0</v>
      </c>
      <c r="T103" s="26">
        <v>0</v>
      </c>
      <c r="U103" s="22"/>
      <c r="V103" s="22"/>
      <c r="W103" s="22"/>
      <c r="X103" s="22"/>
      <c r="Y103" s="25"/>
      <c r="Z103" s="22"/>
      <c r="AA103" s="24"/>
      <c r="AB103" s="22" t="s">
        <v>1181</v>
      </c>
      <c r="AC103" s="22" t="s">
        <v>1169</v>
      </c>
      <c r="AD103" s="22" t="s">
        <v>1118</v>
      </c>
      <c r="AE103" s="22" t="s">
        <v>1174</v>
      </c>
      <c r="AF103" s="23">
        <v>3.0000000000000001E-5</v>
      </c>
      <c r="AG103" s="22" t="s">
        <v>1124</v>
      </c>
      <c r="AH103" s="22" t="s">
        <v>1123</v>
      </c>
    </row>
    <row r="104" spans="1:34" ht="19.899999999999999" customHeight="1" x14ac:dyDescent="0.25">
      <c r="A104" s="29" t="s">
        <v>1264</v>
      </c>
      <c r="B104" s="22" t="s">
        <v>1121</v>
      </c>
      <c r="C104" s="28" t="s">
        <v>1263</v>
      </c>
      <c r="D104" s="27">
        <v>0</v>
      </c>
      <c r="E104" s="27">
        <v>0</v>
      </c>
      <c r="F104" s="41">
        <v>0</v>
      </c>
      <c r="G104" s="41">
        <v>0</v>
      </c>
      <c r="H104" s="24"/>
      <c r="I104" s="26">
        <v>0</v>
      </c>
      <c r="J104" s="26">
        <v>0</v>
      </c>
      <c r="K104" s="26">
        <v>0</v>
      </c>
      <c r="L104" s="26">
        <v>1403</v>
      </c>
      <c r="M104" s="26">
        <v>1403</v>
      </c>
      <c r="N104" s="26">
        <v>1403</v>
      </c>
      <c r="O104" s="26">
        <v>1403</v>
      </c>
      <c r="P104" s="26">
        <v>1403</v>
      </c>
      <c r="Q104" s="26">
        <v>1403</v>
      </c>
      <c r="R104" s="26">
        <v>1403</v>
      </c>
      <c r="S104" s="26">
        <v>1403</v>
      </c>
      <c r="T104" s="26">
        <v>1403</v>
      </c>
      <c r="U104" s="22"/>
      <c r="V104" s="22"/>
      <c r="W104" s="22"/>
      <c r="X104" s="22"/>
      <c r="Y104" s="25"/>
      <c r="Z104" s="22"/>
      <c r="AA104" s="24"/>
      <c r="AB104" s="22" t="s">
        <v>1181</v>
      </c>
      <c r="AC104" s="22"/>
      <c r="AD104" s="22" t="s">
        <v>1118</v>
      </c>
      <c r="AE104" s="22" t="s">
        <v>1118</v>
      </c>
      <c r="AF104" s="23">
        <v>0</v>
      </c>
      <c r="AG104" s="22" t="s">
        <v>1138</v>
      </c>
      <c r="AH104" s="22" t="s">
        <v>1123</v>
      </c>
    </row>
    <row r="105" spans="1:34" ht="19.899999999999999" customHeight="1" x14ac:dyDescent="0.25">
      <c r="A105" s="29" t="s">
        <v>1384</v>
      </c>
      <c r="B105" s="22" t="s">
        <v>1121</v>
      </c>
      <c r="C105" s="28" t="s">
        <v>1383</v>
      </c>
      <c r="D105" s="27">
        <v>0</v>
      </c>
      <c r="E105" s="27">
        <v>0</v>
      </c>
      <c r="F105" s="41">
        <v>0</v>
      </c>
      <c r="G105" s="41">
        <v>0</v>
      </c>
      <c r="H105" s="24"/>
      <c r="I105" s="26">
        <v>0</v>
      </c>
      <c r="J105" s="26">
        <v>1330</v>
      </c>
      <c r="K105" s="26">
        <v>1330</v>
      </c>
      <c r="L105" s="26">
        <v>1330</v>
      </c>
      <c r="M105" s="26">
        <v>1330</v>
      </c>
      <c r="N105" s="26">
        <v>1330</v>
      </c>
      <c r="O105" s="26">
        <v>1330</v>
      </c>
      <c r="P105" s="26">
        <v>1330</v>
      </c>
      <c r="Q105" s="26">
        <v>1330</v>
      </c>
      <c r="R105" s="26">
        <v>1330</v>
      </c>
      <c r="S105" s="26">
        <v>1330</v>
      </c>
      <c r="T105" s="26">
        <v>1330</v>
      </c>
      <c r="U105" s="22"/>
      <c r="V105" s="22"/>
      <c r="W105" s="22"/>
      <c r="X105" s="22"/>
      <c r="Y105" s="25"/>
      <c r="Z105" s="22"/>
      <c r="AA105" s="24"/>
      <c r="AB105" s="22" t="s">
        <v>1181</v>
      </c>
      <c r="AC105" s="22"/>
      <c r="AD105" s="22" t="s">
        <v>1118</v>
      </c>
      <c r="AE105" s="22" t="s">
        <v>1118</v>
      </c>
      <c r="AF105" s="23">
        <v>0</v>
      </c>
      <c r="AG105" s="22" t="s">
        <v>1138</v>
      </c>
      <c r="AH105" s="22" t="s">
        <v>1123</v>
      </c>
    </row>
    <row r="106" spans="1:34" ht="19.899999999999999" customHeight="1" x14ac:dyDescent="0.25">
      <c r="A106" s="29" t="s">
        <v>1382</v>
      </c>
      <c r="B106" s="22" t="s">
        <v>1121</v>
      </c>
      <c r="C106" s="28" t="s">
        <v>1381</v>
      </c>
      <c r="D106" s="27">
        <v>0</v>
      </c>
      <c r="E106" s="27">
        <v>0</v>
      </c>
      <c r="F106" s="41">
        <v>0</v>
      </c>
      <c r="G106" s="41">
        <v>0</v>
      </c>
      <c r="H106" s="24"/>
      <c r="I106" s="26">
        <v>0</v>
      </c>
      <c r="J106" s="26">
        <v>1321</v>
      </c>
      <c r="K106" s="26">
        <v>1321</v>
      </c>
      <c r="L106" s="26">
        <v>1321</v>
      </c>
      <c r="M106" s="26">
        <v>1321</v>
      </c>
      <c r="N106" s="26">
        <v>1321</v>
      </c>
      <c r="O106" s="26">
        <v>1321</v>
      </c>
      <c r="P106" s="26">
        <v>1321</v>
      </c>
      <c r="Q106" s="26">
        <v>1321</v>
      </c>
      <c r="R106" s="26">
        <v>1321</v>
      </c>
      <c r="S106" s="26">
        <v>1321</v>
      </c>
      <c r="T106" s="26">
        <v>1321</v>
      </c>
      <c r="U106" s="22"/>
      <c r="V106" s="22"/>
      <c r="W106" s="22"/>
      <c r="X106" s="22"/>
      <c r="Y106" s="25"/>
      <c r="Z106" s="22"/>
      <c r="AA106" s="24"/>
      <c r="AB106" s="22" t="s">
        <v>1181</v>
      </c>
      <c r="AC106" s="22"/>
      <c r="AD106" s="22" t="s">
        <v>1118</v>
      </c>
      <c r="AE106" s="22" t="s">
        <v>1118</v>
      </c>
      <c r="AF106" s="23">
        <v>0</v>
      </c>
      <c r="AG106" s="22" t="s">
        <v>1124</v>
      </c>
      <c r="AH106" s="22" t="s">
        <v>1123</v>
      </c>
    </row>
    <row r="107" spans="1:34" ht="19.899999999999999" customHeight="1" x14ac:dyDescent="0.25">
      <c r="A107" s="29" t="s">
        <v>1150</v>
      </c>
      <c r="B107" s="22" t="s">
        <v>1121</v>
      </c>
      <c r="C107" s="28" t="s">
        <v>1149</v>
      </c>
      <c r="D107" s="27">
        <v>9.3300000000000005E-5</v>
      </c>
      <c r="E107" s="27">
        <v>0</v>
      </c>
      <c r="F107" s="41">
        <v>2376</v>
      </c>
      <c r="G107" s="43">
        <v>1136</v>
      </c>
      <c r="H107" s="24"/>
      <c r="I107" s="26">
        <v>1240</v>
      </c>
      <c r="J107" s="26">
        <v>1240</v>
      </c>
      <c r="K107" s="26">
        <v>1311</v>
      </c>
      <c r="L107" s="26">
        <v>1311</v>
      </c>
      <c r="M107" s="26">
        <v>1311</v>
      </c>
      <c r="N107" s="26">
        <v>1311</v>
      </c>
      <c r="O107" s="26">
        <v>1311</v>
      </c>
      <c r="P107" s="26">
        <v>1311</v>
      </c>
      <c r="Q107" s="26">
        <v>1134</v>
      </c>
      <c r="R107" s="26">
        <v>1183</v>
      </c>
      <c r="S107" s="26">
        <v>0</v>
      </c>
      <c r="T107" s="26">
        <v>0</v>
      </c>
      <c r="U107" s="22"/>
      <c r="V107" s="22"/>
      <c r="W107" s="22"/>
      <c r="X107" s="22"/>
      <c r="Y107" s="25"/>
      <c r="Z107" s="22"/>
      <c r="AA107" s="24"/>
      <c r="AB107" s="22" t="s">
        <v>1119</v>
      </c>
      <c r="AC107" s="22"/>
      <c r="AD107" s="22" t="s">
        <v>1118</v>
      </c>
      <c r="AE107" s="22" t="s">
        <v>1118</v>
      </c>
      <c r="AF107" s="23">
        <v>0</v>
      </c>
      <c r="AG107" s="22" t="s">
        <v>1138</v>
      </c>
      <c r="AH107" s="22" t="s">
        <v>1123</v>
      </c>
    </row>
    <row r="108" spans="1:34" ht="19.899999999999999" customHeight="1" x14ac:dyDescent="0.25">
      <c r="A108" s="29" t="s">
        <v>1570</v>
      </c>
      <c r="B108" s="22" t="s">
        <v>1569</v>
      </c>
      <c r="C108" s="28" t="s">
        <v>1568</v>
      </c>
      <c r="D108" s="27">
        <v>5.1050000000000001E-5</v>
      </c>
      <c r="E108" s="27">
        <v>5.7160000000000002E-5</v>
      </c>
      <c r="F108" s="41">
        <v>1300</v>
      </c>
      <c r="G108" s="41">
        <v>0</v>
      </c>
      <c r="H108" s="24"/>
      <c r="I108" s="26">
        <v>1300</v>
      </c>
      <c r="J108" s="26">
        <v>1300</v>
      </c>
      <c r="K108" s="26">
        <v>1300</v>
      </c>
      <c r="L108" s="26">
        <v>1300</v>
      </c>
      <c r="M108" s="26">
        <v>1300</v>
      </c>
      <c r="N108" s="26">
        <v>1300</v>
      </c>
      <c r="O108" s="26">
        <v>1300</v>
      </c>
      <c r="P108" s="26">
        <v>1300</v>
      </c>
      <c r="Q108" s="26">
        <v>1300</v>
      </c>
      <c r="R108" s="26">
        <v>1300</v>
      </c>
      <c r="S108" s="26">
        <v>1300</v>
      </c>
      <c r="T108" s="26">
        <v>1300</v>
      </c>
      <c r="U108" s="22"/>
      <c r="V108" s="22"/>
      <c r="W108" s="22"/>
      <c r="X108" s="22"/>
      <c r="Y108" s="30" t="s">
        <v>1178</v>
      </c>
      <c r="Z108" s="22"/>
      <c r="AA108" s="24"/>
      <c r="AB108" s="22" t="s">
        <v>1472</v>
      </c>
      <c r="AC108" s="22"/>
      <c r="AD108" s="22" t="s">
        <v>1118</v>
      </c>
      <c r="AE108" s="22" t="s">
        <v>1118</v>
      </c>
      <c r="AF108" s="23">
        <v>0</v>
      </c>
      <c r="AG108" s="22" t="s">
        <v>1124</v>
      </c>
      <c r="AH108" s="22" t="s">
        <v>1123</v>
      </c>
    </row>
    <row r="109" spans="1:34" ht="19.899999999999999" customHeight="1" x14ac:dyDescent="0.25">
      <c r="A109" s="29" t="s">
        <v>1567</v>
      </c>
      <c r="B109" s="22" t="s">
        <v>1566</v>
      </c>
      <c r="C109" s="28" t="s">
        <v>1565</v>
      </c>
      <c r="D109" s="27">
        <v>5.1050000000000001E-5</v>
      </c>
      <c r="E109" s="27">
        <v>0</v>
      </c>
      <c r="F109" s="41">
        <v>1300</v>
      </c>
      <c r="G109" s="41">
        <v>0</v>
      </c>
      <c r="H109" s="24"/>
      <c r="I109" s="26">
        <v>1300</v>
      </c>
      <c r="J109" s="26">
        <v>1300</v>
      </c>
      <c r="K109" s="26">
        <v>1300</v>
      </c>
      <c r="L109" s="26">
        <v>1300</v>
      </c>
      <c r="M109" s="26">
        <v>1300</v>
      </c>
      <c r="N109" s="26">
        <v>1300</v>
      </c>
      <c r="O109" s="26">
        <v>1300</v>
      </c>
      <c r="P109" s="26">
        <v>1300</v>
      </c>
      <c r="Q109" s="26">
        <v>1300</v>
      </c>
      <c r="R109" s="26">
        <v>1300</v>
      </c>
      <c r="S109" s="26">
        <v>1300</v>
      </c>
      <c r="T109" s="26">
        <v>1300</v>
      </c>
      <c r="U109" s="22"/>
      <c r="V109" s="22"/>
      <c r="W109" s="22"/>
      <c r="X109" s="22"/>
      <c r="Y109" s="25"/>
      <c r="Z109" s="22"/>
      <c r="AA109" s="24"/>
      <c r="AB109" s="22" t="s">
        <v>1181</v>
      </c>
      <c r="AC109" s="22" t="s">
        <v>1169</v>
      </c>
      <c r="AD109" s="22" t="s">
        <v>1118</v>
      </c>
      <c r="AE109" s="22" t="s">
        <v>1174</v>
      </c>
      <c r="AF109" s="23">
        <v>9.2000000000000003E-4</v>
      </c>
      <c r="AG109" s="22" t="s">
        <v>1124</v>
      </c>
      <c r="AH109" s="22" t="s">
        <v>1123</v>
      </c>
    </row>
    <row r="110" spans="1:34" ht="19.899999999999999" customHeight="1" x14ac:dyDescent="0.25">
      <c r="A110" s="29" t="s">
        <v>1378</v>
      </c>
      <c r="B110" s="22" t="s">
        <v>1121</v>
      </c>
      <c r="C110" s="28" t="s">
        <v>1377</v>
      </c>
      <c r="D110" s="27">
        <v>0</v>
      </c>
      <c r="E110" s="27">
        <v>0</v>
      </c>
      <c r="F110" s="41">
        <v>0</v>
      </c>
      <c r="G110" s="41">
        <v>0</v>
      </c>
      <c r="H110" s="24"/>
      <c r="I110" s="26">
        <v>0</v>
      </c>
      <c r="J110" s="26">
        <v>1200</v>
      </c>
      <c r="K110" s="26">
        <v>1200</v>
      </c>
      <c r="L110" s="26">
        <v>1200</v>
      </c>
      <c r="M110" s="26">
        <v>1200</v>
      </c>
      <c r="N110" s="26">
        <v>1200</v>
      </c>
      <c r="O110" s="26">
        <v>1200</v>
      </c>
      <c r="P110" s="26">
        <v>1200</v>
      </c>
      <c r="Q110" s="26">
        <v>1200</v>
      </c>
      <c r="R110" s="26">
        <v>1200</v>
      </c>
      <c r="S110" s="26">
        <v>1200</v>
      </c>
      <c r="T110" s="26">
        <v>0</v>
      </c>
      <c r="U110" s="22"/>
      <c r="V110" s="22"/>
      <c r="W110" s="22"/>
      <c r="X110" s="22"/>
      <c r="Y110" s="25"/>
      <c r="Z110" s="22"/>
      <c r="AA110" s="24"/>
      <c r="AB110" s="22" t="s">
        <v>1181</v>
      </c>
      <c r="AC110" s="22"/>
      <c r="AD110" s="22" t="s">
        <v>1118</v>
      </c>
      <c r="AE110" s="22" t="s">
        <v>1118</v>
      </c>
      <c r="AF110" s="23">
        <v>0</v>
      </c>
      <c r="AG110" s="22" t="s">
        <v>1135</v>
      </c>
      <c r="AH110" s="22" t="s">
        <v>1123</v>
      </c>
    </row>
    <row r="111" spans="1:34" ht="19.899999999999999" customHeight="1" x14ac:dyDescent="0.25">
      <c r="A111" s="29" t="s">
        <v>1148</v>
      </c>
      <c r="B111" s="22" t="s">
        <v>1121</v>
      </c>
      <c r="C111" s="28" t="s">
        <v>1147</v>
      </c>
      <c r="D111" s="27">
        <v>8.8620000000000002E-5</v>
      </c>
      <c r="E111" s="27">
        <v>0</v>
      </c>
      <c r="F111" s="41">
        <v>2257</v>
      </c>
      <c r="G111" s="43">
        <v>83</v>
      </c>
      <c r="H111" s="24"/>
      <c r="I111" s="26">
        <v>2174</v>
      </c>
      <c r="J111" s="26">
        <v>1609</v>
      </c>
      <c r="K111" s="26">
        <v>1334</v>
      </c>
      <c r="L111" s="26">
        <v>1293</v>
      </c>
      <c r="M111" s="26">
        <v>1134</v>
      </c>
      <c r="N111" s="26">
        <v>1548</v>
      </c>
      <c r="O111" s="26">
        <v>1338</v>
      </c>
      <c r="P111" s="26">
        <v>1114</v>
      </c>
      <c r="Q111" s="26">
        <v>1168</v>
      </c>
      <c r="R111" s="26">
        <v>62</v>
      </c>
      <c r="S111" s="26">
        <v>0</v>
      </c>
      <c r="T111" s="26">
        <v>0</v>
      </c>
      <c r="U111" s="22"/>
      <c r="V111" s="22"/>
      <c r="W111" s="22"/>
      <c r="X111" s="22"/>
      <c r="Y111" s="25"/>
      <c r="Z111" s="22"/>
      <c r="AA111" s="24"/>
      <c r="AB111" s="22" t="s">
        <v>1119</v>
      </c>
      <c r="AC111" s="22"/>
      <c r="AD111" s="22" t="s">
        <v>1118</v>
      </c>
      <c r="AE111" s="22" t="s">
        <v>1118</v>
      </c>
      <c r="AF111" s="23">
        <v>0</v>
      </c>
      <c r="AG111" s="22" t="s">
        <v>1132</v>
      </c>
      <c r="AH111" s="22" t="s">
        <v>1123</v>
      </c>
    </row>
    <row r="112" spans="1:34" ht="19.899999999999999" customHeight="1" x14ac:dyDescent="0.25">
      <c r="A112" s="29" t="s">
        <v>1260</v>
      </c>
      <c r="B112" s="22" t="s">
        <v>1121</v>
      </c>
      <c r="C112" s="28" t="s">
        <v>1259</v>
      </c>
      <c r="D112" s="27">
        <v>0</v>
      </c>
      <c r="E112" s="27">
        <v>0</v>
      </c>
      <c r="F112" s="41">
        <v>0</v>
      </c>
      <c r="G112" s="41">
        <v>0</v>
      </c>
      <c r="H112" s="24"/>
      <c r="I112" s="26">
        <v>0</v>
      </c>
      <c r="J112" s="26">
        <v>0</v>
      </c>
      <c r="K112" s="26">
        <v>0</v>
      </c>
      <c r="L112" s="26">
        <v>1014</v>
      </c>
      <c r="M112" s="26">
        <v>1014</v>
      </c>
      <c r="N112" s="26">
        <v>1014</v>
      </c>
      <c r="O112" s="26">
        <v>1014</v>
      </c>
      <c r="P112" s="26">
        <v>1014</v>
      </c>
      <c r="Q112" s="26">
        <v>1014</v>
      </c>
      <c r="R112" s="26">
        <v>1014</v>
      </c>
      <c r="S112" s="26">
        <v>1014</v>
      </c>
      <c r="T112" s="26">
        <v>1014</v>
      </c>
      <c r="U112" s="22"/>
      <c r="V112" s="22"/>
      <c r="W112" s="22"/>
      <c r="X112" s="22"/>
      <c r="Y112" s="25"/>
      <c r="Z112" s="22"/>
      <c r="AA112" s="24"/>
      <c r="AB112" s="22" t="s">
        <v>1181</v>
      </c>
      <c r="AC112" s="22"/>
      <c r="AD112" s="22" t="s">
        <v>1118</v>
      </c>
      <c r="AE112" s="22" t="s">
        <v>1118</v>
      </c>
      <c r="AF112" s="23">
        <v>0</v>
      </c>
      <c r="AG112" s="22" t="s">
        <v>1138</v>
      </c>
      <c r="AH112" s="22" t="s">
        <v>1123</v>
      </c>
    </row>
    <row r="113" spans="1:34" ht="19.899999999999999" customHeight="1" x14ac:dyDescent="0.25">
      <c r="A113" s="29" t="s">
        <v>1400</v>
      </c>
      <c r="B113" s="22" t="s">
        <v>1121</v>
      </c>
      <c r="C113" s="28" t="s">
        <v>1399</v>
      </c>
      <c r="D113" s="27">
        <v>0</v>
      </c>
      <c r="E113" s="27">
        <v>0</v>
      </c>
      <c r="F113" s="41">
        <v>0</v>
      </c>
      <c r="G113" s="41">
        <v>0</v>
      </c>
      <c r="H113" s="24"/>
      <c r="I113" s="26">
        <v>0</v>
      </c>
      <c r="J113" s="26">
        <v>3000</v>
      </c>
      <c r="K113" s="26">
        <v>2000</v>
      </c>
      <c r="L113" s="26">
        <v>2000</v>
      </c>
      <c r="M113" s="26">
        <v>2000</v>
      </c>
      <c r="N113" s="26">
        <v>2000</v>
      </c>
      <c r="O113" s="26">
        <v>1000</v>
      </c>
      <c r="P113" s="26">
        <v>1000</v>
      </c>
      <c r="Q113" s="26">
        <v>1500</v>
      </c>
      <c r="R113" s="26">
        <v>1500</v>
      </c>
      <c r="S113" s="26">
        <v>1500</v>
      </c>
      <c r="T113" s="26">
        <v>1500</v>
      </c>
      <c r="U113" s="22"/>
      <c r="V113" s="22"/>
      <c r="W113" s="22"/>
      <c r="X113" s="22"/>
      <c r="Y113" s="25"/>
      <c r="Z113" s="22"/>
      <c r="AA113" s="24"/>
      <c r="AB113" s="22" t="s">
        <v>1222</v>
      </c>
      <c r="AC113" s="22" t="s">
        <v>1169</v>
      </c>
      <c r="AD113" s="22" t="s">
        <v>1118</v>
      </c>
      <c r="AE113" s="22" t="s">
        <v>1118</v>
      </c>
      <c r="AF113" s="23">
        <v>0</v>
      </c>
      <c r="AG113" s="22" t="s">
        <v>1138</v>
      </c>
      <c r="AH113" s="22" t="s">
        <v>1123</v>
      </c>
    </row>
    <row r="114" spans="1:34" ht="19.899999999999999" customHeight="1" x14ac:dyDescent="0.25">
      <c r="A114" s="29" t="s">
        <v>1390</v>
      </c>
      <c r="B114" s="22" t="s">
        <v>1121</v>
      </c>
      <c r="C114" s="28" t="s">
        <v>1389</v>
      </c>
      <c r="D114" s="27">
        <v>0</v>
      </c>
      <c r="E114" s="27">
        <v>0</v>
      </c>
      <c r="F114" s="41">
        <v>0</v>
      </c>
      <c r="G114" s="41">
        <v>0</v>
      </c>
      <c r="H114" s="24"/>
      <c r="I114" s="26">
        <v>0</v>
      </c>
      <c r="J114" s="26">
        <v>1600</v>
      </c>
      <c r="K114" s="26">
        <v>1600</v>
      </c>
      <c r="L114" s="26">
        <v>1600</v>
      </c>
      <c r="M114" s="26">
        <v>1600</v>
      </c>
      <c r="N114" s="26">
        <v>1600</v>
      </c>
      <c r="O114" s="26">
        <v>1600</v>
      </c>
      <c r="P114" s="26">
        <v>1000</v>
      </c>
      <c r="Q114" s="26">
        <v>1000</v>
      </c>
      <c r="R114" s="26">
        <v>1000</v>
      </c>
      <c r="S114" s="26">
        <v>0</v>
      </c>
      <c r="T114" s="26">
        <v>0</v>
      </c>
      <c r="U114" s="22"/>
      <c r="V114" s="22"/>
      <c r="W114" s="22"/>
      <c r="X114" s="22"/>
      <c r="Y114" s="25"/>
      <c r="Z114" s="22"/>
      <c r="AA114" s="24"/>
      <c r="AB114" s="22" t="s">
        <v>1181</v>
      </c>
      <c r="AC114" s="22"/>
      <c r="AD114" s="22" t="s">
        <v>1118</v>
      </c>
      <c r="AE114" s="22" t="s">
        <v>1118</v>
      </c>
      <c r="AF114" s="23">
        <v>0</v>
      </c>
      <c r="AG114" s="22" t="s">
        <v>1135</v>
      </c>
      <c r="AH114" s="22" t="s">
        <v>1123</v>
      </c>
    </row>
    <row r="115" spans="1:34" ht="19.899999999999999" customHeight="1" x14ac:dyDescent="0.25">
      <c r="A115" s="29" t="s">
        <v>1376</v>
      </c>
      <c r="B115" s="22" t="s">
        <v>1121</v>
      </c>
      <c r="C115" s="28" t="s">
        <v>1375</v>
      </c>
      <c r="D115" s="27">
        <v>0</v>
      </c>
      <c r="E115" s="27">
        <v>0</v>
      </c>
      <c r="F115" s="41">
        <v>0</v>
      </c>
      <c r="G115" s="41">
        <v>0</v>
      </c>
      <c r="H115" s="24"/>
      <c r="I115" s="26">
        <v>0</v>
      </c>
      <c r="J115" s="26">
        <v>1050</v>
      </c>
      <c r="K115" s="26">
        <v>1010</v>
      </c>
      <c r="L115" s="26">
        <v>1050</v>
      </c>
      <c r="M115" s="26">
        <v>1050</v>
      </c>
      <c r="N115" s="26">
        <v>840</v>
      </c>
      <c r="O115" s="26">
        <v>840</v>
      </c>
      <c r="P115" s="26">
        <v>1000</v>
      </c>
      <c r="Q115" s="26">
        <v>1000</v>
      </c>
      <c r="R115" s="26">
        <v>1000</v>
      </c>
      <c r="S115" s="26">
        <v>1000</v>
      </c>
      <c r="T115" s="26">
        <v>0</v>
      </c>
      <c r="U115" s="22"/>
      <c r="V115" s="22"/>
      <c r="W115" s="22"/>
      <c r="X115" s="22"/>
      <c r="Y115" s="25"/>
      <c r="Z115" s="22"/>
      <c r="AA115" s="24"/>
      <c r="AB115" s="22" t="s">
        <v>1181</v>
      </c>
      <c r="AC115" s="22"/>
      <c r="AD115" s="22" t="s">
        <v>1118</v>
      </c>
      <c r="AE115" s="22" t="s">
        <v>1118</v>
      </c>
      <c r="AF115" s="23">
        <v>0</v>
      </c>
      <c r="AG115" s="22" t="s">
        <v>1135</v>
      </c>
      <c r="AH115" s="22" t="s">
        <v>1123</v>
      </c>
    </row>
    <row r="116" spans="1:34" ht="19.899999999999999" customHeight="1" x14ac:dyDescent="0.25">
      <c r="A116" s="29" t="s">
        <v>1374</v>
      </c>
      <c r="B116" s="22" t="s">
        <v>1121</v>
      </c>
      <c r="C116" s="28" t="s">
        <v>1373</v>
      </c>
      <c r="D116" s="27">
        <v>0</v>
      </c>
      <c r="E116" s="27">
        <v>0</v>
      </c>
      <c r="F116" s="41">
        <v>0</v>
      </c>
      <c r="G116" s="41">
        <v>0</v>
      </c>
      <c r="H116" s="24"/>
      <c r="I116" s="26">
        <v>0</v>
      </c>
      <c r="J116" s="26">
        <v>1000</v>
      </c>
      <c r="K116" s="26">
        <v>1000</v>
      </c>
      <c r="L116" s="26">
        <v>1000</v>
      </c>
      <c r="M116" s="26">
        <v>1000</v>
      </c>
      <c r="N116" s="26">
        <v>1000</v>
      </c>
      <c r="O116" s="26">
        <v>1000</v>
      </c>
      <c r="P116" s="26">
        <v>1000</v>
      </c>
      <c r="Q116" s="26">
        <v>1000</v>
      </c>
      <c r="R116" s="26">
        <v>1000</v>
      </c>
      <c r="S116" s="26">
        <v>1000</v>
      </c>
      <c r="T116" s="26">
        <v>1000</v>
      </c>
      <c r="U116" s="22"/>
      <c r="V116" s="22"/>
      <c r="W116" s="22"/>
      <c r="X116" s="22"/>
      <c r="Y116" s="25"/>
      <c r="Z116" s="22"/>
      <c r="AA116" s="24"/>
      <c r="AB116" s="22" t="s">
        <v>1181</v>
      </c>
      <c r="AC116" s="22"/>
      <c r="AD116" s="22" t="s">
        <v>1118</v>
      </c>
      <c r="AE116" s="22" t="s">
        <v>1118</v>
      </c>
      <c r="AF116" s="23">
        <v>0</v>
      </c>
      <c r="AG116" s="22" t="s">
        <v>1135</v>
      </c>
      <c r="AH116" s="22" t="s">
        <v>1123</v>
      </c>
    </row>
    <row r="117" spans="1:34" ht="19.899999999999999" customHeight="1" x14ac:dyDescent="0.25">
      <c r="A117" s="29" t="s">
        <v>1372</v>
      </c>
      <c r="B117" s="22" t="s">
        <v>1121</v>
      </c>
      <c r="C117" s="28" t="s">
        <v>1371</v>
      </c>
      <c r="D117" s="27">
        <v>0</v>
      </c>
      <c r="E117" s="27">
        <v>0</v>
      </c>
      <c r="F117" s="41">
        <v>0</v>
      </c>
      <c r="G117" s="41">
        <v>0</v>
      </c>
      <c r="H117" s="24"/>
      <c r="I117" s="26">
        <v>0</v>
      </c>
      <c r="J117" s="26">
        <v>1000</v>
      </c>
      <c r="K117" s="26">
        <v>1000</v>
      </c>
      <c r="L117" s="26">
        <v>1000</v>
      </c>
      <c r="M117" s="26">
        <v>1000</v>
      </c>
      <c r="N117" s="26">
        <v>1000</v>
      </c>
      <c r="O117" s="26">
        <v>1000</v>
      </c>
      <c r="P117" s="26">
        <v>1000</v>
      </c>
      <c r="Q117" s="26">
        <v>1000</v>
      </c>
      <c r="R117" s="26">
        <v>1000</v>
      </c>
      <c r="S117" s="26">
        <v>1000</v>
      </c>
      <c r="T117" s="26">
        <v>1000</v>
      </c>
      <c r="U117" s="22"/>
      <c r="V117" s="22"/>
      <c r="W117" s="22"/>
      <c r="X117" s="22"/>
      <c r="Y117" s="25"/>
      <c r="Z117" s="22"/>
      <c r="AA117" s="24"/>
      <c r="AB117" s="22" t="s">
        <v>1161</v>
      </c>
      <c r="AC117" s="22"/>
      <c r="AD117" s="22" t="s">
        <v>1118</v>
      </c>
      <c r="AE117" s="22" t="s">
        <v>1118</v>
      </c>
      <c r="AF117" s="23">
        <v>0</v>
      </c>
      <c r="AG117" s="22" t="s">
        <v>1138</v>
      </c>
      <c r="AH117" s="22" t="s">
        <v>1123</v>
      </c>
    </row>
    <row r="118" spans="1:34" ht="19.899999999999999" customHeight="1" x14ac:dyDescent="0.25">
      <c r="A118" s="29" t="s">
        <v>1230</v>
      </c>
      <c r="B118" s="22" t="s">
        <v>1121</v>
      </c>
      <c r="C118" s="28" t="s">
        <v>1229</v>
      </c>
      <c r="D118" s="27">
        <v>0</v>
      </c>
      <c r="E118" s="27">
        <v>0</v>
      </c>
      <c r="F118" s="41">
        <v>0</v>
      </c>
      <c r="G118" s="41">
        <v>0</v>
      </c>
      <c r="H118" s="24"/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1021</v>
      </c>
      <c r="O118" s="26">
        <v>974</v>
      </c>
      <c r="P118" s="26">
        <v>986</v>
      </c>
      <c r="Q118" s="26">
        <v>1104</v>
      </c>
      <c r="R118" s="26">
        <v>1104</v>
      </c>
      <c r="S118" s="26">
        <v>1104</v>
      </c>
      <c r="T118" s="26">
        <v>1196</v>
      </c>
      <c r="U118" s="22"/>
      <c r="V118" s="22"/>
      <c r="W118" s="22"/>
      <c r="X118" s="22"/>
      <c r="Y118" s="25"/>
      <c r="Z118" s="22"/>
      <c r="AA118" s="24"/>
      <c r="AB118" s="22" t="s">
        <v>1181</v>
      </c>
      <c r="AC118" s="22" t="s">
        <v>1169</v>
      </c>
      <c r="AD118" s="22" t="s">
        <v>1118</v>
      </c>
      <c r="AE118" s="22" t="s">
        <v>1174</v>
      </c>
      <c r="AF118" s="23">
        <v>0</v>
      </c>
      <c r="AG118" s="22" t="s">
        <v>1124</v>
      </c>
      <c r="AH118" s="22" t="s">
        <v>1123</v>
      </c>
    </row>
    <row r="119" spans="1:34" ht="19.899999999999999" customHeight="1" x14ac:dyDescent="0.25">
      <c r="A119" s="29" t="s">
        <v>1258</v>
      </c>
      <c r="B119" s="22" t="s">
        <v>1121</v>
      </c>
      <c r="C119" s="28" t="s">
        <v>1257</v>
      </c>
      <c r="D119" s="27">
        <v>0</v>
      </c>
      <c r="E119" s="27">
        <v>0</v>
      </c>
      <c r="F119" s="41">
        <v>0</v>
      </c>
      <c r="G119" s="41">
        <v>0</v>
      </c>
      <c r="H119" s="24"/>
      <c r="I119" s="26">
        <v>0</v>
      </c>
      <c r="J119" s="26">
        <v>0</v>
      </c>
      <c r="K119" s="26">
        <v>0</v>
      </c>
      <c r="L119" s="26">
        <v>968</v>
      </c>
      <c r="M119" s="26">
        <v>968</v>
      </c>
      <c r="N119" s="26">
        <v>968</v>
      </c>
      <c r="O119" s="26">
        <v>968</v>
      </c>
      <c r="P119" s="26">
        <v>968</v>
      </c>
      <c r="Q119" s="26">
        <v>968</v>
      </c>
      <c r="R119" s="26">
        <v>968</v>
      </c>
      <c r="S119" s="26">
        <v>968</v>
      </c>
      <c r="T119" s="26">
        <v>968</v>
      </c>
      <c r="U119" s="22"/>
      <c r="V119" s="22"/>
      <c r="W119" s="22"/>
      <c r="X119" s="22"/>
      <c r="Y119" s="25"/>
      <c r="Z119" s="22"/>
      <c r="AA119" s="24"/>
      <c r="AB119" s="22" t="s">
        <v>1181</v>
      </c>
      <c r="AC119" s="22"/>
      <c r="AD119" s="22" t="s">
        <v>1118</v>
      </c>
      <c r="AE119" s="22" t="s">
        <v>1118</v>
      </c>
      <c r="AF119" s="23">
        <v>0</v>
      </c>
      <c r="AG119" s="22" t="s">
        <v>1138</v>
      </c>
      <c r="AH119" s="22" t="s">
        <v>1123</v>
      </c>
    </row>
    <row r="120" spans="1:34" ht="19.899999999999999" customHeight="1" x14ac:dyDescent="0.25">
      <c r="A120" s="29" t="s">
        <v>1214</v>
      </c>
      <c r="B120" s="22" t="s">
        <v>1121</v>
      </c>
      <c r="C120" s="28" t="s">
        <v>1213</v>
      </c>
      <c r="D120" s="27">
        <v>0</v>
      </c>
      <c r="E120" s="27">
        <v>0</v>
      </c>
      <c r="F120" s="41">
        <v>0</v>
      </c>
      <c r="G120" s="41">
        <v>0</v>
      </c>
      <c r="H120" s="24"/>
      <c r="I120" s="26">
        <v>0</v>
      </c>
      <c r="J120" s="26">
        <v>0</v>
      </c>
      <c r="K120" s="26">
        <v>0</v>
      </c>
      <c r="L120" s="26">
        <v>0</v>
      </c>
      <c r="M120" s="26">
        <v>0</v>
      </c>
      <c r="N120" s="26">
        <v>0</v>
      </c>
      <c r="O120" s="26">
        <v>0</v>
      </c>
      <c r="P120" s="26">
        <v>900</v>
      </c>
      <c r="Q120" s="26">
        <v>1250</v>
      </c>
      <c r="R120" s="26">
        <v>0</v>
      </c>
      <c r="S120" s="26">
        <v>0</v>
      </c>
      <c r="T120" s="26">
        <v>0</v>
      </c>
      <c r="U120" s="22"/>
      <c r="V120" s="22"/>
      <c r="W120" s="22"/>
      <c r="X120" s="22"/>
      <c r="Y120" s="25"/>
      <c r="Z120" s="22"/>
      <c r="AA120" s="24"/>
      <c r="AB120" s="22" t="s">
        <v>1161</v>
      </c>
      <c r="AC120" s="22"/>
      <c r="AD120" s="22" t="s">
        <v>1118</v>
      </c>
      <c r="AE120" s="22" t="s">
        <v>1118</v>
      </c>
      <c r="AF120" s="23">
        <v>0</v>
      </c>
      <c r="AG120" s="22" t="s">
        <v>1138</v>
      </c>
      <c r="AH120" s="22" t="s">
        <v>1123</v>
      </c>
    </row>
    <row r="121" spans="1:34" ht="19.899999999999999" customHeight="1" x14ac:dyDescent="0.25">
      <c r="A121" s="29" t="s">
        <v>1613</v>
      </c>
      <c r="B121" s="22" t="s">
        <v>1612</v>
      </c>
      <c r="C121" s="28" t="s">
        <v>1611</v>
      </c>
      <c r="D121" s="27">
        <v>1.1230000000000001E-4</v>
      </c>
      <c r="E121" s="27">
        <v>1.2574999999999999E-4</v>
      </c>
      <c r="F121" s="41">
        <v>2860</v>
      </c>
      <c r="G121" s="44">
        <v>-6515</v>
      </c>
      <c r="H121" s="24"/>
      <c r="I121" s="26">
        <v>9375</v>
      </c>
      <c r="J121" s="26">
        <v>1919</v>
      </c>
      <c r="K121" s="26">
        <v>1811</v>
      </c>
      <c r="L121" s="26">
        <v>3086</v>
      </c>
      <c r="M121" s="26">
        <v>3216</v>
      </c>
      <c r="N121" s="26">
        <v>2363</v>
      </c>
      <c r="O121" s="26">
        <v>2484</v>
      </c>
      <c r="P121" s="26">
        <v>858</v>
      </c>
      <c r="Q121" s="26">
        <v>345</v>
      </c>
      <c r="R121" s="26">
        <v>0</v>
      </c>
      <c r="S121" s="26">
        <v>5372</v>
      </c>
      <c r="T121" s="26">
        <v>3914</v>
      </c>
      <c r="U121" s="27">
        <v>3.8511119999999999E-3</v>
      </c>
      <c r="V121" s="27">
        <v>1.7037284999999999E-2</v>
      </c>
      <c r="W121" s="35">
        <v>384.61806977999998</v>
      </c>
      <c r="X121" s="34">
        <v>0.01</v>
      </c>
      <c r="Y121" s="36" t="s">
        <v>1204</v>
      </c>
      <c r="Z121" s="32">
        <v>-14</v>
      </c>
      <c r="AA121" s="24"/>
      <c r="AB121" s="22" t="s">
        <v>1186</v>
      </c>
      <c r="AC121" s="22" t="s">
        <v>1176</v>
      </c>
      <c r="AD121" s="22" t="s">
        <v>1594</v>
      </c>
      <c r="AE121" s="22" t="s">
        <v>1174</v>
      </c>
      <c r="AF121" s="23">
        <v>6.8900000000000003E-3</v>
      </c>
      <c r="AG121" s="22" t="s">
        <v>1138</v>
      </c>
      <c r="AH121" s="22" t="s">
        <v>1123</v>
      </c>
    </row>
    <row r="122" spans="1:34" ht="19.899999999999999" customHeight="1" x14ac:dyDescent="0.25">
      <c r="A122" s="29" t="s">
        <v>1364</v>
      </c>
      <c r="B122" s="22" t="s">
        <v>1121</v>
      </c>
      <c r="C122" s="28" t="s">
        <v>1363</v>
      </c>
      <c r="D122" s="27">
        <v>0</v>
      </c>
      <c r="E122" s="27">
        <v>0</v>
      </c>
      <c r="F122" s="41">
        <v>0</v>
      </c>
      <c r="G122" s="41">
        <v>0</v>
      </c>
      <c r="H122" s="24"/>
      <c r="I122" s="26">
        <v>0</v>
      </c>
      <c r="J122" s="26">
        <v>850</v>
      </c>
      <c r="K122" s="26">
        <v>850</v>
      </c>
      <c r="L122" s="26">
        <v>850</v>
      </c>
      <c r="M122" s="26">
        <v>850</v>
      </c>
      <c r="N122" s="26">
        <v>850</v>
      </c>
      <c r="O122" s="26">
        <v>850</v>
      </c>
      <c r="P122" s="26">
        <v>850</v>
      </c>
      <c r="Q122" s="26">
        <v>850</v>
      </c>
      <c r="R122" s="26">
        <v>850</v>
      </c>
      <c r="S122" s="26">
        <v>850</v>
      </c>
      <c r="T122" s="26">
        <v>850</v>
      </c>
      <c r="U122" s="22"/>
      <c r="V122" s="22"/>
      <c r="W122" s="22"/>
      <c r="X122" s="22"/>
      <c r="Y122" s="25"/>
      <c r="Z122" s="22"/>
      <c r="AA122" s="24"/>
      <c r="AB122" s="22" t="s">
        <v>1181</v>
      </c>
      <c r="AC122" s="22"/>
      <c r="AD122" s="22" t="s">
        <v>1118</v>
      </c>
      <c r="AE122" s="22" t="s">
        <v>1118</v>
      </c>
      <c r="AF122" s="23">
        <v>0</v>
      </c>
      <c r="AG122" s="22" t="s">
        <v>1138</v>
      </c>
      <c r="AH122" s="22" t="s">
        <v>1123</v>
      </c>
    </row>
    <row r="123" spans="1:34" ht="19.899999999999999" customHeight="1" x14ac:dyDescent="0.25">
      <c r="A123" s="29" t="s">
        <v>1126</v>
      </c>
      <c r="B123" s="22" t="s">
        <v>1121</v>
      </c>
      <c r="C123" s="28" t="s">
        <v>1125</v>
      </c>
      <c r="D123" s="27">
        <v>0</v>
      </c>
      <c r="E123" s="27">
        <v>0</v>
      </c>
      <c r="F123" s="41">
        <v>0</v>
      </c>
      <c r="G123" s="44">
        <v>-1742</v>
      </c>
      <c r="H123" s="24"/>
      <c r="I123" s="26">
        <v>1742</v>
      </c>
      <c r="J123" s="26">
        <v>1358</v>
      </c>
      <c r="K123" s="26">
        <v>1361</v>
      </c>
      <c r="L123" s="26">
        <v>1331</v>
      </c>
      <c r="M123" s="26">
        <v>1318</v>
      </c>
      <c r="N123" s="26">
        <v>889</v>
      </c>
      <c r="O123" s="26">
        <v>882</v>
      </c>
      <c r="P123" s="26">
        <v>850</v>
      </c>
      <c r="Q123" s="26">
        <v>848</v>
      </c>
      <c r="R123" s="26">
        <v>837</v>
      </c>
      <c r="S123" s="26">
        <v>801</v>
      </c>
      <c r="T123" s="26">
        <v>796</v>
      </c>
      <c r="U123" s="22"/>
      <c r="V123" s="22"/>
      <c r="W123" s="22"/>
      <c r="X123" s="22"/>
      <c r="Y123" s="25"/>
      <c r="Z123" s="22"/>
      <c r="AA123" s="24"/>
      <c r="AB123" s="22" t="s">
        <v>1119</v>
      </c>
      <c r="AC123" s="22"/>
      <c r="AD123" s="22" t="s">
        <v>1118</v>
      </c>
      <c r="AE123" s="22" t="s">
        <v>1118</v>
      </c>
      <c r="AF123" s="23">
        <v>0</v>
      </c>
      <c r="AG123" s="22" t="s">
        <v>1124</v>
      </c>
      <c r="AH123" s="22" t="s">
        <v>1123</v>
      </c>
    </row>
    <row r="124" spans="1:34" ht="19.899999999999999" customHeight="1" x14ac:dyDescent="0.25">
      <c r="A124" s="29" t="s">
        <v>1362</v>
      </c>
      <c r="B124" s="22" t="s">
        <v>1121</v>
      </c>
      <c r="C124" s="28" t="s">
        <v>1361</v>
      </c>
      <c r="D124" s="27">
        <v>0</v>
      </c>
      <c r="E124" s="27">
        <v>0</v>
      </c>
      <c r="F124" s="41">
        <v>0</v>
      </c>
      <c r="G124" s="41">
        <v>0</v>
      </c>
      <c r="H124" s="24"/>
      <c r="I124" s="26">
        <v>0</v>
      </c>
      <c r="J124" s="26">
        <v>849</v>
      </c>
      <c r="K124" s="26">
        <v>849</v>
      </c>
      <c r="L124" s="26">
        <v>849</v>
      </c>
      <c r="M124" s="26">
        <v>849</v>
      </c>
      <c r="N124" s="26">
        <v>849</v>
      </c>
      <c r="O124" s="26">
        <v>849</v>
      </c>
      <c r="P124" s="26">
        <v>849</v>
      </c>
      <c r="Q124" s="26">
        <v>849</v>
      </c>
      <c r="R124" s="26">
        <v>849</v>
      </c>
      <c r="S124" s="26">
        <v>849</v>
      </c>
      <c r="T124" s="26">
        <v>849</v>
      </c>
      <c r="U124" s="22"/>
      <c r="V124" s="22"/>
      <c r="W124" s="22"/>
      <c r="X124" s="22"/>
      <c r="Y124" s="25"/>
      <c r="Z124" s="22"/>
      <c r="AA124" s="24"/>
      <c r="AB124" s="22" t="s">
        <v>1181</v>
      </c>
      <c r="AC124" s="22" t="s">
        <v>1169</v>
      </c>
      <c r="AD124" s="22" t="s">
        <v>1118</v>
      </c>
      <c r="AE124" s="22" t="s">
        <v>1174</v>
      </c>
      <c r="AF124" s="23">
        <v>1.2099999999999999E-3</v>
      </c>
      <c r="AG124" s="22" t="s">
        <v>1124</v>
      </c>
      <c r="AH124" s="22" t="s">
        <v>1123</v>
      </c>
    </row>
    <row r="125" spans="1:34" ht="19.899999999999999" customHeight="1" x14ac:dyDescent="0.25">
      <c r="A125" s="29" t="s">
        <v>1256</v>
      </c>
      <c r="B125" s="22" t="s">
        <v>1121</v>
      </c>
      <c r="C125" s="28" t="s">
        <v>1255</v>
      </c>
      <c r="D125" s="27">
        <v>0</v>
      </c>
      <c r="E125" s="27">
        <v>0</v>
      </c>
      <c r="F125" s="41">
        <v>0</v>
      </c>
      <c r="G125" s="41">
        <v>0</v>
      </c>
      <c r="H125" s="24"/>
      <c r="I125" s="26">
        <v>0</v>
      </c>
      <c r="J125" s="26">
        <v>0</v>
      </c>
      <c r="K125" s="26">
        <v>0</v>
      </c>
      <c r="L125" s="26">
        <v>828</v>
      </c>
      <c r="M125" s="26">
        <v>828</v>
      </c>
      <c r="N125" s="26">
        <v>828</v>
      </c>
      <c r="O125" s="26">
        <v>828</v>
      </c>
      <c r="P125" s="26">
        <v>828</v>
      </c>
      <c r="Q125" s="26">
        <v>828</v>
      </c>
      <c r="R125" s="26">
        <v>828</v>
      </c>
      <c r="S125" s="26">
        <v>828</v>
      </c>
      <c r="T125" s="26">
        <v>828</v>
      </c>
      <c r="U125" s="22"/>
      <c r="V125" s="22"/>
      <c r="W125" s="22"/>
      <c r="X125" s="22"/>
      <c r="Y125" s="25"/>
      <c r="Z125" s="22"/>
      <c r="AA125" s="24"/>
      <c r="AB125" s="22" t="s">
        <v>1181</v>
      </c>
      <c r="AC125" s="22"/>
      <c r="AD125" s="22" t="s">
        <v>1118</v>
      </c>
      <c r="AE125" s="22" t="s">
        <v>1118</v>
      </c>
      <c r="AF125" s="23">
        <v>0</v>
      </c>
      <c r="AG125" s="22" t="s">
        <v>1138</v>
      </c>
      <c r="AH125" s="22" t="s">
        <v>1123</v>
      </c>
    </row>
    <row r="126" spans="1:34" ht="19.899999999999999" customHeight="1" x14ac:dyDescent="0.25">
      <c r="A126" s="29" t="s">
        <v>1360</v>
      </c>
      <c r="B126" s="22" t="s">
        <v>1121</v>
      </c>
      <c r="C126" s="28" t="s">
        <v>1359</v>
      </c>
      <c r="D126" s="27">
        <v>0</v>
      </c>
      <c r="E126" s="27">
        <v>0</v>
      </c>
      <c r="F126" s="41">
        <v>0</v>
      </c>
      <c r="G126" s="41">
        <v>0</v>
      </c>
      <c r="H126" s="24"/>
      <c r="I126" s="26">
        <v>0</v>
      </c>
      <c r="J126" s="26">
        <v>800</v>
      </c>
      <c r="K126" s="26">
        <v>800</v>
      </c>
      <c r="L126" s="26">
        <v>800</v>
      </c>
      <c r="M126" s="26">
        <v>800</v>
      </c>
      <c r="N126" s="26">
        <v>800</v>
      </c>
      <c r="O126" s="26">
        <v>800</v>
      </c>
      <c r="P126" s="26">
        <v>800</v>
      </c>
      <c r="Q126" s="26">
        <v>800</v>
      </c>
      <c r="R126" s="26">
        <v>800</v>
      </c>
      <c r="S126" s="26">
        <v>800</v>
      </c>
      <c r="T126" s="26">
        <v>800</v>
      </c>
      <c r="U126" s="22"/>
      <c r="V126" s="22"/>
      <c r="W126" s="22"/>
      <c r="X126" s="22"/>
      <c r="Y126" s="25"/>
      <c r="Z126" s="22"/>
      <c r="AA126" s="24"/>
      <c r="AB126" s="22" t="s">
        <v>1161</v>
      </c>
      <c r="AC126" s="22"/>
      <c r="AD126" s="22" t="s">
        <v>1118</v>
      </c>
      <c r="AE126" s="22" t="s">
        <v>1118</v>
      </c>
      <c r="AF126" s="23">
        <v>0</v>
      </c>
      <c r="AG126" s="22" t="s">
        <v>1138</v>
      </c>
      <c r="AH126" s="22" t="s">
        <v>1123</v>
      </c>
    </row>
    <row r="127" spans="1:34" ht="19.899999999999999" customHeight="1" x14ac:dyDescent="0.25">
      <c r="A127" s="29" t="s">
        <v>1358</v>
      </c>
      <c r="B127" s="22" t="s">
        <v>1121</v>
      </c>
      <c r="C127" s="28" t="s">
        <v>1357</v>
      </c>
      <c r="D127" s="27">
        <v>0</v>
      </c>
      <c r="E127" s="27">
        <v>0</v>
      </c>
      <c r="F127" s="41">
        <v>0</v>
      </c>
      <c r="G127" s="41">
        <v>0</v>
      </c>
      <c r="H127" s="24"/>
      <c r="I127" s="26">
        <v>0</v>
      </c>
      <c r="J127" s="26">
        <v>800</v>
      </c>
      <c r="K127" s="26">
        <v>800</v>
      </c>
      <c r="L127" s="26">
        <v>800</v>
      </c>
      <c r="M127" s="26">
        <v>800</v>
      </c>
      <c r="N127" s="26">
        <v>800</v>
      </c>
      <c r="O127" s="26">
        <v>800</v>
      </c>
      <c r="P127" s="26">
        <v>800</v>
      </c>
      <c r="Q127" s="26">
        <v>800</v>
      </c>
      <c r="R127" s="26">
        <v>500</v>
      </c>
      <c r="S127" s="26">
        <v>500</v>
      </c>
      <c r="T127" s="26">
        <v>500</v>
      </c>
      <c r="U127" s="22"/>
      <c r="V127" s="22"/>
      <c r="W127" s="22"/>
      <c r="X127" s="22"/>
      <c r="Y127" s="25"/>
      <c r="Z127" s="22"/>
      <c r="AA127" s="24"/>
      <c r="AB127" s="22" t="s">
        <v>1161</v>
      </c>
      <c r="AC127" s="22"/>
      <c r="AD127" s="22" t="s">
        <v>1118</v>
      </c>
      <c r="AE127" s="22" t="s">
        <v>1118</v>
      </c>
      <c r="AF127" s="23">
        <v>0</v>
      </c>
      <c r="AG127" s="22" t="s">
        <v>1138</v>
      </c>
      <c r="AH127" s="22" t="s">
        <v>1123</v>
      </c>
    </row>
    <row r="128" spans="1:34" ht="19.899999999999999" customHeight="1" x14ac:dyDescent="0.25">
      <c r="A128" s="29" t="s">
        <v>1356</v>
      </c>
      <c r="B128" s="22" t="s">
        <v>1121</v>
      </c>
      <c r="C128" s="28" t="s">
        <v>1355</v>
      </c>
      <c r="D128" s="27">
        <v>0</v>
      </c>
      <c r="E128" s="27">
        <v>0</v>
      </c>
      <c r="F128" s="41">
        <v>0</v>
      </c>
      <c r="G128" s="41">
        <v>0</v>
      </c>
      <c r="H128" s="24"/>
      <c r="I128" s="26">
        <v>0</v>
      </c>
      <c r="J128" s="26">
        <v>708</v>
      </c>
      <c r="K128" s="26">
        <v>708</v>
      </c>
      <c r="L128" s="26">
        <v>708</v>
      </c>
      <c r="M128" s="26">
        <v>708</v>
      </c>
      <c r="N128" s="26">
        <v>708</v>
      </c>
      <c r="O128" s="26">
        <v>708</v>
      </c>
      <c r="P128" s="26">
        <v>708</v>
      </c>
      <c r="Q128" s="26">
        <v>708</v>
      </c>
      <c r="R128" s="26">
        <v>708</v>
      </c>
      <c r="S128" s="26">
        <v>708</v>
      </c>
      <c r="T128" s="26">
        <v>708</v>
      </c>
      <c r="U128" s="22"/>
      <c r="V128" s="22"/>
      <c r="W128" s="22"/>
      <c r="X128" s="22"/>
      <c r="Y128" s="25"/>
      <c r="Z128" s="22"/>
      <c r="AA128" s="24"/>
      <c r="AB128" s="22" t="s">
        <v>1181</v>
      </c>
      <c r="AC128" s="22"/>
      <c r="AD128" s="22" t="s">
        <v>1118</v>
      </c>
      <c r="AE128" s="22" t="s">
        <v>1118</v>
      </c>
      <c r="AF128" s="23">
        <v>0</v>
      </c>
      <c r="AG128" s="22" t="s">
        <v>1138</v>
      </c>
      <c r="AH128" s="22" t="s">
        <v>1123</v>
      </c>
    </row>
    <row r="129" spans="1:34" ht="19.899999999999999" customHeight="1" x14ac:dyDescent="0.25">
      <c r="A129" s="29" t="s">
        <v>1929</v>
      </c>
      <c r="B129" s="22" t="s">
        <v>1928</v>
      </c>
      <c r="C129" s="28" t="s">
        <v>1927</v>
      </c>
      <c r="D129" s="27">
        <v>2.1349369999999999E-2</v>
      </c>
      <c r="E129" s="27">
        <v>2.3906400000000001E-2</v>
      </c>
      <c r="F129" s="41">
        <v>543702</v>
      </c>
      <c r="G129" s="44">
        <v>-220150</v>
      </c>
      <c r="H129" s="24"/>
      <c r="I129" s="26">
        <v>763852</v>
      </c>
      <c r="J129" s="26">
        <v>854185</v>
      </c>
      <c r="K129" s="26">
        <v>855787</v>
      </c>
      <c r="L129" s="26">
        <v>805957</v>
      </c>
      <c r="M129" s="26">
        <v>449746</v>
      </c>
      <c r="N129" s="26">
        <v>567</v>
      </c>
      <c r="O129" s="26">
        <v>567</v>
      </c>
      <c r="P129" s="26">
        <v>606</v>
      </c>
      <c r="Q129" s="26">
        <v>513</v>
      </c>
      <c r="R129" s="26">
        <v>387</v>
      </c>
      <c r="S129" s="26">
        <v>0</v>
      </c>
      <c r="T129" s="26">
        <v>0</v>
      </c>
      <c r="U129" s="27">
        <v>1.2750760999999999E-2</v>
      </c>
      <c r="V129" s="27">
        <v>4.2193349999999998E-2</v>
      </c>
      <c r="W129" s="35">
        <v>415.89912279999999</v>
      </c>
      <c r="X129" s="34">
        <v>0.56999999999999995</v>
      </c>
      <c r="Y129" s="37" t="s">
        <v>1248</v>
      </c>
      <c r="Z129" s="32">
        <v>-88</v>
      </c>
      <c r="AA129" s="24"/>
      <c r="AB129" s="22" t="s">
        <v>1186</v>
      </c>
      <c r="AC129" s="22" t="s">
        <v>1176</v>
      </c>
      <c r="AD129" s="22" t="s">
        <v>1342</v>
      </c>
      <c r="AE129" s="22" t="s">
        <v>1174</v>
      </c>
      <c r="AF129" s="23">
        <v>0.57232000000000005</v>
      </c>
      <c r="AG129" s="22" t="s">
        <v>1138</v>
      </c>
      <c r="AH129" s="22" t="s">
        <v>1123</v>
      </c>
    </row>
    <row r="130" spans="1:34" ht="19.899999999999999" customHeight="1" x14ac:dyDescent="0.25">
      <c r="A130" s="29" t="s">
        <v>1354</v>
      </c>
      <c r="B130" s="22" t="s">
        <v>1121</v>
      </c>
      <c r="C130" s="28" t="s">
        <v>1353</v>
      </c>
      <c r="D130" s="27">
        <v>0</v>
      </c>
      <c r="E130" s="27">
        <v>0</v>
      </c>
      <c r="F130" s="41">
        <v>0</v>
      </c>
      <c r="G130" s="41">
        <v>0</v>
      </c>
      <c r="H130" s="24"/>
      <c r="I130" s="26">
        <v>0</v>
      </c>
      <c r="J130" s="26">
        <v>700</v>
      </c>
      <c r="K130" s="26">
        <v>700</v>
      </c>
      <c r="L130" s="26">
        <v>700</v>
      </c>
      <c r="M130" s="26">
        <v>700</v>
      </c>
      <c r="N130" s="26">
        <v>600</v>
      </c>
      <c r="O130" s="26">
        <v>600</v>
      </c>
      <c r="P130" s="26">
        <v>600</v>
      </c>
      <c r="Q130" s="26">
        <v>600</v>
      </c>
      <c r="R130" s="26">
        <v>600</v>
      </c>
      <c r="S130" s="26">
        <v>600</v>
      </c>
      <c r="T130" s="26">
        <v>500</v>
      </c>
      <c r="U130" s="22"/>
      <c r="V130" s="22"/>
      <c r="W130" s="22"/>
      <c r="X130" s="22"/>
      <c r="Y130" s="25"/>
      <c r="Z130" s="22"/>
      <c r="AA130" s="24"/>
      <c r="AB130" s="22" t="s">
        <v>1161</v>
      </c>
      <c r="AC130" s="22"/>
      <c r="AD130" s="22" t="s">
        <v>1118</v>
      </c>
      <c r="AE130" s="22" t="s">
        <v>1118</v>
      </c>
      <c r="AF130" s="23">
        <v>0</v>
      </c>
      <c r="AG130" s="22" t="s">
        <v>1138</v>
      </c>
      <c r="AH130" s="22" t="s">
        <v>1123</v>
      </c>
    </row>
    <row r="131" spans="1:34" ht="19.899999999999999" customHeight="1" x14ac:dyDescent="0.25">
      <c r="A131" s="29" t="s">
        <v>1352</v>
      </c>
      <c r="B131" s="22" t="s">
        <v>1121</v>
      </c>
      <c r="C131" s="28" t="s">
        <v>1351</v>
      </c>
      <c r="D131" s="27">
        <v>0</v>
      </c>
      <c r="E131" s="27">
        <v>0</v>
      </c>
      <c r="F131" s="41">
        <v>0</v>
      </c>
      <c r="G131" s="41">
        <v>0</v>
      </c>
      <c r="H131" s="24"/>
      <c r="I131" s="26">
        <v>0</v>
      </c>
      <c r="J131" s="26">
        <v>579</v>
      </c>
      <c r="K131" s="26">
        <v>579</v>
      </c>
      <c r="L131" s="26">
        <v>579</v>
      </c>
      <c r="M131" s="26">
        <v>579</v>
      </c>
      <c r="N131" s="26">
        <v>579</v>
      </c>
      <c r="O131" s="26">
        <v>579</v>
      </c>
      <c r="P131" s="26">
        <v>579</v>
      </c>
      <c r="Q131" s="26">
        <v>579</v>
      </c>
      <c r="R131" s="26">
        <v>579</v>
      </c>
      <c r="S131" s="26">
        <v>579</v>
      </c>
      <c r="T131" s="26">
        <v>579</v>
      </c>
      <c r="U131" s="22"/>
      <c r="V131" s="22"/>
      <c r="W131" s="22"/>
      <c r="X131" s="22"/>
      <c r="Y131" s="25"/>
      <c r="Z131" s="22"/>
      <c r="AA131" s="24"/>
      <c r="AB131" s="22" t="s">
        <v>1181</v>
      </c>
      <c r="AC131" s="22"/>
      <c r="AD131" s="22" t="s">
        <v>1118</v>
      </c>
      <c r="AE131" s="22" t="s">
        <v>1118</v>
      </c>
      <c r="AF131" s="23">
        <v>0</v>
      </c>
      <c r="AG131" s="22" t="s">
        <v>1138</v>
      </c>
      <c r="AH131" s="22" t="s">
        <v>1123</v>
      </c>
    </row>
    <row r="132" spans="1:34" ht="19.899999999999999" customHeight="1" x14ac:dyDescent="0.25">
      <c r="A132" s="29" t="s">
        <v>1348</v>
      </c>
      <c r="B132" s="22" t="s">
        <v>1121</v>
      </c>
      <c r="C132" s="28" t="s">
        <v>1347</v>
      </c>
      <c r="D132" s="27">
        <v>0</v>
      </c>
      <c r="E132" s="27">
        <v>0</v>
      </c>
      <c r="F132" s="41">
        <v>0</v>
      </c>
      <c r="G132" s="41">
        <v>0</v>
      </c>
      <c r="H132" s="24"/>
      <c r="I132" s="26">
        <v>0</v>
      </c>
      <c r="J132" s="26">
        <v>556</v>
      </c>
      <c r="K132" s="26">
        <v>556</v>
      </c>
      <c r="L132" s="26">
        <v>556</v>
      </c>
      <c r="M132" s="26">
        <v>556</v>
      </c>
      <c r="N132" s="26">
        <v>556</v>
      </c>
      <c r="O132" s="26">
        <v>556</v>
      </c>
      <c r="P132" s="26">
        <v>556</v>
      </c>
      <c r="Q132" s="26">
        <v>556</v>
      </c>
      <c r="R132" s="26">
        <v>556</v>
      </c>
      <c r="S132" s="26">
        <v>556</v>
      </c>
      <c r="T132" s="26">
        <v>556</v>
      </c>
      <c r="U132" s="22"/>
      <c r="V132" s="22"/>
      <c r="W132" s="22"/>
      <c r="X132" s="22"/>
      <c r="Y132" s="25"/>
      <c r="Z132" s="22"/>
      <c r="AA132" s="24"/>
      <c r="AB132" s="22" t="s">
        <v>1181</v>
      </c>
      <c r="AC132" s="22"/>
      <c r="AD132" s="22" t="s">
        <v>1118</v>
      </c>
      <c r="AE132" s="22" t="s">
        <v>1118</v>
      </c>
      <c r="AF132" s="23">
        <v>0</v>
      </c>
      <c r="AG132" s="22" t="s">
        <v>1138</v>
      </c>
      <c r="AH132" s="22" t="s">
        <v>1123</v>
      </c>
    </row>
    <row r="133" spans="1:34" ht="19.899999999999999" customHeight="1" x14ac:dyDescent="0.25">
      <c r="A133" s="29" t="s">
        <v>1540</v>
      </c>
      <c r="B133" s="22" t="s">
        <v>1539</v>
      </c>
      <c r="C133" s="28" t="s">
        <v>1538</v>
      </c>
      <c r="D133" s="27">
        <v>3.4440000000000002E-5</v>
      </c>
      <c r="E133" s="27">
        <v>3.8559999999999997E-5</v>
      </c>
      <c r="F133" s="41">
        <v>877</v>
      </c>
      <c r="G133" s="43">
        <v>167</v>
      </c>
      <c r="H133" s="24"/>
      <c r="I133" s="26">
        <v>710</v>
      </c>
      <c r="J133" s="26">
        <v>38659</v>
      </c>
      <c r="K133" s="26">
        <v>35359</v>
      </c>
      <c r="L133" s="26">
        <v>32487</v>
      </c>
      <c r="M133" s="26">
        <v>24054</v>
      </c>
      <c r="N133" s="26">
        <v>24054</v>
      </c>
      <c r="O133" s="26">
        <v>545</v>
      </c>
      <c r="P133" s="26">
        <v>554</v>
      </c>
      <c r="Q133" s="26">
        <v>554</v>
      </c>
      <c r="R133" s="26">
        <v>471</v>
      </c>
      <c r="S133" s="26">
        <v>471</v>
      </c>
      <c r="T133" s="26">
        <v>0</v>
      </c>
      <c r="U133" s="27">
        <v>8.1019399999999997E-4</v>
      </c>
      <c r="V133" s="27">
        <v>8.4222210000000006E-3</v>
      </c>
      <c r="W133" s="35">
        <v>190.66912583000001</v>
      </c>
      <c r="X133" s="34">
        <v>0</v>
      </c>
      <c r="Y133" s="38" t="s">
        <v>1366</v>
      </c>
      <c r="Z133" s="31">
        <v>14296</v>
      </c>
      <c r="AA133" s="24"/>
      <c r="AB133" s="22" t="s">
        <v>1177</v>
      </c>
      <c r="AC133" s="22" t="s">
        <v>1176</v>
      </c>
      <c r="AD133" s="22" t="s">
        <v>1273</v>
      </c>
      <c r="AE133" s="22" t="s">
        <v>1174</v>
      </c>
      <c r="AF133" s="23">
        <v>157.03380000000001</v>
      </c>
      <c r="AG133" s="22" t="s">
        <v>1508</v>
      </c>
      <c r="AH133" s="22" t="s">
        <v>1189</v>
      </c>
    </row>
    <row r="134" spans="1:34" ht="19.899999999999999" customHeight="1" x14ac:dyDescent="0.25">
      <c r="A134" s="29" t="s">
        <v>1254</v>
      </c>
      <c r="B134" s="22" t="s">
        <v>1121</v>
      </c>
      <c r="C134" s="28" t="s">
        <v>1253</v>
      </c>
      <c r="D134" s="27">
        <v>0</v>
      </c>
      <c r="E134" s="27">
        <v>0</v>
      </c>
      <c r="F134" s="41">
        <v>0</v>
      </c>
      <c r="G134" s="41">
        <v>0</v>
      </c>
      <c r="H134" s="24"/>
      <c r="I134" s="26">
        <v>0</v>
      </c>
      <c r="J134" s="26">
        <v>0</v>
      </c>
      <c r="K134" s="26">
        <v>0</v>
      </c>
      <c r="L134" s="26">
        <v>551</v>
      </c>
      <c r="M134" s="26">
        <v>551</v>
      </c>
      <c r="N134" s="26">
        <v>551</v>
      </c>
      <c r="O134" s="26">
        <v>551</v>
      </c>
      <c r="P134" s="26">
        <v>551</v>
      </c>
      <c r="Q134" s="26">
        <v>551</v>
      </c>
      <c r="R134" s="26">
        <v>551</v>
      </c>
      <c r="S134" s="26">
        <v>551</v>
      </c>
      <c r="T134" s="26">
        <v>551</v>
      </c>
      <c r="U134" s="22"/>
      <c r="V134" s="22"/>
      <c r="W134" s="22"/>
      <c r="X134" s="22"/>
      <c r="Y134" s="25"/>
      <c r="Z134" s="22"/>
      <c r="AA134" s="24"/>
      <c r="AB134" s="22" t="s">
        <v>1161</v>
      </c>
      <c r="AC134" s="22"/>
      <c r="AD134" s="22" t="s">
        <v>1118</v>
      </c>
      <c r="AE134" s="22" t="s">
        <v>1118</v>
      </c>
      <c r="AF134" s="23">
        <v>0</v>
      </c>
      <c r="AG134" s="22" t="s">
        <v>1138</v>
      </c>
      <c r="AH134" s="22" t="s">
        <v>1123</v>
      </c>
    </row>
    <row r="135" spans="1:34" ht="19.899999999999999" customHeight="1" x14ac:dyDescent="0.25">
      <c r="A135" s="29" t="s">
        <v>1346</v>
      </c>
      <c r="B135" s="22" t="s">
        <v>1121</v>
      </c>
      <c r="C135" s="28" t="s">
        <v>1345</v>
      </c>
      <c r="D135" s="27">
        <v>0</v>
      </c>
      <c r="E135" s="27">
        <v>0</v>
      </c>
      <c r="F135" s="41">
        <v>0</v>
      </c>
      <c r="G135" s="41">
        <v>0</v>
      </c>
      <c r="H135" s="24"/>
      <c r="I135" s="26">
        <v>0</v>
      </c>
      <c r="J135" s="26">
        <v>525</v>
      </c>
      <c r="K135" s="26">
        <v>525</v>
      </c>
      <c r="L135" s="26">
        <v>525</v>
      </c>
      <c r="M135" s="26">
        <v>525</v>
      </c>
      <c r="N135" s="26">
        <v>525</v>
      </c>
      <c r="O135" s="26">
        <v>525</v>
      </c>
      <c r="P135" s="26">
        <v>525</v>
      </c>
      <c r="Q135" s="26">
        <v>525</v>
      </c>
      <c r="R135" s="26">
        <v>525</v>
      </c>
      <c r="S135" s="26">
        <v>525</v>
      </c>
      <c r="T135" s="26">
        <v>525</v>
      </c>
      <c r="U135" s="22"/>
      <c r="V135" s="22"/>
      <c r="W135" s="22"/>
      <c r="X135" s="22"/>
      <c r="Y135" s="25"/>
      <c r="Z135" s="22"/>
      <c r="AA135" s="24"/>
      <c r="AB135" s="22" t="s">
        <v>1181</v>
      </c>
      <c r="AC135" s="22"/>
      <c r="AD135" s="22" t="s">
        <v>1118</v>
      </c>
      <c r="AE135" s="22" t="s">
        <v>1118</v>
      </c>
      <c r="AF135" s="23">
        <v>0</v>
      </c>
      <c r="AG135" s="22" t="s">
        <v>1217</v>
      </c>
      <c r="AH135" s="22" t="s">
        <v>1123</v>
      </c>
    </row>
    <row r="136" spans="1:34" ht="19.899999999999999" customHeight="1" x14ac:dyDescent="0.25">
      <c r="A136" s="29" t="s">
        <v>1236</v>
      </c>
      <c r="B136" s="22" t="s">
        <v>1121</v>
      </c>
      <c r="C136" s="28" t="s">
        <v>1235</v>
      </c>
      <c r="D136" s="27">
        <v>0</v>
      </c>
      <c r="E136" s="27">
        <v>0</v>
      </c>
      <c r="F136" s="41">
        <v>0</v>
      </c>
      <c r="G136" s="41">
        <v>0</v>
      </c>
      <c r="H136" s="24"/>
      <c r="I136" s="26">
        <v>0</v>
      </c>
      <c r="J136" s="26">
        <v>0</v>
      </c>
      <c r="K136" s="26">
        <v>0</v>
      </c>
      <c r="L136" s="26">
        <v>0</v>
      </c>
      <c r="M136" s="26">
        <v>280</v>
      </c>
      <c r="N136" s="26">
        <v>280</v>
      </c>
      <c r="O136" s="26">
        <v>280</v>
      </c>
      <c r="P136" s="26">
        <v>280</v>
      </c>
      <c r="Q136" s="26">
        <v>280</v>
      </c>
      <c r="R136" s="26">
        <v>280</v>
      </c>
      <c r="S136" s="26">
        <v>280</v>
      </c>
      <c r="T136" s="26">
        <v>280</v>
      </c>
      <c r="U136" s="22"/>
      <c r="V136" s="22"/>
      <c r="W136" s="22"/>
      <c r="X136" s="22"/>
      <c r="Y136" s="25"/>
      <c r="Z136" s="22"/>
      <c r="AA136" s="24"/>
      <c r="AB136" s="22" t="s">
        <v>1181</v>
      </c>
      <c r="AC136" s="22"/>
      <c r="AD136" s="22" t="s">
        <v>1118</v>
      </c>
      <c r="AE136" s="22" t="s">
        <v>1118</v>
      </c>
      <c r="AF136" s="23">
        <v>0</v>
      </c>
      <c r="AG136" s="22" t="s">
        <v>1138</v>
      </c>
      <c r="AH136" s="22" t="s">
        <v>1123</v>
      </c>
    </row>
    <row r="137" spans="1:34" ht="19.899999999999999" customHeight="1" x14ac:dyDescent="0.25">
      <c r="A137" s="29" t="s">
        <v>1511</v>
      </c>
      <c r="B137" s="22" t="s">
        <v>1510</v>
      </c>
      <c r="C137" s="28" t="s">
        <v>1509</v>
      </c>
      <c r="D137" s="27">
        <v>1.3040000000000001E-5</v>
      </c>
      <c r="E137" s="27">
        <v>1.4600000000000001E-5</v>
      </c>
      <c r="F137" s="41">
        <v>332</v>
      </c>
      <c r="G137" s="44">
        <v>-1</v>
      </c>
      <c r="H137" s="24"/>
      <c r="I137" s="26">
        <v>333</v>
      </c>
      <c r="J137" s="26">
        <v>275</v>
      </c>
      <c r="K137" s="26">
        <v>305</v>
      </c>
      <c r="L137" s="26">
        <v>279</v>
      </c>
      <c r="M137" s="26">
        <v>279</v>
      </c>
      <c r="N137" s="26">
        <v>279</v>
      </c>
      <c r="O137" s="26">
        <v>279</v>
      </c>
      <c r="P137" s="26">
        <v>279</v>
      </c>
      <c r="Q137" s="26">
        <v>279</v>
      </c>
      <c r="R137" s="26">
        <v>279</v>
      </c>
      <c r="S137" s="26">
        <v>279</v>
      </c>
      <c r="T137" s="26">
        <v>279</v>
      </c>
      <c r="U137" s="27">
        <v>6.0674300000000003E-5</v>
      </c>
      <c r="V137" s="27">
        <v>3.1245099999999999E-4</v>
      </c>
      <c r="W137" s="35">
        <v>6.7740565300000002</v>
      </c>
      <c r="X137" s="34">
        <v>0.05</v>
      </c>
      <c r="Y137" s="36" t="s">
        <v>1204</v>
      </c>
      <c r="Z137" s="31">
        <v>5781</v>
      </c>
      <c r="AA137" s="24"/>
      <c r="AB137" s="22" t="s">
        <v>1186</v>
      </c>
      <c r="AC137" s="22" t="s">
        <v>1176</v>
      </c>
      <c r="AD137" s="22" t="s">
        <v>1118</v>
      </c>
      <c r="AE137" s="22" t="s">
        <v>1174</v>
      </c>
      <c r="AF137" s="23">
        <v>43.145299999999999</v>
      </c>
      <c r="AG137" s="22" t="s">
        <v>1508</v>
      </c>
      <c r="AH137" s="22" t="s">
        <v>1189</v>
      </c>
    </row>
    <row r="138" spans="1:34" ht="19.899999999999999" customHeight="1" x14ac:dyDescent="0.25">
      <c r="A138" s="29" t="s">
        <v>1605</v>
      </c>
      <c r="B138" s="22" t="s">
        <v>1604</v>
      </c>
      <c r="C138" s="28" t="s">
        <v>1603</v>
      </c>
      <c r="D138" s="27">
        <v>1.0771E-4</v>
      </c>
      <c r="E138" s="27">
        <v>0</v>
      </c>
      <c r="F138" s="41">
        <v>2743</v>
      </c>
      <c r="G138" s="41">
        <v>0</v>
      </c>
      <c r="H138" s="24"/>
      <c r="I138" s="26">
        <v>2743</v>
      </c>
      <c r="J138" s="26">
        <v>1678</v>
      </c>
      <c r="K138" s="26">
        <v>4655</v>
      </c>
      <c r="L138" s="26">
        <v>2540</v>
      </c>
      <c r="M138" s="26">
        <v>1063</v>
      </c>
      <c r="N138" s="26">
        <v>1063</v>
      </c>
      <c r="O138" s="26">
        <v>1025</v>
      </c>
      <c r="P138" s="26">
        <v>263</v>
      </c>
      <c r="Q138" s="26">
        <v>263</v>
      </c>
      <c r="R138" s="26">
        <v>0</v>
      </c>
      <c r="S138" s="26">
        <v>102</v>
      </c>
      <c r="T138" s="26">
        <v>0</v>
      </c>
      <c r="U138" s="22"/>
      <c r="V138" s="22"/>
      <c r="W138" s="22"/>
      <c r="X138" s="22"/>
      <c r="Y138" s="25"/>
      <c r="Z138" s="22"/>
      <c r="AA138" s="24"/>
      <c r="AB138" s="22" t="s">
        <v>1222</v>
      </c>
      <c r="AC138" s="22" t="s">
        <v>1169</v>
      </c>
      <c r="AD138" s="22" t="s">
        <v>1238</v>
      </c>
      <c r="AE138" s="22" t="s">
        <v>1237</v>
      </c>
      <c r="AF138" s="23">
        <v>2.8635999999999999</v>
      </c>
      <c r="AG138" s="22" t="s">
        <v>1602</v>
      </c>
      <c r="AH138" s="22" t="s">
        <v>1601</v>
      </c>
    </row>
    <row r="139" spans="1:34" ht="19.899999999999999" customHeight="1" x14ac:dyDescent="0.25">
      <c r="A139" s="29" t="s">
        <v>1144</v>
      </c>
      <c r="B139" s="22" t="s">
        <v>1121</v>
      </c>
      <c r="C139" s="28" t="s">
        <v>1143</v>
      </c>
      <c r="D139" s="27">
        <v>2.0299999999999999E-5</v>
      </c>
      <c r="E139" s="27">
        <v>0</v>
      </c>
      <c r="F139" s="41">
        <v>517</v>
      </c>
      <c r="G139" s="41">
        <v>0</v>
      </c>
      <c r="H139" s="24"/>
      <c r="I139" s="26">
        <v>517</v>
      </c>
      <c r="J139" s="26">
        <v>517</v>
      </c>
      <c r="K139" s="26">
        <v>517</v>
      </c>
      <c r="L139" s="26">
        <v>517</v>
      </c>
      <c r="M139" s="26">
        <v>517</v>
      </c>
      <c r="N139" s="26">
        <v>517</v>
      </c>
      <c r="O139" s="26">
        <v>256</v>
      </c>
      <c r="P139" s="26">
        <v>256</v>
      </c>
      <c r="Q139" s="26">
        <v>0</v>
      </c>
      <c r="R139" s="26">
        <v>0</v>
      </c>
      <c r="S139" s="26">
        <v>0</v>
      </c>
      <c r="T139" s="26">
        <v>0</v>
      </c>
      <c r="U139" s="22"/>
      <c r="V139" s="22"/>
      <c r="W139" s="22"/>
      <c r="X139" s="22"/>
      <c r="Y139" s="25"/>
      <c r="Z139" s="22"/>
      <c r="AA139" s="24"/>
      <c r="AB139" s="22" t="s">
        <v>1119</v>
      </c>
      <c r="AC139" s="22"/>
      <c r="AD139" s="22" t="s">
        <v>1118</v>
      </c>
      <c r="AE139" s="22" t="s">
        <v>1118</v>
      </c>
      <c r="AF139" s="23">
        <v>0</v>
      </c>
      <c r="AG139" s="22" t="s">
        <v>1142</v>
      </c>
      <c r="AH139" s="22" t="s">
        <v>1141</v>
      </c>
    </row>
    <row r="140" spans="1:34" ht="19.899999999999999" customHeight="1" x14ac:dyDescent="0.25">
      <c r="A140" s="29" t="s">
        <v>1350</v>
      </c>
      <c r="B140" s="22" t="s">
        <v>1121</v>
      </c>
      <c r="C140" s="28" t="s">
        <v>1349</v>
      </c>
      <c r="D140" s="27">
        <v>0</v>
      </c>
      <c r="E140" s="27">
        <v>0</v>
      </c>
      <c r="F140" s="41">
        <v>0</v>
      </c>
      <c r="G140" s="41">
        <v>0</v>
      </c>
      <c r="H140" s="24"/>
      <c r="I140" s="26">
        <v>0</v>
      </c>
      <c r="J140" s="26">
        <v>578</v>
      </c>
      <c r="K140" s="26">
        <v>519</v>
      </c>
      <c r="L140" s="26">
        <v>519</v>
      </c>
      <c r="M140" s="26">
        <v>519</v>
      </c>
      <c r="N140" s="26">
        <v>386</v>
      </c>
      <c r="O140" s="26">
        <v>386</v>
      </c>
      <c r="P140" s="26">
        <v>250</v>
      </c>
      <c r="Q140" s="26">
        <v>250</v>
      </c>
      <c r="R140" s="26">
        <v>250</v>
      </c>
      <c r="S140" s="26">
        <v>250</v>
      </c>
      <c r="T140" s="26">
        <v>177</v>
      </c>
      <c r="U140" s="22"/>
      <c r="V140" s="22"/>
      <c r="W140" s="22"/>
      <c r="X140" s="22"/>
      <c r="Y140" s="25"/>
      <c r="Z140" s="22"/>
      <c r="AA140" s="24"/>
      <c r="AB140" s="22" t="s">
        <v>1181</v>
      </c>
      <c r="AC140" s="22"/>
      <c r="AD140" s="22" t="s">
        <v>1118</v>
      </c>
      <c r="AE140" s="22" t="s">
        <v>1118</v>
      </c>
      <c r="AF140" s="23">
        <v>0</v>
      </c>
      <c r="AG140" s="22" t="s">
        <v>1124</v>
      </c>
      <c r="AH140" s="22" t="s">
        <v>1123</v>
      </c>
    </row>
    <row r="141" spans="1:34" ht="19.899999999999999" customHeight="1" x14ac:dyDescent="0.25">
      <c r="A141" s="29" t="s">
        <v>1337</v>
      </c>
      <c r="B141" s="22" t="s">
        <v>1121</v>
      </c>
      <c r="C141" s="28" t="s">
        <v>1336</v>
      </c>
      <c r="D141" s="27">
        <v>0</v>
      </c>
      <c r="E141" s="27">
        <v>0</v>
      </c>
      <c r="F141" s="41">
        <v>0</v>
      </c>
      <c r="G141" s="41">
        <v>0</v>
      </c>
      <c r="H141" s="24"/>
      <c r="I141" s="26">
        <v>0</v>
      </c>
      <c r="J141" s="26">
        <v>210</v>
      </c>
      <c r="K141" s="26">
        <v>210</v>
      </c>
      <c r="L141" s="26">
        <v>210</v>
      </c>
      <c r="M141" s="26">
        <v>210</v>
      </c>
      <c r="N141" s="26">
        <v>210</v>
      </c>
      <c r="O141" s="26">
        <v>210</v>
      </c>
      <c r="P141" s="26">
        <v>210</v>
      </c>
      <c r="Q141" s="26">
        <v>210</v>
      </c>
      <c r="R141" s="26">
        <v>160</v>
      </c>
      <c r="S141" s="26">
        <v>160</v>
      </c>
      <c r="T141" s="26">
        <v>160</v>
      </c>
      <c r="U141" s="22"/>
      <c r="V141" s="22"/>
      <c r="W141" s="22"/>
      <c r="X141" s="22"/>
      <c r="Y141" s="25"/>
      <c r="Z141" s="22"/>
      <c r="AA141" s="24"/>
      <c r="AB141" s="22" t="s">
        <v>1161</v>
      </c>
      <c r="AC141" s="22"/>
      <c r="AD141" s="22" t="s">
        <v>1118</v>
      </c>
      <c r="AE141" s="22" t="s">
        <v>1118</v>
      </c>
      <c r="AF141" s="23">
        <v>0</v>
      </c>
      <c r="AG141" s="22" t="s">
        <v>1138</v>
      </c>
      <c r="AH141" s="22" t="s">
        <v>1123</v>
      </c>
    </row>
    <row r="142" spans="1:34" ht="19.899999999999999" customHeight="1" x14ac:dyDescent="0.25">
      <c r="A142" s="29" t="s">
        <v>1339</v>
      </c>
      <c r="B142" s="22" t="s">
        <v>1121</v>
      </c>
      <c r="C142" s="28" t="s">
        <v>1338</v>
      </c>
      <c r="D142" s="27">
        <v>0</v>
      </c>
      <c r="E142" s="27">
        <v>0</v>
      </c>
      <c r="F142" s="41">
        <v>0</v>
      </c>
      <c r="G142" s="41">
        <v>0</v>
      </c>
      <c r="H142" s="24"/>
      <c r="I142" s="26">
        <v>0</v>
      </c>
      <c r="J142" s="26">
        <v>238</v>
      </c>
      <c r="K142" s="26">
        <v>0</v>
      </c>
      <c r="L142" s="26">
        <v>0</v>
      </c>
      <c r="M142" s="26">
        <v>0</v>
      </c>
      <c r="N142" s="26">
        <v>206</v>
      </c>
      <c r="O142" s="26">
        <v>206</v>
      </c>
      <c r="P142" s="26">
        <v>203</v>
      </c>
      <c r="Q142" s="26">
        <v>197</v>
      </c>
      <c r="R142" s="26">
        <v>197</v>
      </c>
      <c r="S142" s="26">
        <v>198</v>
      </c>
      <c r="T142" s="26">
        <v>1432</v>
      </c>
      <c r="U142" s="27">
        <v>2.7787770000000001E-3</v>
      </c>
      <c r="V142" s="27">
        <v>9.338107E-3</v>
      </c>
      <c r="W142" s="35">
        <v>212.37607258</v>
      </c>
      <c r="X142" s="34">
        <v>0</v>
      </c>
      <c r="Y142" s="33" t="s">
        <v>1196</v>
      </c>
      <c r="Z142" s="31">
        <v>13</v>
      </c>
      <c r="AA142" s="24"/>
      <c r="AB142" s="22" t="s">
        <v>1175</v>
      </c>
      <c r="AC142" s="22" t="s">
        <v>1176</v>
      </c>
      <c r="AD142" s="22" t="s">
        <v>1175</v>
      </c>
      <c r="AE142" s="22" t="s">
        <v>1174</v>
      </c>
      <c r="AF142" s="23">
        <v>0.90969999999999995</v>
      </c>
      <c r="AG142" s="22" t="s">
        <v>1138</v>
      </c>
      <c r="AH142" s="22" t="s">
        <v>1123</v>
      </c>
    </row>
    <row r="143" spans="1:34" ht="19.899999999999999" customHeight="1" x14ac:dyDescent="0.25">
      <c r="A143" s="29" t="s">
        <v>1335</v>
      </c>
      <c r="B143" s="22" t="s">
        <v>1121</v>
      </c>
      <c r="C143" s="28" t="s">
        <v>1334</v>
      </c>
      <c r="D143" s="27">
        <v>0</v>
      </c>
      <c r="E143" s="27">
        <v>0</v>
      </c>
      <c r="F143" s="41">
        <v>0</v>
      </c>
      <c r="G143" s="41">
        <v>0</v>
      </c>
      <c r="H143" s="24"/>
      <c r="I143" s="26">
        <v>0</v>
      </c>
      <c r="J143" s="26">
        <v>200</v>
      </c>
      <c r="K143" s="26">
        <v>200</v>
      </c>
      <c r="L143" s="26">
        <v>200</v>
      </c>
      <c r="M143" s="26">
        <v>200</v>
      </c>
      <c r="N143" s="26">
        <v>200</v>
      </c>
      <c r="O143" s="26">
        <v>200</v>
      </c>
      <c r="P143" s="26">
        <v>200</v>
      </c>
      <c r="Q143" s="26">
        <v>200</v>
      </c>
      <c r="R143" s="26">
        <v>200</v>
      </c>
      <c r="S143" s="26">
        <v>200</v>
      </c>
      <c r="T143" s="26">
        <v>200</v>
      </c>
      <c r="U143" s="22"/>
      <c r="V143" s="22"/>
      <c r="W143" s="22"/>
      <c r="X143" s="22"/>
      <c r="Y143" s="25"/>
      <c r="Z143" s="22"/>
      <c r="AA143" s="24"/>
      <c r="AB143" s="22" t="s">
        <v>1181</v>
      </c>
      <c r="AC143" s="22"/>
      <c r="AD143" s="22" t="s">
        <v>1118</v>
      </c>
      <c r="AE143" s="22" t="s">
        <v>1118</v>
      </c>
      <c r="AF143" s="23">
        <v>0</v>
      </c>
      <c r="AG143" s="22" t="s">
        <v>1138</v>
      </c>
      <c r="AH143" s="22" t="s">
        <v>1123</v>
      </c>
    </row>
    <row r="144" spans="1:34" ht="19.899999999999999" customHeight="1" x14ac:dyDescent="0.25">
      <c r="A144" s="29" t="s">
        <v>1137</v>
      </c>
      <c r="B144" s="22" t="s">
        <v>1121</v>
      </c>
      <c r="C144" s="28" t="s">
        <v>1136</v>
      </c>
      <c r="D144" s="27">
        <v>1.044E-5</v>
      </c>
      <c r="E144" s="27">
        <v>0</v>
      </c>
      <c r="F144" s="41">
        <v>266</v>
      </c>
      <c r="G144" s="41">
        <v>0</v>
      </c>
      <c r="H144" s="24"/>
      <c r="I144" s="26">
        <v>266</v>
      </c>
      <c r="J144" s="26">
        <v>266</v>
      </c>
      <c r="K144" s="26">
        <v>839</v>
      </c>
      <c r="L144" s="26">
        <v>893</v>
      </c>
      <c r="M144" s="26">
        <v>875</v>
      </c>
      <c r="N144" s="26">
        <v>246</v>
      </c>
      <c r="O144" s="26">
        <v>258</v>
      </c>
      <c r="P144" s="26">
        <v>194</v>
      </c>
      <c r="Q144" s="26">
        <v>39</v>
      </c>
      <c r="R144" s="26">
        <v>12</v>
      </c>
      <c r="S144" s="26">
        <v>0</v>
      </c>
      <c r="T144" s="26">
        <v>0</v>
      </c>
      <c r="U144" s="22"/>
      <c r="V144" s="22"/>
      <c r="W144" s="22"/>
      <c r="X144" s="22"/>
      <c r="Y144" s="25"/>
      <c r="Z144" s="22"/>
      <c r="AA144" s="24"/>
      <c r="AB144" s="22" t="s">
        <v>1119</v>
      </c>
      <c r="AC144" s="22"/>
      <c r="AD144" s="22" t="s">
        <v>1118</v>
      </c>
      <c r="AE144" s="22" t="s">
        <v>1118</v>
      </c>
      <c r="AF144" s="23">
        <v>0</v>
      </c>
      <c r="AG144" s="22" t="s">
        <v>1135</v>
      </c>
      <c r="AH144" s="22" t="s">
        <v>1123</v>
      </c>
    </row>
    <row r="145" spans="1:34" ht="19.899999999999999" customHeight="1" x14ac:dyDescent="0.25">
      <c r="A145" s="29" t="s">
        <v>1416</v>
      </c>
      <c r="B145" s="22" t="s">
        <v>1415</v>
      </c>
      <c r="C145" s="28" t="s">
        <v>1414</v>
      </c>
      <c r="D145" s="27">
        <v>0</v>
      </c>
      <c r="E145" s="27">
        <v>0</v>
      </c>
      <c r="F145" s="41">
        <v>0</v>
      </c>
      <c r="G145" s="44">
        <v>-175</v>
      </c>
      <c r="H145" s="24"/>
      <c r="I145" s="26">
        <v>175</v>
      </c>
      <c r="J145" s="26">
        <v>175</v>
      </c>
      <c r="K145" s="26">
        <v>175</v>
      </c>
      <c r="L145" s="26">
        <v>175</v>
      </c>
      <c r="M145" s="26">
        <v>175</v>
      </c>
      <c r="N145" s="26">
        <v>175</v>
      </c>
      <c r="O145" s="26">
        <v>202</v>
      </c>
      <c r="P145" s="26">
        <v>179</v>
      </c>
      <c r="Q145" s="26">
        <v>179</v>
      </c>
      <c r="R145" s="26">
        <v>141</v>
      </c>
      <c r="S145" s="26">
        <v>141</v>
      </c>
      <c r="T145" s="26">
        <v>0</v>
      </c>
      <c r="U145" s="27">
        <v>1.8215799999999999E-5</v>
      </c>
      <c r="V145" s="27">
        <v>3.19388E-5</v>
      </c>
      <c r="W145" s="35">
        <v>0.72638243999999996</v>
      </c>
      <c r="X145" s="34">
        <v>0</v>
      </c>
      <c r="Y145" s="30" t="s">
        <v>1178</v>
      </c>
      <c r="Z145" s="32">
        <v>-8</v>
      </c>
      <c r="AA145" s="24"/>
      <c r="AB145" s="22" t="s">
        <v>1186</v>
      </c>
      <c r="AC145" s="22" t="s">
        <v>1176</v>
      </c>
      <c r="AD145" s="22" t="s">
        <v>1118</v>
      </c>
      <c r="AE145" s="22" t="s">
        <v>1118</v>
      </c>
      <c r="AF145" s="23">
        <v>0</v>
      </c>
      <c r="AG145" s="22" t="s">
        <v>1138</v>
      </c>
      <c r="AH145" s="22" t="s">
        <v>1123</v>
      </c>
    </row>
    <row r="146" spans="1:34" ht="19.899999999999999" customHeight="1" x14ac:dyDescent="0.25">
      <c r="A146" s="29" t="s">
        <v>1514</v>
      </c>
      <c r="B146" s="22" t="s">
        <v>1513</v>
      </c>
      <c r="C146" s="28" t="s">
        <v>1512</v>
      </c>
      <c r="D146" s="27">
        <v>1.8490000000000001E-5</v>
      </c>
      <c r="E146" s="27">
        <v>0</v>
      </c>
      <c r="F146" s="41">
        <v>471</v>
      </c>
      <c r="G146" s="44">
        <v>-1599</v>
      </c>
      <c r="H146" s="24"/>
      <c r="I146" s="26">
        <v>2070</v>
      </c>
      <c r="J146" s="26">
        <v>577</v>
      </c>
      <c r="K146" s="26">
        <v>1191</v>
      </c>
      <c r="L146" s="26">
        <v>364</v>
      </c>
      <c r="M146" s="26">
        <v>0</v>
      </c>
      <c r="N146" s="26">
        <v>0</v>
      </c>
      <c r="O146" s="26">
        <v>0</v>
      </c>
      <c r="P146" s="26">
        <v>174</v>
      </c>
      <c r="Q146" s="26">
        <v>174</v>
      </c>
      <c r="R146" s="26">
        <v>0</v>
      </c>
      <c r="S146" s="26">
        <v>0</v>
      </c>
      <c r="T146" s="26">
        <v>462</v>
      </c>
      <c r="U146" s="22"/>
      <c r="V146" s="22"/>
      <c r="W146" s="22"/>
      <c r="X146" s="22"/>
      <c r="Y146" s="25"/>
      <c r="Z146" s="22"/>
      <c r="AA146" s="24"/>
      <c r="AB146" s="22" t="s">
        <v>1170</v>
      </c>
      <c r="AC146" s="22"/>
      <c r="AD146" s="22" t="s">
        <v>1118</v>
      </c>
      <c r="AE146" s="22" t="s">
        <v>1118</v>
      </c>
      <c r="AF146" s="23">
        <v>0</v>
      </c>
      <c r="AG146" s="22" t="s">
        <v>1365</v>
      </c>
      <c r="AH146" s="22" t="s">
        <v>1365</v>
      </c>
    </row>
    <row r="147" spans="1:34" ht="19.899999999999999" customHeight="1" x14ac:dyDescent="0.25">
      <c r="A147" s="29" t="s">
        <v>1341</v>
      </c>
      <c r="B147" s="22" t="s">
        <v>1121</v>
      </c>
      <c r="C147" s="28" t="s">
        <v>1340</v>
      </c>
      <c r="D147" s="27">
        <v>0</v>
      </c>
      <c r="E147" s="27">
        <v>0</v>
      </c>
      <c r="F147" s="41">
        <v>0</v>
      </c>
      <c r="G147" s="41">
        <v>0</v>
      </c>
      <c r="H147" s="24"/>
      <c r="I147" s="26">
        <v>0</v>
      </c>
      <c r="J147" s="26">
        <v>313</v>
      </c>
      <c r="K147" s="26">
        <v>313</v>
      </c>
      <c r="L147" s="26">
        <v>313</v>
      </c>
      <c r="M147" s="26">
        <v>313</v>
      </c>
      <c r="N147" s="26">
        <v>171</v>
      </c>
      <c r="O147" s="26">
        <v>171</v>
      </c>
      <c r="P147" s="26">
        <v>171</v>
      </c>
      <c r="Q147" s="26">
        <v>171</v>
      </c>
      <c r="R147" s="26">
        <v>171</v>
      </c>
      <c r="S147" s="26">
        <v>171</v>
      </c>
      <c r="T147" s="26">
        <v>171</v>
      </c>
      <c r="U147" s="22"/>
      <c r="V147" s="22"/>
      <c r="W147" s="22"/>
      <c r="X147" s="22"/>
      <c r="Y147" s="25"/>
      <c r="Z147" s="22"/>
      <c r="AA147" s="24"/>
      <c r="AB147" s="22" t="s">
        <v>1161</v>
      </c>
      <c r="AC147" s="22"/>
      <c r="AD147" s="22" t="s">
        <v>1118</v>
      </c>
      <c r="AE147" s="22" t="s">
        <v>1118</v>
      </c>
      <c r="AF147" s="23">
        <v>0</v>
      </c>
      <c r="AG147" s="22" t="s">
        <v>1138</v>
      </c>
      <c r="AH147" s="22" t="s">
        <v>1123</v>
      </c>
    </row>
    <row r="148" spans="1:34" ht="19.899999999999999" customHeight="1" x14ac:dyDescent="0.25">
      <c r="A148" s="29" t="s">
        <v>1333</v>
      </c>
      <c r="B148" s="22" t="s">
        <v>1121</v>
      </c>
      <c r="C148" s="28" t="s">
        <v>1332</v>
      </c>
      <c r="D148" s="27">
        <v>0</v>
      </c>
      <c r="E148" s="27">
        <v>0</v>
      </c>
      <c r="F148" s="41">
        <v>0</v>
      </c>
      <c r="G148" s="41">
        <v>0</v>
      </c>
      <c r="H148" s="24"/>
      <c r="I148" s="26">
        <v>0</v>
      </c>
      <c r="J148" s="26">
        <v>171</v>
      </c>
      <c r="K148" s="26">
        <v>171</v>
      </c>
      <c r="L148" s="26">
        <v>171</v>
      </c>
      <c r="M148" s="26">
        <v>171</v>
      </c>
      <c r="N148" s="26">
        <v>171</v>
      </c>
      <c r="O148" s="26">
        <v>171</v>
      </c>
      <c r="P148" s="26">
        <v>171</v>
      </c>
      <c r="Q148" s="26">
        <v>171</v>
      </c>
      <c r="R148" s="26">
        <v>86</v>
      </c>
      <c r="S148" s="26">
        <v>86</v>
      </c>
      <c r="T148" s="26">
        <v>49</v>
      </c>
      <c r="U148" s="22"/>
      <c r="V148" s="22"/>
      <c r="W148" s="22"/>
      <c r="X148" s="22"/>
      <c r="Y148" s="25"/>
      <c r="Z148" s="22"/>
      <c r="AA148" s="24"/>
      <c r="AB148" s="22" t="s">
        <v>1161</v>
      </c>
      <c r="AC148" s="22"/>
      <c r="AD148" s="22" t="s">
        <v>1118</v>
      </c>
      <c r="AE148" s="22" t="s">
        <v>1118</v>
      </c>
      <c r="AF148" s="23">
        <v>0</v>
      </c>
      <c r="AG148" s="22" t="s">
        <v>1138</v>
      </c>
      <c r="AH148" s="22" t="s">
        <v>1123</v>
      </c>
    </row>
    <row r="149" spans="1:34" ht="19.899999999999999" customHeight="1" x14ac:dyDescent="0.25">
      <c r="A149" s="29" t="s">
        <v>1328</v>
      </c>
      <c r="B149" s="22" t="s">
        <v>1121</v>
      </c>
      <c r="C149" s="28" t="s">
        <v>1327</v>
      </c>
      <c r="D149" s="27">
        <v>0</v>
      </c>
      <c r="E149" s="27">
        <v>0</v>
      </c>
      <c r="F149" s="41">
        <v>0</v>
      </c>
      <c r="G149" s="41">
        <v>0</v>
      </c>
      <c r="H149" s="24"/>
      <c r="I149" s="26">
        <v>0</v>
      </c>
      <c r="J149" s="26">
        <v>133</v>
      </c>
      <c r="K149" s="26">
        <v>133</v>
      </c>
      <c r="L149" s="26">
        <v>133</v>
      </c>
      <c r="M149" s="26">
        <v>133</v>
      </c>
      <c r="N149" s="26">
        <v>133</v>
      </c>
      <c r="O149" s="26">
        <v>133</v>
      </c>
      <c r="P149" s="26">
        <v>133</v>
      </c>
      <c r="Q149" s="26">
        <v>133</v>
      </c>
      <c r="R149" s="26">
        <v>133</v>
      </c>
      <c r="S149" s="26">
        <v>133</v>
      </c>
      <c r="T149" s="26">
        <v>133</v>
      </c>
      <c r="U149" s="22"/>
      <c r="V149" s="22"/>
      <c r="W149" s="22"/>
      <c r="X149" s="22"/>
      <c r="Y149" s="25"/>
      <c r="Z149" s="22"/>
      <c r="AA149" s="24"/>
      <c r="AB149" s="22" t="s">
        <v>1161</v>
      </c>
      <c r="AC149" s="22"/>
      <c r="AD149" s="22" t="s">
        <v>1118</v>
      </c>
      <c r="AE149" s="22" t="s">
        <v>1118</v>
      </c>
      <c r="AF149" s="23">
        <v>0</v>
      </c>
      <c r="AG149" s="22" t="s">
        <v>1138</v>
      </c>
      <c r="AH149" s="22" t="s">
        <v>1123</v>
      </c>
    </row>
    <row r="150" spans="1:34" ht="19.899999999999999" customHeight="1" x14ac:dyDescent="0.25">
      <c r="A150" s="29" t="s">
        <v>1331</v>
      </c>
      <c r="B150" s="22" t="s">
        <v>1121</v>
      </c>
      <c r="C150" s="28" t="s">
        <v>1330</v>
      </c>
      <c r="D150" s="27">
        <v>0</v>
      </c>
      <c r="E150" s="27">
        <v>0</v>
      </c>
      <c r="F150" s="41">
        <v>0</v>
      </c>
      <c r="G150" s="41">
        <v>0</v>
      </c>
      <c r="H150" s="24"/>
      <c r="I150" s="26">
        <v>0</v>
      </c>
      <c r="J150" s="26">
        <v>135</v>
      </c>
      <c r="K150" s="26">
        <v>135</v>
      </c>
      <c r="L150" s="26">
        <v>115</v>
      </c>
      <c r="M150" s="26">
        <v>80</v>
      </c>
      <c r="N150" s="26">
        <v>130</v>
      </c>
      <c r="O150" s="26">
        <v>130</v>
      </c>
      <c r="P150" s="26">
        <v>130</v>
      </c>
      <c r="Q150" s="26">
        <v>130</v>
      </c>
      <c r="R150" s="26">
        <v>130</v>
      </c>
      <c r="S150" s="26">
        <v>130</v>
      </c>
      <c r="T150" s="26">
        <v>130</v>
      </c>
      <c r="U150" s="22"/>
      <c r="V150" s="22"/>
      <c r="W150" s="22"/>
      <c r="X150" s="22"/>
      <c r="Y150" s="25"/>
      <c r="Z150" s="22"/>
      <c r="AA150" s="24"/>
      <c r="AB150" s="22" t="s">
        <v>1161</v>
      </c>
      <c r="AC150" s="22"/>
      <c r="AD150" s="22" t="s">
        <v>1118</v>
      </c>
      <c r="AE150" s="22" t="s">
        <v>1118</v>
      </c>
      <c r="AF150" s="23">
        <v>0</v>
      </c>
      <c r="AG150" s="22" t="s">
        <v>1329</v>
      </c>
      <c r="AH150" s="22" t="s">
        <v>1123</v>
      </c>
    </row>
    <row r="151" spans="1:34" ht="19.899999999999999" customHeight="1" x14ac:dyDescent="0.25">
      <c r="A151" s="29" t="s">
        <v>1686</v>
      </c>
      <c r="B151" s="22" t="s">
        <v>1685</v>
      </c>
      <c r="C151" s="28" t="s">
        <v>1684</v>
      </c>
      <c r="D151" s="27">
        <v>2.1954E-4</v>
      </c>
      <c r="E151" s="27">
        <v>2.4583E-4</v>
      </c>
      <c r="F151" s="41">
        <v>5591</v>
      </c>
      <c r="G151" s="43">
        <v>1693</v>
      </c>
      <c r="H151" s="24"/>
      <c r="I151" s="26">
        <v>3898</v>
      </c>
      <c r="J151" s="26">
        <v>3865</v>
      </c>
      <c r="K151" s="26">
        <v>3678</v>
      </c>
      <c r="L151" s="26">
        <v>4596</v>
      </c>
      <c r="M151" s="26">
        <v>3769</v>
      </c>
      <c r="N151" s="26">
        <v>3769</v>
      </c>
      <c r="O151" s="26">
        <v>1657</v>
      </c>
      <c r="P151" s="26">
        <v>123</v>
      </c>
      <c r="Q151" s="26">
        <v>964</v>
      </c>
      <c r="R151" s="26">
        <v>5697</v>
      </c>
      <c r="S151" s="26">
        <v>5697</v>
      </c>
      <c r="T151" s="26">
        <v>0</v>
      </c>
      <c r="U151" s="27">
        <v>2.2806200000000001E-4</v>
      </c>
      <c r="V151" s="27">
        <v>4.9535900000000001E-4</v>
      </c>
      <c r="W151" s="35">
        <v>5.6749234800000004</v>
      </c>
      <c r="X151" s="34">
        <v>0.5</v>
      </c>
      <c r="Y151" s="36" t="s">
        <v>1204</v>
      </c>
      <c r="Z151" s="22"/>
      <c r="AA151" s="24"/>
      <c r="AB151" s="22" t="s">
        <v>1186</v>
      </c>
      <c r="AC151" s="22" t="s">
        <v>1176</v>
      </c>
      <c r="AD151" s="22" t="s">
        <v>1118</v>
      </c>
      <c r="AE151" s="22" t="s">
        <v>1118</v>
      </c>
      <c r="AF151" s="23">
        <v>0</v>
      </c>
      <c r="AG151" s="22" t="s">
        <v>1683</v>
      </c>
      <c r="AH151" s="22" t="s">
        <v>1682</v>
      </c>
    </row>
    <row r="152" spans="1:34" ht="19.899999999999999" customHeight="1" x14ac:dyDescent="0.25">
      <c r="A152" s="29" t="s">
        <v>1122</v>
      </c>
      <c r="B152" s="22" t="s">
        <v>1121</v>
      </c>
      <c r="C152" s="28" t="s">
        <v>1120</v>
      </c>
      <c r="D152" s="27">
        <v>0</v>
      </c>
      <c r="E152" s="27">
        <v>0</v>
      </c>
      <c r="F152" s="41">
        <v>0</v>
      </c>
      <c r="G152" s="41">
        <v>0</v>
      </c>
      <c r="H152" s="24"/>
      <c r="I152" s="26">
        <v>0</v>
      </c>
      <c r="J152" s="26">
        <v>0</v>
      </c>
      <c r="K152" s="26">
        <v>0</v>
      </c>
      <c r="L152" s="26">
        <v>0</v>
      </c>
      <c r="M152" s="26">
        <v>0</v>
      </c>
      <c r="N152" s="26">
        <v>0</v>
      </c>
      <c r="O152" s="26">
        <v>0</v>
      </c>
      <c r="P152" s="26">
        <v>118</v>
      </c>
      <c r="Q152" s="26">
        <v>0</v>
      </c>
      <c r="R152" s="26">
        <v>0</v>
      </c>
      <c r="S152" s="26">
        <v>0</v>
      </c>
      <c r="T152" s="26">
        <v>0</v>
      </c>
      <c r="U152" s="22"/>
      <c r="V152" s="22"/>
      <c r="W152" s="22"/>
      <c r="X152" s="22"/>
      <c r="Y152" s="25"/>
      <c r="Z152" s="22"/>
      <c r="AA152" s="24"/>
      <c r="AB152" s="22" t="s">
        <v>1119</v>
      </c>
      <c r="AC152" s="22"/>
      <c r="AD152" s="22" t="s">
        <v>1118</v>
      </c>
      <c r="AE152" s="22" t="s">
        <v>1118</v>
      </c>
      <c r="AF152" s="23">
        <v>0</v>
      </c>
      <c r="AG152" s="22" t="s">
        <v>1117</v>
      </c>
      <c r="AH152" s="22" t="s">
        <v>1116</v>
      </c>
    </row>
    <row r="153" spans="1:34" ht="19.899999999999999" customHeight="1" x14ac:dyDescent="0.25">
      <c r="A153" s="29" t="s">
        <v>1521</v>
      </c>
      <c r="B153" s="22" t="s">
        <v>1520</v>
      </c>
      <c r="C153" s="28" t="s">
        <v>1519</v>
      </c>
      <c r="D153" s="27">
        <v>1.9239999999999999E-5</v>
      </c>
      <c r="E153" s="27">
        <v>2.1549999999999999E-5</v>
      </c>
      <c r="F153" s="41">
        <v>490</v>
      </c>
      <c r="G153" s="43">
        <v>44</v>
      </c>
      <c r="H153" s="24"/>
      <c r="I153" s="26">
        <v>446</v>
      </c>
      <c r="J153" s="26">
        <v>356</v>
      </c>
      <c r="K153" s="26">
        <v>324</v>
      </c>
      <c r="L153" s="26">
        <v>299</v>
      </c>
      <c r="M153" s="26">
        <v>214</v>
      </c>
      <c r="N153" s="26">
        <v>158</v>
      </c>
      <c r="O153" s="26">
        <v>164</v>
      </c>
      <c r="P153" s="26">
        <v>112</v>
      </c>
      <c r="Q153" s="26">
        <v>76</v>
      </c>
      <c r="R153" s="26">
        <v>64</v>
      </c>
      <c r="S153" s="26">
        <v>50</v>
      </c>
      <c r="T153" s="26">
        <v>44</v>
      </c>
      <c r="U153" s="27">
        <v>4.0896699999999999E-4</v>
      </c>
      <c r="V153" s="27">
        <v>6.894898E-3</v>
      </c>
      <c r="W153" s="35">
        <v>156.32029978</v>
      </c>
      <c r="X153" s="34">
        <v>0</v>
      </c>
      <c r="Y153" s="30" t="s">
        <v>1178</v>
      </c>
      <c r="Z153" s="31">
        <v>302</v>
      </c>
      <c r="AA153" s="24"/>
      <c r="AB153" s="22" t="s">
        <v>1186</v>
      </c>
      <c r="AC153" s="22" t="s">
        <v>1169</v>
      </c>
      <c r="AD153" s="22" t="s">
        <v>1518</v>
      </c>
      <c r="AE153" s="22" t="s">
        <v>1174</v>
      </c>
      <c r="AF153" s="23">
        <v>2.3501599999999998</v>
      </c>
      <c r="AG153" s="22" t="s">
        <v>1138</v>
      </c>
      <c r="AH153" s="22" t="s">
        <v>1123</v>
      </c>
    </row>
    <row r="154" spans="1:34" ht="19.899999999999999" customHeight="1" x14ac:dyDescent="0.25">
      <c r="A154" s="29" t="s">
        <v>1326</v>
      </c>
      <c r="B154" s="22" t="s">
        <v>1121</v>
      </c>
      <c r="C154" s="28" t="s">
        <v>1325</v>
      </c>
      <c r="D154" s="27">
        <v>0</v>
      </c>
      <c r="E154" s="27">
        <v>0</v>
      </c>
      <c r="F154" s="41">
        <v>0</v>
      </c>
      <c r="G154" s="41">
        <v>0</v>
      </c>
      <c r="H154" s="24"/>
      <c r="I154" s="26">
        <v>0</v>
      </c>
      <c r="J154" s="26">
        <v>105</v>
      </c>
      <c r="K154" s="26">
        <v>105</v>
      </c>
      <c r="L154" s="26">
        <v>105</v>
      </c>
      <c r="M154" s="26">
        <v>105</v>
      </c>
      <c r="N154" s="26">
        <v>100</v>
      </c>
      <c r="O154" s="26">
        <v>100</v>
      </c>
      <c r="P154" s="26">
        <v>100</v>
      </c>
      <c r="Q154" s="26">
        <v>100</v>
      </c>
      <c r="R154" s="26">
        <v>100</v>
      </c>
      <c r="S154" s="26">
        <v>100</v>
      </c>
      <c r="T154" s="26">
        <v>100</v>
      </c>
      <c r="U154" s="22"/>
      <c r="V154" s="22"/>
      <c r="W154" s="22"/>
      <c r="X154" s="22"/>
      <c r="Y154" s="25"/>
      <c r="Z154" s="22"/>
      <c r="AA154" s="24"/>
      <c r="AB154" s="22" t="s">
        <v>1161</v>
      </c>
      <c r="AC154" s="22"/>
      <c r="AD154" s="22" t="s">
        <v>1118</v>
      </c>
      <c r="AE154" s="22" t="s">
        <v>1118</v>
      </c>
      <c r="AF154" s="23">
        <v>0</v>
      </c>
      <c r="AG154" s="22" t="s">
        <v>1124</v>
      </c>
      <c r="AH154" s="22" t="s">
        <v>1123</v>
      </c>
    </row>
    <row r="155" spans="1:34" ht="19.899999999999999" customHeight="1" x14ac:dyDescent="0.25">
      <c r="A155" s="29" t="s">
        <v>1324</v>
      </c>
      <c r="B155" s="22" t="s">
        <v>1121</v>
      </c>
      <c r="C155" s="28" t="s">
        <v>1323</v>
      </c>
      <c r="D155" s="27">
        <v>0</v>
      </c>
      <c r="E155" s="27">
        <v>0</v>
      </c>
      <c r="F155" s="41">
        <v>0</v>
      </c>
      <c r="G155" s="41">
        <v>0</v>
      </c>
      <c r="H155" s="24"/>
      <c r="I155" s="26">
        <v>0</v>
      </c>
      <c r="J155" s="26">
        <v>105</v>
      </c>
      <c r="K155" s="26">
        <v>105</v>
      </c>
      <c r="L155" s="26">
        <v>105</v>
      </c>
      <c r="M155" s="26">
        <v>105</v>
      </c>
      <c r="N155" s="26">
        <v>80</v>
      </c>
      <c r="O155" s="26">
        <v>30</v>
      </c>
      <c r="P155" s="26">
        <v>100</v>
      </c>
      <c r="Q155" s="26">
        <v>100</v>
      </c>
      <c r="R155" s="26">
        <v>100</v>
      </c>
      <c r="S155" s="26">
        <v>100</v>
      </c>
      <c r="T155" s="26">
        <v>70</v>
      </c>
      <c r="U155" s="22"/>
      <c r="V155" s="22"/>
      <c r="W155" s="22"/>
      <c r="X155" s="22"/>
      <c r="Y155" s="25"/>
      <c r="Z155" s="22"/>
      <c r="AA155" s="24"/>
      <c r="AB155" s="22" t="s">
        <v>1161</v>
      </c>
      <c r="AC155" s="22"/>
      <c r="AD155" s="22" t="s">
        <v>1118</v>
      </c>
      <c r="AE155" s="22" t="s">
        <v>1118</v>
      </c>
      <c r="AF155" s="23">
        <v>0</v>
      </c>
      <c r="AG155" s="22" t="s">
        <v>1138</v>
      </c>
      <c r="AH155" s="22" t="s">
        <v>1123</v>
      </c>
    </row>
    <row r="156" spans="1:34" ht="19.899999999999999" customHeight="1" x14ac:dyDescent="0.25">
      <c r="A156" s="29" t="s">
        <v>1322</v>
      </c>
      <c r="B156" s="22" t="s">
        <v>1121</v>
      </c>
      <c r="C156" s="28" t="s">
        <v>1321</v>
      </c>
      <c r="D156" s="27">
        <v>0</v>
      </c>
      <c r="E156" s="27">
        <v>0</v>
      </c>
      <c r="F156" s="41">
        <v>0</v>
      </c>
      <c r="G156" s="41">
        <v>0</v>
      </c>
      <c r="H156" s="24"/>
      <c r="I156" s="26">
        <v>0</v>
      </c>
      <c r="J156" s="26">
        <v>100</v>
      </c>
      <c r="K156" s="26">
        <v>100</v>
      </c>
      <c r="L156" s="26">
        <v>100</v>
      </c>
      <c r="M156" s="26">
        <v>100</v>
      </c>
      <c r="N156" s="26">
        <v>100</v>
      </c>
      <c r="O156" s="26">
        <v>100</v>
      </c>
      <c r="P156" s="26">
        <v>100</v>
      </c>
      <c r="Q156" s="26">
        <v>100</v>
      </c>
      <c r="R156" s="26">
        <v>100</v>
      </c>
      <c r="S156" s="26">
        <v>100</v>
      </c>
      <c r="T156" s="26">
        <v>100</v>
      </c>
      <c r="U156" s="22"/>
      <c r="V156" s="22"/>
      <c r="W156" s="22"/>
      <c r="X156" s="22"/>
      <c r="Y156" s="25"/>
      <c r="Z156" s="22"/>
      <c r="AA156" s="24"/>
      <c r="AB156" s="22" t="s">
        <v>1161</v>
      </c>
      <c r="AC156" s="22"/>
      <c r="AD156" s="22" t="s">
        <v>1118</v>
      </c>
      <c r="AE156" s="22" t="s">
        <v>1118</v>
      </c>
      <c r="AF156" s="23">
        <v>0</v>
      </c>
      <c r="AG156" s="22" t="s">
        <v>1138</v>
      </c>
      <c r="AH156" s="22" t="s">
        <v>1123</v>
      </c>
    </row>
    <row r="157" spans="1:34" ht="19.899999999999999" customHeight="1" x14ac:dyDescent="0.25">
      <c r="A157" s="29" t="s">
        <v>1234</v>
      </c>
      <c r="B157" s="22" t="s">
        <v>1121</v>
      </c>
      <c r="C157" s="28" t="s">
        <v>1233</v>
      </c>
      <c r="D157" s="27">
        <v>0</v>
      </c>
      <c r="E157" s="27">
        <v>0</v>
      </c>
      <c r="F157" s="41">
        <v>0</v>
      </c>
      <c r="G157" s="41">
        <v>0</v>
      </c>
      <c r="H157" s="24"/>
      <c r="I157" s="26">
        <v>0</v>
      </c>
      <c r="J157" s="26">
        <v>0</v>
      </c>
      <c r="K157" s="26">
        <v>0</v>
      </c>
      <c r="L157" s="26">
        <v>0</v>
      </c>
      <c r="M157" s="26">
        <v>100</v>
      </c>
      <c r="N157" s="26">
        <v>100</v>
      </c>
      <c r="O157" s="26">
        <v>100</v>
      </c>
      <c r="P157" s="26">
        <v>100</v>
      </c>
      <c r="Q157" s="26">
        <v>0</v>
      </c>
      <c r="R157" s="26">
        <v>0</v>
      </c>
      <c r="S157" s="26">
        <v>0</v>
      </c>
      <c r="T157" s="26">
        <v>0</v>
      </c>
      <c r="U157" s="22"/>
      <c r="V157" s="22"/>
      <c r="W157" s="22"/>
      <c r="X157" s="22"/>
      <c r="Y157" s="25"/>
      <c r="Z157" s="22"/>
      <c r="AA157" s="24"/>
      <c r="AB157" s="22" t="s">
        <v>1170</v>
      </c>
      <c r="AC157" s="22"/>
      <c r="AD157" s="22" t="s">
        <v>1118</v>
      </c>
      <c r="AE157" s="22" t="s">
        <v>1118</v>
      </c>
      <c r="AF157" s="23">
        <v>0</v>
      </c>
      <c r="AG157" s="22" t="s">
        <v>1117</v>
      </c>
      <c r="AH157" s="22" t="s">
        <v>1116</v>
      </c>
    </row>
    <row r="158" spans="1:34" ht="19.899999999999999" customHeight="1" x14ac:dyDescent="0.25">
      <c r="A158" s="29" t="s">
        <v>1131</v>
      </c>
      <c r="B158" s="22" t="s">
        <v>1121</v>
      </c>
      <c r="C158" s="28" t="s">
        <v>1130</v>
      </c>
      <c r="D158" s="27">
        <v>4.6299999999999997E-6</v>
      </c>
      <c r="E158" s="27">
        <v>0</v>
      </c>
      <c r="F158" s="41">
        <v>118</v>
      </c>
      <c r="G158" s="43">
        <v>18</v>
      </c>
      <c r="H158" s="24"/>
      <c r="I158" s="26">
        <v>100</v>
      </c>
      <c r="J158" s="26">
        <v>100</v>
      </c>
      <c r="K158" s="26">
        <v>100</v>
      </c>
      <c r="L158" s="26">
        <v>100</v>
      </c>
      <c r="M158" s="26">
        <v>100</v>
      </c>
      <c r="N158" s="26">
        <v>100</v>
      </c>
      <c r="O158" s="26">
        <v>100</v>
      </c>
      <c r="P158" s="26">
        <v>100</v>
      </c>
      <c r="Q158" s="26">
        <v>0</v>
      </c>
      <c r="R158" s="26">
        <v>0</v>
      </c>
      <c r="S158" s="26">
        <v>0</v>
      </c>
      <c r="T158" s="26">
        <v>0</v>
      </c>
      <c r="U158" s="22"/>
      <c r="V158" s="22"/>
      <c r="W158" s="22"/>
      <c r="X158" s="22"/>
      <c r="Y158" s="25"/>
      <c r="Z158" s="22"/>
      <c r="AA158" s="24"/>
      <c r="AB158" s="22" t="s">
        <v>1119</v>
      </c>
      <c r="AC158" s="22"/>
      <c r="AD158" s="22" t="s">
        <v>1118</v>
      </c>
      <c r="AE158" s="22" t="s">
        <v>1118</v>
      </c>
      <c r="AF158" s="23">
        <v>0</v>
      </c>
      <c r="AG158" s="22" t="s">
        <v>1129</v>
      </c>
      <c r="AH158" s="22" t="s">
        <v>1116</v>
      </c>
    </row>
    <row r="159" spans="1:34" ht="19.899999999999999" customHeight="1" x14ac:dyDescent="0.25">
      <c r="A159" s="29" t="s">
        <v>1320</v>
      </c>
      <c r="B159" s="22" t="s">
        <v>1121</v>
      </c>
      <c r="C159" s="28" t="s">
        <v>1319</v>
      </c>
      <c r="D159" s="27">
        <v>0</v>
      </c>
      <c r="E159" s="27">
        <v>0</v>
      </c>
      <c r="F159" s="41">
        <v>0</v>
      </c>
      <c r="G159" s="41">
        <v>0</v>
      </c>
      <c r="H159" s="24"/>
      <c r="I159" s="26">
        <v>0</v>
      </c>
      <c r="J159" s="26">
        <v>95</v>
      </c>
      <c r="K159" s="26">
        <v>95</v>
      </c>
      <c r="L159" s="26">
        <v>95</v>
      </c>
      <c r="M159" s="26">
        <v>95</v>
      </c>
      <c r="N159" s="26">
        <v>95</v>
      </c>
      <c r="O159" s="26">
        <v>95</v>
      </c>
      <c r="P159" s="26">
        <v>95</v>
      </c>
      <c r="Q159" s="26">
        <v>95</v>
      </c>
      <c r="R159" s="26">
        <v>95</v>
      </c>
      <c r="S159" s="26">
        <v>95</v>
      </c>
      <c r="T159" s="26">
        <v>95</v>
      </c>
      <c r="U159" s="22"/>
      <c r="V159" s="22"/>
      <c r="W159" s="22"/>
      <c r="X159" s="22"/>
      <c r="Y159" s="25"/>
      <c r="Z159" s="22"/>
      <c r="AA159" s="24"/>
      <c r="AB159" s="22" t="s">
        <v>1181</v>
      </c>
      <c r="AC159" s="22"/>
      <c r="AD159" s="22" t="s">
        <v>1118</v>
      </c>
      <c r="AE159" s="22" t="s">
        <v>1118</v>
      </c>
      <c r="AF159" s="23">
        <v>0</v>
      </c>
      <c r="AG159" s="22" t="s">
        <v>1138</v>
      </c>
      <c r="AH159" s="22" t="s">
        <v>1123</v>
      </c>
    </row>
    <row r="160" spans="1:34" ht="19.899999999999999" customHeight="1" x14ac:dyDescent="0.25">
      <c r="A160" s="29" t="s">
        <v>1128</v>
      </c>
      <c r="B160" s="22" t="s">
        <v>1121</v>
      </c>
      <c r="C160" s="28" t="s">
        <v>1127</v>
      </c>
      <c r="D160" s="27">
        <v>2.9500000000000001E-6</v>
      </c>
      <c r="E160" s="27">
        <v>0</v>
      </c>
      <c r="F160" s="41">
        <v>75</v>
      </c>
      <c r="G160" s="43">
        <v>50</v>
      </c>
      <c r="H160" s="24"/>
      <c r="I160" s="26">
        <v>25</v>
      </c>
      <c r="J160" s="26">
        <v>0</v>
      </c>
      <c r="K160" s="26">
        <v>0</v>
      </c>
      <c r="L160" s="26">
        <v>220</v>
      </c>
      <c r="M160" s="26">
        <v>19</v>
      </c>
      <c r="N160" s="26">
        <v>19</v>
      </c>
      <c r="O160" s="26">
        <v>89</v>
      </c>
      <c r="P160" s="26">
        <v>89</v>
      </c>
      <c r="Q160" s="26">
        <v>70</v>
      </c>
      <c r="R160" s="26">
        <v>70</v>
      </c>
      <c r="S160" s="26">
        <v>70</v>
      </c>
      <c r="T160" s="26">
        <v>0</v>
      </c>
      <c r="U160" s="22"/>
      <c r="V160" s="22"/>
      <c r="W160" s="22"/>
      <c r="X160" s="22"/>
      <c r="Y160" s="25"/>
      <c r="Z160" s="22"/>
      <c r="AA160" s="24"/>
      <c r="AB160" s="22" t="s">
        <v>1119</v>
      </c>
      <c r="AC160" s="22"/>
      <c r="AD160" s="22" t="s">
        <v>1118</v>
      </c>
      <c r="AE160" s="22" t="s">
        <v>1118</v>
      </c>
      <c r="AF160" s="23">
        <v>0</v>
      </c>
      <c r="AG160" s="22" t="s">
        <v>1124</v>
      </c>
      <c r="AH160" s="22" t="s">
        <v>1123</v>
      </c>
    </row>
    <row r="161" spans="1:34" ht="19.899999999999999" customHeight="1" x14ac:dyDescent="0.25">
      <c r="A161" s="29" t="s">
        <v>1498</v>
      </c>
      <c r="B161" s="22" t="s">
        <v>1497</v>
      </c>
      <c r="C161" s="28" t="s">
        <v>1496</v>
      </c>
      <c r="D161" s="27">
        <v>3.3000000000000002E-6</v>
      </c>
      <c r="E161" s="27">
        <v>3.6899999999999998E-6</v>
      </c>
      <c r="F161" s="41">
        <v>84</v>
      </c>
      <c r="G161" s="44">
        <v>-4650</v>
      </c>
      <c r="H161" s="24"/>
      <c r="I161" s="26">
        <v>4734</v>
      </c>
      <c r="J161" s="26">
        <v>4734</v>
      </c>
      <c r="K161" s="26">
        <v>4734</v>
      </c>
      <c r="L161" s="26">
        <v>4734</v>
      </c>
      <c r="M161" s="26">
        <v>4734</v>
      </c>
      <c r="N161" s="26">
        <v>6480</v>
      </c>
      <c r="O161" s="26">
        <v>6480</v>
      </c>
      <c r="P161" s="26">
        <v>84</v>
      </c>
      <c r="Q161" s="26">
        <v>84</v>
      </c>
      <c r="R161" s="26">
        <v>84</v>
      </c>
      <c r="S161" s="26">
        <v>84</v>
      </c>
      <c r="T161" s="26">
        <v>84</v>
      </c>
      <c r="U161" s="27">
        <v>1.681374E-3</v>
      </c>
      <c r="V161" s="27">
        <v>3.7811110000000002E-3</v>
      </c>
      <c r="W161" s="35">
        <v>85.909607070000007</v>
      </c>
      <c r="X161" s="34">
        <v>0</v>
      </c>
      <c r="Y161" s="33" t="s">
        <v>1196</v>
      </c>
      <c r="Z161" s="32">
        <v>-3776</v>
      </c>
      <c r="AA161" s="24"/>
      <c r="AB161" s="22" t="s">
        <v>1186</v>
      </c>
      <c r="AC161" s="22" t="s">
        <v>1169</v>
      </c>
      <c r="AD161" s="22" t="s">
        <v>1495</v>
      </c>
      <c r="AE161" s="22" t="s">
        <v>1174</v>
      </c>
      <c r="AF161" s="23">
        <v>308.17325</v>
      </c>
      <c r="AG161" s="22" t="s">
        <v>1494</v>
      </c>
      <c r="AH161" s="22" t="s">
        <v>1141</v>
      </c>
    </row>
    <row r="162" spans="1:34" ht="19.899999999999999" customHeight="1" x14ac:dyDescent="0.25">
      <c r="A162" s="29" t="s">
        <v>1318</v>
      </c>
      <c r="B162" s="22" t="s">
        <v>1121</v>
      </c>
      <c r="C162" s="28" t="s">
        <v>1317</v>
      </c>
      <c r="D162" s="27">
        <v>0</v>
      </c>
      <c r="E162" s="27">
        <v>0</v>
      </c>
      <c r="F162" s="41">
        <v>0</v>
      </c>
      <c r="G162" s="41">
        <v>0</v>
      </c>
      <c r="H162" s="24"/>
      <c r="I162" s="26">
        <v>0</v>
      </c>
      <c r="J162" s="26">
        <v>83</v>
      </c>
      <c r="K162" s="26">
        <v>83</v>
      </c>
      <c r="L162" s="26">
        <v>83</v>
      </c>
      <c r="M162" s="26">
        <v>83</v>
      </c>
      <c r="N162" s="26">
        <v>83</v>
      </c>
      <c r="O162" s="26">
        <v>83</v>
      </c>
      <c r="P162" s="26">
        <v>83</v>
      </c>
      <c r="Q162" s="26">
        <v>83</v>
      </c>
      <c r="R162" s="26">
        <v>83</v>
      </c>
      <c r="S162" s="26">
        <v>83</v>
      </c>
      <c r="T162" s="26">
        <v>83</v>
      </c>
      <c r="U162" s="22"/>
      <c r="V162" s="22"/>
      <c r="W162" s="22"/>
      <c r="X162" s="22"/>
      <c r="Y162" s="25"/>
      <c r="Z162" s="22"/>
      <c r="AA162" s="24"/>
      <c r="AB162" s="22" t="s">
        <v>1161</v>
      </c>
      <c r="AC162" s="22"/>
      <c r="AD162" s="22" t="s">
        <v>1118</v>
      </c>
      <c r="AE162" s="22" t="s">
        <v>1118</v>
      </c>
      <c r="AF162" s="23">
        <v>0</v>
      </c>
      <c r="AG162" s="22" t="s">
        <v>1138</v>
      </c>
      <c r="AH162" s="22" t="s">
        <v>1123</v>
      </c>
    </row>
    <row r="163" spans="1:34" ht="19.899999999999999" customHeight="1" x14ac:dyDescent="0.25">
      <c r="A163" s="29" t="s">
        <v>1316</v>
      </c>
      <c r="B163" s="22" t="s">
        <v>1121</v>
      </c>
      <c r="C163" s="28" t="s">
        <v>1315</v>
      </c>
      <c r="D163" s="27">
        <v>0</v>
      </c>
      <c r="E163" s="27">
        <v>0</v>
      </c>
      <c r="F163" s="41">
        <v>0</v>
      </c>
      <c r="G163" s="41">
        <v>0</v>
      </c>
      <c r="H163" s="24"/>
      <c r="I163" s="26">
        <v>0</v>
      </c>
      <c r="J163" s="26">
        <v>50</v>
      </c>
      <c r="K163" s="26">
        <v>50</v>
      </c>
      <c r="L163" s="26">
        <v>50</v>
      </c>
      <c r="M163" s="26">
        <v>50</v>
      </c>
      <c r="N163" s="26">
        <v>50</v>
      </c>
      <c r="O163" s="26">
        <v>50</v>
      </c>
      <c r="P163" s="26">
        <v>50</v>
      </c>
      <c r="Q163" s="26">
        <v>50</v>
      </c>
      <c r="R163" s="26">
        <v>50</v>
      </c>
      <c r="S163" s="26">
        <v>50</v>
      </c>
      <c r="T163" s="26">
        <v>50</v>
      </c>
      <c r="U163" s="22"/>
      <c r="V163" s="22"/>
      <c r="W163" s="22"/>
      <c r="X163" s="22"/>
      <c r="Y163" s="25"/>
      <c r="Z163" s="22"/>
      <c r="AA163" s="24"/>
      <c r="AB163" s="22" t="s">
        <v>1161</v>
      </c>
      <c r="AC163" s="22"/>
      <c r="AD163" s="22" t="s">
        <v>1118</v>
      </c>
      <c r="AE163" s="22" t="s">
        <v>1118</v>
      </c>
      <c r="AF163" s="23">
        <v>0</v>
      </c>
      <c r="AG163" s="22" t="s">
        <v>1138</v>
      </c>
      <c r="AH163" s="22" t="s">
        <v>1123</v>
      </c>
    </row>
    <row r="164" spans="1:34" ht="19.899999999999999" customHeight="1" x14ac:dyDescent="0.25">
      <c r="A164" s="29" t="s">
        <v>1314</v>
      </c>
      <c r="B164" s="22" t="s">
        <v>1121</v>
      </c>
      <c r="C164" s="28" t="s">
        <v>1313</v>
      </c>
      <c r="D164" s="27">
        <v>0</v>
      </c>
      <c r="E164" s="27">
        <v>0</v>
      </c>
      <c r="F164" s="41">
        <v>0</v>
      </c>
      <c r="G164" s="41">
        <v>0</v>
      </c>
      <c r="H164" s="24"/>
      <c r="I164" s="26">
        <v>0</v>
      </c>
      <c r="J164" s="26">
        <v>50</v>
      </c>
      <c r="K164" s="26">
        <v>50</v>
      </c>
      <c r="L164" s="26">
        <v>50</v>
      </c>
      <c r="M164" s="26">
        <v>50</v>
      </c>
      <c r="N164" s="26">
        <v>50</v>
      </c>
      <c r="O164" s="26">
        <v>50</v>
      </c>
      <c r="P164" s="26">
        <v>50</v>
      </c>
      <c r="Q164" s="26">
        <v>50</v>
      </c>
      <c r="R164" s="26">
        <v>50</v>
      </c>
      <c r="S164" s="26">
        <v>50</v>
      </c>
      <c r="T164" s="26">
        <v>50</v>
      </c>
      <c r="U164" s="22"/>
      <c r="V164" s="22"/>
      <c r="W164" s="22"/>
      <c r="X164" s="22"/>
      <c r="Y164" s="25"/>
      <c r="Z164" s="22"/>
      <c r="AA164" s="24"/>
      <c r="AB164" s="22" t="s">
        <v>1161</v>
      </c>
      <c r="AC164" s="22"/>
      <c r="AD164" s="22" t="s">
        <v>1118</v>
      </c>
      <c r="AE164" s="22" t="s">
        <v>1118</v>
      </c>
      <c r="AF164" s="23">
        <v>0</v>
      </c>
      <c r="AG164" s="22" t="s">
        <v>1135</v>
      </c>
      <c r="AH164" s="22" t="s">
        <v>1123</v>
      </c>
    </row>
    <row r="165" spans="1:34" ht="19.899999999999999" customHeight="1" x14ac:dyDescent="0.25">
      <c r="A165" s="29" t="s">
        <v>1312</v>
      </c>
      <c r="B165" s="22" t="s">
        <v>1121</v>
      </c>
      <c r="C165" s="28" t="s">
        <v>1311</v>
      </c>
      <c r="D165" s="27">
        <v>0</v>
      </c>
      <c r="E165" s="27">
        <v>0</v>
      </c>
      <c r="F165" s="41">
        <v>0</v>
      </c>
      <c r="G165" s="41">
        <v>0</v>
      </c>
      <c r="H165" s="24"/>
      <c r="I165" s="26">
        <v>0</v>
      </c>
      <c r="J165" s="26">
        <v>50</v>
      </c>
      <c r="K165" s="26">
        <v>50</v>
      </c>
      <c r="L165" s="26">
        <v>50</v>
      </c>
      <c r="M165" s="26">
        <v>50</v>
      </c>
      <c r="N165" s="26">
        <v>50</v>
      </c>
      <c r="O165" s="26">
        <v>50</v>
      </c>
      <c r="P165" s="26">
        <v>50</v>
      </c>
      <c r="Q165" s="26">
        <v>50</v>
      </c>
      <c r="R165" s="26">
        <v>50</v>
      </c>
      <c r="S165" s="26">
        <v>50</v>
      </c>
      <c r="T165" s="26">
        <v>50</v>
      </c>
      <c r="U165" s="22"/>
      <c r="V165" s="22"/>
      <c r="W165" s="22"/>
      <c r="X165" s="22"/>
      <c r="Y165" s="25"/>
      <c r="Z165" s="22"/>
      <c r="AA165" s="24"/>
      <c r="AB165" s="22" t="s">
        <v>1181</v>
      </c>
      <c r="AC165" s="22"/>
      <c r="AD165" s="22" t="s">
        <v>1118</v>
      </c>
      <c r="AE165" s="22" t="s">
        <v>1118</v>
      </c>
      <c r="AF165" s="23">
        <v>0</v>
      </c>
      <c r="AG165" s="22" t="s">
        <v>1138</v>
      </c>
      <c r="AH165" s="22" t="s">
        <v>1123</v>
      </c>
    </row>
    <row r="166" spans="1:34" ht="19.899999999999999" customHeight="1" x14ac:dyDescent="0.25">
      <c r="A166" s="29" t="s">
        <v>1310</v>
      </c>
      <c r="B166" s="22" t="s">
        <v>1121</v>
      </c>
      <c r="C166" s="28" t="s">
        <v>1309</v>
      </c>
      <c r="D166" s="27">
        <v>0</v>
      </c>
      <c r="E166" s="27">
        <v>0</v>
      </c>
      <c r="F166" s="41">
        <v>0</v>
      </c>
      <c r="G166" s="41">
        <v>0</v>
      </c>
      <c r="H166" s="24"/>
      <c r="I166" s="26">
        <v>0</v>
      </c>
      <c r="J166" s="26">
        <v>50</v>
      </c>
      <c r="K166" s="26">
        <v>50</v>
      </c>
      <c r="L166" s="26">
        <v>50</v>
      </c>
      <c r="M166" s="26">
        <v>50</v>
      </c>
      <c r="N166" s="26">
        <v>50</v>
      </c>
      <c r="O166" s="26">
        <v>50</v>
      </c>
      <c r="P166" s="26">
        <v>50</v>
      </c>
      <c r="Q166" s="26">
        <v>50</v>
      </c>
      <c r="R166" s="26">
        <v>50</v>
      </c>
      <c r="S166" s="26">
        <v>50</v>
      </c>
      <c r="T166" s="26">
        <v>50</v>
      </c>
      <c r="U166" s="22"/>
      <c r="V166" s="22"/>
      <c r="W166" s="22"/>
      <c r="X166" s="22"/>
      <c r="Y166" s="25"/>
      <c r="Z166" s="22"/>
      <c r="AA166" s="24"/>
      <c r="AB166" s="22" t="s">
        <v>1181</v>
      </c>
      <c r="AC166" s="22"/>
      <c r="AD166" s="22" t="s">
        <v>1118</v>
      </c>
      <c r="AE166" s="22" t="s">
        <v>1118</v>
      </c>
      <c r="AF166" s="23">
        <v>0</v>
      </c>
      <c r="AG166" s="22" t="s">
        <v>1138</v>
      </c>
      <c r="AH166" s="22" t="s">
        <v>1123</v>
      </c>
    </row>
    <row r="167" spans="1:34" ht="19.899999999999999" customHeight="1" x14ac:dyDescent="0.25">
      <c r="A167" s="29" t="s">
        <v>1507</v>
      </c>
      <c r="B167" s="22" t="s">
        <v>1506</v>
      </c>
      <c r="C167" s="28" t="s">
        <v>1505</v>
      </c>
      <c r="D167" s="27">
        <v>1.092E-5</v>
      </c>
      <c r="E167" s="27">
        <v>0</v>
      </c>
      <c r="F167" s="41">
        <v>278</v>
      </c>
      <c r="G167" s="44">
        <v>-34</v>
      </c>
      <c r="H167" s="24"/>
      <c r="I167" s="26">
        <v>312</v>
      </c>
      <c r="J167" s="26">
        <v>383</v>
      </c>
      <c r="K167" s="26">
        <v>26</v>
      </c>
      <c r="L167" s="26">
        <v>22</v>
      </c>
      <c r="M167" s="26">
        <v>20</v>
      </c>
      <c r="N167" s="26">
        <v>41</v>
      </c>
      <c r="O167" s="26">
        <v>41</v>
      </c>
      <c r="P167" s="26">
        <v>47</v>
      </c>
      <c r="Q167" s="26">
        <v>5</v>
      </c>
      <c r="R167" s="26">
        <v>3</v>
      </c>
      <c r="S167" s="26">
        <v>49</v>
      </c>
      <c r="T167" s="26">
        <v>3</v>
      </c>
      <c r="U167" s="22"/>
      <c r="V167" s="22"/>
      <c r="W167" s="22"/>
      <c r="X167" s="22"/>
      <c r="Y167" s="25"/>
      <c r="Z167" s="22"/>
      <c r="AA167" s="24"/>
      <c r="AB167" s="22" t="s">
        <v>1158</v>
      </c>
      <c r="AC167" s="22" t="s">
        <v>1169</v>
      </c>
      <c r="AD167" s="22" t="s">
        <v>1118</v>
      </c>
      <c r="AE167" s="22" t="s">
        <v>1174</v>
      </c>
      <c r="AF167" s="23">
        <v>7.6999999999999996E-4</v>
      </c>
      <c r="AG167" s="22" t="s">
        <v>1185</v>
      </c>
      <c r="AH167" s="22" t="s">
        <v>1184</v>
      </c>
    </row>
    <row r="168" spans="1:34" ht="19.899999999999999" customHeight="1" x14ac:dyDescent="0.25">
      <c r="A168" s="29" t="s">
        <v>1487</v>
      </c>
      <c r="B168" s="22" t="s">
        <v>1486</v>
      </c>
      <c r="C168" s="28" t="s">
        <v>1485</v>
      </c>
      <c r="D168" s="27">
        <v>1.4899999999999999E-6</v>
      </c>
      <c r="E168" s="27">
        <v>0</v>
      </c>
      <c r="F168" s="41">
        <v>38</v>
      </c>
      <c r="G168" s="41">
        <v>0</v>
      </c>
      <c r="H168" s="24"/>
      <c r="I168" s="26">
        <v>38</v>
      </c>
      <c r="J168" s="26">
        <v>38</v>
      </c>
      <c r="K168" s="26">
        <v>38</v>
      </c>
      <c r="L168" s="26">
        <v>38</v>
      </c>
      <c r="M168" s="26">
        <v>38</v>
      </c>
      <c r="N168" s="26">
        <v>38</v>
      </c>
      <c r="O168" s="26">
        <v>38</v>
      </c>
      <c r="P168" s="26">
        <v>38</v>
      </c>
      <c r="Q168" s="26">
        <v>38</v>
      </c>
      <c r="R168" s="26">
        <v>0</v>
      </c>
      <c r="S168" s="26">
        <v>0</v>
      </c>
      <c r="T168" s="26">
        <v>0</v>
      </c>
      <c r="U168" s="22"/>
      <c r="V168" s="22"/>
      <c r="W168" s="22"/>
      <c r="X168" s="22"/>
      <c r="Y168" s="25"/>
      <c r="Z168" s="22"/>
      <c r="AA168" s="24"/>
      <c r="AB168" s="22" t="s">
        <v>1222</v>
      </c>
      <c r="AC168" s="22" t="s">
        <v>1169</v>
      </c>
      <c r="AD168" s="22" t="s">
        <v>1238</v>
      </c>
      <c r="AE168" s="22" t="s">
        <v>1174</v>
      </c>
      <c r="AF168" s="23">
        <v>614.24800000000005</v>
      </c>
      <c r="AG168" s="22" t="s">
        <v>1173</v>
      </c>
      <c r="AH168" s="22" t="s">
        <v>1141</v>
      </c>
    </row>
    <row r="169" spans="1:34" ht="19.899999999999999" customHeight="1" x14ac:dyDescent="0.25">
      <c r="A169" s="29" t="s">
        <v>1308</v>
      </c>
      <c r="B169" s="22" t="s">
        <v>1121</v>
      </c>
      <c r="C169" s="28" t="s">
        <v>1307</v>
      </c>
      <c r="D169" s="27">
        <v>0</v>
      </c>
      <c r="E169" s="27">
        <v>0</v>
      </c>
      <c r="F169" s="41">
        <v>0</v>
      </c>
      <c r="G169" s="41">
        <v>0</v>
      </c>
      <c r="H169" s="24"/>
      <c r="I169" s="26">
        <v>0</v>
      </c>
      <c r="J169" s="26">
        <v>33</v>
      </c>
      <c r="K169" s="26">
        <v>33</v>
      </c>
      <c r="L169" s="26">
        <v>33</v>
      </c>
      <c r="M169" s="26">
        <v>33</v>
      </c>
      <c r="N169" s="26">
        <v>33</v>
      </c>
      <c r="O169" s="26">
        <v>33</v>
      </c>
      <c r="P169" s="26">
        <v>33</v>
      </c>
      <c r="Q169" s="26">
        <v>33</v>
      </c>
      <c r="R169" s="26">
        <v>33</v>
      </c>
      <c r="S169" s="26">
        <v>33</v>
      </c>
      <c r="T169" s="26">
        <v>33</v>
      </c>
      <c r="U169" s="22"/>
      <c r="V169" s="22"/>
      <c r="W169" s="22"/>
      <c r="X169" s="22"/>
      <c r="Y169" s="25"/>
      <c r="Z169" s="22"/>
      <c r="AA169" s="24"/>
      <c r="AB169" s="22" t="s">
        <v>1161</v>
      </c>
      <c r="AC169" s="22"/>
      <c r="AD169" s="22" t="s">
        <v>1118</v>
      </c>
      <c r="AE169" s="22" t="s">
        <v>1118</v>
      </c>
      <c r="AF169" s="23">
        <v>0</v>
      </c>
      <c r="AG169" s="22" t="s">
        <v>1306</v>
      </c>
      <c r="AH169" s="22" t="s">
        <v>1123</v>
      </c>
    </row>
    <row r="170" spans="1:34" ht="19.899999999999999" customHeight="1" x14ac:dyDescent="0.25">
      <c r="A170" s="29" t="s">
        <v>1303</v>
      </c>
      <c r="B170" s="22" t="s">
        <v>1121</v>
      </c>
      <c r="C170" s="28" t="s">
        <v>1302</v>
      </c>
      <c r="D170" s="27">
        <v>0</v>
      </c>
      <c r="E170" s="27">
        <v>0</v>
      </c>
      <c r="F170" s="41">
        <v>0</v>
      </c>
      <c r="G170" s="41">
        <v>0</v>
      </c>
      <c r="H170" s="24"/>
      <c r="I170" s="26">
        <v>0</v>
      </c>
      <c r="J170" s="26">
        <v>21</v>
      </c>
      <c r="K170" s="26">
        <v>21</v>
      </c>
      <c r="L170" s="26">
        <v>21</v>
      </c>
      <c r="M170" s="26">
        <v>21</v>
      </c>
      <c r="N170" s="26">
        <v>21</v>
      </c>
      <c r="O170" s="26">
        <v>21</v>
      </c>
      <c r="P170" s="26">
        <v>21</v>
      </c>
      <c r="Q170" s="26">
        <v>21</v>
      </c>
      <c r="R170" s="26">
        <v>21</v>
      </c>
      <c r="S170" s="26">
        <v>21</v>
      </c>
      <c r="T170" s="26">
        <v>21</v>
      </c>
      <c r="U170" s="22"/>
      <c r="V170" s="22"/>
      <c r="W170" s="22"/>
      <c r="X170" s="22"/>
      <c r="Y170" s="25"/>
      <c r="Z170" s="22"/>
      <c r="AA170" s="24"/>
      <c r="AB170" s="22" t="s">
        <v>1181</v>
      </c>
      <c r="AC170" s="22"/>
      <c r="AD170" s="22" t="s">
        <v>1118</v>
      </c>
      <c r="AE170" s="22" t="s">
        <v>1118</v>
      </c>
      <c r="AF170" s="23">
        <v>0</v>
      </c>
      <c r="AG170" s="22" t="s">
        <v>1138</v>
      </c>
      <c r="AH170" s="22" t="s">
        <v>1123</v>
      </c>
    </row>
    <row r="171" spans="1:34" ht="19.899999999999999" customHeight="1" x14ac:dyDescent="0.25">
      <c r="A171" s="29" t="s">
        <v>1305</v>
      </c>
      <c r="B171" s="22" t="s">
        <v>1121</v>
      </c>
      <c r="C171" s="28" t="s">
        <v>1304</v>
      </c>
      <c r="D171" s="27">
        <v>0</v>
      </c>
      <c r="E171" s="27">
        <v>0</v>
      </c>
      <c r="F171" s="41">
        <v>0</v>
      </c>
      <c r="G171" s="41">
        <v>0</v>
      </c>
      <c r="H171" s="24"/>
      <c r="I171" s="26">
        <v>0</v>
      </c>
      <c r="J171" s="26">
        <v>27</v>
      </c>
      <c r="K171" s="26">
        <v>27</v>
      </c>
      <c r="L171" s="26">
        <v>27</v>
      </c>
      <c r="M171" s="26">
        <v>27</v>
      </c>
      <c r="N171" s="26">
        <v>20</v>
      </c>
      <c r="O171" s="26">
        <v>20</v>
      </c>
      <c r="P171" s="26">
        <v>20</v>
      </c>
      <c r="Q171" s="26">
        <v>14</v>
      </c>
      <c r="R171" s="26">
        <v>14</v>
      </c>
      <c r="S171" s="26">
        <v>9</v>
      </c>
      <c r="T171" s="26">
        <v>9</v>
      </c>
      <c r="U171" s="22"/>
      <c r="V171" s="22"/>
      <c r="W171" s="22"/>
      <c r="X171" s="22"/>
      <c r="Y171" s="25"/>
      <c r="Z171" s="22"/>
      <c r="AA171" s="24"/>
      <c r="AB171" s="22" t="s">
        <v>1161</v>
      </c>
      <c r="AC171" s="22"/>
      <c r="AD171" s="22" t="s">
        <v>1118</v>
      </c>
      <c r="AE171" s="22" t="s">
        <v>1118</v>
      </c>
      <c r="AF171" s="23">
        <v>0</v>
      </c>
      <c r="AG171" s="22" t="s">
        <v>1138</v>
      </c>
      <c r="AH171" s="22" t="s">
        <v>1123</v>
      </c>
    </row>
    <row r="172" spans="1:34" ht="19.899999999999999" customHeight="1" x14ac:dyDescent="0.25">
      <c r="A172" s="29" t="s">
        <v>1301</v>
      </c>
      <c r="B172" s="22" t="s">
        <v>1121</v>
      </c>
      <c r="C172" s="28" t="s">
        <v>1300</v>
      </c>
      <c r="D172" s="27">
        <v>0</v>
      </c>
      <c r="E172" s="27">
        <v>0</v>
      </c>
      <c r="F172" s="41">
        <v>0</v>
      </c>
      <c r="G172" s="41">
        <v>0</v>
      </c>
      <c r="H172" s="24"/>
      <c r="I172" s="26">
        <v>0</v>
      </c>
      <c r="J172" s="26">
        <v>18</v>
      </c>
      <c r="K172" s="26">
        <v>18</v>
      </c>
      <c r="L172" s="26">
        <v>18</v>
      </c>
      <c r="M172" s="26">
        <v>18</v>
      </c>
      <c r="N172" s="26">
        <v>18</v>
      </c>
      <c r="O172" s="26">
        <v>18</v>
      </c>
      <c r="P172" s="26">
        <v>18</v>
      </c>
      <c r="Q172" s="26">
        <v>18</v>
      </c>
      <c r="R172" s="26">
        <v>18</v>
      </c>
      <c r="S172" s="26">
        <v>18</v>
      </c>
      <c r="T172" s="26">
        <v>18</v>
      </c>
      <c r="U172" s="22"/>
      <c r="V172" s="22"/>
      <c r="W172" s="22"/>
      <c r="X172" s="22"/>
      <c r="Y172" s="25"/>
      <c r="Z172" s="22"/>
      <c r="AA172" s="24"/>
      <c r="AB172" s="22" t="s">
        <v>1161</v>
      </c>
      <c r="AC172" s="22"/>
      <c r="AD172" s="22" t="s">
        <v>1118</v>
      </c>
      <c r="AE172" s="22" t="s">
        <v>1118</v>
      </c>
      <c r="AF172" s="23">
        <v>0</v>
      </c>
      <c r="AG172" s="22" t="s">
        <v>1124</v>
      </c>
      <c r="AH172" s="22" t="s">
        <v>1123</v>
      </c>
    </row>
    <row r="173" spans="1:34" ht="19.899999999999999" customHeight="1" x14ac:dyDescent="0.25">
      <c r="A173" s="29" t="s">
        <v>1490</v>
      </c>
      <c r="B173" s="22" t="s">
        <v>1489</v>
      </c>
      <c r="C173" s="28" t="s">
        <v>1488</v>
      </c>
      <c r="D173" s="27">
        <v>1.53E-6</v>
      </c>
      <c r="E173" s="27">
        <v>1.7099999999999999E-6</v>
      </c>
      <c r="F173" s="41">
        <v>39</v>
      </c>
      <c r="G173" s="43">
        <v>18</v>
      </c>
      <c r="H173" s="24"/>
      <c r="I173" s="26">
        <v>21</v>
      </c>
      <c r="J173" s="26">
        <v>21</v>
      </c>
      <c r="K173" s="26">
        <v>21</v>
      </c>
      <c r="L173" s="26">
        <v>21</v>
      </c>
      <c r="M173" s="26">
        <v>16</v>
      </c>
      <c r="N173" s="26">
        <v>16</v>
      </c>
      <c r="O173" s="26">
        <v>16</v>
      </c>
      <c r="P173" s="26">
        <v>16</v>
      </c>
      <c r="Q173" s="26">
        <v>0</v>
      </c>
      <c r="R173" s="26">
        <v>0</v>
      </c>
      <c r="S173" s="26">
        <v>0</v>
      </c>
      <c r="T173" s="26">
        <v>0</v>
      </c>
      <c r="U173" s="27">
        <v>1.4817140000000001E-3</v>
      </c>
      <c r="V173" s="27">
        <v>2.6177654000000002E-2</v>
      </c>
      <c r="W173" s="35">
        <v>595.31799751000005</v>
      </c>
      <c r="X173" s="34">
        <v>0</v>
      </c>
      <c r="Y173" s="36" t="s">
        <v>1204</v>
      </c>
      <c r="Z173" s="22"/>
      <c r="AA173" s="24"/>
      <c r="AB173" s="22" t="s">
        <v>1186</v>
      </c>
      <c r="AC173" s="22"/>
      <c r="AD173" s="22" t="s">
        <v>1118</v>
      </c>
      <c r="AE173" s="22" t="s">
        <v>1118</v>
      </c>
      <c r="AF173" s="23">
        <v>0</v>
      </c>
      <c r="AG173" s="22" t="s">
        <v>1365</v>
      </c>
      <c r="AH173" s="22" t="s">
        <v>1365</v>
      </c>
    </row>
    <row r="174" spans="1:34" ht="19.899999999999999" customHeight="1" x14ac:dyDescent="0.25">
      <c r="A174" s="29" t="s">
        <v>1299</v>
      </c>
      <c r="B174" s="22" t="s">
        <v>1121</v>
      </c>
      <c r="C174" s="28" t="s">
        <v>1298</v>
      </c>
      <c r="D174" s="27">
        <v>0</v>
      </c>
      <c r="E174" s="27">
        <v>0</v>
      </c>
      <c r="F174" s="41">
        <v>0</v>
      </c>
      <c r="G174" s="41">
        <v>0</v>
      </c>
      <c r="H174" s="24"/>
      <c r="I174" s="26">
        <v>0</v>
      </c>
      <c r="J174" s="26">
        <v>15</v>
      </c>
      <c r="K174" s="26">
        <v>15</v>
      </c>
      <c r="L174" s="26">
        <v>15</v>
      </c>
      <c r="M174" s="26">
        <v>15</v>
      </c>
      <c r="N174" s="26">
        <v>15</v>
      </c>
      <c r="O174" s="26">
        <v>15</v>
      </c>
      <c r="P174" s="26">
        <v>15</v>
      </c>
      <c r="Q174" s="26">
        <v>15</v>
      </c>
      <c r="R174" s="26">
        <v>15</v>
      </c>
      <c r="S174" s="26">
        <v>15</v>
      </c>
      <c r="T174" s="26">
        <v>15</v>
      </c>
      <c r="U174" s="22"/>
      <c r="V174" s="22"/>
      <c r="W174" s="22"/>
      <c r="X174" s="22"/>
      <c r="Y174" s="25"/>
      <c r="Z174" s="22"/>
      <c r="AA174" s="24"/>
      <c r="AB174" s="22" t="s">
        <v>1161</v>
      </c>
      <c r="AC174" s="22"/>
      <c r="AD174" s="22" t="s">
        <v>1118</v>
      </c>
      <c r="AE174" s="22" t="s">
        <v>1118</v>
      </c>
      <c r="AF174" s="23">
        <v>0</v>
      </c>
      <c r="AG174" s="22" t="s">
        <v>1138</v>
      </c>
      <c r="AH174" s="22" t="s">
        <v>1123</v>
      </c>
    </row>
    <row r="175" spans="1:34" ht="19.899999999999999" customHeight="1" x14ac:dyDescent="0.25">
      <c r="A175" s="29" t="s">
        <v>1297</v>
      </c>
      <c r="B175" s="22" t="s">
        <v>1121</v>
      </c>
      <c r="C175" s="28" t="s">
        <v>1296</v>
      </c>
      <c r="D175" s="27">
        <v>0</v>
      </c>
      <c r="E175" s="27">
        <v>0</v>
      </c>
      <c r="F175" s="41">
        <v>0</v>
      </c>
      <c r="G175" s="41">
        <v>0</v>
      </c>
      <c r="H175" s="24"/>
      <c r="I175" s="26">
        <v>0</v>
      </c>
      <c r="J175" s="26">
        <v>10</v>
      </c>
      <c r="K175" s="26">
        <v>10</v>
      </c>
      <c r="L175" s="26">
        <v>10</v>
      </c>
      <c r="M175" s="26">
        <v>10</v>
      </c>
      <c r="N175" s="26">
        <v>10</v>
      </c>
      <c r="O175" s="26">
        <v>10</v>
      </c>
      <c r="P175" s="26">
        <v>10</v>
      </c>
      <c r="Q175" s="26">
        <v>10</v>
      </c>
      <c r="R175" s="26">
        <v>10</v>
      </c>
      <c r="S175" s="26">
        <v>10</v>
      </c>
      <c r="T175" s="26">
        <v>10</v>
      </c>
      <c r="U175" s="22"/>
      <c r="V175" s="22"/>
      <c r="W175" s="22"/>
      <c r="X175" s="22"/>
      <c r="Y175" s="25"/>
      <c r="Z175" s="22"/>
      <c r="AA175" s="24"/>
      <c r="AB175" s="22" t="s">
        <v>1161</v>
      </c>
      <c r="AC175" s="22"/>
      <c r="AD175" s="22" t="s">
        <v>1118</v>
      </c>
      <c r="AE175" s="22" t="s">
        <v>1118</v>
      </c>
      <c r="AF175" s="23">
        <v>0</v>
      </c>
      <c r="AG175" s="22" t="s">
        <v>1124</v>
      </c>
      <c r="AH175" s="22" t="s">
        <v>1123</v>
      </c>
    </row>
    <row r="176" spans="1:34" ht="19.899999999999999" customHeight="1" x14ac:dyDescent="0.25">
      <c r="A176" s="29" t="s">
        <v>1295</v>
      </c>
      <c r="B176" s="22" t="s">
        <v>1121</v>
      </c>
      <c r="C176" s="28" t="s">
        <v>1294</v>
      </c>
      <c r="D176" s="27">
        <v>0</v>
      </c>
      <c r="E176" s="27">
        <v>0</v>
      </c>
      <c r="F176" s="41">
        <v>0</v>
      </c>
      <c r="G176" s="41">
        <v>0</v>
      </c>
      <c r="H176" s="24"/>
      <c r="I176" s="26">
        <v>0</v>
      </c>
      <c r="J176" s="26">
        <v>10</v>
      </c>
      <c r="K176" s="26">
        <v>10</v>
      </c>
      <c r="L176" s="26">
        <v>10</v>
      </c>
      <c r="M176" s="26">
        <v>10</v>
      </c>
      <c r="N176" s="26">
        <v>10</v>
      </c>
      <c r="O176" s="26">
        <v>10</v>
      </c>
      <c r="P176" s="26">
        <v>10</v>
      </c>
      <c r="Q176" s="26">
        <v>10</v>
      </c>
      <c r="R176" s="26">
        <v>10</v>
      </c>
      <c r="S176" s="26">
        <v>10</v>
      </c>
      <c r="T176" s="26">
        <v>10</v>
      </c>
      <c r="U176" s="22"/>
      <c r="V176" s="22"/>
      <c r="W176" s="22"/>
      <c r="X176" s="22"/>
      <c r="Y176" s="25"/>
      <c r="Z176" s="22"/>
      <c r="AA176" s="24"/>
      <c r="AB176" s="22" t="s">
        <v>1161</v>
      </c>
      <c r="AC176" s="22"/>
      <c r="AD176" s="22" t="s">
        <v>1118</v>
      </c>
      <c r="AE176" s="22" t="s">
        <v>1118</v>
      </c>
      <c r="AF176" s="23">
        <v>0</v>
      </c>
      <c r="AG176" s="22" t="s">
        <v>1138</v>
      </c>
      <c r="AH176" s="22" t="s">
        <v>1123</v>
      </c>
    </row>
    <row r="177" spans="1:34" ht="19.899999999999999" customHeight="1" x14ac:dyDescent="0.25">
      <c r="A177" s="29" t="s">
        <v>1212</v>
      </c>
      <c r="B177" s="22" t="s">
        <v>1121</v>
      </c>
      <c r="C177" s="28" t="s">
        <v>1211</v>
      </c>
      <c r="D177" s="27">
        <v>0</v>
      </c>
      <c r="E177" s="27">
        <v>0</v>
      </c>
      <c r="F177" s="41">
        <v>0</v>
      </c>
      <c r="G177" s="41">
        <v>0</v>
      </c>
      <c r="H177" s="24"/>
      <c r="I177" s="26">
        <v>0</v>
      </c>
      <c r="J177" s="26">
        <v>0</v>
      </c>
      <c r="K177" s="26">
        <v>0</v>
      </c>
      <c r="L177" s="26">
        <v>0</v>
      </c>
      <c r="M177" s="26">
        <v>0</v>
      </c>
      <c r="N177" s="26">
        <v>0</v>
      </c>
      <c r="O177" s="26">
        <v>0</v>
      </c>
      <c r="P177" s="26">
        <v>7</v>
      </c>
      <c r="Q177" s="26">
        <v>7</v>
      </c>
      <c r="R177" s="26">
        <v>7</v>
      </c>
      <c r="S177" s="26">
        <v>7</v>
      </c>
      <c r="T177" s="26">
        <v>7</v>
      </c>
      <c r="U177" s="22"/>
      <c r="V177" s="22"/>
      <c r="W177" s="22"/>
      <c r="X177" s="22"/>
      <c r="Y177" s="25"/>
      <c r="Z177" s="22"/>
      <c r="AA177" s="24"/>
      <c r="AB177" s="22" t="s">
        <v>1161</v>
      </c>
      <c r="AC177" s="22"/>
      <c r="AD177" s="22" t="s">
        <v>1118</v>
      </c>
      <c r="AE177" s="22" t="s">
        <v>1118</v>
      </c>
      <c r="AF177" s="23">
        <v>0</v>
      </c>
      <c r="AG177" s="22" t="s">
        <v>1135</v>
      </c>
      <c r="AH177" s="22" t="s">
        <v>1123</v>
      </c>
    </row>
    <row r="178" spans="1:34" ht="19.899999999999999" customHeight="1" x14ac:dyDescent="0.25">
      <c r="A178" s="29" t="s">
        <v>1293</v>
      </c>
      <c r="B178" s="22" t="s">
        <v>1121</v>
      </c>
      <c r="C178" s="28" t="s">
        <v>1292</v>
      </c>
      <c r="D178" s="27">
        <v>0</v>
      </c>
      <c r="E178" s="27">
        <v>0</v>
      </c>
      <c r="F178" s="41">
        <v>0</v>
      </c>
      <c r="G178" s="41">
        <v>0</v>
      </c>
      <c r="H178" s="24"/>
      <c r="I178" s="26">
        <v>0</v>
      </c>
      <c r="J178" s="26">
        <v>5</v>
      </c>
      <c r="K178" s="26">
        <v>5</v>
      </c>
      <c r="L178" s="26">
        <v>5</v>
      </c>
      <c r="M178" s="26">
        <v>5</v>
      </c>
      <c r="N178" s="26">
        <v>5</v>
      </c>
      <c r="O178" s="26">
        <v>5</v>
      </c>
      <c r="P178" s="26">
        <v>5</v>
      </c>
      <c r="Q178" s="26">
        <v>5</v>
      </c>
      <c r="R178" s="26">
        <v>5</v>
      </c>
      <c r="S178" s="26">
        <v>5</v>
      </c>
      <c r="T178" s="26">
        <v>5</v>
      </c>
      <c r="U178" s="22"/>
      <c r="V178" s="22"/>
      <c r="W178" s="22"/>
      <c r="X178" s="22"/>
      <c r="Y178" s="25"/>
      <c r="Z178" s="22"/>
      <c r="AA178" s="24"/>
      <c r="AB178" s="22" t="s">
        <v>1161</v>
      </c>
      <c r="AC178" s="22"/>
      <c r="AD178" s="22" t="s">
        <v>1118</v>
      </c>
      <c r="AE178" s="22" t="s">
        <v>1118</v>
      </c>
      <c r="AF178" s="23">
        <v>0</v>
      </c>
      <c r="AG178" s="22" t="s">
        <v>1138</v>
      </c>
      <c r="AH178" s="22" t="s">
        <v>1123</v>
      </c>
    </row>
    <row r="179" spans="1:34" ht="19.899999999999999" customHeight="1" x14ac:dyDescent="0.25">
      <c r="A179" s="29" t="s">
        <v>1291</v>
      </c>
      <c r="B179" s="22" t="s">
        <v>1121</v>
      </c>
      <c r="C179" s="28" t="s">
        <v>1290</v>
      </c>
      <c r="D179" s="27">
        <v>0</v>
      </c>
      <c r="E179" s="27">
        <v>0</v>
      </c>
      <c r="F179" s="41">
        <v>0</v>
      </c>
      <c r="G179" s="41">
        <v>0</v>
      </c>
      <c r="H179" s="24"/>
      <c r="I179" s="26">
        <v>0</v>
      </c>
      <c r="J179" s="26">
        <v>1</v>
      </c>
      <c r="K179" s="26">
        <v>1</v>
      </c>
      <c r="L179" s="26">
        <v>1</v>
      </c>
      <c r="M179" s="26">
        <v>1</v>
      </c>
      <c r="N179" s="26">
        <v>1</v>
      </c>
      <c r="O179" s="26">
        <v>1</v>
      </c>
      <c r="P179" s="26">
        <v>1</v>
      </c>
      <c r="Q179" s="26">
        <v>1</v>
      </c>
      <c r="R179" s="26">
        <v>1</v>
      </c>
      <c r="S179" s="26">
        <v>1</v>
      </c>
      <c r="T179" s="26">
        <v>1</v>
      </c>
      <c r="U179" s="22"/>
      <c r="V179" s="22"/>
      <c r="W179" s="22"/>
      <c r="X179" s="22"/>
      <c r="Y179" s="25"/>
      <c r="Z179" s="22"/>
      <c r="AA179" s="24"/>
      <c r="AB179" s="22" t="s">
        <v>1161</v>
      </c>
      <c r="AC179" s="22"/>
      <c r="AD179" s="22" t="s">
        <v>1118</v>
      </c>
      <c r="AE179" s="22" t="s">
        <v>1118</v>
      </c>
      <c r="AF179" s="23">
        <v>0</v>
      </c>
      <c r="AG179" s="22" t="s">
        <v>1135</v>
      </c>
      <c r="AH179" s="22" t="s">
        <v>1123</v>
      </c>
    </row>
    <row r="180" spans="1:34" ht="19.899999999999999" customHeight="1" x14ac:dyDescent="0.25">
      <c r="A180" s="29" t="s">
        <v>1949</v>
      </c>
      <c r="B180" s="22" t="s">
        <v>1948</v>
      </c>
      <c r="C180" s="28" t="s">
        <v>1947</v>
      </c>
      <c r="D180" s="27">
        <v>5.2473319999999997E-2</v>
      </c>
      <c r="E180" s="27">
        <v>5.8758079999999997E-2</v>
      </c>
      <c r="F180" s="41">
        <v>1336332</v>
      </c>
      <c r="G180" s="43">
        <v>751987</v>
      </c>
      <c r="H180" s="24"/>
      <c r="I180" s="26">
        <v>584345</v>
      </c>
      <c r="J180" s="26">
        <v>0</v>
      </c>
      <c r="K180" s="26">
        <v>0</v>
      </c>
      <c r="L180" s="26">
        <v>0</v>
      </c>
      <c r="M180" s="26">
        <v>0</v>
      </c>
      <c r="N180" s="26">
        <v>0</v>
      </c>
      <c r="O180" s="26">
        <v>0</v>
      </c>
      <c r="P180" s="26">
        <v>0</v>
      </c>
      <c r="Q180" s="26">
        <v>0</v>
      </c>
      <c r="R180" s="26">
        <v>5941</v>
      </c>
      <c r="S180" s="26">
        <v>646698</v>
      </c>
      <c r="T180" s="26">
        <v>640089</v>
      </c>
      <c r="U180" s="27">
        <v>3.0825719000000001E-2</v>
      </c>
      <c r="V180" s="27">
        <v>5.1954353000000002E-2</v>
      </c>
      <c r="W180" s="39">
        <v>-154.73690329999999</v>
      </c>
      <c r="X180" s="34">
        <v>1</v>
      </c>
      <c r="Y180" s="37" t="s">
        <v>1248</v>
      </c>
      <c r="Z180" s="32">
        <v>-40</v>
      </c>
      <c r="AA180" s="24"/>
      <c r="AB180" s="22" t="s">
        <v>1186</v>
      </c>
      <c r="AC180" s="22" t="s">
        <v>1176</v>
      </c>
      <c r="AD180" s="22" t="s">
        <v>1342</v>
      </c>
      <c r="AE180" s="22" t="s">
        <v>1174</v>
      </c>
      <c r="AF180" s="23">
        <v>2.31318</v>
      </c>
      <c r="AG180" s="22" t="s">
        <v>1124</v>
      </c>
      <c r="AH180" s="22" t="s">
        <v>1123</v>
      </c>
    </row>
    <row r="181" spans="1:34" ht="19.899999999999999" customHeight="1" x14ac:dyDescent="0.25">
      <c r="A181" s="29" t="s">
        <v>1932</v>
      </c>
      <c r="B181" s="22" t="s">
        <v>1931</v>
      </c>
      <c r="C181" s="28" t="s">
        <v>1930</v>
      </c>
      <c r="D181" s="27">
        <v>2.2167019999999999E-2</v>
      </c>
      <c r="E181" s="27">
        <v>2.482198E-2</v>
      </c>
      <c r="F181" s="41">
        <v>564525</v>
      </c>
      <c r="G181" s="44">
        <v>-5112</v>
      </c>
      <c r="H181" s="24"/>
      <c r="I181" s="26">
        <v>569637</v>
      </c>
      <c r="J181" s="26">
        <v>355570</v>
      </c>
      <c r="K181" s="26">
        <v>0</v>
      </c>
      <c r="L181" s="26">
        <v>0</v>
      </c>
      <c r="M181" s="26">
        <v>0</v>
      </c>
      <c r="N181" s="26">
        <v>0</v>
      </c>
      <c r="O181" s="26">
        <v>0</v>
      </c>
      <c r="P181" s="26">
        <v>0</v>
      </c>
      <c r="Q181" s="26">
        <v>0</v>
      </c>
      <c r="R181" s="26">
        <v>0</v>
      </c>
      <c r="S181" s="26">
        <v>0</v>
      </c>
      <c r="T181" s="26">
        <v>0</v>
      </c>
      <c r="U181" s="27">
        <v>1.8464626000000001E-2</v>
      </c>
      <c r="V181" s="27">
        <v>4.3920336999999997E-2</v>
      </c>
      <c r="W181" s="35">
        <v>434.35289661000002</v>
      </c>
      <c r="X181" s="34">
        <v>0.56999999999999995</v>
      </c>
      <c r="Y181" s="33" t="s">
        <v>1196</v>
      </c>
      <c r="Z181" s="32">
        <v>-28</v>
      </c>
      <c r="AA181" s="24"/>
      <c r="AB181" s="22" t="s">
        <v>1177</v>
      </c>
      <c r="AC181" s="22" t="s">
        <v>1176</v>
      </c>
      <c r="AD181" s="22" t="s">
        <v>1471</v>
      </c>
      <c r="AE181" s="22" t="s">
        <v>1237</v>
      </c>
      <c r="AF181" s="23">
        <v>3.0500000000000002E-3</v>
      </c>
      <c r="AG181" s="22" t="s">
        <v>1138</v>
      </c>
      <c r="AH181" s="22" t="s">
        <v>1123</v>
      </c>
    </row>
    <row r="182" spans="1:34" ht="19.899999999999999" customHeight="1" x14ac:dyDescent="0.25">
      <c r="A182" s="29" t="s">
        <v>1926</v>
      </c>
      <c r="B182" s="22" t="s">
        <v>1925</v>
      </c>
      <c r="C182" s="28" t="s">
        <v>1924</v>
      </c>
      <c r="D182" s="27">
        <v>1.8978289999999998E-2</v>
      </c>
      <c r="E182" s="27">
        <v>2.1251340000000001E-2</v>
      </c>
      <c r="F182" s="41">
        <v>483318</v>
      </c>
      <c r="G182" s="43">
        <v>483318</v>
      </c>
      <c r="H182" s="24"/>
      <c r="I182" s="26">
        <v>0</v>
      </c>
      <c r="J182" s="26">
        <v>0</v>
      </c>
      <c r="K182" s="26">
        <v>0</v>
      </c>
      <c r="L182" s="26">
        <v>0</v>
      </c>
      <c r="M182" s="26">
        <v>0</v>
      </c>
      <c r="N182" s="26">
        <v>0</v>
      </c>
      <c r="O182" s="26">
        <v>0</v>
      </c>
      <c r="P182" s="26">
        <v>0</v>
      </c>
      <c r="Q182" s="26">
        <v>0</v>
      </c>
      <c r="R182" s="26">
        <v>0</v>
      </c>
      <c r="S182" s="26">
        <v>0</v>
      </c>
      <c r="T182" s="26">
        <v>0</v>
      </c>
      <c r="U182" s="27">
        <v>3.0409474999999998E-2</v>
      </c>
      <c r="V182" s="27">
        <v>4.4852996999999999E-2</v>
      </c>
      <c r="W182" s="35">
        <v>536.77133356000002</v>
      </c>
      <c r="X182" s="34">
        <v>0.47</v>
      </c>
      <c r="Y182" s="38" t="s">
        <v>1366</v>
      </c>
      <c r="Z182" s="31">
        <v>84</v>
      </c>
      <c r="AA182" s="24"/>
      <c r="AB182" s="22" t="s">
        <v>1186</v>
      </c>
      <c r="AC182" s="22" t="s">
        <v>1176</v>
      </c>
      <c r="AD182" s="22" t="s">
        <v>1195</v>
      </c>
      <c r="AE182" s="22" t="s">
        <v>1237</v>
      </c>
      <c r="AF182" s="23">
        <v>4.8288900000000003</v>
      </c>
      <c r="AG182" s="22" t="s">
        <v>1124</v>
      </c>
      <c r="AH182" s="22" t="s">
        <v>1123</v>
      </c>
    </row>
    <row r="183" spans="1:34" ht="19.899999999999999" customHeight="1" x14ac:dyDescent="0.25">
      <c r="A183" s="29" t="s">
        <v>1914</v>
      </c>
      <c r="B183" s="22" t="s">
        <v>1913</v>
      </c>
      <c r="C183" s="28" t="s">
        <v>82</v>
      </c>
      <c r="D183" s="27">
        <v>1.744391E-2</v>
      </c>
      <c r="E183" s="27">
        <v>1.9533180000000001E-2</v>
      </c>
      <c r="F183" s="41">
        <v>444242</v>
      </c>
      <c r="G183" s="43">
        <v>19447</v>
      </c>
      <c r="H183" s="24"/>
      <c r="I183" s="26">
        <v>424795</v>
      </c>
      <c r="J183" s="26">
        <v>352673</v>
      </c>
      <c r="K183" s="26">
        <v>350768</v>
      </c>
      <c r="L183" s="26">
        <v>308258</v>
      </c>
      <c r="M183" s="26">
        <v>298508</v>
      </c>
      <c r="N183" s="26">
        <v>70014</v>
      </c>
      <c r="O183" s="26">
        <v>0</v>
      </c>
      <c r="P183" s="26">
        <v>0</v>
      </c>
      <c r="Q183" s="26">
        <v>0</v>
      </c>
      <c r="R183" s="26">
        <v>0</v>
      </c>
      <c r="S183" s="26">
        <v>0</v>
      </c>
      <c r="T183" s="26">
        <v>0</v>
      </c>
      <c r="U183" s="27">
        <v>1.1803288E-2</v>
      </c>
      <c r="V183" s="27">
        <v>4.2946804999999998E-2</v>
      </c>
      <c r="W183" s="35">
        <v>532.49490992999995</v>
      </c>
      <c r="X183" s="34">
        <v>0.45</v>
      </c>
      <c r="Y183" s="36" t="s">
        <v>1204</v>
      </c>
      <c r="Z183" s="32">
        <v>-125</v>
      </c>
      <c r="AA183" s="24"/>
      <c r="AB183" s="22" t="s">
        <v>1186</v>
      </c>
      <c r="AC183" s="22" t="s">
        <v>1176</v>
      </c>
      <c r="AD183" s="22" t="s">
        <v>1342</v>
      </c>
      <c r="AE183" s="22" t="s">
        <v>1237</v>
      </c>
      <c r="AF183" s="23">
        <v>0.51048000000000004</v>
      </c>
      <c r="AG183" s="22" t="s">
        <v>1138</v>
      </c>
      <c r="AH183" s="22" t="s">
        <v>1123</v>
      </c>
    </row>
    <row r="184" spans="1:34" ht="19.899999999999999" customHeight="1" x14ac:dyDescent="0.25">
      <c r="A184" s="29" t="s">
        <v>1912</v>
      </c>
      <c r="B184" s="22" t="s">
        <v>1911</v>
      </c>
      <c r="C184" s="28" t="s">
        <v>1910</v>
      </c>
      <c r="D184" s="27">
        <v>1.6356929999999999E-2</v>
      </c>
      <c r="E184" s="27">
        <v>1.8316010000000001E-2</v>
      </c>
      <c r="F184" s="41">
        <v>416560</v>
      </c>
      <c r="G184" s="44">
        <v>-252241</v>
      </c>
      <c r="H184" s="24"/>
      <c r="I184" s="26">
        <v>668801</v>
      </c>
      <c r="J184" s="26">
        <v>678327</v>
      </c>
      <c r="K184" s="26">
        <v>487769</v>
      </c>
      <c r="L184" s="26">
        <v>139252</v>
      </c>
      <c r="M184" s="26">
        <v>0</v>
      </c>
      <c r="N184" s="26">
        <v>0</v>
      </c>
      <c r="O184" s="26">
        <v>0</v>
      </c>
      <c r="P184" s="26">
        <v>0</v>
      </c>
      <c r="Q184" s="26">
        <v>0</v>
      </c>
      <c r="R184" s="26">
        <v>0</v>
      </c>
      <c r="S184" s="26">
        <v>0</v>
      </c>
      <c r="T184" s="26">
        <v>0</v>
      </c>
      <c r="U184" s="27">
        <v>1.4349159E-2</v>
      </c>
      <c r="V184" s="27">
        <v>2.8269985000000001E-2</v>
      </c>
      <c r="W184" s="35">
        <v>226.38277055</v>
      </c>
      <c r="X184" s="34">
        <v>0.65</v>
      </c>
      <c r="Y184" s="37" t="s">
        <v>1248</v>
      </c>
      <c r="Z184" s="32">
        <v>-844</v>
      </c>
      <c r="AA184" s="24"/>
      <c r="AB184" s="22" t="s">
        <v>1186</v>
      </c>
      <c r="AC184" s="22" t="s">
        <v>1176</v>
      </c>
      <c r="AD184" s="22" t="s">
        <v>1471</v>
      </c>
      <c r="AE184" s="22" t="s">
        <v>1174</v>
      </c>
      <c r="AF184" s="23">
        <v>3.8394599999999999</v>
      </c>
      <c r="AG184" s="22" t="s">
        <v>1138</v>
      </c>
      <c r="AH184" s="22" t="s">
        <v>1123</v>
      </c>
    </row>
    <row r="185" spans="1:34" ht="19.899999999999999" customHeight="1" x14ac:dyDescent="0.25">
      <c r="A185" s="29" t="s">
        <v>1909</v>
      </c>
      <c r="B185" s="22" t="s">
        <v>1908</v>
      </c>
      <c r="C185" s="28" t="s">
        <v>335</v>
      </c>
      <c r="D185" s="27">
        <v>1.6097960000000001E-2</v>
      </c>
      <c r="E185" s="27">
        <v>1.8026029999999998E-2</v>
      </c>
      <c r="F185" s="41">
        <v>409965</v>
      </c>
      <c r="G185" s="43">
        <v>139645</v>
      </c>
      <c r="H185" s="24"/>
      <c r="I185" s="26">
        <v>270320</v>
      </c>
      <c r="J185" s="26">
        <v>0</v>
      </c>
      <c r="K185" s="26">
        <v>0</v>
      </c>
      <c r="L185" s="26">
        <v>0</v>
      </c>
      <c r="M185" s="26">
        <v>0</v>
      </c>
      <c r="N185" s="26">
        <v>0</v>
      </c>
      <c r="O185" s="26">
        <v>0</v>
      </c>
      <c r="P185" s="26">
        <v>0</v>
      </c>
      <c r="Q185" s="26">
        <v>0</v>
      </c>
      <c r="R185" s="26">
        <v>0</v>
      </c>
      <c r="S185" s="26">
        <v>0</v>
      </c>
      <c r="T185" s="26">
        <v>0</v>
      </c>
      <c r="U185" s="27">
        <v>2.3732505000000001E-2</v>
      </c>
      <c r="V185" s="27">
        <v>3.5762740000000001E-2</v>
      </c>
      <c r="W185" s="35">
        <v>403.38510038999999</v>
      </c>
      <c r="X185" s="34">
        <v>0.5</v>
      </c>
      <c r="Y185" s="37" t="s">
        <v>1248</v>
      </c>
      <c r="Z185" s="32">
        <v>-38</v>
      </c>
      <c r="AA185" s="24"/>
      <c r="AB185" s="22" t="s">
        <v>1186</v>
      </c>
      <c r="AC185" s="22" t="s">
        <v>1176</v>
      </c>
      <c r="AD185" s="22" t="s">
        <v>1273</v>
      </c>
      <c r="AE185" s="22" t="s">
        <v>1237</v>
      </c>
      <c r="AF185" s="23">
        <v>0.17022999999999999</v>
      </c>
      <c r="AG185" s="22" t="s">
        <v>1135</v>
      </c>
      <c r="AH185" s="22" t="s">
        <v>1123</v>
      </c>
    </row>
    <row r="186" spans="1:34" ht="19.899999999999999" customHeight="1" x14ac:dyDescent="0.25">
      <c r="A186" s="29" t="s">
        <v>1894</v>
      </c>
      <c r="B186" s="22" t="s">
        <v>1893</v>
      </c>
      <c r="C186" s="28" t="s">
        <v>1892</v>
      </c>
      <c r="D186" s="27">
        <v>1.291053E-2</v>
      </c>
      <c r="E186" s="27">
        <v>1.445683E-2</v>
      </c>
      <c r="F186" s="41">
        <v>328791</v>
      </c>
      <c r="G186" s="43">
        <v>53287</v>
      </c>
      <c r="H186" s="24"/>
      <c r="I186" s="26">
        <v>275504</v>
      </c>
      <c r="J186" s="26">
        <v>247543</v>
      </c>
      <c r="K186" s="26">
        <v>247543</v>
      </c>
      <c r="L186" s="26">
        <v>224937</v>
      </c>
      <c r="M186" s="26">
        <v>224937</v>
      </c>
      <c r="N186" s="26">
        <v>0</v>
      </c>
      <c r="O186" s="26">
        <v>0</v>
      </c>
      <c r="P186" s="26">
        <v>0</v>
      </c>
      <c r="Q186" s="26">
        <v>0</v>
      </c>
      <c r="R186" s="26">
        <v>0</v>
      </c>
      <c r="S186" s="26">
        <v>0</v>
      </c>
      <c r="T186" s="26">
        <v>0</v>
      </c>
      <c r="U186" s="27">
        <v>7.3847299999999999E-3</v>
      </c>
      <c r="V186" s="27">
        <v>9.4849459999999993E-3</v>
      </c>
      <c r="W186" s="39">
        <v>-113.07537582</v>
      </c>
      <c r="X186" s="34">
        <v>1</v>
      </c>
      <c r="Y186" s="36" t="s">
        <v>1204</v>
      </c>
      <c r="Z186" s="22"/>
      <c r="AA186" s="24"/>
      <c r="AB186" s="22" t="s">
        <v>1186</v>
      </c>
      <c r="AC186" s="22" t="s">
        <v>1176</v>
      </c>
      <c r="AD186" s="22" t="s">
        <v>1118</v>
      </c>
      <c r="AE186" s="22" t="s">
        <v>1237</v>
      </c>
      <c r="AF186" s="23">
        <v>1.487E-2</v>
      </c>
      <c r="AG186" s="22" t="s">
        <v>1124</v>
      </c>
      <c r="AH186" s="22" t="s">
        <v>1123</v>
      </c>
    </row>
    <row r="187" spans="1:34" ht="19.899999999999999" customHeight="1" x14ac:dyDescent="0.25">
      <c r="A187" s="29" t="s">
        <v>1891</v>
      </c>
      <c r="B187" s="22" t="s">
        <v>1890</v>
      </c>
      <c r="C187" s="28" t="s">
        <v>1889</v>
      </c>
      <c r="D187" s="27">
        <v>1.14824E-2</v>
      </c>
      <c r="E187" s="27">
        <v>1.285766E-2</v>
      </c>
      <c r="F187" s="41">
        <v>292421</v>
      </c>
      <c r="G187" s="43">
        <v>205925</v>
      </c>
      <c r="H187" s="24"/>
      <c r="I187" s="26">
        <v>86496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  <c r="U187" s="27">
        <v>5.4301799999999997E-3</v>
      </c>
      <c r="V187" s="27">
        <v>1.0225023999999999E-2</v>
      </c>
      <c r="W187" s="39">
        <v>-59.87382109</v>
      </c>
      <c r="X187" s="34">
        <v>1</v>
      </c>
      <c r="Y187" s="30" t="s">
        <v>1178</v>
      </c>
      <c r="Z187" s="31">
        <v>182</v>
      </c>
      <c r="AA187" s="24"/>
      <c r="AB187" s="22" t="s">
        <v>1186</v>
      </c>
      <c r="AC187" s="22" t="s">
        <v>1176</v>
      </c>
      <c r="AD187" s="22" t="s">
        <v>1273</v>
      </c>
      <c r="AE187" s="22" t="s">
        <v>1174</v>
      </c>
      <c r="AF187" s="23">
        <v>6.8510000000000001E-2</v>
      </c>
      <c r="AG187" s="22" t="s">
        <v>1124</v>
      </c>
      <c r="AH187" s="22" t="s">
        <v>1123</v>
      </c>
    </row>
    <row r="188" spans="1:34" ht="19.899999999999999" customHeight="1" x14ac:dyDescent="0.25">
      <c r="A188" s="29" t="s">
        <v>1888</v>
      </c>
      <c r="B188" s="22" t="s">
        <v>1887</v>
      </c>
      <c r="C188" s="28" t="s">
        <v>1886</v>
      </c>
      <c r="D188" s="27">
        <v>1.112983E-2</v>
      </c>
      <c r="E188" s="27">
        <v>0</v>
      </c>
      <c r="F188" s="41">
        <v>283442</v>
      </c>
      <c r="G188" s="43">
        <v>283442</v>
      </c>
      <c r="H188" s="24"/>
      <c r="I188" s="26">
        <v>0</v>
      </c>
      <c r="J188" s="26">
        <v>0</v>
      </c>
      <c r="K188" s="26">
        <v>0</v>
      </c>
      <c r="L188" s="26">
        <v>0</v>
      </c>
      <c r="M188" s="26">
        <v>0</v>
      </c>
      <c r="N188" s="26">
        <v>0</v>
      </c>
      <c r="O188" s="26">
        <v>0</v>
      </c>
      <c r="P188" s="26">
        <v>0</v>
      </c>
      <c r="Q188" s="26">
        <v>0</v>
      </c>
      <c r="R188" s="26">
        <v>0</v>
      </c>
      <c r="S188" s="26">
        <v>0</v>
      </c>
      <c r="T188" s="26">
        <v>100000</v>
      </c>
      <c r="U188" s="22"/>
      <c r="V188" s="22"/>
      <c r="W188" s="22"/>
      <c r="X188" s="22"/>
      <c r="Y188" s="25"/>
      <c r="Z188" s="22"/>
      <c r="AA188" s="24"/>
      <c r="AB188" s="22" t="s">
        <v>1158</v>
      </c>
      <c r="AC188" s="22"/>
      <c r="AD188" s="22" t="s">
        <v>1118</v>
      </c>
      <c r="AE188" s="22" t="s">
        <v>1118</v>
      </c>
      <c r="AF188" s="23">
        <v>0</v>
      </c>
      <c r="AG188" s="22" t="s">
        <v>1138</v>
      </c>
      <c r="AH188" s="22" t="s">
        <v>1123</v>
      </c>
    </row>
    <row r="189" spans="1:34" ht="19.899999999999999" customHeight="1" x14ac:dyDescent="0.25">
      <c r="A189" s="29" t="s">
        <v>1867</v>
      </c>
      <c r="B189" s="22" t="s">
        <v>1866</v>
      </c>
      <c r="C189" s="28" t="s">
        <v>1865</v>
      </c>
      <c r="D189" s="27">
        <v>7.0926599999999998E-3</v>
      </c>
      <c r="E189" s="27">
        <v>7.9421500000000003E-3</v>
      </c>
      <c r="F189" s="41">
        <v>180628</v>
      </c>
      <c r="G189" s="44">
        <v>-162330</v>
      </c>
      <c r="H189" s="24"/>
      <c r="I189" s="26">
        <v>342958</v>
      </c>
      <c r="J189" s="26">
        <v>300921</v>
      </c>
      <c r="K189" s="26">
        <v>173169</v>
      </c>
      <c r="L189" s="26">
        <v>0</v>
      </c>
      <c r="M189" s="26">
        <v>0</v>
      </c>
      <c r="N189" s="26">
        <v>0</v>
      </c>
      <c r="O189" s="26">
        <v>0</v>
      </c>
      <c r="P189" s="26">
        <v>0</v>
      </c>
      <c r="Q189" s="26">
        <v>0</v>
      </c>
      <c r="R189" s="26">
        <v>0</v>
      </c>
      <c r="S189" s="26">
        <v>0</v>
      </c>
      <c r="T189" s="26">
        <v>0</v>
      </c>
      <c r="U189" s="22"/>
      <c r="V189" s="22"/>
      <c r="W189" s="22"/>
      <c r="X189" s="22"/>
      <c r="Y189" s="38" t="s">
        <v>1366</v>
      </c>
      <c r="Z189" s="32">
        <v>-1796</v>
      </c>
      <c r="AA189" s="24"/>
      <c r="AB189" s="22" t="s">
        <v>1177</v>
      </c>
      <c r="AC189" s="22" t="s">
        <v>1176</v>
      </c>
      <c r="AD189" s="22" t="s">
        <v>1273</v>
      </c>
      <c r="AE189" s="22" t="s">
        <v>1174</v>
      </c>
      <c r="AF189" s="23">
        <v>19.971769999999999</v>
      </c>
      <c r="AG189" s="22" t="s">
        <v>1185</v>
      </c>
      <c r="AH189" s="22" t="s">
        <v>1184</v>
      </c>
    </row>
    <row r="190" spans="1:34" ht="19.899999999999999" customHeight="1" x14ac:dyDescent="0.25">
      <c r="A190" s="29" t="s">
        <v>1809</v>
      </c>
      <c r="B190" s="22" t="s">
        <v>1808</v>
      </c>
      <c r="C190" s="28" t="s">
        <v>1807</v>
      </c>
      <c r="D190" s="27">
        <v>2.1824800000000001E-3</v>
      </c>
      <c r="E190" s="27">
        <v>0</v>
      </c>
      <c r="F190" s="41">
        <v>55581</v>
      </c>
      <c r="G190" s="44">
        <v>-867</v>
      </c>
      <c r="H190" s="24"/>
      <c r="I190" s="26">
        <v>56448</v>
      </c>
      <c r="J190" s="26">
        <v>0</v>
      </c>
      <c r="K190" s="26">
        <v>0</v>
      </c>
      <c r="L190" s="26">
        <v>0</v>
      </c>
      <c r="M190" s="26">
        <v>0</v>
      </c>
      <c r="N190" s="26">
        <v>0</v>
      </c>
      <c r="O190" s="26">
        <v>0</v>
      </c>
      <c r="P190" s="26">
        <v>0</v>
      </c>
      <c r="Q190" s="26">
        <v>0</v>
      </c>
      <c r="R190" s="26">
        <v>0</v>
      </c>
      <c r="S190" s="26">
        <v>0</v>
      </c>
      <c r="T190" s="26">
        <v>0</v>
      </c>
      <c r="U190" s="22"/>
      <c r="V190" s="22"/>
      <c r="W190" s="22"/>
      <c r="X190" s="22"/>
      <c r="Y190" s="25"/>
      <c r="Z190" s="22"/>
      <c r="AA190" s="24"/>
      <c r="AB190" s="22" t="s">
        <v>1222</v>
      </c>
      <c r="AC190" s="22" t="s">
        <v>1169</v>
      </c>
      <c r="AD190" s="22" t="s">
        <v>1118</v>
      </c>
      <c r="AE190" s="22" t="s">
        <v>1174</v>
      </c>
      <c r="AF190" s="23">
        <v>1.1E-4</v>
      </c>
      <c r="AG190" s="22" t="s">
        <v>1173</v>
      </c>
      <c r="AH190" s="22" t="s">
        <v>1141</v>
      </c>
    </row>
    <row r="191" spans="1:34" ht="19.899999999999999" customHeight="1" x14ac:dyDescent="0.25">
      <c r="A191" s="29" t="s">
        <v>1806</v>
      </c>
      <c r="B191" s="22" t="s">
        <v>1805</v>
      </c>
      <c r="C191" s="28" t="s">
        <v>1804</v>
      </c>
      <c r="D191" s="27">
        <v>1.9252799999999999E-3</v>
      </c>
      <c r="E191" s="27">
        <v>0</v>
      </c>
      <c r="F191" s="41">
        <v>49031</v>
      </c>
      <c r="G191" s="43">
        <v>675</v>
      </c>
      <c r="H191" s="24"/>
      <c r="I191" s="26">
        <v>48356</v>
      </c>
      <c r="J191" s="26">
        <v>43154</v>
      </c>
      <c r="K191" s="26">
        <v>64805</v>
      </c>
      <c r="L191" s="26">
        <v>55359</v>
      </c>
      <c r="M191" s="26">
        <v>13931</v>
      </c>
      <c r="N191" s="26">
        <v>1473</v>
      </c>
      <c r="O191" s="26">
        <v>0</v>
      </c>
      <c r="P191" s="26">
        <v>0</v>
      </c>
      <c r="Q191" s="26">
        <v>0</v>
      </c>
      <c r="R191" s="26">
        <v>0</v>
      </c>
      <c r="S191" s="26">
        <v>0</v>
      </c>
      <c r="T191" s="26">
        <v>0</v>
      </c>
      <c r="U191" s="22"/>
      <c r="V191" s="22"/>
      <c r="W191" s="22"/>
      <c r="X191" s="22"/>
      <c r="Y191" s="25"/>
      <c r="Z191" s="22"/>
      <c r="AA191" s="24"/>
      <c r="AB191" s="22" t="s">
        <v>1222</v>
      </c>
      <c r="AC191" s="22" t="s">
        <v>1169</v>
      </c>
      <c r="AD191" s="22" t="s">
        <v>1118</v>
      </c>
      <c r="AE191" s="22" t="s">
        <v>1174</v>
      </c>
      <c r="AF191" s="23">
        <v>9.5E-4</v>
      </c>
      <c r="AG191" s="22" t="s">
        <v>1185</v>
      </c>
      <c r="AH191" s="22" t="s">
        <v>1184</v>
      </c>
    </row>
    <row r="192" spans="1:34" ht="19.899999999999999" customHeight="1" x14ac:dyDescent="0.25">
      <c r="A192" s="29" t="s">
        <v>1803</v>
      </c>
      <c r="B192" s="22" t="s">
        <v>1802</v>
      </c>
      <c r="C192" s="28" t="s">
        <v>1801</v>
      </c>
      <c r="D192" s="27">
        <v>1.5827599999999999E-3</v>
      </c>
      <c r="E192" s="27">
        <v>0</v>
      </c>
      <c r="F192" s="41">
        <v>40308</v>
      </c>
      <c r="G192" s="41">
        <v>0</v>
      </c>
      <c r="H192" s="24"/>
      <c r="I192" s="26">
        <v>40308</v>
      </c>
      <c r="J192" s="26">
        <v>0</v>
      </c>
      <c r="K192" s="26">
        <v>0</v>
      </c>
      <c r="L192" s="26">
        <v>0</v>
      </c>
      <c r="M192" s="26">
        <v>0</v>
      </c>
      <c r="N192" s="26">
        <v>0</v>
      </c>
      <c r="O192" s="26">
        <v>0</v>
      </c>
      <c r="P192" s="26">
        <v>0</v>
      </c>
      <c r="Q192" s="26">
        <v>0</v>
      </c>
      <c r="R192" s="26">
        <v>0</v>
      </c>
      <c r="S192" s="26">
        <v>0</v>
      </c>
      <c r="T192" s="26">
        <v>0</v>
      </c>
      <c r="U192" s="22"/>
      <c r="V192" s="22"/>
      <c r="W192" s="22"/>
      <c r="X192" s="22"/>
      <c r="Y192" s="25"/>
      <c r="Z192" s="22"/>
      <c r="AA192" s="24"/>
      <c r="AB192" s="22" t="s">
        <v>1170</v>
      </c>
      <c r="AC192" s="22"/>
      <c r="AD192" s="22" t="s">
        <v>1118</v>
      </c>
      <c r="AE192" s="22" t="s">
        <v>1118</v>
      </c>
      <c r="AF192" s="23">
        <v>0</v>
      </c>
      <c r="AG192" s="22" t="s">
        <v>1800</v>
      </c>
      <c r="AH192" s="22" t="s">
        <v>1189</v>
      </c>
    </row>
    <row r="193" spans="1:34" ht="19.899999999999999" customHeight="1" x14ac:dyDescent="0.25">
      <c r="A193" s="29" t="s">
        <v>1799</v>
      </c>
      <c r="B193" s="22" t="s">
        <v>1798</v>
      </c>
      <c r="C193" s="28" t="s">
        <v>1797</v>
      </c>
      <c r="D193" s="27">
        <v>1.5706699999999999E-3</v>
      </c>
      <c r="E193" s="27">
        <v>1.7587900000000001E-3</v>
      </c>
      <c r="F193" s="41">
        <v>40000</v>
      </c>
      <c r="G193" s="43">
        <v>900</v>
      </c>
      <c r="H193" s="24"/>
      <c r="I193" s="26">
        <v>39100</v>
      </c>
      <c r="J193" s="26">
        <v>32710</v>
      </c>
      <c r="K193" s="26">
        <v>20041</v>
      </c>
      <c r="L193" s="26">
        <v>20041</v>
      </c>
      <c r="M193" s="26">
        <v>0</v>
      </c>
      <c r="N193" s="26">
        <v>0</v>
      </c>
      <c r="O193" s="26">
        <v>0</v>
      </c>
      <c r="P193" s="26">
        <v>0</v>
      </c>
      <c r="Q193" s="26">
        <v>0</v>
      </c>
      <c r="R193" s="26">
        <v>0</v>
      </c>
      <c r="S193" s="26">
        <v>0</v>
      </c>
      <c r="T193" s="26">
        <v>0</v>
      </c>
      <c r="U193" s="27">
        <v>5.2638049999999999E-3</v>
      </c>
      <c r="V193" s="27">
        <v>7.4827369999999997E-3</v>
      </c>
      <c r="W193" s="35">
        <v>130.17949100999999</v>
      </c>
      <c r="X193" s="34">
        <v>0.24</v>
      </c>
      <c r="Y193" s="33" t="s">
        <v>1196</v>
      </c>
      <c r="Z193" s="32">
        <v>-74</v>
      </c>
      <c r="AA193" s="24"/>
      <c r="AB193" s="22" t="s">
        <v>1177</v>
      </c>
      <c r="AC193" s="22" t="s">
        <v>1176</v>
      </c>
      <c r="AD193" s="22" t="s">
        <v>1273</v>
      </c>
      <c r="AE193" s="22" t="s">
        <v>1174</v>
      </c>
      <c r="AF193" s="23">
        <v>0.89829999999999999</v>
      </c>
      <c r="AG193" s="22" t="s">
        <v>1138</v>
      </c>
      <c r="AH193" s="22" t="s">
        <v>1123</v>
      </c>
    </row>
    <row r="194" spans="1:34" ht="19.899999999999999" customHeight="1" x14ac:dyDescent="0.25">
      <c r="A194" s="29" t="s">
        <v>1796</v>
      </c>
      <c r="B194" s="22" t="s">
        <v>1795</v>
      </c>
      <c r="C194" s="28" t="s">
        <v>1794</v>
      </c>
      <c r="D194" s="27">
        <v>1.4880900000000001E-3</v>
      </c>
      <c r="E194" s="27">
        <v>1.66632E-3</v>
      </c>
      <c r="F194" s="41">
        <v>37897</v>
      </c>
      <c r="G194" s="41">
        <v>0</v>
      </c>
      <c r="H194" s="24"/>
      <c r="I194" s="26">
        <v>37897</v>
      </c>
      <c r="J194" s="26">
        <v>39000</v>
      </c>
      <c r="K194" s="26">
        <v>39000</v>
      </c>
      <c r="L194" s="26">
        <v>39000</v>
      </c>
      <c r="M194" s="26">
        <v>0</v>
      </c>
      <c r="N194" s="26">
        <v>0</v>
      </c>
      <c r="O194" s="26">
        <v>0</v>
      </c>
      <c r="P194" s="26">
        <v>0</v>
      </c>
      <c r="Q194" s="26">
        <v>0</v>
      </c>
      <c r="R194" s="26">
        <v>0</v>
      </c>
      <c r="S194" s="26">
        <v>0</v>
      </c>
      <c r="T194" s="26">
        <v>0</v>
      </c>
      <c r="U194" s="27">
        <v>3.862323E-3</v>
      </c>
      <c r="V194" s="27">
        <v>6.0032560000000002E-3</v>
      </c>
      <c r="W194" s="35">
        <v>98.63473304</v>
      </c>
      <c r="X194" s="34">
        <v>0.28000000000000003</v>
      </c>
      <c r="Y194" s="30" t="s">
        <v>1178</v>
      </c>
      <c r="Z194" s="22"/>
      <c r="AA194" s="24"/>
      <c r="AB194" s="22" t="s">
        <v>1472</v>
      </c>
      <c r="AC194" s="22" t="s">
        <v>1176</v>
      </c>
      <c r="AD194" s="22" t="s">
        <v>1118</v>
      </c>
      <c r="AE194" s="22" t="s">
        <v>1174</v>
      </c>
      <c r="AF194" s="23">
        <v>2.6859999999999998E-2</v>
      </c>
      <c r="AG194" s="22" t="s">
        <v>1124</v>
      </c>
      <c r="AH194" s="22" t="s">
        <v>1123</v>
      </c>
    </row>
    <row r="195" spans="1:34" ht="19.899999999999999" customHeight="1" x14ac:dyDescent="0.25">
      <c r="A195" s="29" t="s">
        <v>1793</v>
      </c>
      <c r="B195" s="22" t="s">
        <v>1792</v>
      </c>
      <c r="C195" s="28" t="s">
        <v>1791</v>
      </c>
      <c r="D195" s="27">
        <v>1.4245600000000001E-3</v>
      </c>
      <c r="E195" s="27">
        <v>1.5951800000000001E-3</v>
      </c>
      <c r="F195" s="41">
        <v>36279</v>
      </c>
      <c r="G195" s="44">
        <v>-26406</v>
      </c>
      <c r="H195" s="24"/>
      <c r="I195" s="26">
        <v>62685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6">
        <v>0</v>
      </c>
      <c r="Q195" s="26">
        <v>0</v>
      </c>
      <c r="R195" s="26">
        <v>0</v>
      </c>
      <c r="S195" s="26">
        <v>0</v>
      </c>
      <c r="T195" s="26">
        <v>0</v>
      </c>
      <c r="U195" s="27">
        <v>1.0211759999999999E-3</v>
      </c>
      <c r="V195" s="27">
        <v>1.64423E-3</v>
      </c>
      <c r="W195" s="35">
        <v>1.11563575</v>
      </c>
      <c r="X195" s="34">
        <v>0.97</v>
      </c>
      <c r="Y195" s="33" t="s">
        <v>1196</v>
      </c>
      <c r="Z195" s="22"/>
      <c r="AA195" s="24"/>
      <c r="AB195" s="22" t="s">
        <v>1177</v>
      </c>
      <c r="AC195" s="22" t="s">
        <v>1176</v>
      </c>
      <c r="AD195" s="22" t="s">
        <v>1175</v>
      </c>
      <c r="AE195" s="22" t="s">
        <v>1237</v>
      </c>
      <c r="AF195" s="23">
        <v>0.44973000000000002</v>
      </c>
      <c r="AG195" s="22" t="s">
        <v>1407</v>
      </c>
      <c r="AH195" s="22" t="s">
        <v>1164</v>
      </c>
    </row>
    <row r="196" spans="1:34" ht="19.899999999999999" customHeight="1" x14ac:dyDescent="0.25">
      <c r="A196" s="29" t="s">
        <v>1787</v>
      </c>
      <c r="B196" s="22" t="s">
        <v>1786</v>
      </c>
      <c r="C196" s="28" t="s">
        <v>1785</v>
      </c>
      <c r="D196" s="27">
        <v>1.0990399999999999E-3</v>
      </c>
      <c r="E196" s="27">
        <v>1.2306699999999999E-3</v>
      </c>
      <c r="F196" s="41">
        <v>27989</v>
      </c>
      <c r="G196" s="43">
        <v>2800</v>
      </c>
      <c r="H196" s="24"/>
      <c r="I196" s="26">
        <v>25189</v>
      </c>
      <c r="J196" s="26">
        <v>0</v>
      </c>
      <c r="K196" s="26">
        <v>0</v>
      </c>
      <c r="L196" s="26">
        <v>0</v>
      </c>
      <c r="M196" s="26">
        <v>0</v>
      </c>
      <c r="N196" s="26">
        <v>0</v>
      </c>
      <c r="O196" s="26">
        <v>0</v>
      </c>
      <c r="P196" s="26">
        <v>0</v>
      </c>
      <c r="Q196" s="26">
        <v>0</v>
      </c>
      <c r="R196" s="26">
        <v>0</v>
      </c>
      <c r="S196" s="26">
        <v>0</v>
      </c>
      <c r="T196" s="26">
        <v>0</v>
      </c>
      <c r="U196" s="22"/>
      <c r="V196" s="22"/>
      <c r="W196" s="22"/>
      <c r="X196" s="22"/>
      <c r="Y196" s="33" t="s">
        <v>1196</v>
      </c>
      <c r="Z196" s="32">
        <v>-40</v>
      </c>
      <c r="AA196" s="24"/>
      <c r="AB196" s="22" t="s">
        <v>1186</v>
      </c>
      <c r="AC196" s="22" t="s">
        <v>1176</v>
      </c>
      <c r="AD196" s="22" t="s">
        <v>1471</v>
      </c>
      <c r="AE196" s="22" t="s">
        <v>1174</v>
      </c>
      <c r="AF196" s="23">
        <v>1.8267500000000001</v>
      </c>
      <c r="AG196" s="22" t="s">
        <v>1365</v>
      </c>
      <c r="AH196" s="22" t="s">
        <v>1365</v>
      </c>
    </row>
    <row r="197" spans="1:34" ht="19.899999999999999" customHeight="1" x14ac:dyDescent="0.25">
      <c r="A197" s="29" t="s">
        <v>1775</v>
      </c>
      <c r="B197" s="22" t="s">
        <v>1774</v>
      </c>
      <c r="C197" s="28" t="s">
        <v>1773</v>
      </c>
      <c r="D197" s="27">
        <v>9.0890999999999997E-4</v>
      </c>
      <c r="E197" s="27">
        <v>1.0177700000000001E-3</v>
      </c>
      <c r="F197" s="41">
        <v>23147</v>
      </c>
      <c r="G197" s="41">
        <v>0</v>
      </c>
      <c r="H197" s="24"/>
      <c r="I197" s="26">
        <v>23147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7">
        <v>5.0220969999999997E-3</v>
      </c>
      <c r="V197" s="27">
        <v>1.9376647E-2</v>
      </c>
      <c r="W197" s="35">
        <v>417.53505575999998</v>
      </c>
      <c r="X197" s="34">
        <v>0.05</v>
      </c>
      <c r="Y197" s="36" t="s">
        <v>1204</v>
      </c>
      <c r="Z197" s="31">
        <v>1674</v>
      </c>
      <c r="AA197" s="24"/>
      <c r="AB197" s="22" t="s">
        <v>1186</v>
      </c>
      <c r="AC197" s="22" t="s">
        <v>1169</v>
      </c>
      <c r="AD197" s="22" t="s">
        <v>1518</v>
      </c>
      <c r="AE197" s="22" t="s">
        <v>1174</v>
      </c>
      <c r="AF197" s="23">
        <v>10.04787</v>
      </c>
      <c r="AG197" s="22" t="s">
        <v>1138</v>
      </c>
      <c r="AH197" s="22" t="s">
        <v>1123</v>
      </c>
    </row>
    <row r="198" spans="1:34" ht="19.899999999999999" customHeight="1" x14ac:dyDescent="0.25">
      <c r="A198" s="29" t="s">
        <v>1769</v>
      </c>
      <c r="B198" s="22" t="s">
        <v>1768</v>
      </c>
      <c r="C198" s="28" t="s">
        <v>1767</v>
      </c>
      <c r="D198" s="27">
        <v>8.5530999999999997E-4</v>
      </c>
      <c r="E198" s="27">
        <v>9.5775000000000005E-4</v>
      </c>
      <c r="F198" s="41">
        <v>21782</v>
      </c>
      <c r="G198" s="43">
        <v>21782</v>
      </c>
      <c r="H198" s="24"/>
      <c r="I198" s="26">
        <v>0</v>
      </c>
      <c r="J198" s="26">
        <v>0</v>
      </c>
      <c r="K198" s="26">
        <v>0</v>
      </c>
      <c r="L198" s="26">
        <v>0</v>
      </c>
      <c r="M198" s="26">
        <v>0</v>
      </c>
      <c r="N198" s="26">
        <v>53413</v>
      </c>
      <c r="O198" s="26">
        <v>0</v>
      </c>
      <c r="P198" s="26">
        <v>0</v>
      </c>
      <c r="Q198" s="26">
        <v>0</v>
      </c>
      <c r="R198" s="26">
        <v>0</v>
      </c>
      <c r="S198" s="26">
        <v>0</v>
      </c>
      <c r="T198" s="26">
        <v>0</v>
      </c>
      <c r="U198" s="27">
        <v>2.4550079999999998E-3</v>
      </c>
      <c r="V198" s="27">
        <v>4.1204980000000002E-3</v>
      </c>
      <c r="W198" s="35">
        <v>71.930267630000003</v>
      </c>
      <c r="X198" s="34">
        <v>0.23</v>
      </c>
      <c r="Y198" s="38" t="s">
        <v>1366</v>
      </c>
      <c r="Z198" s="22"/>
      <c r="AA198" s="24"/>
      <c r="AB198" s="22" t="s">
        <v>1186</v>
      </c>
      <c r="AC198" s="22"/>
      <c r="AD198" s="22" t="s">
        <v>1118</v>
      </c>
      <c r="AE198" s="22" t="s">
        <v>1118</v>
      </c>
      <c r="AF198" s="23">
        <v>0</v>
      </c>
      <c r="AG198" s="22" t="s">
        <v>1138</v>
      </c>
      <c r="AH198" s="22" t="s">
        <v>1123</v>
      </c>
    </row>
    <row r="199" spans="1:34" ht="19.899999999999999" customHeight="1" x14ac:dyDescent="0.25">
      <c r="A199" s="29" t="s">
        <v>1760</v>
      </c>
      <c r="B199" s="22" t="s">
        <v>1759</v>
      </c>
      <c r="C199" s="28" t="s">
        <v>1758</v>
      </c>
      <c r="D199" s="27">
        <v>7.7685000000000004E-4</v>
      </c>
      <c r="E199" s="27">
        <v>0</v>
      </c>
      <c r="F199" s="41">
        <v>19784</v>
      </c>
      <c r="G199" s="44">
        <v>-3496</v>
      </c>
      <c r="H199" s="24"/>
      <c r="I199" s="26">
        <v>23280</v>
      </c>
      <c r="J199" s="26">
        <v>0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6">
        <v>0</v>
      </c>
      <c r="Q199" s="26">
        <v>0</v>
      </c>
      <c r="R199" s="26">
        <v>1366</v>
      </c>
      <c r="S199" s="26">
        <v>0</v>
      </c>
      <c r="T199" s="26">
        <v>78486</v>
      </c>
      <c r="U199" s="22"/>
      <c r="V199" s="22"/>
      <c r="W199" s="22"/>
      <c r="X199" s="22"/>
      <c r="Y199" s="25"/>
      <c r="Z199" s="22"/>
      <c r="AA199" s="24"/>
      <c r="AB199" s="22" t="s">
        <v>1222</v>
      </c>
      <c r="AC199" s="22" t="s">
        <v>1169</v>
      </c>
      <c r="AD199" s="22" t="s">
        <v>1118</v>
      </c>
      <c r="AE199" s="22" t="s">
        <v>1168</v>
      </c>
      <c r="AF199" s="23">
        <v>0</v>
      </c>
      <c r="AG199" s="22" t="s">
        <v>1138</v>
      </c>
      <c r="AH199" s="22" t="s">
        <v>1123</v>
      </c>
    </row>
    <row r="200" spans="1:34" ht="19.899999999999999" customHeight="1" x14ac:dyDescent="0.25">
      <c r="A200" s="29" t="s">
        <v>1748</v>
      </c>
      <c r="B200" s="22" t="s">
        <v>1747</v>
      </c>
      <c r="C200" s="28" t="s">
        <v>1746</v>
      </c>
      <c r="D200" s="27">
        <v>5.8931000000000001E-4</v>
      </c>
      <c r="E200" s="27">
        <v>6.5990000000000005E-4</v>
      </c>
      <c r="F200" s="41">
        <v>15008</v>
      </c>
      <c r="G200" s="41">
        <v>0</v>
      </c>
      <c r="H200" s="24"/>
      <c r="I200" s="26">
        <v>15008</v>
      </c>
      <c r="J200" s="26">
        <v>8836</v>
      </c>
      <c r="K200" s="26">
        <v>8637</v>
      </c>
      <c r="L200" s="26">
        <v>8832</v>
      </c>
      <c r="M200" s="26">
        <v>5840</v>
      </c>
      <c r="N200" s="26">
        <v>5840</v>
      </c>
      <c r="O200" s="26">
        <v>5840</v>
      </c>
      <c r="P200" s="26">
        <v>0</v>
      </c>
      <c r="Q200" s="26">
        <v>0</v>
      </c>
      <c r="R200" s="26">
        <v>0</v>
      </c>
      <c r="S200" s="26">
        <v>0</v>
      </c>
      <c r="T200" s="26">
        <v>0</v>
      </c>
      <c r="U200" s="27">
        <v>2.8005090000000001E-3</v>
      </c>
      <c r="V200" s="27">
        <v>1.0085665000000001E-2</v>
      </c>
      <c r="W200" s="35">
        <v>214.36974455000001</v>
      </c>
      <c r="X200" s="34">
        <v>7.0000000000000007E-2</v>
      </c>
      <c r="Y200" s="37" t="s">
        <v>1248</v>
      </c>
      <c r="Z200" s="31">
        <v>281</v>
      </c>
      <c r="AA200" s="24"/>
      <c r="AB200" s="22" t="s">
        <v>1177</v>
      </c>
      <c r="AC200" s="22" t="s">
        <v>1176</v>
      </c>
      <c r="AD200" s="22" t="s">
        <v>1594</v>
      </c>
      <c r="AE200" s="22" t="s">
        <v>1174</v>
      </c>
      <c r="AF200" s="23">
        <v>136.74969999999999</v>
      </c>
      <c r="AG200" s="22" t="s">
        <v>1185</v>
      </c>
      <c r="AH200" s="22" t="s">
        <v>1184</v>
      </c>
    </row>
    <row r="201" spans="1:34" ht="19.899999999999999" customHeight="1" x14ac:dyDescent="0.25">
      <c r="A201" s="29" t="s">
        <v>1745</v>
      </c>
      <c r="B201" s="22" t="s">
        <v>1744</v>
      </c>
      <c r="C201" s="28" t="s">
        <v>1743</v>
      </c>
      <c r="D201" s="27">
        <v>5.8900000000000001E-4</v>
      </c>
      <c r="E201" s="27">
        <v>6.5954999999999996E-4</v>
      </c>
      <c r="F201" s="41">
        <v>15000</v>
      </c>
      <c r="G201" s="43">
        <v>1500</v>
      </c>
      <c r="H201" s="24"/>
      <c r="I201" s="26">
        <v>13500</v>
      </c>
      <c r="J201" s="26">
        <v>13500</v>
      </c>
      <c r="K201" s="26">
        <v>1500</v>
      </c>
      <c r="L201" s="26">
        <v>0</v>
      </c>
      <c r="M201" s="26">
        <v>0</v>
      </c>
      <c r="N201" s="26">
        <v>0</v>
      </c>
      <c r="O201" s="26">
        <v>0</v>
      </c>
      <c r="P201" s="26">
        <v>0</v>
      </c>
      <c r="Q201" s="26">
        <v>0</v>
      </c>
      <c r="R201" s="26">
        <v>0</v>
      </c>
      <c r="S201" s="26">
        <v>0</v>
      </c>
      <c r="T201" s="26">
        <v>4400</v>
      </c>
      <c r="U201" s="27">
        <v>6.6149600000000002E-4</v>
      </c>
      <c r="V201" s="27">
        <v>1.0596550000000001E-3</v>
      </c>
      <c r="W201" s="35">
        <v>9.0996775000000003</v>
      </c>
      <c r="X201" s="34">
        <v>0.62</v>
      </c>
      <c r="Y201" s="30" t="s">
        <v>1178</v>
      </c>
      <c r="Z201" s="31">
        <v>6</v>
      </c>
      <c r="AA201" s="24"/>
      <c r="AB201" s="22" t="s">
        <v>1186</v>
      </c>
      <c r="AC201" s="22" t="s">
        <v>1176</v>
      </c>
      <c r="AD201" s="22" t="s">
        <v>1273</v>
      </c>
      <c r="AE201" s="22" t="s">
        <v>1174</v>
      </c>
      <c r="AF201" s="23">
        <v>1.9400000000000001E-3</v>
      </c>
      <c r="AG201" s="22" t="s">
        <v>1329</v>
      </c>
      <c r="AH201" s="22" t="s">
        <v>1123</v>
      </c>
    </row>
    <row r="202" spans="1:34" ht="19.899999999999999" customHeight="1" x14ac:dyDescent="0.25">
      <c r="A202" s="29" t="s">
        <v>1739</v>
      </c>
      <c r="B202" s="22" t="s">
        <v>1738</v>
      </c>
      <c r="C202" s="28" t="s">
        <v>1737</v>
      </c>
      <c r="D202" s="27">
        <v>4.7449999999999999E-4</v>
      </c>
      <c r="E202" s="27">
        <v>5.3133E-4</v>
      </c>
      <c r="F202" s="41">
        <v>12084</v>
      </c>
      <c r="G202" s="44">
        <v>-676</v>
      </c>
      <c r="H202" s="24"/>
      <c r="I202" s="26">
        <v>12760</v>
      </c>
      <c r="J202" s="26">
        <v>0</v>
      </c>
      <c r="K202" s="26">
        <v>0</v>
      </c>
      <c r="L202" s="26">
        <v>0</v>
      </c>
      <c r="M202" s="26">
        <v>0</v>
      </c>
      <c r="N202" s="26">
        <v>0</v>
      </c>
      <c r="O202" s="26">
        <v>0</v>
      </c>
      <c r="P202" s="26">
        <v>0</v>
      </c>
      <c r="Q202" s="26">
        <v>0</v>
      </c>
      <c r="R202" s="26">
        <v>0</v>
      </c>
      <c r="S202" s="26">
        <v>0</v>
      </c>
      <c r="T202" s="26">
        <v>0</v>
      </c>
      <c r="U202" s="27">
        <v>1.7672197000000001E-2</v>
      </c>
      <c r="V202" s="27">
        <v>2.9114813999999999E-2</v>
      </c>
      <c r="W202" s="35">
        <v>650.07267172000002</v>
      </c>
      <c r="X202" s="34">
        <v>0.02</v>
      </c>
      <c r="Y202" s="38" t="s">
        <v>1366</v>
      </c>
      <c r="Z202" s="32">
        <v>-3540</v>
      </c>
      <c r="AA202" s="24"/>
      <c r="AB202" s="22" t="s">
        <v>1177</v>
      </c>
      <c r="AC202" s="22" t="s">
        <v>1176</v>
      </c>
      <c r="AD202" s="22" t="s">
        <v>1594</v>
      </c>
      <c r="AE202" s="22" t="s">
        <v>1174</v>
      </c>
      <c r="AF202" s="23">
        <v>53.803789999999999</v>
      </c>
      <c r="AG202" s="22" t="s">
        <v>1185</v>
      </c>
      <c r="AH202" s="22" t="s">
        <v>1184</v>
      </c>
    </row>
    <row r="203" spans="1:34" ht="19.899999999999999" customHeight="1" x14ac:dyDescent="0.25">
      <c r="A203" s="29" t="s">
        <v>1733</v>
      </c>
      <c r="B203" s="22" t="s">
        <v>1732</v>
      </c>
      <c r="C203" s="28" t="s">
        <v>1731</v>
      </c>
      <c r="D203" s="27">
        <v>3.9267000000000002E-4</v>
      </c>
      <c r="E203" s="27">
        <v>0</v>
      </c>
      <c r="F203" s="41">
        <v>10000</v>
      </c>
      <c r="G203" s="43">
        <v>5000</v>
      </c>
      <c r="H203" s="24"/>
      <c r="I203" s="26">
        <v>5000</v>
      </c>
      <c r="J203" s="26">
        <v>5000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6">
        <v>0</v>
      </c>
      <c r="Q203" s="26">
        <v>0</v>
      </c>
      <c r="R203" s="26">
        <v>0</v>
      </c>
      <c r="S203" s="26">
        <v>0</v>
      </c>
      <c r="T203" s="26">
        <v>0</v>
      </c>
      <c r="U203" s="22"/>
      <c r="V203" s="22"/>
      <c r="W203" s="22"/>
      <c r="X203" s="22"/>
      <c r="Y203" s="25"/>
      <c r="Z203" s="22"/>
      <c r="AA203" s="24"/>
      <c r="AB203" s="22" t="s">
        <v>1161</v>
      </c>
      <c r="AC203" s="22"/>
      <c r="AD203" s="22" t="s">
        <v>1118</v>
      </c>
      <c r="AE203" s="22" t="s">
        <v>1118</v>
      </c>
      <c r="AF203" s="23">
        <v>0</v>
      </c>
      <c r="AG203" s="22" t="s">
        <v>1135</v>
      </c>
      <c r="AH203" s="22" t="s">
        <v>1123</v>
      </c>
    </row>
    <row r="204" spans="1:34" ht="19.899999999999999" customHeight="1" x14ac:dyDescent="0.25">
      <c r="A204" s="29" t="s">
        <v>1720</v>
      </c>
      <c r="B204" s="22" t="s">
        <v>1719</v>
      </c>
      <c r="C204" s="28" t="s">
        <v>1718</v>
      </c>
      <c r="D204" s="27">
        <v>3.3377E-4</v>
      </c>
      <c r="E204" s="27">
        <v>0</v>
      </c>
      <c r="F204" s="41">
        <v>8500</v>
      </c>
      <c r="G204" s="43">
        <v>1350</v>
      </c>
      <c r="H204" s="24"/>
      <c r="I204" s="26">
        <v>7150</v>
      </c>
      <c r="J204" s="26">
        <v>5722</v>
      </c>
      <c r="K204" s="26">
        <v>0</v>
      </c>
      <c r="L204" s="26">
        <v>0</v>
      </c>
      <c r="M204" s="26">
        <v>0</v>
      </c>
      <c r="N204" s="26">
        <v>0</v>
      </c>
      <c r="O204" s="26">
        <v>0</v>
      </c>
      <c r="P204" s="26">
        <v>0</v>
      </c>
      <c r="Q204" s="26">
        <v>0</v>
      </c>
      <c r="R204" s="26">
        <v>0</v>
      </c>
      <c r="S204" s="26">
        <v>0</v>
      </c>
      <c r="T204" s="26">
        <v>0</v>
      </c>
      <c r="U204" s="22"/>
      <c r="V204" s="22"/>
      <c r="W204" s="22"/>
      <c r="X204" s="22"/>
      <c r="Y204" s="25"/>
      <c r="Z204" s="22"/>
      <c r="AA204" s="24"/>
      <c r="AB204" s="22" t="s">
        <v>1161</v>
      </c>
      <c r="AC204" s="22"/>
      <c r="AD204" s="22" t="s">
        <v>1118</v>
      </c>
      <c r="AE204" s="22" t="s">
        <v>1118</v>
      </c>
      <c r="AF204" s="23">
        <v>0</v>
      </c>
      <c r="AG204" s="22" t="s">
        <v>1138</v>
      </c>
      <c r="AH204" s="22" t="s">
        <v>1123</v>
      </c>
    </row>
    <row r="205" spans="1:34" ht="19.899999999999999" customHeight="1" x14ac:dyDescent="0.25">
      <c r="A205" s="29" t="s">
        <v>1712</v>
      </c>
      <c r="B205" s="22" t="s">
        <v>1711</v>
      </c>
      <c r="C205" s="28" t="s">
        <v>1710</v>
      </c>
      <c r="D205" s="27">
        <v>3.1315E-4</v>
      </c>
      <c r="E205" s="27">
        <v>3.5065999999999998E-4</v>
      </c>
      <c r="F205" s="41">
        <v>7975</v>
      </c>
      <c r="G205" s="43">
        <v>7975</v>
      </c>
      <c r="H205" s="24"/>
      <c r="I205" s="26">
        <v>0</v>
      </c>
      <c r="J205" s="26">
        <v>0</v>
      </c>
      <c r="K205" s="26">
        <v>0</v>
      </c>
      <c r="L205" s="26">
        <v>0</v>
      </c>
      <c r="M205" s="26">
        <v>0</v>
      </c>
      <c r="N205" s="26">
        <v>0</v>
      </c>
      <c r="O205" s="26">
        <v>0</v>
      </c>
      <c r="P205" s="26">
        <v>0</v>
      </c>
      <c r="Q205" s="26">
        <v>0</v>
      </c>
      <c r="R205" s="26">
        <v>0</v>
      </c>
      <c r="S205" s="26">
        <v>0</v>
      </c>
      <c r="T205" s="26">
        <v>0</v>
      </c>
      <c r="U205" s="27">
        <v>8.2619400000000004E-4</v>
      </c>
      <c r="V205" s="27">
        <v>2.0772379999999999E-3</v>
      </c>
      <c r="W205" s="35">
        <v>39.267513739999998</v>
      </c>
      <c r="X205" s="34">
        <v>0.17</v>
      </c>
      <c r="Y205" s="30" t="s">
        <v>1178</v>
      </c>
      <c r="Z205" s="22"/>
      <c r="AA205" s="24"/>
      <c r="AB205" s="22" t="s">
        <v>1186</v>
      </c>
      <c r="AC205" s="22"/>
      <c r="AD205" s="22" t="s">
        <v>1118</v>
      </c>
      <c r="AE205" s="22" t="s">
        <v>1118</v>
      </c>
      <c r="AF205" s="23">
        <v>0</v>
      </c>
      <c r="AG205" s="22" t="s">
        <v>1138</v>
      </c>
      <c r="AH205" s="22" t="s">
        <v>1123</v>
      </c>
    </row>
    <row r="206" spans="1:34" ht="19.899999999999999" customHeight="1" x14ac:dyDescent="0.25">
      <c r="A206" s="29" t="s">
        <v>1707</v>
      </c>
      <c r="B206" s="22" t="s">
        <v>1706</v>
      </c>
      <c r="C206" s="28" t="s">
        <v>1705</v>
      </c>
      <c r="D206" s="27">
        <v>2.8919999999999998E-4</v>
      </c>
      <c r="E206" s="27">
        <v>3.2383999999999999E-4</v>
      </c>
      <c r="F206" s="41">
        <v>7365</v>
      </c>
      <c r="G206" s="44">
        <v>-4248</v>
      </c>
      <c r="H206" s="24"/>
      <c r="I206" s="26">
        <v>11613</v>
      </c>
      <c r="J206" s="26">
        <v>21620</v>
      </c>
      <c r="K206" s="26">
        <v>19576</v>
      </c>
      <c r="L206" s="26">
        <v>14377</v>
      </c>
      <c r="M206" s="26">
        <v>14246</v>
      </c>
      <c r="N206" s="26">
        <v>0</v>
      </c>
      <c r="O206" s="26">
        <v>0</v>
      </c>
      <c r="P206" s="26">
        <v>0</v>
      </c>
      <c r="Q206" s="26">
        <v>0</v>
      </c>
      <c r="R206" s="26">
        <v>0</v>
      </c>
      <c r="S206" s="26">
        <v>0</v>
      </c>
      <c r="T206" s="26">
        <v>0</v>
      </c>
      <c r="U206" s="27">
        <v>5.2611660000000003E-3</v>
      </c>
      <c r="V206" s="27">
        <v>1.1995225E-2</v>
      </c>
      <c r="W206" s="35">
        <v>265.44176642999997</v>
      </c>
      <c r="X206" s="34">
        <v>0.03</v>
      </c>
      <c r="Y206" s="30" t="s">
        <v>1178</v>
      </c>
      <c r="Z206" s="32">
        <v>-201</v>
      </c>
      <c r="AA206" s="24"/>
      <c r="AB206" s="22" t="s">
        <v>1186</v>
      </c>
      <c r="AC206" s="22" t="s">
        <v>1176</v>
      </c>
      <c r="AD206" s="22" t="s">
        <v>1342</v>
      </c>
      <c r="AE206" s="22" t="s">
        <v>1174</v>
      </c>
      <c r="AF206" s="23">
        <v>0.42410999999999999</v>
      </c>
      <c r="AG206" s="22" t="s">
        <v>1138</v>
      </c>
      <c r="AH206" s="22" t="s">
        <v>1123</v>
      </c>
    </row>
    <row r="207" spans="1:34" ht="19.899999999999999" customHeight="1" x14ac:dyDescent="0.25">
      <c r="A207" s="29" t="s">
        <v>1704</v>
      </c>
      <c r="B207" s="22" t="s">
        <v>1703</v>
      </c>
      <c r="C207" s="28" t="s">
        <v>1702</v>
      </c>
      <c r="D207" s="27">
        <v>2.8421000000000002E-4</v>
      </c>
      <c r="E207" s="27">
        <v>3.1825000000000001E-4</v>
      </c>
      <c r="F207" s="41">
        <v>7238</v>
      </c>
      <c r="G207" s="43">
        <v>7238</v>
      </c>
      <c r="H207" s="24"/>
      <c r="I207" s="26">
        <v>0</v>
      </c>
      <c r="J207" s="26">
        <v>0</v>
      </c>
      <c r="K207" s="26">
        <v>0</v>
      </c>
      <c r="L207" s="26">
        <v>0</v>
      </c>
      <c r="M207" s="26">
        <v>0</v>
      </c>
      <c r="N207" s="26">
        <v>0</v>
      </c>
      <c r="O207" s="26">
        <v>0</v>
      </c>
      <c r="P207" s="26">
        <v>0</v>
      </c>
      <c r="Q207" s="26">
        <v>0</v>
      </c>
      <c r="R207" s="26">
        <v>0</v>
      </c>
      <c r="S207" s="26">
        <v>0</v>
      </c>
      <c r="T207" s="26">
        <v>0</v>
      </c>
      <c r="U207" s="27">
        <v>2.10941E-4</v>
      </c>
      <c r="V207" s="27">
        <v>2.81682E-4</v>
      </c>
      <c r="W207" s="39">
        <v>-0.83172120000000005</v>
      </c>
      <c r="X207" s="34">
        <v>1</v>
      </c>
      <c r="Y207" s="30" t="s">
        <v>1178</v>
      </c>
      <c r="Z207" s="32">
        <v>-4</v>
      </c>
      <c r="AA207" s="24"/>
      <c r="AB207" s="22" t="s">
        <v>1186</v>
      </c>
      <c r="AC207" s="22" t="s">
        <v>1176</v>
      </c>
      <c r="AD207" s="22" t="s">
        <v>1118</v>
      </c>
      <c r="AE207" s="22" t="s">
        <v>1174</v>
      </c>
      <c r="AF207" s="23">
        <v>1.06E-2</v>
      </c>
      <c r="AG207" s="22" t="s">
        <v>1124</v>
      </c>
      <c r="AH207" s="22" t="s">
        <v>1123</v>
      </c>
    </row>
    <row r="208" spans="1:34" ht="19.899999999999999" customHeight="1" x14ac:dyDescent="0.25">
      <c r="A208" s="29" t="s">
        <v>1701</v>
      </c>
      <c r="B208" s="22" t="s">
        <v>1700</v>
      </c>
      <c r="C208" s="28" t="s">
        <v>1699</v>
      </c>
      <c r="D208" s="27">
        <v>2.7486999999999998E-4</v>
      </c>
      <c r="E208" s="27">
        <v>0</v>
      </c>
      <c r="F208" s="41">
        <v>7000</v>
      </c>
      <c r="G208" s="43">
        <v>7000</v>
      </c>
      <c r="H208" s="24"/>
      <c r="I208" s="26">
        <v>0</v>
      </c>
      <c r="J208" s="26">
        <v>2000</v>
      </c>
      <c r="K208" s="26">
        <v>0</v>
      </c>
      <c r="L208" s="26">
        <v>0</v>
      </c>
      <c r="M208" s="26">
        <v>0</v>
      </c>
      <c r="N208" s="26">
        <v>0</v>
      </c>
      <c r="O208" s="26">
        <v>0</v>
      </c>
      <c r="P208" s="26">
        <v>0</v>
      </c>
      <c r="Q208" s="26">
        <v>0</v>
      </c>
      <c r="R208" s="26">
        <v>0</v>
      </c>
      <c r="S208" s="26">
        <v>0</v>
      </c>
      <c r="T208" s="26">
        <v>0</v>
      </c>
      <c r="U208" s="22"/>
      <c r="V208" s="22"/>
      <c r="W208" s="22"/>
      <c r="X208" s="22"/>
      <c r="Y208" s="25"/>
      <c r="Z208" s="22"/>
      <c r="AA208" s="24"/>
      <c r="AB208" s="22" t="s">
        <v>1181</v>
      </c>
      <c r="AC208" s="22" t="s">
        <v>1169</v>
      </c>
      <c r="AD208" s="22" t="s">
        <v>1118</v>
      </c>
      <c r="AE208" s="22" t="s">
        <v>1174</v>
      </c>
      <c r="AF208" s="23">
        <v>4.8000000000000001E-4</v>
      </c>
      <c r="AG208" s="22" t="s">
        <v>1138</v>
      </c>
      <c r="AH208" s="22" t="s">
        <v>1123</v>
      </c>
    </row>
    <row r="209" spans="1:34" ht="19.899999999999999" customHeight="1" x14ac:dyDescent="0.25">
      <c r="A209" s="29" t="s">
        <v>1698</v>
      </c>
      <c r="B209" s="22" t="s">
        <v>1697</v>
      </c>
      <c r="C209" s="28" t="s">
        <v>1696</v>
      </c>
      <c r="D209" s="27">
        <v>2.7486999999999998E-4</v>
      </c>
      <c r="E209" s="27">
        <v>0</v>
      </c>
      <c r="F209" s="41">
        <v>7000</v>
      </c>
      <c r="G209" s="43">
        <v>3250</v>
      </c>
      <c r="H209" s="24"/>
      <c r="I209" s="26">
        <v>3750</v>
      </c>
      <c r="J209" s="26">
        <v>0</v>
      </c>
      <c r="K209" s="26">
        <v>0</v>
      </c>
      <c r="L209" s="26">
        <v>0</v>
      </c>
      <c r="M209" s="26">
        <v>0</v>
      </c>
      <c r="N209" s="26">
        <v>0</v>
      </c>
      <c r="O209" s="26">
        <v>0</v>
      </c>
      <c r="P209" s="26">
        <v>0</v>
      </c>
      <c r="Q209" s="26">
        <v>0</v>
      </c>
      <c r="R209" s="26">
        <v>0</v>
      </c>
      <c r="S209" s="26">
        <v>0</v>
      </c>
      <c r="T209" s="26">
        <v>0</v>
      </c>
      <c r="U209" s="22"/>
      <c r="V209" s="22"/>
      <c r="W209" s="22"/>
      <c r="X209" s="22"/>
      <c r="Y209" s="25"/>
      <c r="Z209" s="22"/>
      <c r="AA209" s="24"/>
      <c r="AB209" s="22" t="s">
        <v>1181</v>
      </c>
      <c r="AC209" s="22"/>
      <c r="AD209" s="22" t="s">
        <v>1118</v>
      </c>
      <c r="AE209" s="22" t="s">
        <v>1118</v>
      </c>
      <c r="AF209" s="23">
        <v>0</v>
      </c>
      <c r="AG209" s="22" t="s">
        <v>1135</v>
      </c>
      <c r="AH209" s="22" t="s">
        <v>1123</v>
      </c>
    </row>
    <row r="210" spans="1:34" ht="19.899999999999999" customHeight="1" x14ac:dyDescent="0.25">
      <c r="A210" s="29" t="s">
        <v>1695</v>
      </c>
      <c r="B210" s="22" t="s">
        <v>1694</v>
      </c>
      <c r="C210" s="28" t="s">
        <v>1693</v>
      </c>
      <c r="D210" s="27">
        <v>2.4615999999999999E-4</v>
      </c>
      <c r="E210" s="27">
        <v>0</v>
      </c>
      <c r="F210" s="41">
        <v>6269</v>
      </c>
      <c r="G210" s="43">
        <v>4828</v>
      </c>
      <c r="H210" s="24"/>
      <c r="I210" s="26">
        <v>1441</v>
      </c>
      <c r="J210" s="26">
        <v>0</v>
      </c>
      <c r="K210" s="26">
        <v>0</v>
      </c>
      <c r="L210" s="26">
        <v>0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0</v>
      </c>
      <c r="T210" s="26">
        <v>0</v>
      </c>
      <c r="U210" s="22"/>
      <c r="V210" s="22"/>
      <c r="W210" s="22"/>
      <c r="X210" s="22"/>
      <c r="Y210" s="25"/>
      <c r="Z210" s="22"/>
      <c r="AA210" s="24"/>
      <c r="AB210" s="22" t="s">
        <v>1119</v>
      </c>
      <c r="AC210" s="22"/>
      <c r="AD210" s="22" t="s">
        <v>1118</v>
      </c>
      <c r="AE210" s="22" t="s">
        <v>1118</v>
      </c>
      <c r="AF210" s="23">
        <v>0</v>
      </c>
      <c r="AG210" s="22" t="s">
        <v>1132</v>
      </c>
      <c r="AH210" s="22" t="s">
        <v>1164</v>
      </c>
    </row>
    <row r="211" spans="1:34" ht="19.899999999999999" customHeight="1" x14ac:dyDescent="0.25">
      <c r="A211" s="29" t="s">
        <v>1689</v>
      </c>
      <c r="B211" s="22" t="s">
        <v>1688</v>
      </c>
      <c r="C211" s="28" t="s">
        <v>1687</v>
      </c>
      <c r="D211" s="27">
        <v>2.2535E-4</v>
      </c>
      <c r="E211" s="27">
        <v>2.5233999999999999E-4</v>
      </c>
      <c r="F211" s="41">
        <v>5739</v>
      </c>
      <c r="G211" s="43">
        <v>5739</v>
      </c>
      <c r="H211" s="24"/>
      <c r="I211" s="26">
        <v>0</v>
      </c>
      <c r="J211" s="26">
        <v>0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6">
        <v>0</v>
      </c>
      <c r="Q211" s="26">
        <v>0</v>
      </c>
      <c r="R211" s="26">
        <v>0</v>
      </c>
      <c r="S211" s="26">
        <v>0</v>
      </c>
      <c r="T211" s="26">
        <v>0</v>
      </c>
      <c r="U211" s="27">
        <v>6.5869000000000004E-6</v>
      </c>
      <c r="V211" s="27">
        <v>1.6522099999999999E-5</v>
      </c>
      <c r="W211" s="39">
        <v>-5.3632387599999998</v>
      </c>
      <c r="X211" s="34">
        <v>1</v>
      </c>
      <c r="Y211" s="30" t="s">
        <v>1178</v>
      </c>
      <c r="Z211" s="22"/>
      <c r="AA211" s="24"/>
      <c r="AB211" s="22" t="s">
        <v>1186</v>
      </c>
      <c r="AC211" s="22" t="s">
        <v>1169</v>
      </c>
      <c r="AD211" s="22" t="s">
        <v>1118</v>
      </c>
      <c r="AE211" s="22" t="s">
        <v>1168</v>
      </c>
      <c r="AF211" s="23">
        <v>3.0992299999999999</v>
      </c>
      <c r="AG211" s="22" t="s">
        <v>1132</v>
      </c>
      <c r="AH211" s="22" t="s">
        <v>1141</v>
      </c>
    </row>
    <row r="212" spans="1:34" ht="19.899999999999999" customHeight="1" x14ac:dyDescent="0.25">
      <c r="A212" s="29" t="s">
        <v>1678</v>
      </c>
      <c r="B212" s="22" t="s">
        <v>1677</v>
      </c>
      <c r="C212" s="28" t="s">
        <v>1676</v>
      </c>
      <c r="D212" s="27">
        <v>2.0772E-4</v>
      </c>
      <c r="E212" s="27">
        <v>0</v>
      </c>
      <c r="F212" s="41">
        <v>5290</v>
      </c>
      <c r="G212" s="43">
        <v>4182</v>
      </c>
      <c r="H212" s="24"/>
      <c r="I212" s="26">
        <v>1108</v>
      </c>
      <c r="J212" s="26">
        <v>609</v>
      </c>
      <c r="K212" s="26">
        <v>164</v>
      </c>
      <c r="L212" s="26">
        <v>10648</v>
      </c>
      <c r="M212" s="26">
        <v>3500</v>
      </c>
      <c r="N212" s="26">
        <v>3500</v>
      </c>
      <c r="O212" s="26">
        <v>100</v>
      </c>
      <c r="P212" s="26">
        <v>0</v>
      </c>
      <c r="Q212" s="26">
        <v>0</v>
      </c>
      <c r="R212" s="26">
        <v>0</v>
      </c>
      <c r="S212" s="26">
        <v>0</v>
      </c>
      <c r="T212" s="26">
        <v>100</v>
      </c>
      <c r="U212" s="22"/>
      <c r="V212" s="22"/>
      <c r="W212" s="22"/>
      <c r="X212" s="22"/>
      <c r="Y212" s="25"/>
      <c r="Z212" s="22"/>
      <c r="AA212" s="24"/>
      <c r="AB212" s="22" t="s">
        <v>1181</v>
      </c>
      <c r="AC212" s="22"/>
      <c r="AD212" s="22" t="s">
        <v>1118</v>
      </c>
      <c r="AE212" s="22" t="s">
        <v>1118</v>
      </c>
      <c r="AF212" s="23">
        <v>0</v>
      </c>
      <c r="AG212" s="22" t="s">
        <v>1138</v>
      </c>
      <c r="AH212" s="22" t="s">
        <v>1123</v>
      </c>
    </row>
    <row r="213" spans="1:34" ht="19.899999999999999" customHeight="1" x14ac:dyDescent="0.25">
      <c r="A213" s="29" t="s">
        <v>1675</v>
      </c>
      <c r="B213" s="22" t="s">
        <v>1674</v>
      </c>
      <c r="C213" s="28" t="s">
        <v>1673</v>
      </c>
      <c r="D213" s="27">
        <v>1.9633000000000001E-4</v>
      </c>
      <c r="E213" s="27">
        <v>2.1985E-4</v>
      </c>
      <c r="F213" s="41">
        <v>5000</v>
      </c>
      <c r="G213" s="41">
        <v>0</v>
      </c>
      <c r="H213" s="24"/>
      <c r="I213" s="26">
        <v>5000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0</v>
      </c>
      <c r="U213" s="27">
        <v>7.8070240000000001E-3</v>
      </c>
      <c r="V213" s="27">
        <v>2.0386134E-2</v>
      </c>
      <c r="W213" s="35">
        <v>458.64076510000001</v>
      </c>
      <c r="X213" s="34">
        <v>0.01</v>
      </c>
      <c r="Y213" s="33" t="s">
        <v>1196</v>
      </c>
      <c r="Z213" s="31">
        <v>54</v>
      </c>
      <c r="AA213" s="24"/>
      <c r="AB213" s="22" t="s">
        <v>1186</v>
      </c>
      <c r="AC213" s="22" t="s">
        <v>1169</v>
      </c>
      <c r="AD213" s="22" t="s">
        <v>1672</v>
      </c>
      <c r="AE213" s="22" t="s">
        <v>1168</v>
      </c>
      <c r="AF213" s="23">
        <v>1.4228400000000001</v>
      </c>
      <c r="AG213" s="22" t="s">
        <v>1138</v>
      </c>
      <c r="AH213" s="22" t="s">
        <v>1123</v>
      </c>
    </row>
    <row r="214" spans="1:34" ht="19.899999999999999" customHeight="1" x14ac:dyDescent="0.25">
      <c r="A214" s="29" t="s">
        <v>1668</v>
      </c>
      <c r="B214" s="22" t="s">
        <v>1667</v>
      </c>
      <c r="C214" s="28" t="s">
        <v>1666</v>
      </c>
      <c r="D214" s="27">
        <v>1.8652E-4</v>
      </c>
      <c r="E214" s="27">
        <v>2.0886E-4</v>
      </c>
      <c r="F214" s="41">
        <v>4750</v>
      </c>
      <c r="G214" s="43">
        <v>840</v>
      </c>
      <c r="H214" s="24"/>
      <c r="I214" s="26">
        <v>3910</v>
      </c>
      <c r="J214" s="26">
        <v>4910</v>
      </c>
      <c r="K214" s="26">
        <v>4235</v>
      </c>
      <c r="L214" s="26">
        <v>3585</v>
      </c>
      <c r="M214" s="26">
        <v>2825</v>
      </c>
      <c r="N214" s="26">
        <v>0</v>
      </c>
      <c r="O214" s="26">
        <v>0</v>
      </c>
      <c r="P214" s="26">
        <v>0</v>
      </c>
      <c r="Q214" s="26">
        <v>0</v>
      </c>
      <c r="R214" s="26">
        <v>0</v>
      </c>
      <c r="S214" s="26">
        <v>0</v>
      </c>
      <c r="T214" s="26">
        <v>0</v>
      </c>
      <c r="U214" s="22"/>
      <c r="V214" s="22"/>
      <c r="W214" s="22"/>
      <c r="X214" s="22"/>
      <c r="Y214" s="30" t="s">
        <v>1178</v>
      </c>
      <c r="Z214" s="22"/>
      <c r="AA214" s="24"/>
      <c r="AB214" s="22" t="s">
        <v>1186</v>
      </c>
      <c r="AC214" s="22" t="s">
        <v>1176</v>
      </c>
      <c r="AD214" s="22" t="s">
        <v>1118</v>
      </c>
      <c r="AE214" s="22" t="s">
        <v>1118</v>
      </c>
      <c r="AF214" s="23">
        <v>0</v>
      </c>
      <c r="AG214" s="22" t="s">
        <v>1124</v>
      </c>
      <c r="AH214" s="22" t="s">
        <v>1123</v>
      </c>
    </row>
    <row r="215" spans="1:34" ht="19.899999999999999" customHeight="1" x14ac:dyDescent="0.25">
      <c r="A215" s="29" t="s">
        <v>1662</v>
      </c>
      <c r="B215" s="22" t="s">
        <v>1661</v>
      </c>
      <c r="C215" s="28" t="s">
        <v>1660</v>
      </c>
      <c r="D215" s="27">
        <v>1.7547999999999999E-4</v>
      </c>
      <c r="E215" s="27">
        <v>1.9650000000000001E-4</v>
      </c>
      <c r="F215" s="41">
        <v>4469</v>
      </c>
      <c r="G215" s="43">
        <v>4469</v>
      </c>
      <c r="H215" s="24"/>
      <c r="I215" s="26">
        <v>0</v>
      </c>
      <c r="J215" s="26">
        <v>0</v>
      </c>
      <c r="K215" s="26">
        <v>0</v>
      </c>
      <c r="L215" s="26">
        <v>0</v>
      </c>
      <c r="M215" s="26">
        <v>0</v>
      </c>
      <c r="N215" s="26">
        <v>0</v>
      </c>
      <c r="O215" s="26">
        <v>0</v>
      </c>
      <c r="P215" s="26">
        <v>0</v>
      </c>
      <c r="Q215" s="26">
        <v>0</v>
      </c>
      <c r="R215" s="26">
        <v>0</v>
      </c>
      <c r="S215" s="26">
        <v>0</v>
      </c>
      <c r="T215" s="26">
        <v>0</v>
      </c>
      <c r="U215" s="22"/>
      <c r="V215" s="22"/>
      <c r="W215" s="22"/>
      <c r="X215" s="22"/>
      <c r="Y215" s="30" t="s">
        <v>1178</v>
      </c>
      <c r="Z215" s="22"/>
      <c r="AA215" s="24"/>
      <c r="AB215" s="22" t="s">
        <v>1464</v>
      </c>
      <c r="AC215" s="22"/>
      <c r="AD215" s="22" t="s">
        <v>1118</v>
      </c>
      <c r="AE215" s="22" t="s">
        <v>1118</v>
      </c>
      <c r="AF215" s="23">
        <v>0</v>
      </c>
      <c r="AG215" s="22" t="s">
        <v>1124</v>
      </c>
      <c r="AH215" s="22" t="s">
        <v>1123</v>
      </c>
    </row>
    <row r="216" spans="1:34" ht="19.899999999999999" customHeight="1" x14ac:dyDescent="0.25">
      <c r="A216" s="29" t="s">
        <v>1659</v>
      </c>
      <c r="B216" s="22" t="s">
        <v>1658</v>
      </c>
      <c r="C216" s="28" t="s">
        <v>1657</v>
      </c>
      <c r="D216" s="27">
        <v>1.6492000000000001E-4</v>
      </c>
      <c r="E216" s="27">
        <v>1.8467000000000001E-4</v>
      </c>
      <c r="F216" s="41">
        <v>4200</v>
      </c>
      <c r="G216" s="43">
        <v>50</v>
      </c>
      <c r="H216" s="24"/>
      <c r="I216" s="26">
        <v>4150</v>
      </c>
      <c r="J216" s="26">
        <v>2800</v>
      </c>
      <c r="K216" s="26">
        <v>1074</v>
      </c>
      <c r="L216" s="26">
        <v>1074</v>
      </c>
      <c r="M216" s="26">
        <v>0</v>
      </c>
      <c r="N216" s="26">
        <v>0</v>
      </c>
      <c r="O216" s="26">
        <v>0</v>
      </c>
      <c r="P216" s="26">
        <v>0</v>
      </c>
      <c r="Q216" s="26">
        <v>0</v>
      </c>
      <c r="R216" s="26">
        <v>0</v>
      </c>
      <c r="S216" s="26">
        <v>0</v>
      </c>
      <c r="T216" s="26">
        <v>0</v>
      </c>
      <c r="U216" s="22"/>
      <c r="V216" s="22"/>
      <c r="W216" s="22"/>
      <c r="X216" s="22"/>
      <c r="Y216" s="30" t="s">
        <v>1178</v>
      </c>
      <c r="Z216" s="22"/>
      <c r="AA216" s="24"/>
      <c r="AB216" s="22" t="s">
        <v>1186</v>
      </c>
      <c r="AC216" s="22"/>
      <c r="AD216" s="22" t="s">
        <v>1118</v>
      </c>
      <c r="AE216" s="22" t="s">
        <v>1118</v>
      </c>
      <c r="AF216" s="23">
        <v>0</v>
      </c>
      <c r="AG216" s="22" t="s">
        <v>1653</v>
      </c>
      <c r="AH216" s="22" t="s">
        <v>1116</v>
      </c>
    </row>
    <row r="217" spans="1:34" ht="19.899999999999999" customHeight="1" x14ac:dyDescent="0.25">
      <c r="A217" s="29" t="s">
        <v>1652</v>
      </c>
      <c r="B217" s="22" t="s">
        <v>1651</v>
      </c>
      <c r="C217" s="28" t="s">
        <v>1650</v>
      </c>
      <c r="D217" s="27">
        <v>1.5707000000000001E-4</v>
      </c>
      <c r="E217" s="27">
        <v>0</v>
      </c>
      <c r="F217" s="41">
        <v>4000</v>
      </c>
      <c r="G217" s="41">
        <v>0</v>
      </c>
      <c r="H217" s="24"/>
      <c r="I217" s="26">
        <v>4000</v>
      </c>
      <c r="J217" s="26">
        <v>4000</v>
      </c>
      <c r="K217" s="26">
        <v>4000</v>
      </c>
      <c r="L217" s="26">
        <v>0</v>
      </c>
      <c r="M217" s="26">
        <v>0</v>
      </c>
      <c r="N217" s="26">
        <v>0</v>
      </c>
      <c r="O217" s="26">
        <v>0</v>
      </c>
      <c r="P217" s="26">
        <v>0</v>
      </c>
      <c r="Q217" s="26">
        <v>0</v>
      </c>
      <c r="R217" s="26">
        <v>0</v>
      </c>
      <c r="S217" s="26">
        <v>0</v>
      </c>
      <c r="T217" s="26">
        <v>0</v>
      </c>
      <c r="U217" s="22"/>
      <c r="V217" s="22"/>
      <c r="W217" s="22"/>
      <c r="X217" s="22"/>
      <c r="Y217" s="25"/>
      <c r="Z217" s="22"/>
      <c r="AA217" s="24"/>
      <c r="AB217" s="22" t="s">
        <v>1181</v>
      </c>
      <c r="AC217" s="22"/>
      <c r="AD217" s="22" t="s">
        <v>1118</v>
      </c>
      <c r="AE217" s="22" t="s">
        <v>1118</v>
      </c>
      <c r="AF217" s="23">
        <v>0</v>
      </c>
      <c r="AG217" s="22" t="s">
        <v>1135</v>
      </c>
      <c r="AH217" s="22" t="s">
        <v>1123</v>
      </c>
    </row>
    <row r="218" spans="1:34" ht="19.899999999999999" customHeight="1" x14ac:dyDescent="0.25">
      <c r="A218" s="29" t="s">
        <v>1649</v>
      </c>
      <c r="B218" s="22" t="s">
        <v>1648</v>
      </c>
      <c r="C218" s="28" t="s">
        <v>1647</v>
      </c>
      <c r="D218" s="27">
        <v>1.5707000000000001E-4</v>
      </c>
      <c r="E218" s="27">
        <v>1.7588E-4</v>
      </c>
      <c r="F218" s="41">
        <v>4000</v>
      </c>
      <c r="G218" s="43">
        <v>4000</v>
      </c>
      <c r="H218" s="24"/>
      <c r="I218" s="26">
        <v>0</v>
      </c>
      <c r="J218" s="26">
        <v>0</v>
      </c>
      <c r="K218" s="26">
        <v>0</v>
      </c>
      <c r="L218" s="26">
        <v>0</v>
      </c>
      <c r="M218" s="26">
        <v>0</v>
      </c>
      <c r="N218" s="26">
        <v>0</v>
      </c>
      <c r="O218" s="26">
        <v>0</v>
      </c>
      <c r="P218" s="26">
        <v>0</v>
      </c>
      <c r="Q218" s="26">
        <v>0</v>
      </c>
      <c r="R218" s="26">
        <v>0</v>
      </c>
      <c r="S218" s="26">
        <v>0</v>
      </c>
      <c r="T218" s="26">
        <v>0</v>
      </c>
      <c r="U218" s="22"/>
      <c r="V218" s="22"/>
      <c r="W218" s="22"/>
      <c r="X218" s="22"/>
      <c r="Y218" s="30" t="s">
        <v>1178</v>
      </c>
      <c r="Z218" s="22"/>
      <c r="AA218" s="24"/>
      <c r="AB218" s="22" t="s">
        <v>1186</v>
      </c>
      <c r="AC218" s="22" t="s">
        <v>1176</v>
      </c>
      <c r="AD218" s="22" t="s">
        <v>1118</v>
      </c>
      <c r="AE218" s="22" t="s">
        <v>1174</v>
      </c>
      <c r="AF218" s="23">
        <v>3.0000000000000001E-5</v>
      </c>
      <c r="AG218" s="22" t="s">
        <v>1217</v>
      </c>
      <c r="AH218" s="22" t="s">
        <v>1123</v>
      </c>
    </row>
    <row r="219" spans="1:34" ht="19.899999999999999" customHeight="1" x14ac:dyDescent="0.25">
      <c r="A219" s="29" t="s">
        <v>1646</v>
      </c>
      <c r="B219" s="22" t="s">
        <v>1645</v>
      </c>
      <c r="C219" s="28" t="s">
        <v>1644</v>
      </c>
      <c r="D219" s="27">
        <v>1.5313999999999999E-4</v>
      </c>
      <c r="E219" s="27">
        <v>0</v>
      </c>
      <c r="F219" s="41">
        <v>3900</v>
      </c>
      <c r="G219" s="43">
        <v>3900</v>
      </c>
      <c r="H219" s="24"/>
      <c r="I219" s="26">
        <v>0</v>
      </c>
      <c r="J219" s="26">
        <v>0</v>
      </c>
      <c r="K219" s="26">
        <v>0</v>
      </c>
      <c r="L219" s="26">
        <v>0</v>
      </c>
      <c r="M219" s="26">
        <v>0</v>
      </c>
      <c r="N219" s="26">
        <v>0</v>
      </c>
      <c r="O219" s="26">
        <v>0</v>
      </c>
      <c r="P219" s="26">
        <v>0</v>
      </c>
      <c r="Q219" s="26">
        <v>0</v>
      </c>
      <c r="R219" s="26">
        <v>0</v>
      </c>
      <c r="S219" s="26">
        <v>0</v>
      </c>
      <c r="T219" s="26">
        <v>0</v>
      </c>
      <c r="U219" s="22"/>
      <c r="V219" s="22"/>
      <c r="W219" s="22"/>
      <c r="X219" s="22"/>
      <c r="Y219" s="25"/>
      <c r="Z219" s="22"/>
      <c r="AA219" s="24"/>
      <c r="AB219" s="22" t="s">
        <v>1161</v>
      </c>
      <c r="AC219" s="22"/>
      <c r="AD219" s="22" t="s">
        <v>1118</v>
      </c>
      <c r="AE219" s="22" t="s">
        <v>1118</v>
      </c>
      <c r="AF219" s="23">
        <v>0</v>
      </c>
      <c r="AG219" s="22" t="s">
        <v>1138</v>
      </c>
      <c r="AH219" s="22" t="s">
        <v>1123</v>
      </c>
    </row>
    <row r="220" spans="1:34" ht="19.899999999999999" customHeight="1" x14ac:dyDescent="0.25">
      <c r="A220" s="29" t="s">
        <v>1643</v>
      </c>
      <c r="B220" s="22" t="s">
        <v>1642</v>
      </c>
      <c r="C220" s="28" t="s">
        <v>1641</v>
      </c>
      <c r="D220" s="27">
        <v>1.4449999999999999E-4</v>
      </c>
      <c r="E220" s="27">
        <v>0</v>
      </c>
      <c r="F220" s="41">
        <v>3680</v>
      </c>
      <c r="G220" s="41">
        <v>0</v>
      </c>
      <c r="H220" s="24"/>
      <c r="I220" s="26">
        <v>3680</v>
      </c>
      <c r="J220" s="26">
        <v>0</v>
      </c>
      <c r="K220" s="26">
        <v>0</v>
      </c>
      <c r="L220" s="26">
        <v>0</v>
      </c>
      <c r="M220" s="26">
        <v>0</v>
      </c>
      <c r="N220" s="26">
        <v>0</v>
      </c>
      <c r="O220" s="26">
        <v>0</v>
      </c>
      <c r="P220" s="26">
        <v>0</v>
      </c>
      <c r="Q220" s="26">
        <v>0</v>
      </c>
      <c r="R220" s="26">
        <v>0</v>
      </c>
      <c r="S220" s="26">
        <v>0</v>
      </c>
      <c r="T220" s="26">
        <v>0</v>
      </c>
      <c r="U220" s="22"/>
      <c r="V220" s="22"/>
      <c r="W220" s="22"/>
      <c r="X220" s="22"/>
      <c r="Y220" s="25"/>
      <c r="Z220" s="22"/>
      <c r="AA220" s="24"/>
      <c r="AB220" s="22" t="s">
        <v>1161</v>
      </c>
      <c r="AC220" s="22"/>
      <c r="AD220" s="22" t="s">
        <v>1118</v>
      </c>
      <c r="AE220" s="22" t="s">
        <v>1118</v>
      </c>
      <c r="AF220" s="23">
        <v>0</v>
      </c>
      <c r="AG220" s="22" t="s">
        <v>1138</v>
      </c>
      <c r="AH220" s="22" t="s">
        <v>1123</v>
      </c>
    </row>
    <row r="221" spans="1:34" ht="19.899999999999999" customHeight="1" x14ac:dyDescent="0.25">
      <c r="A221" s="29" t="s">
        <v>1637</v>
      </c>
      <c r="B221" s="22" t="s">
        <v>1636</v>
      </c>
      <c r="C221" s="28" t="s">
        <v>1635</v>
      </c>
      <c r="D221" s="27">
        <v>1.3742999999999999E-4</v>
      </c>
      <c r="E221" s="27">
        <v>0</v>
      </c>
      <c r="F221" s="41">
        <v>3500</v>
      </c>
      <c r="G221" s="41">
        <v>0</v>
      </c>
      <c r="H221" s="24"/>
      <c r="I221" s="26">
        <v>3500</v>
      </c>
      <c r="J221" s="26">
        <v>3500</v>
      </c>
      <c r="K221" s="26">
        <v>3500</v>
      </c>
      <c r="L221" s="26">
        <v>0</v>
      </c>
      <c r="M221" s="26">
        <v>0</v>
      </c>
      <c r="N221" s="26">
        <v>0</v>
      </c>
      <c r="O221" s="26">
        <v>0</v>
      </c>
      <c r="P221" s="26">
        <v>0</v>
      </c>
      <c r="Q221" s="26">
        <v>0</v>
      </c>
      <c r="R221" s="26">
        <v>0</v>
      </c>
      <c r="S221" s="26">
        <v>0</v>
      </c>
      <c r="T221" s="26">
        <v>0</v>
      </c>
      <c r="U221" s="22"/>
      <c r="V221" s="22"/>
      <c r="W221" s="22"/>
      <c r="X221" s="22"/>
      <c r="Y221" s="25"/>
      <c r="Z221" s="22"/>
      <c r="AA221" s="24"/>
      <c r="AB221" s="22" t="s">
        <v>1181</v>
      </c>
      <c r="AC221" s="22"/>
      <c r="AD221" s="22" t="s">
        <v>1118</v>
      </c>
      <c r="AE221" s="22" t="s">
        <v>1118</v>
      </c>
      <c r="AF221" s="23">
        <v>0</v>
      </c>
      <c r="AG221" s="22" t="s">
        <v>1138</v>
      </c>
      <c r="AH221" s="22" t="s">
        <v>1123</v>
      </c>
    </row>
    <row r="222" spans="1:34" ht="19.899999999999999" customHeight="1" x14ac:dyDescent="0.25">
      <c r="A222" s="29" t="s">
        <v>1625</v>
      </c>
      <c r="B222" s="22" t="s">
        <v>1624</v>
      </c>
      <c r="C222" s="28" t="s">
        <v>1623</v>
      </c>
      <c r="D222" s="27">
        <v>1.2173E-4</v>
      </c>
      <c r="E222" s="27">
        <v>1.3631E-4</v>
      </c>
      <c r="F222" s="41">
        <v>3100</v>
      </c>
      <c r="G222" s="43">
        <v>700</v>
      </c>
      <c r="H222" s="24"/>
      <c r="I222" s="26">
        <v>2400</v>
      </c>
      <c r="J222" s="26">
        <v>0</v>
      </c>
      <c r="K222" s="26">
        <v>0</v>
      </c>
      <c r="L222" s="26">
        <v>0</v>
      </c>
      <c r="M222" s="26">
        <v>0</v>
      </c>
      <c r="N222" s="26">
        <v>0</v>
      </c>
      <c r="O222" s="26">
        <v>0</v>
      </c>
      <c r="P222" s="26">
        <v>0</v>
      </c>
      <c r="Q222" s="26">
        <v>0</v>
      </c>
      <c r="R222" s="26">
        <v>0</v>
      </c>
      <c r="S222" s="26">
        <v>0</v>
      </c>
      <c r="T222" s="26">
        <v>0</v>
      </c>
      <c r="U222" s="27">
        <v>5.686773E-3</v>
      </c>
      <c r="V222" s="27">
        <v>2.4697164000000001E-2</v>
      </c>
      <c r="W222" s="35">
        <v>558.58629189999999</v>
      </c>
      <c r="X222" s="34">
        <v>0.01</v>
      </c>
      <c r="Y222" s="33" t="s">
        <v>1196</v>
      </c>
      <c r="Z222" s="32">
        <v>-2768</v>
      </c>
      <c r="AA222" s="24"/>
      <c r="AB222" s="22" t="s">
        <v>1177</v>
      </c>
      <c r="AC222" s="22" t="s">
        <v>1176</v>
      </c>
      <c r="AD222" s="22" t="s">
        <v>1471</v>
      </c>
      <c r="AE222" s="22" t="s">
        <v>1237</v>
      </c>
      <c r="AF222" s="23">
        <v>9.7641399999999994</v>
      </c>
      <c r="AG222" s="22" t="s">
        <v>1407</v>
      </c>
      <c r="AH222" s="22" t="s">
        <v>1164</v>
      </c>
    </row>
    <row r="223" spans="1:34" ht="19.899999999999999" customHeight="1" x14ac:dyDescent="0.25">
      <c r="A223" s="29" t="s">
        <v>1622</v>
      </c>
      <c r="B223" s="22" t="s">
        <v>1621</v>
      </c>
      <c r="C223" s="28" t="s">
        <v>1620</v>
      </c>
      <c r="D223" s="27">
        <v>1.1878E-4</v>
      </c>
      <c r="E223" s="27">
        <v>0</v>
      </c>
      <c r="F223" s="41">
        <v>3025</v>
      </c>
      <c r="G223" s="43">
        <v>3025</v>
      </c>
      <c r="H223" s="24"/>
      <c r="I223" s="26">
        <v>0</v>
      </c>
      <c r="J223" s="26">
        <v>0</v>
      </c>
      <c r="K223" s="26">
        <v>0</v>
      </c>
      <c r="L223" s="26">
        <v>0</v>
      </c>
      <c r="M223" s="26">
        <v>0</v>
      </c>
      <c r="N223" s="26">
        <v>0</v>
      </c>
      <c r="O223" s="26">
        <v>0</v>
      </c>
      <c r="P223" s="26">
        <v>0</v>
      </c>
      <c r="Q223" s="26">
        <v>0</v>
      </c>
      <c r="R223" s="26">
        <v>0</v>
      </c>
      <c r="S223" s="26">
        <v>0</v>
      </c>
      <c r="T223" s="26">
        <v>0</v>
      </c>
      <c r="U223" s="22"/>
      <c r="V223" s="22"/>
      <c r="W223" s="22"/>
      <c r="X223" s="22"/>
      <c r="Y223" s="25"/>
      <c r="Z223" s="22"/>
      <c r="AA223" s="24"/>
      <c r="AB223" s="22" t="s">
        <v>1222</v>
      </c>
      <c r="AC223" s="22" t="s">
        <v>1169</v>
      </c>
      <c r="AD223" s="22" t="s">
        <v>1118</v>
      </c>
      <c r="AE223" s="22" t="s">
        <v>1237</v>
      </c>
      <c r="AF223" s="23">
        <v>0</v>
      </c>
      <c r="AG223" s="22" t="s">
        <v>1138</v>
      </c>
      <c r="AH223" s="22" t="s">
        <v>1123</v>
      </c>
    </row>
    <row r="224" spans="1:34" ht="19.899999999999999" customHeight="1" x14ac:dyDescent="0.25">
      <c r="A224" s="29" t="s">
        <v>1610</v>
      </c>
      <c r="B224" s="22" t="s">
        <v>1609</v>
      </c>
      <c r="C224" s="28" t="s">
        <v>87</v>
      </c>
      <c r="D224" s="27">
        <v>1.1183000000000001E-4</v>
      </c>
      <c r="E224" s="27">
        <v>1.2522999999999999E-4</v>
      </c>
      <c r="F224" s="41">
        <v>2848</v>
      </c>
      <c r="G224" s="41">
        <v>0</v>
      </c>
      <c r="H224" s="24"/>
      <c r="I224" s="26">
        <v>2848</v>
      </c>
      <c r="J224" s="26">
        <v>5844</v>
      </c>
      <c r="K224" s="26">
        <v>6610</v>
      </c>
      <c r="L224" s="26">
        <v>6610</v>
      </c>
      <c r="M224" s="26">
        <v>4277</v>
      </c>
      <c r="N224" s="26">
        <v>0</v>
      </c>
      <c r="O224" s="26">
        <v>0</v>
      </c>
      <c r="P224" s="26">
        <v>0</v>
      </c>
      <c r="Q224" s="26">
        <v>0</v>
      </c>
      <c r="R224" s="26">
        <v>0</v>
      </c>
      <c r="S224" s="26">
        <v>0</v>
      </c>
      <c r="T224" s="26">
        <v>0</v>
      </c>
      <c r="U224" s="27">
        <v>2.7201451000000001E-2</v>
      </c>
      <c r="V224" s="27">
        <v>5.5332204000000003E-2</v>
      </c>
      <c r="W224" s="35">
        <v>1255.5693829700001</v>
      </c>
      <c r="X224" s="34">
        <v>0</v>
      </c>
      <c r="Y224" s="37" t="s">
        <v>1248</v>
      </c>
      <c r="Z224" s="31">
        <v>73</v>
      </c>
      <c r="AA224" s="24"/>
      <c r="AB224" s="22" t="s">
        <v>1186</v>
      </c>
      <c r="AC224" s="22" t="s">
        <v>1176</v>
      </c>
      <c r="AD224" s="22" t="s">
        <v>1342</v>
      </c>
      <c r="AE224" s="22" t="s">
        <v>1174</v>
      </c>
      <c r="AF224" s="23">
        <v>1.4978499999999999</v>
      </c>
      <c r="AG224" s="22" t="s">
        <v>1124</v>
      </c>
      <c r="AH224" s="22" t="s">
        <v>1123</v>
      </c>
    </row>
    <row r="225" spans="1:34" ht="19.899999999999999" customHeight="1" x14ac:dyDescent="0.25">
      <c r="A225" s="29" t="s">
        <v>1600</v>
      </c>
      <c r="B225" s="22" t="s">
        <v>1599</v>
      </c>
      <c r="C225" s="28" t="s">
        <v>1598</v>
      </c>
      <c r="D225" s="27">
        <v>9.8170000000000004E-5</v>
      </c>
      <c r="E225" s="27">
        <v>0</v>
      </c>
      <c r="F225" s="41">
        <v>2500</v>
      </c>
      <c r="G225" s="43">
        <v>2500</v>
      </c>
      <c r="H225" s="24"/>
      <c r="I225" s="26">
        <v>0</v>
      </c>
      <c r="J225" s="26">
        <v>0</v>
      </c>
      <c r="K225" s="26">
        <v>0</v>
      </c>
      <c r="L225" s="26">
        <v>0</v>
      </c>
      <c r="M225" s="26">
        <v>0</v>
      </c>
      <c r="N225" s="26">
        <v>0</v>
      </c>
      <c r="O225" s="26">
        <v>0</v>
      </c>
      <c r="P225" s="26">
        <v>0</v>
      </c>
      <c r="Q225" s="26">
        <v>0</v>
      </c>
      <c r="R225" s="26">
        <v>0</v>
      </c>
      <c r="S225" s="26">
        <v>0</v>
      </c>
      <c r="T225" s="26">
        <v>0</v>
      </c>
      <c r="U225" s="22"/>
      <c r="V225" s="22"/>
      <c r="W225" s="22"/>
      <c r="X225" s="22"/>
      <c r="Y225" s="25"/>
      <c r="Z225" s="22"/>
      <c r="AA225" s="24"/>
      <c r="AB225" s="22" t="s">
        <v>1181</v>
      </c>
      <c r="AC225" s="22"/>
      <c r="AD225" s="22" t="s">
        <v>1118</v>
      </c>
      <c r="AE225" s="22" t="s">
        <v>1118</v>
      </c>
      <c r="AF225" s="23">
        <v>0</v>
      </c>
      <c r="AG225" s="22" t="s">
        <v>1138</v>
      </c>
      <c r="AH225" s="22" t="s">
        <v>1123</v>
      </c>
    </row>
    <row r="226" spans="1:34" ht="19.899999999999999" customHeight="1" x14ac:dyDescent="0.25">
      <c r="A226" s="29" t="s">
        <v>1597</v>
      </c>
      <c r="B226" s="22" t="s">
        <v>1596</v>
      </c>
      <c r="C226" s="28" t="s">
        <v>1595</v>
      </c>
      <c r="D226" s="27">
        <v>9.3300000000000005E-5</v>
      </c>
      <c r="E226" s="27">
        <v>1.0446999999999999E-4</v>
      </c>
      <c r="F226" s="41">
        <v>2376</v>
      </c>
      <c r="G226" s="44">
        <v>-37</v>
      </c>
      <c r="H226" s="24"/>
      <c r="I226" s="26">
        <v>2413</v>
      </c>
      <c r="J226" s="26">
        <v>1958</v>
      </c>
      <c r="K226" s="26">
        <v>1947</v>
      </c>
      <c r="L226" s="26">
        <v>1947</v>
      </c>
      <c r="M226" s="26">
        <v>1636</v>
      </c>
      <c r="N226" s="26">
        <v>1636</v>
      </c>
      <c r="O226" s="26">
        <v>1624</v>
      </c>
      <c r="P226" s="26">
        <v>0</v>
      </c>
      <c r="Q226" s="26">
        <v>0</v>
      </c>
      <c r="R226" s="26">
        <v>0</v>
      </c>
      <c r="S226" s="26">
        <v>0</v>
      </c>
      <c r="T226" s="26">
        <v>0</v>
      </c>
      <c r="U226" s="27">
        <v>1.4505270000000001E-3</v>
      </c>
      <c r="V226" s="27">
        <v>2.1493866E-2</v>
      </c>
      <c r="W226" s="35">
        <v>486.45785525999997</v>
      </c>
      <c r="X226" s="34">
        <v>0</v>
      </c>
      <c r="Y226" s="37" t="s">
        <v>1248</v>
      </c>
      <c r="Z226" s="32">
        <v>-8745</v>
      </c>
      <c r="AA226" s="24"/>
      <c r="AB226" s="22" t="s">
        <v>1177</v>
      </c>
      <c r="AC226" s="22" t="s">
        <v>1176</v>
      </c>
      <c r="AD226" s="22" t="s">
        <v>1594</v>
      </c>
      <c r="AE226" s="22" t="s">
        <v>1174</v>
      </c>
      <c r="AF226" s="23">
        <v>332.97246999999999</v>
      </c>
      <c r="AG226" s="22" t="s">
        <v>1173</v>
      </c>
      <c r="AH226" s="22" t="s">
        <v>1141</v>
      </c>
    </row>
    <row r="227" spans="1:34" ht="19.899999999999999" customHeight="1" x14ac:dyDescent="0.25">
      <c r="A227" s="29" t="s">
        <v>1590</v>
      </c>
      <c r="B227" s="22" t="s">
        <v>1589</v>
      </c>
      <c r="C227" s="28" t="s">
        <v>1588</v>
      </c>
      <c r="D227" s="27">
        <v>8.8350000000000006E-5</v>
      </c>
      <c r="E227" s="27">
        <v>0</v>
      </c>
      <c r="F227" s="41">
        <v>2250</v>
      </c>
      <c r="G227" s="43">
        <v>2250</v>
      </c>
      <c r="H227" s="24"/>
      <c r="I227" s="26">
        <v>0</v>
      </c>
      <c r="J227" s="26">
        <v>1500</v>
      </c>
      <c r="K227" s="26">
        <v>1500</v>
      </c>
      <c r="L227" s="26">
        <v>1500</v>
      </c>
      <c r="M227" s="26">
        <v>0</v>
      </c>
      <c r="N227" s="26">
        <v>0</v>
      </c>
      <c r="O227" s="26">
        <v>0</v>
      </c>
      <c r="P227" s="26">
        <v>0</v>
      </c>
      <c r="Q227" s="26">
        <v>0</v>
      </c>
      <c r="R227" s="26">
        <v>0</v>
      </c>
      <c r="S227" s="26">
        <v>0</v>
      </c>
      <c r="T227" s="26">
        <v>0</v>
      </c>
      <c r="U227" s="22"/>
      <c r="V227" s="22"/>
      <c r="W227" s="22"/>
      <c r="X227" s="22"/>
      <c r="Y227" s="25"/>
      <c r="Z227" s="22"/>
      <c r="AA227" s="24"/>
      <c r="AB227" s="22" t="s">
        <v>1181</v>
      </c>
      <c r="AC227" s="22"/>
      <c r="AD227" s="22" t="s">
        <v>1118</v>
      </c>
      <c r="AE227" s="22" t="s">
        <v>1118</v>
      </c>
      <c r="AF227" s="23">
        <v>0</v>
      </c>
      <c r="AG227" s="22" t="s">
        <v>1138</v>
      </c>
      <c r="AH227" s="22" t="s">
        <v>1123</v>
      </c>
    </row>
    <row r="228" spans="1:34" ht="19.899999999999999" customHeight="1" x14ac:dyDescent="0.25">
      <c r="A228" s="29" t="s">
        <v>1587</v>
      </c>
      <c r="B228" s="22" t="s">
        <v>1586</v>
      </c>
      <c r="C228" s="28" t="s">
        <v>1585</v>
      </c>
      <c r="D228" s="27">
        <v>8.8350000000000006E-5</v>
      </c>
      <c r="E228" s="27">
        <v>0</v>
      </c>
      <c r="F228" s="41">
        <v>2250</v>
      </c>
      <c r="G228" s="43">
        <v>2250</v>
      </c>
      <c r="H228" s="24"/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2"/>
      <c r="V228" s="22"/>
      <c r="W228" s="22"/>
      <c r="X228" s="22"/>
      <c r="Y228" s="25"/>
      <c r="Z228" s="22"/>
      <c r="AA228" s="24"/>
      <c r="AB228" s="22" t="s">
        <v>1161</v>
      </c>
      <c r="AC228" s="22"/>
      <c r="AD228" s="22" t="s">
        <v>1118</v>
      </c>
      <c r="AE228" s="22" t="s">
        <v>1118</v>
      </c>
      <c r="AF228" s="23">
        <v>0</v>
      </c>
      <c r="AG228" s="22" t="s">
        <v>1329</v>
      </c>
      <c r="AH228" s="22" t="s">
        <v>1123</v>
      </c>
    </row>
    <row r="229" spans="1:34" ht="19.899999999999999" customHeight="1" x14ac:dyDescent="0.25">
      <c r="A229" s="29" t="s">
        <v>1584</v>
      </c>
      <c r="B229" s="22" t="s">
        <v>1583</v>
      </c>
      <c r="C229" s="28" t="s">
        <v>1582</v>
      </c>
      <c r="D229" s="27">
        <v>8.4419999999999995E-5</v>
      </c>
      <c r="E229" s="27">
        <v>0</v>
      </c>
      <c r="F229" s="41">
        <v>2150</v>
      </c>
      <c r="G229" s="44">
        <v>-150</v>
      </c>
      <c r="H229" s="24"/>
      <c r="I229" s="26">
        <v>2300</v>
      </c>
      <c r="J229" s="26">
        <v>2075</v>
      </c>
      <c r="K229" s="26">
        <v>2075</v>
      </c>
      <c r="L229" s="26">
        <v>2075</v>
      </c>
      <c r="M229" s="26">
        <v>2075</v>
      </c>
      <c r="N229" s="26">
        <v>2075</v>
      </c>
      <c r="O229" s="26">
        <v>1850</v>
      </c>
      <c r="P229" s="26">
        <v>0</v>
      </c>
      <c r="Q229" s="26">
        <v>0</v>
      </c>
      <c r="R229" s="26">
        <v>0</v>
      </c>
      <c r="S229" s="26">
        <v>0</v>
      </c>
      <c r="T229" s="26">
        <v>0</v>
      </c>
      <c r="U229" s="22"/>
      <c r="V229" s="22"/>
      <c r="W229" s="22"/>
      <c r="X229" s="22"/>
      <c r="Y229" s="25"/>
      <c r="Z229" s="22"/>
      <c r="AA229" s="24"/>
      <c r="AB229" s="22" t="s">
        <v>1161</v>
      </c>
      <c r="AC229" s="22"/>
      <c r="AD229" s="22" t="s">
        <v>1118</v>
      </c>
      <c r="AE229" s="22" t="s">
        <v>1118</v>
      </c>
      <c r="AF229" s="23">
        <v>0</v>
      </c>
      <c r="AG229" s="22" t="s">
        <v>1124</v>
      </c>
      <c r="AH229" s="22" t="s">
        <v>1123</v>
      </c>
    </row>
    <row r="230" spans="1:34" ht="19.899999999999999" customHeight="1" x14ac:dyDescent="0.25">
      <c r="A230" s="29" t="s">
        <v>1581</v>
      </c>
      <c r="B230" s="22" t="s">
        <v>1580</v>
      </c>
      <c r="C230" s="28" t="s">
        <v>1579</v>
      </c>
      <c r="D230" s="27">
        <v>8.4229999999999998E-5</v>
      </c>
      <c r="E230" s="27">
        <v>9.4309999999999997E-5</v>
      </c>
      <c r="F230" s="41">
        <v>2145</v>
      </c>
      <c r="G230" s="43">
        <v>229</v>
      </c>
      <c r="H230" s="24"/>
      <c r="I230" s="26">
        <v>1916</v>
      </c>
      <c r="J230" s="26">
        <v>1876</v>
      </c>
      <c r="K230" s="26">
        <v>1869</v>
      </c>
      <c r="L230" s="26">
        <v>1816</v>
      </c>
      <c r="M230" s="26">
        <v>1162</v>
      </c>
      <c r="N230" s="26">
        <v>1150</v>
      </c>
      <c r="O230" s="26">
        <v>0</v>
      </c>
      <c r="P230" s="26">
        <v>0</v>
      </c>
      <c r="Q230" s="26">
        <v>0</v>
      </c>
      <c r="R230" s="26">
        <v>0</v>
      </c>
      <c r="S230" s="26">
        <v>0</v>
      </c>
      <c r="T230" s="26">
        <v>0</v>
      </c>
      <c r="U230" s="27">
        <v>1.70526E-4</v>
      </c>
      <c r="V230" s="27">
        <v>3.4567499999999999E-4</v>
      </c>
      <c r="W230" s="35">
        <v>5.7166682</v>
      </c>
      <c r="X230" s="34">
        <v>0.27</v>
      </c>
      <c r="Y230" s="30" t="s">
        <v>1178</v>
      </c>
      <c r="Z230" s="31">
        <v>162</v>
      </c>
      <c r="AA230" s="24"/>
      <c r="AB230" s="22" t="s">
        <v>1186</v>
      </c>
      <c r="AC230" s="22" t="s">
        <v>1176</v>
      </c>
      <c r="AD230" s="22" t="s">
        <v>1118</v>
      </c>
      <c r="AE230" s="22" t="s">
        <v>1174</v>
      </c>
      <c r="AF230" s="23">
        <v>1.97E-3</v>
      </c>
      <c r="AG230" s="22" t="s">
        <v>1138</v>
      </c>
      <c r="AH230" s="22" t="s">
        <v>1123</v>
      </c>
    </row>
    <row r="231" spans="1:34" ht="19.899999999999999" customHeight="1" x14ac:dyDescent="0.25">
      <c r="A231" s="29" t="s">
        <v>1578</v>
      </c>
      <c r="B231" s="22" t="s">
        <v>1577</v>
      </c>
      <c r="C231" s="28" t="s">
        <v>1576</v>
      </c>
      <c r="D231" s="27">
        <v>8.2769999999999995E-5</v>
      </c>
      <c r="E231" s="27">
        <v>9.2689999999999995E-5</v>
      </c>
      <c r="F231" s="41">
        <v>2108</v>
      </c>
      <c r="G231" s="43">
        <v>1138</v>
      </c>
      <c r="H231" s="24"/>
      <c r="I231" s="26">
        <v>970</v>
      </c>
      <c r="J231" s="26">
        <v>0</v>
      </c>
      <c r="K231" s="26">
        <v>27095</v>
      </c>
      <c r="L231" s="26">
        <v>0</v>
      </c>
      <c r="M231" s="26">
        <v>0</v>
      </c>
      <c r="N231" s="26">
        <v>0</v>
      </c>
      <c r="O231" s="26">
        <v>0</v>
      </c>
      <c r="P231" s="26">
        <v>0</v>
      </c>
      <c r="Q231" s="26">
        <v>0</v>
      </c>
      <c r="R231" s="26">
        <v>0</v>
      </c>
      <c r="S231" s="26">
        <v>0</v>
      </c>
      <c r="T231" s="26">
        <v>0</v>
      </c>
      <c r="U231" s="27">
        <v>7.5337600000000005E-4</v>
      </c>
      <c r="V231" s="27">
        <v>2.6032439999999998E-3</v>
      </c>
      <c r="W231" s="35">
        <v>57.097440319999997</v>
      </c>
      <c r="X231" s="34">
        <v>0.04</v>
      </c>
      <c r="Y231" s="30" t="s">
        <v>1178</v>
      </c>
      <c r="Z231" s="22"/>
      <c r="AA231" s="24"/>
      <c r="AB231" s="22" t="s">
        <v>1186</v>
      </c>
      <c r="AC231" s="22" t="s">
        <v>1176</v>
      </c>
      <c r="AD231" s="22" t="s">
        <v>1118</v>
      </c>
      <c r="AE231" s="22" t="s">
        <v>1168</v>
      </c>
      <c r="AF231" s="23">
        <v>8.3300000000000006E-3</v>
      </c>
      <c r="AG231" s="22" t="s">
        <v>1138</v>
      </c>
      <c r="AH231" s="22" t="s">
        <v>1123</v>
      </c>
    </row>
    <row r="232" spans="1:34" ht="19.899999999999999" customHeight="1" x14ac:dyDescent="0.25">
      <c r="A232" s="29" t="s">
        <v>1575</v>
      </c>
      <c r="B232" s="22" t="s">
        <v>1574</v>
      </c>
      <c r="C232" s="28" t="s">
        <v>1573</v>
      </c>
      <c r="D232" s="27">
        <v>6.3769999999999994E-5</v>
      </c>
      <c r="E232" s="27">
        <v>7.1409999999999996E-5</v>
      </c>
      <c r="F232" s="41">
        <v>1624</v>
      </c>
      <c r="G232" s="44">
        <v>-2304</v>
      </c>
      <c r="H232" s="24"/>
      <c r="I232" s="26">
        <v>3928</v>
      </c>
      <c r="J232" s="26">
        <v>3751</v>
      </c>
      <c r="K232" s="26">
        <v>3053</v>
      </c>
      <c r="L232" s="26">
        <v>3053</v>
      </c>
      <c r="M232" s="26">
        <v>3053</v>
      </c>
      <c r="N232" s="26">
        <v>2255</v>
      </c>
      <c r="O232" s="26">
        <v>0</v>
      </c>
      <c r="P232" s="26">
        <v>0</v>
      </c>
      <c r="Q232" s="26">
        <v>0</v>
      </c>
      <c r="R232" s="26">
        <v>0</v>
      </c>
      <c r="S232" s="26">
        <v>0</v>
      </c>
      <c r="T232" s="26">
        <v>0</v>
      </c>
      <c r="U232" s="27">
        <v>5.0953090000000001E-3</v>
      </c>
      <c r="V232" s="27">
        <v>1.2778136000000001E-2</v>
      </c>
      <c r="W232" s="35">
        <v>288.98846981000003</v>
      </c>
      <c r="X232" s="34">
        <v>0.01</v>
      </c>
      <c r="Y232" s="36" t="s">
        <v>1204</v>
      </c>
      <c r="Z232" s="32">
        <v>-866</v>
      </c>
      <c r="AA232" s="24"/>
      <c r="AB232" s="22" t="s">
        <v>1177</v>
      </c>
      <c r="AC232" s="22" t="s">
        <v>1176</v>
      </c>
      <c r="AD232" s="22" t="s">
        <v>1471</v>
      </c>
      <c r="AE232" s="22" t="s">
        <v>1174</v>
      </c>
      <c r="AF232" s="23">
        <v>1.4091400000000001</v>
      </c>
      <c r="AG232" s="22" t="s">
        <v>1572</v>
      </c>
      <c r="AH232" s="22" t="s">
        <v>1571</v>
      </c>
    </row>
    <row r="233" spans="1:34" ht="19.899999999999999" customHeight="1" x14ac:dyDescent="0.25">
      <c r="A233" s="29" t="s">
        <v>1564</v>
      </c>
      <c r="B233" s="22" t="s">
        <v>1563</v>
      </c>
      <c r="C233" s="28" t="s">
        <v>1562</v>
      </c>
      <c r="D233" s="27">
        <v>4.7750000000000002E-5</v>
      </c>
      <c r="E233" s="27">
        <v>5.3470000000000001E-5</v>
      </c>
      <c r="F233" s="41">
        <v>1216</v>
      </c>
      <c r="G233" s="44">
        <v>-4009</v>
      </c>
      <c r="H233" s="24"/>
      <c r="I233" s="26">
        <v>5225</v>
      </c>
      <c r="J233" s="26">
        <v>0</v>
      </c>
      <c r="K233" s="26">
        <v>0</v>
      </c>
      <c r="L233" s="26">
        <v>0</v>
      </c>
      <c r="M233" s="26">
        <v>0</v>
      </c>
      <c r="N233" s="26">
        <v>0</v>
      </c>
      <c r="O233" s="26">
        <v>0</v>
      </c>
      <c r="P233" s="26">
        <v>0</v>
      </c>
      <c r="Q233" s="26">
        <v>0</v>
      </c>
      <c r="R233" s="26">
        <v>0</v>
      </c>
      <c r="S233" s="26">
        <v>0</v>
      </c>
      <c r="T233" s="26">
        <v>0</v>
      </c>
      <c r="U233" s="27">
        <v>1.482756E-3</v>
      </c>
      <c r="V233" s="27">
        <v>2.290551E-3</v>
      </c>
      <c r="W233" s="35">
        <v>50.877879989999997</v>
      </c>
      <c r="X233" s="34">
        <v>0.02</v>
      </c>
      <c r="Y233" s="30" t="s">
        <v>1178</v>
      </c>
      <c r="Z233" s="32">
        <v>-30</v>
      </c>
      <c r="AA233" s="24"/>
      <c r="AB233" s="22" t="s">
        <v>1186</v>
      </c>
      <c r="AC233" s="22" t="s">
        <v>1176</v>
      </c>
      <c r="AD233" s="22" t="s">
        <v>1118</v>
      </c>
      <c r="AE233" s="22" t="s">
        <v>1118</v>
      </c>
      <c r="AF233" s="23">
        <v>0</v>
      </c>
      <c r="AG233" s="22" t="s">
        <v>1124</v>
      </c>
      <c r="AH233" s="22" t="s">
        <v>1123</v>
      </c>
    </row>
    <row r="234" spans="1:34" ht="19.899999999999999" customHeight="1" x14ac:dyDescent="0.25">
      <c r="A234" s="29" t="s">
        <v>1558</v>
      </c>
      <c r="B234" s="22" t="s">
        <v>1557</v>
      </c>
      <c r="C234" s="28" t="s">
        <v>1556</v>
      </c>
      <c r="D234" s="27">
        <v>3.9820000000000002E-5</v>
      </c>
      <c r="E234" s="27">
        <v>0</v>
      </c>
      <c r="F234" s="41">
        <v>1014</v>
      </c>
      <c r="G234" s="41">
        <v>0</v>
      </c>
      <c r="H234" s="24"/>
      <c r="I234" s="26">
        <v>1014</v>
      </c>
      <c r="J234" s="26">
        <v>1014</v>
      </c>
      <c r="K234" s="26">
        <v>1014</v>
      </c>
      <c r="L234" s="26">
        <v>0</v>
      </c>
      <c r="M234" s="26">
        <v>0</v>
      </c>
      <c r="N234" s="26">
        <v>0</v>
      </c>
      <c r="O234" s="26">
        <v>0</v>
      </c>
      <c r="P234" s="26">
        <v>0</v>
      </c>
      <c r="Q234" s="26">
        <v>0</v>
      </c>
      <c r="R234" s="26">
        <v>0</v>
      </c>
      <c r="S234" s="26">
        <v>0</v>
      </c>
      <c r="T234" s="26">
        <v>0</v>
      </c>
      <c r="U234" s="22"/>
      <c r="V234" s="22"/>
      <c r="W234" s="22"/>
      <c r="X234" s="22"/>
      <c r="Y234" s="25"/>
      <c r="Z234" s="22"/>
      <c r="AA234" s="24"/>
      <c r="AB234" s="22" t="s">
        <v>1170</v>
      </c>
      <c r="AC234" s="22"/>
      <c r="AD234" s="22" t="s">
        <v>1118</v>
      </c>
      <c r="AE234" s="22" t="s">
        <v>1118</v>
      </c>
      <c r="AF234" s="23">
        <v>0</v>
      </c>
      <c r="AG234" s="22" t="s">
        <v>1164</v>
      </c>
      <c r="AH234" s="22" t="s">
        <v>1164</v>
      </c>
    </row>
    <row r="235" spans="1:34" ht="19.899999999999999" customHeight="1" x14ac:dyDescent="0.25">
      <c r="A235" s="29" t="s">
        <v>1555</v>
      </c>
      <c r="B235" s="22" t="s">
        <v>1554</v>
      </c>
      <c r="C235" s="28" t="s">
        <v>1553</v>
      </c>
      <c r="D235" s="27">
        <v>3.9270000000000002E-5</v>
      </c>
      <c r="E235" s="27">
        <v>4.3970000000000001E-5</v>
      </c>
      <c r="F235" s="41">
        <v>1000</v>
      </c>
      <c r="G235" s="41">
        <v>0</v>
      </c>
      <c r="H235" s="24"/>
      <c r="I235" s="26">
        <v>1000</v>
      </c>
      <c r="J235" s="26">
        <v>0</v>
      </c>
      <c r="K235" s="26">
        <v>0</v>
      </c>
      <c r="L235" s="26">
        <v>0</v>
      </c>
      <c r="M235" s="26">
        <v>0</v>
      </c>
      <c r="N235" s="26">
        <v>0</v>
      </c>
      <c r="O235" s="26">
        <v>0</v>
      </c>
      <c r="P235" s="26">
        <v>0</v>
      </c>
      <c r="Q235" s="26">
        <v>0</v>
      </c>
      <c r="R235" s="26">
        <v>0</v>
      </c>
      <c r="S235" s="26">
        <v>0</v>
      </c>
      <c r="T235" s="26">
        <v>0</v>
      </c>
      <c r="U235" s="22"/>
      <c r="V235" s="22"/>
      <c r="W235" s="22"/>
      <c r="X235" s="22"/>
      <c r="Y235" s="30" t="s">
        <v>1178</v>
      </c>
      <c r="Z235" s="32">
        <v>-10</v>
      </c>
      <c r="AA235" s="24"/>
      <c r="AB235" s="22" t="s">
        <v>1186</v>
      </c>
      <c r="AC235" s="22" t="s">
        <v>1176</v>
      </c>
      <c r="AD235" s="22" t="s">
        <v>1118</v>
      </c>
      <c r="AE235" s="22" t="s">
        <v>1174</v>
      </c>
      <c r="AF235" s="23">
        <v>8.4999999999999995E-4</v>
      </c>
      <c r="AG235" s="22" t="s">
        <v>1138</v>
      </c>
      <c r="AH235" s="22" t="s">
        <v>1123</v>
      </c>
    </row>
    <row r="236" spans="1:34" ht="19.899999999999999" customHeight="1" x14ac:dyDescent="0.25">
      <c r="A236" s="29" t="s">
        <v>1552</v>
      </c>
      <c r="B236" s="22" t="s">
        <v>1551</v>
      </c>
      <c r="C236" s="28" t="s">
        <v>1550</v>
      </c>
      <c r="D236" s="27">
        <v>3.9270000000000002E-5</v>
      </c>
      <c r="E236" s="27">
        <v>4.3970000000000001E-5</v>
      </c>
      <c r="F236" s="41">
        <v>1000</v>
      </c>
      <c r="G236" s="43">
        <v>1000</v>
      </c>
      <c r="H236" s="24"/>
      <c r="I236" s="26">
        <v>0</v>
      </c>
      <c r="J236" s="26">
        <v>0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2"/>
      <c r="V236" s="22"/>
      <c r="W236" s="22"/>
      <c r="X236" s="22"/>
      <c r="Y236" s="30" t="s">
        <v>1178</v>
      </c>
      <c r="Z236" s="22"/>
      <c r="AA236" s="24"/>
      <c r="AB236" s="22" t="s">
        <v>1186</v>
      </c>
      <c r="AC236" s="22" t="s">
        <v>1176</v>
      </c>
      <c r="AD236" s="22" t="s">
        <v>1118</v>
      </c>
      <c r="AE236" s="22" t="s">
        <v>1118</v>
      </c>
      <c r="AF236" s="23">
        <v>0</v>
      </c>
      <c r="AG236" s="22" t="s">
        <v>1173</v>
      </c>
      <c r="AH236" s="22" t="s">
        <v>1141</v>
      </c>
    </row>
    <row r="237" spans="1:34" ht="19.899999999999999" customHeight="1" x14ac:dyDescent="0.25">
      <c r="A237" s="29" t="s">
        <v>1549</v>
      </c>
      <c r="B237" s="22" t="s">
        <v>1548</v>
      </c>
      <c r="C237" s="28" t="s">
        <v>1547</v>
      </c>
      <c r="D237" s="27">
        <v>3.6520000000000003E-5</v>
      </c>
      <c r="E237" s="27">
        <v>4.0890000000000003E-5</v>
      </c>
      <c r="F237" s="41">
        <v>930</v>
      </c>
      <c r="G237" s="41">
        <v>0</v>
      </c>
      <c r="H237" s="24"/>
      <c r="I237" s="26">
        <v>930</v>
      </c>
      <c r="J237" s="26">
        <v>930</v>
      </c>
      <c r="K237" s="26">
        <v>769</v>
      </c>
      <c r="L237" s="26">
        <v>769</v>
      </c>
      <c r="M237" s="26">
        <v>0</v>
      </c>
      <c r="N237" s="26">
        <v>0</v>
      </c>
      <c r="O237" s="26">
        <v>0</v>
      </c>
      <c r="P237" s="26">
        <v>0</v>
      </c>
      <c r="Q237" s="26">
        <v>0</v>
      </c>
      <c r="R237" s="26">
        <v>0</v>
      </c>
      <c r="S237" s="26">
        <v>0</v>
      </c>
      <c r="T237" s="26">
        <v>0</v>
      </c>
      <c r="U237" s="27">
        <v>1.01071E-4</v>
      </c>
      <c r="V237" s="27">
        <v>2.3382399999999999E-4</v>
      </c>
      <c r="W237" s="35">
        <v>4.3878468399999999</v>
      </c>
      <c r="X237" s="34">
        <v>0.17</v>
      </c>
      <c r="Y237" s="30" t="s">
        <v>1178</v>
      </c>
      <c r="Z237" s="22"/>
      <c r="AA237" s="24"/>
      <c r="AB237" s="22" t="s">
        <v>1186</v>
      </c>
      <c r="AC237" s="22" t="s">
        <v>1176</v>
      </c>
      <c r="AD237" s="22" t="s">
        <v>1118</v>
      </c>
      <c r="AE237" s="22" t="s">
        <v>1118</v>
      </c>
      <c r="AF237" s="23">
        <v>0</v>
      </c>
      <c r="AG237" s="22" t="s">
        <v>1138</v>
      </c>
      <c r="AH237" s="22" t="s">
        <v>1123</v>
      </c>
    </row>
    <row r="238" spans="1:34" ht="19.899999999999999" customHeight="1" x14ac:dyDescent="0.25">
      <c r="A238" s="29" t="s">
        <v>1546</v>
      </c>
      <c r="B238" s="22" t="s">
        <v>1545</v>
      </c>
      <c r="C238" s="28" t="s">
        <v>1544</v>
      </c>
      <c r="D238" s="27">
        <v>3.5219999999999998E-5</v>
      </c>
      <c r="E238" s="27">
        <v>3.9440000000000002E-5</v>
      </c>
      <c r="F238" s="41">
        <v>897</v>
      </c>
      <c r="G238" s="41">
        <v>0</v>
      </c>
      <c r="H238" s="24"/>
      <c r="I238" s="26">
        <v>897</v>
      </c>
      <c r="J238" s="26">
        <v>0</v>
      </c>
      <c r="K238" s="26">
        <v>0</v>
      </c>
      <c r="L238" s="26">
        <v>0</v>
      </c>
      <c r="M238" s="26">
        <v>0</v>
      </c>
      <c r="N238" s="26">
        <v>0</v>
      </c>
      <c r="O238" s="26">
        <v>0</v>
      </c>
      <c r="P238" s="26">
        <v>0</v>
      </c>
      <c r="Q238" s="26">
        <v>0</v>
      </c>
      <c r="R238" s="26">
        <v>0</v>
      </c>
      <c r="S238" s="26">
        <v>0</v>
      </c>
      <c r="T238" s="26">
        <v>0</v>
      </c>
      <c r="U238" s="27">
        <v>4.9713600000000002E-4</v>
      </c>
      <c r="V238" s="27">
        <v>3.023586E-3</v>
      </c>
      <c r="W238" s="35">
        <v>67.868256149999993</v>
      </c>
      <c r="X238" s="34">
        <v>0.01</v>
      </c>
      <c r="Y238" s="36" t="s">
        <v>1204</v>
      </c>
      <c r="Z238" s="22"/>
      <c r="AA238" s="24"/>
      <c r="AB238" s="22" t="s">
        <v>1186</v>
      </c>
      <c r="AC238" s="22"/>
      <c r="AD238" s="22" t="s">
        <v>1118</v>
      </c>
      <c r="AE238" s="22" t="s">
        <v>1118</v>
      </c>
      <c r="AF238" s="23">
        <v>0</v>
      </c>
      <c r="AG238" s="22" t="s">
        <v>1365</v>
      </c>
      <c r="AH238" s="22" t="s">
        <v>1365</v>
      </c>
    </row>
    <row r="239" spans="1:34" ht="19.899999999999999" customHeight="1" x14ac:dyDescent="0.25">
      <c r="A239" s="29" t="s">
        <v>1543</v>
      </c>
      <c r="B239" s="22" t="s">
        <v>1542</v>
      </c>
      <c r="C239" s="28" t="s">
        <v>1541</v>
      </c>
      <c r="D239" s="27">
        <v>3.5070000000000001E-5</v>
      </c>
      <c r="E239" s="27">
        <v>3.926E-5</v>
      </c>
      <c r="F239" s="41">
        <v>893</v>
      </c>
      <c r="G239" s="43">
        <v>893</v>
      </c>
      <c r="H239" s="24"/>
      <c r="I239" s="26">
        <v>0</v>
      </c>
      <c r="J239" s="26">
        <v>0</v>
      </c>
      <c r="K239" s="26">
        <v>0</v>
      </c>
      <c r="L239" s="26">
        <v>1520</v>
      </c>
      <c r="M239" s="26">
        <v>737</v>
      </c>
      <c r="N239" s="26">
        <v>0</v>
      </c>
      <c r="O239" s="26">
        <v>0</v>
      </c>
      <c r="P239" s="26">
        <v>0</v>
      </c>
      <c r="Q239" s="26">
        <v>0</v>
      </c>
      <c r="R239" s="26">
        <v>0</v>
      </c>
      <c r="S239" s="26">
        <v>0</v>
      </c>
      <c r="T239" s="26">
        <v>0</v>
      </c>
      <c r="U239" s="27">
        <v>4.4963699999999998E-5</v>
      </c>
      <c r="V239" s="27">
        <v>1.04004E-4</v>
      </c>
      <c r="W239" s="35">
        <v>1.47235746</v>
      </c>
      <c r="X239" s="34">
        <v>0.38</v>
      </c>
      <c r="Y239" s="30" t="s">
        <v>1178</v>
      </c>
      <c r="Z239" s="22"/>
      <c r="AA239" s="24"/>
      <c r="AB239" s="22" t="s">
        <v>1268</v>
      </c>
      <c r="AC239" s="22"/>
      <c r="AD239" s="22" t="s">
        <v>1118</v>
      </c>
      <c r="AE239" s="22" t="s">
        <v>1118</v>
      </c>
      <c r="AF239" s="23">
        <v>0</v>
      </c>
      <c r="AG239" s="22" t="s">
        <v>1365</v>
      </c>
      <c r="AH239" s="22" t="s">
        <v>1365</v>
      </c>
    </row>
    <row r="240" spans="1:34" ht="19.899999999999999" customHeight="1" x14ac:dyDescent="0.25">
      <c r="A240" s="29" t="s">
        <v>1537</v>
      </c>
      <c r="B240" s="22" t="s">
        <v>1536</v>
      </c>
      <c r="C240" s="28" t="s">
        <v>1535</v>
      </c>
      <c r="D240" s="27">
        <v>3.3259999999999997E-5</v>
      </c>
      <c r="E240" s="27">
        <v>3.7240000000000003E-5</v>
      </c>
      <c r="F240" s="41">
        <v>847</v>
      </c>
      <c r="G240" s="43">
        <v>9</v>
      </c>
      <c r="H240" s="24"/>
      <c r="I240" s="26">
        <v>838</v>
      </c>
      <c r="J240" s="26">
        <v>0</v>
      </c>
      <c r="K240" s="26">
        <v>0</v>
      </c>
      <c r="L240" s="26">
        <v>0</v>
      </c>
      <c r="M240" s="26">
        <v>0</v>
      </c>
      <c r="N240" s="26">
        <v>0</v>
      </c>
      <c r="O240" s="26">
        <v>0</v>
      </c>
      <c r="P240" s="26">
        <v>0</v>
      </c>
      <c r="Q240" s="26">
        <v>0</v>
      </c>
      <c r="R240" s="26">
        <v>35</v>
      </c>
      <c r="S240" s="26">
        <v>0</v>
      </c>
      <c r="T240" s="26">
        <v>0</v>
      </c>
      <c r="U240" s="22"/>
      <c r="V240" s="22"/>
      <c r="W240" s="22"/>
      <c r="X240" s="22"/>
      <c r="Y240" s="30" t="s">
        <v>1178</v>
      </c>
      <c r="Z240" s="22"/>
      <c r="AA240" s="24"/>
      <c r="AB240" s="22" t="s">
        <v>1268</v>
      </c>
      <c r="AC240" s="22"/>
      <c r="AD240" s="22" t="s">
        <v>1118</v>
      </c>
      <c r="AE240" s="22" t="s">
        <v>1118</v>
      </c>
      <c r="AF240" s="23">
        <v>0</v>
      </c>
      <c r="AG240" s="22" t="s">
        <v>1138</v>
      </c>
      <c r="AH240" s="22" t="s">
        <v>1123</v>
      </c>
    </row>
    <row r="241" spans="1:34" ht="19.899999999999999" customHeight="1" x14ac:dyDescent="0.25">
      <c r="A241" s="29" t="s">
        <v>1534</v>
      </c>
      <c r="B241" s="22" t="s">
        <v>1533</v>
      </c>
      <c r="C241" s="28" t="s">
        <v>1532</v>
      </c>
      <c r="D241" s="27">
        <v>2.9839999999999999E-5</v>
      </c>
      <c r="E241" s="27">
        <v>0</v>
      </c>
      <c r="F241" s="41">
        <v>760</v>
      </c>
      <c r="G241" s="43">
        <v>760</v>
      </c>
      <c r="H241" s="24"/>
      <c r="I241" s="26">
        <v>0</v>
      </c>
      <c r="J241" s="26">
        <v>0</v>
      </c>
      <c r="K241" s="26">
        <v>0</v>
      </c>
      <c r="L241" s="26">
        <v>0</v>
      </c>
      <c r="M241" s="26">
        <v>0</v>
      </c>
      <c r="N241" s="26">
        <v>0</v>
      </c>
      <c r="O241" s="26">
        <v>0</v>
      </c>
      <c r="P241" s="26">
        <v>0</v>
      </c>
      <c r="Q241" s="26">
        <v>0</v>
      </c>
      <c r="R241" s="26">
        <v>0</v>
      </c>
      <c r="S241" s="26">
        <v>0</v>
      </c>
      <c r="T241" s="26">
        <v>0</v>
      </c>
      <c r="U241" s="22"/>
      <c r="V241" s="22"/>
      <c r="W241" s="22"/>
      <c r="X241" s="22"/>
      <c r="Y241" s="25"/>
      <c r="Z241" s="22"/>
      <c r="AA241" s="24"/>
      <c r="AB241" s="22" t="s">
        <v>1181</v>
      </c>
      <c r="AC241" s="22"/>
      <c r="AD241" s="22" t="s">
        <v>1118</v>
      </c>
      <c r="AE241" s="22" t="s">
        <v>1118</v>
      </c>
      <c r="AF241" s="23">
        <v>0</v>
      </c>
      <c r="AG241" s="22" t="s">
        <v>1138</v>
      </c>
      <c r="AH241" s="22" t="s">
        <v>1123</v>
      </c>
    </row>
    <row r="242" spans="1:34" ht="19.899999999999999" customHeight="1" x14ac:dyDescent="0.25">
      <c r="A242" s="29" t="s">
        <v>1531</v>
      </c>
      <c r="B242" s="22" t="s">
        <v>1530</v>
      </c>
      <c r="C242" s="28" t="s">
        <v>1529</v>
      </c>
      <c r="D242" s="27">
        <v>2.438E-5</v>
      </c>
      <c r="E242" s="27">
        <v>2.7310000000000001E-5</v>
      </c>
      <c r="F242" s="41">
        <v>621</v>
      </c>
      <c r="G242" s="44">
        <v>-32</v>
      </c>
      <c r="H242" s="24"/>
      <c r="I242" s="26">
        <v>653</v>
      </c>
      <c r="J242" s="26">
        <v>686</v>
      </c>
      <c r="K242" s="26">
        <v>517</v>
      </c>
      <c r="L242" s="26">
        <v>0</v>
      </c>
      <c r="M242" s="26">
        <v>0</v>
      </c>
      <c r="N242" s="26">
        <v>0</v>
      </c>
      <c r="O242" s="26">
        <v>0</v>
      </c>
      <c r="P242" s="26">
        <v>0</v>
      </c>
      <c r="Q242" s="26">
        <v>0</v>
      </c>
      <c r="R242" s="26">
        <v>0</v>
      </c>
      <c r="S242" s="26">
        <v>0</v>
      </c>
      <c r="T242" s="26">
        <v>0</v>
      </c>
      <c r="U242" s="27">
        <v>3.7194099999999997E-5</v>
      </c>
      <c r="V242" s="27">
        <v>6.5886499999999993E-5</v>
      </c>
      <c r="W242" s="35">
        <v>0.87745318000000005</v>
      </c>
      <c r="X242" s="34">
        <v>0.41</v>
      </c>
      <c r="Y242" s="30" t="s">
        <v>1178</v>
      </c>
      <c r="Z242" s="22"/>
      <c r="AA242" s="24"/>
      <c r="AB242" s="22" t="s">
        <v>1186</v>
      </c>
      <c r="AC242" s="22" t="s">
        <v>1176</v>
      </c>
      <c r="AD242" s="22" t="s">
        <v>1118</v>
      </c>
      <c r="AE242" s="22" t="s">
        <v>1118</v>
      </c>
      <c r="AF242" s="23">
        <v>0</v>
      </c>
      <c r="AG242" s="22" t="s">
        <v>1138</v>
      </c>
      <c r="AH242" s="22" t="s">
        <v>1123</v>
      </c>
    </row>
    <row r="243" spans="1:34" ht="19.899999999999999" customHeight="1" x14ac:dyDescent="0.25">
      <c r="A243" s="29" t="s">
        <v>1528</v>
      </c>
      <c r="B243" s="22" t="s">
        <v>1527</v>
      </c>
      <c r="C243" s="28" t="s">
        <v>1526</v>
      </c>
      <c r="D243" s="27">
        <v>2.4309999999999999E-5</v>
      </c>
      <c r="E243" s="27">
        <v>2.722E-5</v>
      </c>
      <c r="F243" s="41">
        <v>619</v>
      </c>
      <c r="G243" s="41">
        <v>0</v>
      </c>
      <c r="H243" s="24"/>
      <c r="I243" s="26">
        <v>619</v>
      </c>
      <c r="J243" s="26">
        <v>619</v>
      </c>
      <c r="K243" s="26">
        <v>619</v>
      </c>
      <c r="L243" s="26">
        <v>619</v>
      </c>
      <c r="M243" s="26">
        <v>0</v>
      </c>
      <c r="N243" s="26">
        <v>0</v>
      </c>
      <c r="O243" s="26">
        <v>0</v>
      </c>
      <c r="P243" s="26">
        <v>0</v>
      </c>
      <c r="Q243" s="26">
        <v>0</v>
      </c>
      <c r="R243" s="26">
        <v>0</v>
      </c>
      <c r="S243" s="26">
        <v>0</v>
      </c>
      <c r="T243" s="26">
        <v>0</v>
      </c>
      <c r="U243" s="27">
        <v>3.3003016000000003E-2</v>
      </c>
      <c r="V243" s="27">
        <v>6.2228051E-2</v>
      </c>
      <c r="W243" s="35">
        <v>1414.6302658100001</v>
      </c>
      <c r="X243" s="34">
        <v>0</v>
      </c>
      <c r="Y243" s="37" t="s">
        <v>1248</v>
      </c>
      <c r="Z243" s="31">
        <v>68857</v>
      </c>
      <c r="AA243" s="24"/>
      <c r="AB243" s="22" t="s">
        <v>1186</v>
      </c>
      <c r="AC243" s="22" t="s">
        <v>1169</v>
      </c>
      <c r="AD243" s="22" t="s">
        <v>1518</v>
      </c>
      <c r="AE243" s="22" t="s">
        <v>1174</v>
      </c>
      <c r="AF243" s="23">
        <v>4163.3732499999996</v>
      </c>
      <c r="AG243" s="22" t="s">
        <v>1525</v>
      </c>
      <c r="AH243" s="22" t="s">
        <v>1141</v>
      </c>
    </row>
    <row r="244" spans="1:34" ht="19.899999999999999" customHeight="1" x14ac:dyDescent="0.25">
      <c r="A244" s="29" t="s">
        <v>1517</v>
      </c>
      <c r="B244" s="22" t="s">
        <v>1516</v>
      </c>
      <c r="C244" s="28" t="s">
        <v>1515</v>
      </c>
      <c r="D244" s="27">
        <v>1.8729999999999999E-5</v>
      </c>
      <c r="E244" s="27">
        <v>0</v>
      </c>
      <c r="F244" s="41">
        <v>477</v>
      </c>
      <c r="G244" s="43">
        <v>123</v>
      </c>
      <c r="H244" s="24"/>
      <c r="I244" s="26">
        <v>354</v>
      </c>
      <c r="J244" s="26">
        <v>306</v>
      </c>
      <c r="K244" s="26">
        <v>270</v>
      </c>
      <c r="L244" s="26">
        <v>203</v>
      </c>
      <c r="M244" s="26">
        <v>203</v>
      </c>
      <c r="N244" s="26">
        <v>105</v>
      </c>
      <c r="O244" s="26">
        <v>0</v>
      </c>
      <c r="P244" s="26">
        <v>0</v>
      </c>
      <c r="Q244" s="26">
        <v>0</v>
      </c>
      <c r="R244" s="26">
        <v>0</v>
      </c>
      <c r="S244" s="26">
        <v>3066</v>
      </c>
      <c r="T244" s="26">
        <v>0</v>
      </c>
      <c r="U244" s="22"/>
      <c r="V244" s="22"/>
      <c r="W244" s="22"/>
      <c r="X244" s="22"/>
      <c r="Y244" s="25"/>
      <c r="Z244" s="22"/>
      <c r="AA244" s="24"/>
      <c r="AB244" s="22" t="s">
        <v>1119</v>
      </c>
      <c r="AC244" s="22"/>
      <c r="AD244" s="22" t="s">
        <v>1118</v>
      </c>
      <c r="AE244" s="22" t="s">
        <v>1118</v>
      </c>
      <c r="AF244" s="23">
        <v>0</v>
      </c>
      <c r="AG244" s="22" t="s">
        <v>1138</v>
      </c>
      <c r="AH244" s="22" t="s">
        <v>1123</v>
      </c>
    </row>
    <row r="245" spans="1:34" ht="19.899999999999999" customHeight="1" x14ac:dyDescent="0.25">
      <c r="A245" s="29" t="s">
        <v>1501</v>
      </c>
      <c r="B245" s="22" t="s">
        <v>1500</v>
      </c>
      <c r="C245" s="28" t="s">
        <v>1499</v>
      </c>
      <c r="D245" s="27">
        <v>8.9500000000000007E-6</v>
      </c>
      <c r="E245" s="27">
        <v>0</v>
      </c>
      <c r="F245" s="41">
        <v>228</v>
      </c>
      <c r="G245" s="43">
        <v>190</v>
      </c>
      <c r="H245" s="24"/>
      <c r="I245" s="26">
        <v>38</v>
      </c>
      <c r="J245" s="26">
        <v>38</v>
      </c>
      <c r="K245" s="26">
        <v>68916</v>
      </c>
      <c r="L245" s="26">
        <v>38</v>
      </c>
      <c r="M245" s="26">
        <v>38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2"/>
      <c r="V245" s="22"/>
      <c r="W245" s="22"/>
      <c r="X245" s="22"/>
      <c r="Y245" s="25"/>
      <c r="Z245" s="22"/>
      <c r="AA245" s="24"/>
      <c r="AB245" s="22" t="s">
        <v>1222</v>
      </c>
      <c r="AC245" s="22" t="s">
        <v>1169</v>
      </c>
      <c r="AD245" s="22" t="s">
        <v>1118</v>
      </c>
      <c r="AE245" s="22" t="s">
        <v>1118</v>
      </c>
      <c r="AF245" s="23">
        <v>0</v>
      </c>
      <c r="AG245" s="22" t="s">
        <v>1138</v>
      </c>
      <c r="AH245" s="22" t="s">
        <v>1123</v>
      </c>
    </row>
    <row r="246" spans="1:34" ht="19.899999999999999" customHeight="1" x14ac:dyDescent="0.25">
      <c r="A246" s="29" t="s">
        <v>1493</v>
      </c>
      <c r="B246" s="22" t="s">
        <v>1492</v>
      </c>
      <c r="C246" s="28" t="s">
        <v>1491</v>
      </c>
      <c r="D246" s="27">
        <v>2.5500000000000001E-6</v>
      </c>
      <c r="E246" s="27">
        <v>2.8600000000000001E-6</v>
      </c>
      <c r="F246" s="41">
        <v>65</v>
      </c>
      <c r="G246" s="41">
        <v>0</v>
      </c>
      <c r="H246" s="24"/>
      <c r="I246" s="26">
        <v>65</v>
      </c>
      <c r="J246" s="26">
        <v>65</v>
      </c>
      <c r="K246" s="26">
        <v>0</v>
      </c>
      <c r="L246" s="26">
        <v>0</v>
      </c>
      <c r="M246" s="26">
        <v>0</v>
      </c>
      <c r="N246" s="26">
        <v>0</v>
      </c>
      <c r="O246" s="26">
        <v>0</v>
      </c>
      <c r="P246" s="26">
        <v>0</v>
      </c>
      <c r="Q246" s="26">
        <v>0</v>
      </c>
      <c r="R246" s="26">
        <v>0</v>
      </c>
      <c r="S246" s="26">
        <v>0</v>
      </c>
      <c r="T246" s="26">
        <v>0</v>
      </c>
      <c r="U246" s="22"/>
      <c r="V246" s="22"/>
      <c r="W246" s="22"/>
      <c r="X246" s="22"/>
      <c r="Y246" s="25"/>
      <c r="Z246" s="22"/>
      <c r="AA246" s="24"/>
      <c r="AB246" s="22" t="s">
        <v>1186</v>
      </c>
      <c r="AC246" s="22" t="s">
        <v>1176</v>
      </c>
      <c r="AD246" s="22" t="s">
        <v>1118</v>
      </c>
      <c r="AE246" s="22" t="s">
        <v>1118</v>
      </c>
      <c r="AF246" s="23">
        <v>0</v>
      </c>
      <c r="AG246" s="22" t="s">
        <v>1135</v>
      </c>
      <c r="AH246" s="22" t="s">
        <v>1123</v>
      </c>
    </row>
    <row r="247" spans="1:34" ht="19.899999999999999" customHeight="1" x14ac:dyDescent="0.25">
      <c r="A247" s="29" t="s">
        <v>1484</v>
      </c>
      <c r="B247" s="22" t="s">
        <v>1483</v>
      </c>
      <c r="C247" s="28" t="s">
        <v>1482</v>
      </c>
      <c r="D247" s="27">
        <v>5.8999999999999996E-7</v>
      </c>
      <c r="E247" s="27">
        <v>0</v>
      </c>
      <c r="F247" s="41">
        <v>15</v>
      </c>
      <c r="G247" s="43">
        <v>15</v>
      </c>
      <c r="H247" s="24"/>
      <c r="I247" s="26">
        <v>0</v>
      </c>
      <c r="J247" s="26">
        <v>0</v>
      </c>
      <c r="K247" s="26">
        <v>0</v>
      </c>
      <c r="L247" s="26">
        <v>0</v>
      </c>
      <c r="M247" s="26">
        <v>0</v>
      </c>
      <c r="N247" s="26">
        <v>0</v>
      </c>
      <c r="O247" s="26">
        <v>0</v>
      </c>
      <c r="P247" s="26">
        <v>0</v>
      </c>
      <c r="Q247" s="26">
        <v>0</v>
      </c>
      <c r="R247" s="26">
        <v>0</v>
      </c>
      <c r="S247" s="26">
        <v>0</v>
      </c>
      <c r="T247" s="26">
        <v>0</v>
      </c>
      <c r="U247" s="22"/>
      <c r="V247" s="22"/>
      <c r="W247" s="22"/>
      <c r="X247" s="22"/>
      <c r="Y247" s="25"/>
      <c r="Z247" s="22"/>
      <c r="AA247" s="24"/>
      <c r="AB247" s="22" t="s">
        <v>1158</v>
      </c>
      <c r="AC247" s="22"/>
      <c r="AD247" s="22" t="s">
        <v>1118</v>
      </c>
      <c r="AE247" s="22" t="s">
        <v>1118</v>
      </c>
      <c r="AF247" s="23">
        <v>0</v>
      </c>
      <c r="AG247" s="22" t="s">
        <v>1173</v>
      </c>
      <c r="AH247" s="22" t="s">
        <v>1141</v>
      </c>
    </row>
    <row r="248" spans="1:34" ht="19.899999999999999" customHeight="1" x14ac:dyDescent="0.25">
      <c r="A248" s="29" t="s">
        <v>1478</v>
      </c>
      <c r="B248" s="22" t="s">
        <v>1477</v>
      </c>
      <c r="C248" s="28" t="s">
        <v>1476</v>
      </c>
      <c r="D248" s="27">
        <v>0</v>
      </c>
      <c r="E248" s="27">
        <v>0</v>
      </c>
      <c r="F248" s="41">
        <v>0</v>
      </c>
      <c r="G248" s="44">
        <v>-394504</v>
      </c>
      <c r="H248" s="24"/>
      <c r="I248" s="26">
        <v>394504</v>
      </c>
      <c r="J248" s="26">
        <v>492386</v>
      </c>
      <c r="K248" s="26">
        <v>522248</v>
      </c>
      <c r="L248" s="26">
        <v>418907</v>
      </c>
      <c r="M248" s="26">
        <v>293865</v>
      </c>
      <c r="N248" s="26">
        <v>31186</v>
      </c>
      <c r="O248" s="26">
        <v>0</v>
      </c>
      <c r="P248" s="26">
        <v>0</v>
      </c>
      <c r="Q248" s="26">
        <v>0</v>
      </c>
      <c r="R248" s="26">
        <v>0</v>
      </c>
      <c r="S248" s="26">
        <v>0</v>
      </c>
      <c r="T248" s="26">
        <v>0</v>
      </c>
      <c r="U248" s="27">
        <v>1.5293536999999999E-2</v>
      </c>
      <c r="V248" s="27">
        <v>2.4291692E-2</v>
      </c>
      <c r="W248" s="35">
        <v>552.46466369999996</v>
      </c>
      <c r="X248" s="34">
        <v>0</v>
      </c>
      <c r="Y248" s="38" t="s">
        <v>1366</v>
      </c>
      <c r="Z248" s="31">
        <v>43</v>
      </c>
      <c r="AA248" s="24"/>
      <c r="AB248" s="22" t="s">
        <v>1186</v>
      </c>
      <c r="AC248" s="22" t="s">
        <v>1176</v>
      </c>
      <c r="AD248" s="22" t="s">
        <v>1273</v>
      </c>
      <c r="AE248" s="22" t="s">
        <v>1237</v>
      </c>
      <c r="AF248" s="23">
        <v>17.988900000000001</v>
      </c>
      <c r="AG248" s="22" t="s">
        <v>1138</v>
      </c>
      <c r="AH248" s="22" t="s">
        <v>1123</v>
      </c>
    </row>
    <row r="249" spans="1:34" ht="19.899999999999999" customHeight="1" x14ac:dyDescent="0.25">
      <c r="A249" s="29" t="s">
        <v>1475</v>
      </c>
      <c r="B249" s="22" t="s">
        <v>1474</v>
      </c>
      <c r="C249" s="28" t="s">
        <v>1473</v>
      </c>
      <c r="D249" s="27">
        <v>0</v>
      </c>
      <c r="E249" s="27">
        <v>0</v>
      </c>
      <c r="F249" s="41">
        <v>0</v>
      </c>
      <c r="G249" s="44">
        <v>-259771</v>
      </c>
      <c r="H249" s="24"/>
      <c r="I249" s="26">
        <v>259771</v>
      </c>
      <c r="J249" s="26">
        <v>417860</v>
      </c>
      <c r="K249" s="26">
        <v>382079</v>
      </c>
      <c r="L249" s="26">
        <v>381879</v>
      </c>
      <c r="M249" s="26">
        <v>10729</v>
      </c>
      <c r="N249" s="26">
        <v>8056</v>
      </c>
      <c r="O249" s="26">
        <v>8056</v>
      </c>
      <c r="P249" s="26">
        <v>0</v>
      </c>
      <c r="Q249" s="26">
        <v>0</v>
      </c>
      <c r="R249" s="26">
        <v>0</v>
      </c>
      <c r="S249" s="26">
        <v>0</v>
      </c>
      <c r="T249" s="26">
        <v>0</v>
      </c>
      <c r="U249" s="27">
        <v>7.6059179999999997E-3</v>
      </c>
      <c r="V249" s="27">
        <v>2.5415152E-2</v>
      </c>
      <c r="W249" s="35">
        <v>578.01545493000003</v>
      </c>
      <c r="X249" s="34">
        <v>0</v>
      </c>
      <c r="Y249" s="38" t="s">
        <v>1366</v>
      </c>
      <c r="Z249" s="22"/>
      <c r="AA249" s="24"/>
      <c r="AB249" s="22" t="s">
        <v>1472</v>
      </c>
      <c r="AC249" s="22" t="s">
        <v>1176</v>
      </c>
      <c r="AD249" s="22" t="s">
        <v>1471</v>
      </c>
      <c r="AE249" s="22" t="s">
        <v>1174</v>
      </c>
      <c r="AF249" s="23">
        <v>2.7108599999999998</v>
      </c>
      <c r="AG249" s="22" t="s">
        <v>1138</v>
      </c>
      <c r="AH249" s="22" t="s">
        <v>1123</v>
      </c>
    </row>
    <row r="250" spans="1:34" ht="19.899999999999999" customHeight="1" x14ac:dyDescent="0.25">
      <c r="A250" s="29" t="s">
        <v>1467</v>
      </c>
      <c r="B250" s="22" t="s">
        <v>1466</v>
      </c>
      <c r="C250" s="28" t="s">
        <v>1465</v>
      </c>
      <c r="D250" s="27">
        <v>0</v>
      </c>
      <c r="E250" s="27">
        <v>0</v>
      </c>
      <c r="F250" s="41">
        <v>0</v>
      </c>
      <c r="G250" s="44">
        <v>-62427</v>
      </c>
      <c r="H250" s="24"/>
      <c r="I250" s="26">
        <v>62427</v>
      </c>
      <c r="J250" s="26">
        <v>58501</v>
      </c>
      <c r="K250" s="26">
        <v>58501</v>
      </c>
      <c r="L250" s="26">
        <v>46680</v>
      </c>
      <c r="M250" s="26">
        <v>30214</v>
      </c>
      <c r="N250" s="26">
        <v>0</v>
      </c>
      <c r="O250" s="26">
        <v>0</v>
      </c>
      <c r="P250" s="26">
        <v>0</v>
      </c>
      <c r="Q250" s="26">
        <v>0</v>
      </c>
      <c r="R250" s="26">
        <v>0</v>
      </c>
      <c r="S250" s="26">
        <v>0</v>
      </c>
      <c r="T250" s="26">
        <v>0</v>
      </c>
      <c r="U250" s="27">
        <v>5.6522389999999999E-3</v>
      </c>
      <c r="V250" s="27">
        <v>1.1096583E-2</v>
      </c>
      <c r="W250" s="35">
        <v>252.36899905000001</v>
      </c>
      <c r="X250" s="34">
        <v>0</v>
      </c>
      <c r="Y250" s="33" t="s">
        <v>1196</v>
      </c>
      <c r="Z250" s="22"/>
      <c r="AA250" s="24"/>
      <c r="AB250" s="22" t="s">
        <v>1464</v>
      </c>
      <c r="AC250" s="22" t="s">
        <v>1176</v>
      </c>
      <c r="AD250" s="22" t="s">
        <v>1118</v>
      </c>
      <c r="AE250" s="22" t="s">
        <v>1174</v>
      </c>
      <c r="AF250" s="23">
        <v>8.7600300000000004</v>
      </c>
      <c r="AG250" s="22" t="s">
        <v>1463</v>
      </c>
      <c r="AH250" s="22" t="s">
        <v>1462</v>
      </c>
    </row>
    <row r="251" spans="1:34" ht="19.899999999999999" customHeight="1" x14ac:dyDescent="0.25">
      <c r="A251" s="29" t="s">
        <v>1461</v>
      </c>
      <c r="B251" s="22" t="s">
        <v>1460</v>
      </c>
      <c r="C251" s="28" t="s">
        <v>1459</v>
      </c>
      <c r="D251" s="27">
        <v>0</v>
      </c>
      <c r="E251" s="27">
        <v>0</v>
      </c>
      <c r="F251" s="41">
        <v>0</v>
      </c>
      <c r="G251" s="44">
        <v>-57713</v>
      </c>
      <c r="H251" s="24"/>
      <c r="I251" s="26">
        <v>57713</v>
      </c>
      <c r="J251" s="26">
        <v>0</v>
      </c>
      <c r="K251" s="26">
        <v>0</v>
      </c>
      <c r="L251" s="26">
        <v>0</v>
      </c>
      <c r="M251" s="26">
        <v>0</v>
      </c>
      <c r="N251" s="26">
        <v>0</v>
      </c>
      <c r="O251" s="26">
        <v>0</v>
      </c>
      <c r="P251" s="26">
        <v>0</v>
      </c>
      <c r="Q251" s="26">
        <v>0</v>
      </c>
      <c r="R251" s="26">
        <v>0</v>
      </c>
      <c r="S251" s="26">
        <v>0</v>
      </c>
      <c r="T251" s="26">
        <v>0</v>
      </c>
      <c r="U251" s="22"/>
      <c r="V251" s="22"/>
      <c r="W251" s="22"/>
      <c r="X251" s="22"/>
      <c r="Y251" s="25"/>
      <c r="Z251" s="22"/>
      <c r="AA251" s="24"/>
      <c r="AB251" s="22" t="s">
        <v>1170</v>
      </c>
      <c r="AC251" s="22"/>
      <c r="AD251" s="22" t="s">
        <v>1118</v>
      </c>
      <c r="AE251" s="22" t="s">
        <v>1118</v>
      </c>
      <c r="AF251" s="23">
        <v>0</v>
      </c>
      <c r="AG251" s="22" t="s">
        <v>1117</v>
      </c>
      <c r="AH251" s="22" t="s">
        <v>1116</v>
      </c>
    </row>
    <row r="252" spans="1:34" ht="19.899999999999999" customHeight="1" x14ac:dyDescent="0.25">
      <c r="A252" s="29" t="s">
        <v>1458</v>
      </c>
      <c r="B252" s="22" t="s">
        <v>1457</v>
      </c>
      <c r="C252" s="28" t="s">
        <v>1456</v>
      </c>
      <c r="D252" s="27">
        <v>0</v>
      </c>
      <c r="E252" s="27">
        <v>0</v>
      </c>
      <c r="F252" s="41">
        <v>0</v>
      </c>
      <c r="G252" s="44">
        <v>-29000</v>
      </c>
      <c r="H252" s="24"/>
      <c r="I252" s="26">
        <v>29000</v>
      </c>
      <c r="J252" s="26">
        <v>29000</v>
      </c>
      <c r="K252" s="26">
        <v>21000</v>
      </c>
      <c r="L252" s="26">
        <v>0</v>
      </c>
      <c r="M252" s="26">
        <v>0</v>
      </c>
      <c r="N252" s="26">
        <v>0</v>
      </c>
      <c r="O252" s="26">
        <v>0</v>
      </c>
      <c r="P252" s="26">
        <v>0</v>
      </c>
      <c r="Q252" s="26">
        <v>0</v>
      </c>
      <c r="R252" s="26">
        <v>0</v>
      </c>
      <c r="S252" s="26">
        <v>0</v>
      </c>
      <c r="T252" s="26">
        <v>0</v>
      </c>
      <c r="U252" s="27">
        <v>3.039323E-3</v>
      </c>
      <c r="V252" s="27">
        <v>4.4666130000000004E-3</v>
      </c>
      <c r="W252" s="35">
        <v>101.58394273</v>
      </c>
      <c r="X252" s="34">
        <v>0</v>
      </c>
      <c r="Y252" s="30" t="s">
        <v>1178</v>
      </c>
      <c r="Z252" s="31">
        <v>17</v>
      </c>
      <c r="AA252" s="24"/>
      <c r="AB252" s="22" t="s">
        <v>1186</v>
      </c>
      <c r="AC252" s="22" t="s">
        <v>1176</v>
      </c>
      <c r="AD252" s="22" t="s">
        <v>1342</v>
      </c>
      <c r="AE252" s="22" t="s">
        <v>1174</v>
      </c>
      <c r="AF252" s="23">
        <v>2.4809999999999999E-2</v>
      </c>
      <c r="AG252" s="22" t="s">
        <v>1138</v>
      </c>
      <c r="AH252" s="22" t="s">
        <v>1123</v>
      </c>
    </row>
    <row r="253" spans="1:34" ht="19.899999999999999" customHeight="1" x14ac:dyDescent="0.25">
      <c r="A253" s="29" t="s">
        <v>1455</v>
      </c>
      <c r="B253" s="22" t="s">
        <v>1454</v>
      </c>
      <c r="C253" s="28" t="s">
        <v>1453</v>
      </c>
      <c r="D253" s="27">
        <v>0</v>
      </c>
      <c r="E253" s="27">
        <v>0</v>
      </c>
      <c r="F253" s="41">
        <v>0</v>
      </c>
      <c r="G253" s="44">
        <v>-18071</v>
      </c>
      <c r="H253" s="24"/>
      <c r="I253" s="26">
        <v>18071</v>
      </c>
      <c r="J253" s="26">
        <v>28563</v>
      </c>
      <c r="K253" s="26">
        <v>30385</v>
      </c>
      <c r="L253" s="26">
        <v>37675</v>
      </c>
      <c r="M253" s="26">
        <v>56515</v>
      </c>
      <c r="N253" s="26">
        <v>13045</v>
      </c>
      <c r="O253" s="26">
        <v>0</v>
      </c>
      <c r="P253" s="26">
        <v>0</v>
      </c>
      <c r="Q253" s="26">
        <v>0</v>
      </c>
      <c r="R253" s="26">
        <v>0</v>
      </c>
      <c r="S253" s="26">
        <v>0</v>
      </c>
      <c r="T253" s="26">
        <v>0</v>
      </c>
      <c r="U253" s="27">
        <v>1.5438450000000001E-3</v>
      </c>
      <c r="V253" s="27">
        <v>2.4231029999999998E-3</v>
      </c>
      <c r="W253" s="35">
        <v>55.1085031</v>
      </c>
      <c r="X253" s="34">
        <v>0</v>
      </c>
      <c r="Y253" s="36" t="s">
        <v>1204</v>
      </c>
      <c r="Z253" s="22"/>
      <c r="AA253" s="24"/>
      <c r="AB253" s="22" t="s">
        <v>1175</v>
      </c>
      <c r="AC253" s="22" t="s">
        <v>1176</v>
      </c>
      <c r="AD253" s="22" t="s">
        <v>1175</v>
      </c>
      <c r="AE253" s="22" t="s">
        <v>1118</v>
      </c>
      <c r="AF253" s="23">
        <v>0</v>
      </c>
      <c r="AG253" s="22" t="s">
        <v>1138</v>
      </c>
      <c r="AH253" s="22" t="s">
        <v>1123</v>
      </c>
    </row>
    <row r="254" spans="1:34" ht="19.899999999999999" customHeight="1" x14ac:dyDescent="0.25">
      <c r="A254" s="29" t="s">
        <v>1452</v>
      </c>
      <c r="B254" s="22" t="s">
        <v>1451</v>
      </c>
      <c r="C254" s="28" t="s">
        <v>1450</v>
      </c>
      <c r="D254" s="27">
        <v>0</v>
      </c>
      <c r="E254" s="27">
        <v>0</v>
      </c>
      <c r="F254" s="41">
        <v>0</v>
      </c>
      <c r="G254" s="44">
        <v>-13621</v>
      </c>
      <c r="H254" s="24"/>
      <c r="I254" s="26">
        <v>13621</v>
      </c>
      <c r="J254" s="26">
        <v>13622</v>
      </c>
      <c r="K254" s="26">
        <v>13622</v>
      </c>
      <c r="L254" s="26">
        <v>0</v>
      </c>
      <c r="M254" s="26">
        <v>0</v>
      </c>
      <c r="N254" s="26">
        <v>0</v>
      </c>
      <c r="O254" s="26">
        <v>0</v>
      </c>
      <c r="P254" s="26">
        <v>0</v>
      </c>
      <c r="Q254" s="26">
        <v>0</v>
      </c>
      <c r="R254" s="26">
        <v>0</v>
      </c>
      <c r="S254" s="26">
        <v>0</v>
      </c>
      <c r="T254" s="26">
        <v>0</v>
      </c>
      <c r="U254" s="27">
        <v>9.2004399999999996E-4</v>
      </c>
      <c r="V254" s="27">
        <v>1.8953240000000001E-3</v>
      </c>
      <c r="W254" s="35">
        <v>43.105253279999999</v>
      </c>
      <c r="X254" s="34">
        <v>0</v>
      </c>
      <c r="Y254" s="30" t="s">
        <v>1178</v>
      </c>
      <c r="Z254" s="22"/>
      <c r="AA254" s="24"/>
      <c r="AB254" s="22" t="s">
        <v>1175</v>
      </c>
      <c r="AC254" s="22" t="s">
        <v>1176</v>
      </c>
      <c r="AD254" s="22" t="s">
        <v>1175</v>
      </c>
      <c r="AE254" s="22" t="s">
        <v>1237</v>
      </c>
      <c r="AF254" s="23">
        <v>9.9099999999999994E-2</v>
      </c>
      <c r="AG254" s="22" t="s">
        <v>1407</v>
      </c>
      <c r="AH254" s="22" t="s">
        <v>1164</v>
      </c>
    </row>
    <row r="255" spans="1:34" ht="19.899999999999999" customHeight="1" x14ac:dyDescent="0.25">
      <c r="A255" s="29" t="s">
        <v>1444</v>
      </c>
      <c r="B255" s="22" t="s">
        <v>1443</v>
      </c>
      <c r="C255" s="28" t="s">
        <v>1442</v>
      </c>
      <c r="D255" s="27">
        <v>0</v>
      </c>
      <c r="E255" s="27">
        <v>0</v>
      </c>
      <c r="F255" s="41">
        <v>0</v>
      </c>
      <c r="G255" s="44">
        <v>-5436</v>
      </c>
      <c r="H255" s="24"/>
      <c r="I255" s="26">
        <v>5436</v>
      </c>
      <c r="J255" s="26">
        <v>789</v>
      </c>
      <c r="K255" s="26">
        <v>6980</v>
      </c>
      <c r="L255" s="26">
        <v>10480</v>
      </c>
      <c r="M255" s="26">
        <v>10827</v>
      </c>
      <c r="N255" s="26">
        <v>3943</v>
      </c>
      <c r="O255" s="26">
        <v>6246</v>
      </c>
      <c r="P255" s="26">
        <v>0</v>
      </c>
      <c r="Q255" s="26">
        <v>0</v>
      </c>
      <c r="R255" s="26">
        <v>0</v>
      </c>
      <c r="S255" s="26">
        <v>5426</v>
      </c>
      <c r="T255" s="26">
        <v>5624</v>
      </c>
      <c r="U255" s="22"/>
      <c r="V255" s="22"/>
      <c r="W255" s="22"/>
      <c r="X255" s="22"/>
      <c r="Y255" s="25"/>
      <c r="Z255" s="22"/>
      <c r="AA255" s="24"/>
      <c r="AB255" s="22" t="s">
        <v>1222</v>
      </c>
      <c r="AC255" s="22" t="s">
        <v>1169</v>
      </c>
      <c r="AD255" s="22" t="s">
        <v>1118</v>
      </c>
      <c r="AE255" s="22" t="s">
        <v>1118</v>
      </c>
      <c r="AF255" s="23">
        <v>0</v>
      </c>
      <c r="AG255" s="22" t="s">
        <v>1138</v>
      </c>
      <c r="AH255" s="22" t="s">
        <v>1123</v>
      </c>
    </row>
    <row r="256" spans="1:34" ht="19.899999999999999" customHeight="1" x14ac:dyDescent="0.25">
      <c r="A256" s="29" t="s">
        <v>1441</v>
      </c>
      <c r="B256" s="22" t="s">
        <v>1440</v>
      </c>
      <c r="C256" s="28" t="s">
        <v>1439</v>
      </c>
      <c r="D256" s="27">
        <v>0</v>
      </c>
      <c r="E256" s="27">
        <v>0</v>
      </c>
      <c r="F256" s="41">
        <v>0</v>
      </c>
      <c r="G256" s="44">
        <v>-3754</v>
      </c>
      <c r="H256" s="24"/>
      <c r="I256" s="26">
        <v>3754</v>
      </c>
      <c r="J256" s="26">
        <v>0</v>
      </c>
      <c r="K256" s="26">
        <v>0</v>
      </c>
      <c r="L256" s="26">
        <v>0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0</v>
      </c>
      <c r="T256" s="26">
        <v>0</v>
      </c>
      <c r="U256" s="22"/>
      <c r="V256" s="22"/>
      <c r="W256" s="22"/>
      <c r="X256" s="22"/>
      <c r="Y256" s="25"/>
      <c r="Z256" s="22"/>
      <c r="AA256" s="24"/>
      <c r="AB256" s="22" t="s">
        <v>1181</v>
      </c>
      <c r="AC256" s="22" t="s">
        <v>1169</v>
      </c>
      <c r="AD256" s="22" t="s">
        <v>1118</v>
      </c>
      <c r="AE256" s="22" t="s">
        <v>1118</v>
      </c>
      <c r="AF256" s="23">
        <v>0</v>
      </c>
      <c r="AG256" s="22" t="s">
        <v>1138</v>
      </c>
      <c r="AH256" s="22" t="s">
        <v>1123</v>
      </c>
    </row>
    <row r="257" spans="1:34" ht="19.899999999999999" customHeight="1" x14ac:dyDescent="0.25">
      <c r="A257" s="29" t="s">
        <v>1438</v>
      </c>
      <c r="B257" s="22" t="s">
        <v>1437</v>
      </c>
      <c r="C257" s="28" t="s">
        <v>1436</v>
      </c>
      <c r="D257" s="27">
        <v>0</v>
      </c>
      <c r="E257" s="27">
        <v>0</v>
      </c>
      <c r="F257" s="41">
        <v>0</v>
      </c>
      <c r="G257" s="44">
        <v>-3630</v>
      </c>
      <c r="H257" s="24"/>
      <c r="I257" s="26">
        <v>3630</v>
      </c>
      <c r="J257" s="26">
        <v>0</v>
      </c>
      <c r="K257" s="26">
        <v>0</v>
      </c>
      <c r="L257" s="26">
        <v>0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0</v>
      </c>
      <c r="T257" s="26">
        <v>0</v>
      </c>
      <c r="U257" s="22"/>
      <c r="V257" s="22"/>
      <c r="W257" s="22"/>
      <c r="X257" s="22"/>
      <c r="Y257" s="25"/>
      <c r="Z257" s="22"/>
      <c r="AA257" s="24"/>
      <c r="AB257" s="22" t="s">
        <v>1158</v>
      </c>
      <c r="AC257" s="22"/>
      <c r="AD257" s="22" t="s">
        <v>1118</v>
      </c>
      <c r="AE257" s="22" t="s">
        <v>1118</v>
      </c>
      <c r="AF257" s="23">
        <v>0</v>
      </c>
      <c r="AG257" s="22" t="s">
        <v>1138</v>
      </c>
      <c r="AH257" s="22" t="s">
        <v>1123</v>
      </c>
    </row>
    <row r="258" spans="1:34" ht="19.899999999999999" customHeight="1" x14ac:dyDescent="0.25">
      <c r="A258" s="29" t="s">
        <v>1435</v>
      </c>
      <c r="B258" s="22" t="s">
        <v>1434</v>
      </c>
      <c r="C258" s="28" t="s">
        <v>371</v>
      </c>
      <c r="D258" s="27">
        <v>0</v>
      </c>
      <c r="E258" s="27">
        <v>0</v>
      </c>
      <c r="F258" s="41">
        <v>0</v>
      </c>
      <c r="G258" s="44">
        <v>-2800</v>
      </c>
      <c r="H258" s="24"/>
      <c r="I258" s="26">
        <v>2800</v>
      </c>
      <c r="J258" s="26">
        <v>0</v>
      </c>
      <c r="K258" s="26">
        <v>0</v>
      </c>
      <c r="L258" s="26">
        <v>0</v>
      </c>
      <c r="M258" s="26">
        <v>0</v>
      </c>
      <c r="N258" s="26">
        <v>0</v>
      </c>
      <c r="O258" s="26">
        <v>0</v>
      </c>
      <c r="P258" s="26">
        <v>0</v>
      </c>
      <c r="Q258" s="26">
        <v>0</v>
      </c>
      <c r="R258" s="26">
        <v>0</v>
      </c>
      <c r="S258" s="26">
        <v>0</v>
      </c>
      <c r="T258" s="26">
        <v>0</v>
      </c>
      <c r="U258" s="27">
        <v>3.199024E-3</v>
      </c>
      <c r="V258" s="27">
        <v>3.9961720000000001E-3</v>
      </c>
      <c r="W258" s="35">
        <v>90.884727999999996</v>
      </c>
      <c r="X258" s="34">
        <v>0</v>
      </c>
      <c r="Y258" s="30" t="s">
        <v>1178</v>
      </c>
      <c r="Z258" s="32">
        <v>-4</v>
      </c>
      <c r="AA258" s="24"/>
      <c r="AB258" s="22" t="s">
        <v>1175</v>
      </c>
      <c r="AC258" s="22" t="s">
        <v>1176</v>
      </c>
      <c r="AD258" s="22" t="s">
        <v>1175</v>
      </c>
      <c r="AE258" s="22" t="s">
        <v>1174</v>
      </c>
      <c r="AF258" s="23">
        <v>5.4200000000000003E-3</v>
      </c>
      <c r="AG258" s="22" t="s">
        <v>1138</v>
      </c>
      <c r="AH258" s="22" t="s">
        <v>1123</v>
      </c>
    </row>
    <row r="259" spans="1:34" ht="19.899999999999999" customHeight="1" x14ac:dyDescent="0.25">
      <c r="A259" s="29" t="s">
        <v>1433</v>
      </c>
      <c r="B259" s="22" t="s">
        <v>1432</v>
      </c>
      <c r="C259" s="28" t="s">
        <v>351</v>
      </c>
      <c r="D259" s="27">
        <v>0</v>
      </c>
      <c r="E259" s="27">
        <v>0</v>
      </c>
      <c r="F259" s="41">
        <v>0</v>
      </c>
      <c r="G259" s="44">
        <v>-2200</v>
      </c>
      <c r="H259" s="24"/>
      <c r="I259" s="26">
        <v>2200</v>
      </c>
      <c r="J259" s="26">
        <v>0</v>
      </c>
      <c r="K259" s="26">
        <v>0</v>
      </c>
      <c r="L259" s="26">
        <v>0</v>
      </c>
      <c r="M259" s="26">
        <v>235975</v>
      </c>
      <c r="N259" s="26">
        <v>0</v>
      </c>
      <c r="O259" s="26">
        <v>0</v>
      </c>
      <c r="P259" s="26">
        <v>0</v>
      </c>
      <c r="Q259" s="26">
        <v>0</v>
      </c>
      <c r="R259" s="26">
        <v>0</v>
      </c>
      <c r="S259" s="26">
        <v>0</v>
      </c>
      <c r="T259" s="26">
        <v>0</v>
      </c>
      <c r="U259" s="27">
        <v>1.6204669000000001E-2</v>
      </c>
      <c r="V259" s="27">
        <v>3.1022019000000001E-2</v>
      </c>
      <c r="W259" s="35">
        <v>705.53213395</v>
      </c>
      <c r="X259" s="34">
        <v>0</v>
      </c>
      <c r="Y259" s="37" t="s">
        <v>1248</v>
      </c>
      <c r="Z259" s="31">
        <v>437</v>
      </c>
      <c r="AA259" s="24"/>
      <c r="AB259" s="22" t="s">
        <v>1186</v>
      </c>
      <c r="AC259" s="22" t="s">
        <v>1176</v>
      </c>
      <c r="AD259" s="22" t="s">
        <v>1273</v>
      </c>
      <c r="AE259" s="22" t="s">
        <v>1174</v>
      </c>
      <c r="AF259" s="23">
        <v>0.20368</v>
      </c>
      <c r="AG259" s="22" t="s">
        <v>1135</v>
      </c>
      <c r="AH259" s="22" t="s">
        <v>1123</v>
      </c>
    </row>
    <row r="260" spans="1:34" ht="19.899999999999999" customHeight="1" x14ac:dyDescent="0.25">
      <c r="A260" s="29" t="s">
        <v>1428</v>
      </c>
      <c r="B260" s="22" t="s">
        <v>1427</v>
      </c>
      <c r="C260" s="28" t="s">
        <v>1426</v>
      </c>
      <c r="D260" s="27">
        <v>0</v>
      </c>
      <c r="E260" s="27">
        <v>0</v>
      </c>
      <c r="F260" s="41">
        <v>0</v>
      </c>
      <c r="G260" s="44">
        <v>-2000</v>
      </c>
      <c r="H260" s="24"/>
      <c r="I260" s="26">
        <v>2000</v>
      </c>
      <c r="J260" s="26">
        <v>4000</v>
      </c>
      <c r="K260" s="26">
        <v>4000</v>
      </c>
      <c r="L260" s="26">
        <v>0</v>
      </c>
      <c r="M260" s="26">
        <v>0</v>
      </c>
      <c r="N260" s="26">
        <v>0</v>
      </c>
      <c r="O260" s="26">
        <v>0</v>
      </c>
      <c r="P260" s="26">
        <v>0</v>
      </c>
      <c r="Q260" s="26">
        <v>0</v>
      </c>
      <c r="R260" s="26">
        <v>0</v>
      </c>
      <c r="S260" s="26">
        <v>0</v>
      </c>
      <c r="T260" s="26">
        <v>0</v>
      </c>
      <c r="U260" s="22"/>
      <c r="V260" s="22"/>
      <c r="W260" s="22"/>
      <c r="X260" s="22"/>
      <c r="Y260" s="25"/>
      <c r="Z260" s="22"/>
      <c r="AA260" s="24"/>
      <c r="AB260" s="22" t="s">
        <v>1181</v>
      </c>
      <c r="AC260" s="22"/>
      <c r="AD260" s="22" t="s">
        <v>1118</v>
      </c>
      <c r="AE260" s="22" t="s">
        <v>1118</v>
      </c>
      <c r="AF260" s="23">
        <v>0</v>
      </c>
      <c r="AG260" s="22" t="s">
        <v>1124</v>
      </c>
      <c r="AH260" s="22" t="s">
        <v>1123</v>
      </c>
    </row>
    <row r="261" spans="1:34" ht="19.899999999999999" customHeight="1" x14ac:dyDescent="0.25">
      <c r="A261" s="29" t="s">
        <v>1422</v>
      </c>
      <c r="B261" s="22" t="s">
        <v>1421</v>
      </c>
      <c r="C261" s="28" t="s">
        <v>1420</v>
      </c>
      <c r="D261" s="27">
        <v>0</v>
      </c>
      <c r="E261" s="27">
        <v>0</v>
      </c>
      <c r="F261" s="41">
        <v>0</v>
      </c>
      <c r="G261" s="44">
        <v>-1882</v>
      </c>
      <c r="H261" s="24"/>
      <c r="I261" s="26">
        <v>1882</v>
      </c>
      <c r="J261" s="26">
        <v>0</v>
      </c>
      <c r="K261" s="26">
        <v>0</v>
      </c>
      <c r="L261" s="26">
        <v>0</v>
      </c>
      <c r="M261" s="26">
        <v>0</v>
      </c>
      <c r="N261" s="26">
        <v>0</v>
      </c>
      <c r="O261" s="26">
        <v>0</v>
      </c>
      <c r="P261" s="26">
        <v>0</v>
      </c>
      <c r="Q261" s="26">
        <v>0</v>
      </c>
      <c r="R261" s="26">
        <v>0</v>
      </c>
      <c r="S261" s="26">
        <v>0</v>
      </c>
      <c r="T261" s="26">
        <v>0</v>
      </c>
      <c r="U261" s="27">
        <v>1.2859729999999999E-3</v>
      </c>
      <c r="V261" s="27">
        <v>2.052398E-3</v>
      </c>
      <c r="W261" s="35">
        <v>46.677578939999997</v>
      </c>
      <c r="X261" s="34">
        <v>0</v>
      </c>
      <c r="Y261" s="33" t="s">
        <v>1196</v>
      </c>
      <c r="Z261" s="32">
        <v>-240</v>
      </c>
      <c r="AA261" s="24"/>
      <c r="AB261" s="22" t="s">
        <v>1186</v>
      </c>
      <c r="AC261" s="22" t="s">
        <v>1176</v>
      </c>
      <c r="AD261" s="22" t="s">
        <v>1273</v>
      </c>
      <c r="AE261" s="22" t="s">
        <v>1168</v>
      </c>
      <c r="AF261" s="23">
        <v>5.6263300000000003</v>
      </c>
      <c r="AG261" s="22" t="s">
        <v>1138</v>
      </c>
      <c r="AH261" s="22" t="s">
        <v>1123</v>
      </c>
    </row>
    <row r="262" spans="1:34" ht="19.899999999999999" customHeight="1" x14ac:dyDescent="0.25">
      <c r="A262" s="29" t="s">
        <v>1419</v>
      </c>
      <c r="B262" s="22" t="s">
        <v>1418</v>
      </c>
      <c r="C262" s="28" t="s">
        <v>1417</v>
      </c>
      <c r="D262" s="27">
        <v>0</v>
      </c>
      <c r="E262" s="27">
        <v>0</v>
      </c>
      <c r="F262" s="41">
        <v>0</v>
      </c>
      <c r="G262" s="44">
        <v>-382</v>
      </c>
      <c r="H262" s="24"/>
      <c r="I262" s="26">
        <v>382</v>
      </c>
      <c r="J262" s="26">
        <v>0</v>
      </c>
      <c r="K262" s="26">
        <v>0</v>
      </c>
      <c r="L262" s="26">
        <v>0</v>
      </c>
      <c r="M262" s="26">
        <v>0</v>
      </c>
      <c r="N262" s="26">
        <v>0</v>
      </c>
      <c r="O262" s="26">
        <v>0</v>
      </c>
      <c r="P262" s="26">
        <v>0</v>
      </c>
      <c r="Q262" s="26">
        <v>0</v>
      </c>
      <c r="R262" s="26">
        <v>0</v>
      </c>
      <c r="S262" s="26">
        <v>0</v>
      </c>
      <c r="T262" s="26">
        <v>0</v>
      </c>
      <c r="U262" s="22"/>
      <c r="V262" s="22"/>
      <c r="W262" s="22"/>
      <c r="X262" s="22"/>
      <c r="Y262" s="30" t="s">
        <v>1178</v>
      </c>
      <c r="Z262" s="22"/>
      <c r="AA262" s="24"/>
      <c r="AB262" s="22" t="s">
        <v>1186</v>
      </c>
      <c r="AC262" s="22" t="s">
        <v>1176</v>
      </c>
      <c r="AD262" s="22" t="s">
        <v>1118</v>
      </c>
      <c r="AE262" s="22" t="s">
        <v>1118</v>
      </c>
      <c r="AF262" s="23">
        <v>0</v>
      </c>
      <c r="AG262" s="22" t="s">
        <v>1124</v>
      </c>
      <c r="AH262" s="22" t="s">
        <v>1123</v>
      </c>
    </row>
    <row r="263" spans="1:34" ht="19.899999999999999" customHeight="1" x14ac:dyDescent="0.25">
      <c r="A263" s="29" t="s">
        <v>1413</v>
      </c>
      <c r="B263" s="22" t="s">
        <v>1121</v>
      </c>
      <c r="C263" s="28" t="s">
        <v>1412</v>
      </c>
      <c r="D263" s="27">
        <v>0</v>
      </c>
      <c r="E263" s="27">
        <v>0</v>
      </c>
      <c r="F263" s="41">
        <v>0</v>
      </c>
      <c r="G263" s="41">
        <v>0</v>
      </c>
      <c r="H263" s="24"/>
      <c r="I263" s="26">
        <v>0</v>
      </c>
      <c r="J263" s="26">
        <v>315364</v>
      </c>
      <c r="K263" s="26">
        <v>0</v>
      </c>
      <c r="L263" s="26">
        <v>0</v>
      </c>
      <c r="M263" s="26">
        <v>0</v>
      </c>
      <c r="N263" s="26">
        <v>0</v>
      </c>
      <c r="O263" s="26">
        <v>0</v>
      </c>
      <c r="P263" s="26">
        <v>0</v>
      </c>
      <c r="Q263" s="26">
        <v>0</v>
      </c>
      <c r="R263" s="26">
        <v>0</v>
      </c>
      <c r="S263" s="26">
        <v>0</v>
      </c>
      <c r="T263" s="26">
        <v>0</v>
      </c>
      <c r="U263" s="22"/>
      <c r="V263" s="22"/>
      <c r="W263" s="22"/>
      <c r="X263" s="22"/>
      <c r="Y263" s="25"/>
      <c r="Z263" s="22"/>
      <c r="AA263" s="24"/>
      <c r="AB263" s="22" t="s">
        <v>1158</v>
      </c>
      <c r="AC263" s="22" t="s">
        <v>1169</v>
      </c>
      <c r="AD263" s="22" t="s">
        <v>1238</v>
      </c>
      <c r="AE263" s="22" t="s">
        <v>1174</v>
      </c>
      <c r="AF263" s="23">
        <v>2.512</v>
      </c>
      <c r="AG263" s="22" t="s">
        <v>1185</v>
      </c>
      <c r="AH263" s="22" t="s">
        <v>1184</v>
      </c>
    </row>
    <row r="264" spans="1:34" ht="19.899999999999999" customHeight="1" x14ac:dyDescent="0.25">
      <c r="A264" s="29" t="s">
        <v>1409</v>
      </c>
      <c r="B264" s="22" t="s">
        <v>1121</v>
      </c>
      <c r="C264" s="28" t="s">
        <v>1408</v>
      </c>
      <c r="D264" s="27">
        <v>0</v>
      </c>
      <c r="E264" s="27">
        <v>0</v>
      </c>
      <c r="F264" s="41">
        <v>0</v>
      </c>
      <c r="G264" s="41">
        <v>0</v>
      </c>
      <c r="H264" s="24"/>
      <c r="I264" s="26">
        <v>0</v>
      </c>
      <c r="J264" s="26">
        <v>43212</v>
      </c>
      <c r="K264" s="26">
        <v>35000</v>
      </c>
      <c r="L264" s="26">
        <v>10000</v>
      </c>
      <c r="M264" s="26">
        <v>0</v>
      </c>
      <c r="N264" s="26">
        <v>0</v>
      </c>
      <c r="O264" s="26">
        <v>0</v>
      </c>
      <c r="P264" s="26">
        <v>0</v>
      </c>
      <c r="Q264" s="26">
        <v>0</v>
      </c>
      <c r="R264" s="26">
        <v>0</v>
      </c>
      <c r="S264" s="26">
        <v>0</v>
      </c>
      <c r="T264" s="26">
        <v>0</v>
      </c>
      <c r="U264" s="27">
        <v>7.4402500000000005E-4</v>
      </c>
      <c r="V264" s="27">
        <v>3.2182360000000002E-3</v>
      </c>
      <c r="W264" s="35">
        <v>73.192170779999998</v>
      </c>
      <c r="X264" s="34">
        <v>0</v>
      </c>
      <c r="Y264" s="33" t="s">
        <v>1196</v>
      </c>
      <c r="Z264" s="22"/>
      <c r="AA264" s="24"/>
      <c r="AB264" s="22" t="s">
        <v>1175</v>
      </c>
      <c r="AC264" s="22" t="s">
        <v>1176</v>
      </c>
      <c r="AD264" s="22" t="s">
        <v>1175</v>
      </c>
      <c r="AE264" s="22" t="s">
        <v>1168</v>
      </c>
      <c r="AF264" s="23">
        <v>0.47261999999999998</v>
      </c>
      <c r="AG264" s="22" t="s">
        <v>1407</v>
      </c>
      <c r="AH264" s="22" t="s">
        <v>1164</v>
      </c>
    </row>
    <row r="265" spans="1:34" ht="19.899999999999999" customHeight="1" x14ac:dyDescent="0.25">
      <c r="A265" s="29" t="s">
        <v>1396</v>
      </c>
      <c r="B265" s="22" t="s">
        <v>1121</v>
      </c>
      <c r="C265" s="28" t="s">
        <v>1395</v>
      </c>
      <c r="D265" s="27">
        <v>0</v>
      </c>
      <c r="E265" s="27">
        <v>0</v>
      </c>
      <c r="F265" s="41">
        <v>0</v>
      </c>
      <c r="G265" s="41">
        <v>0</v>
      </c>
      <c r="H265" s="24"/>
      <c r="I265" s="26">
        <v>0</v>
      </c>
      <c r="J265" s="26">
        <v>2000</v>
      </c>
      <c r="K265" s="26">
        <v>0</v>
      </c>
      <c r="L265" s="26">
        <v>0</v>
      </c>
      <c r="M265" s="26">
        <v>0</v>
      </c>
      <c r="N265" s="26">
        <v>0</v>
      </c>
      <c r="O265" s="26">
        <v>0</v>
      </c>
      <c r="P265" s="26">
        <v>0</v>
      </c>
      <c r="Q265" s="26">
        <v>0</v>
      </c>
      <c r="R265" s="26">
        <v>0</v>
      </c>
      <c r="S265" s="26">
        <v>0</v>
      </c>
      <c r="T265" s="26">
        <v>0</v>
      </c>
      <c r="U265" s="22"/>
      <c r="V265" s="22"/>
      <c r="W265" s="22"/>
      <c r="X265" s="22"/>
      <c r="Y265" s="25"/>
      <c r="Z265" s="22"/>
      <c r="AA265" s="24"/>
      <c r="AB265" s="22" t="s">
        <v>1181</v>
      </c>
      <c r="AC265" s="22" t="s">
        <v>1169</v>
      </c>
      <c r="AD265" s="22" t="s">
        <v>1118</v>
      </c>
      <c r="AE265" s="22" t="s">
        <v>1237</v>
      </c>
      <c r="AF265" s="23">
        <v>2.5999999999999998E-4</v>
      </c>
      <c r="AG265" s="22" t="s">
        <v>1135</v>
      </c>
      <c r="AH265" s="22" t="s">
        <v>1123</v>
      </c>
    </row>
    <row r="266" spans="1:34" ht="19.899999999999999" customHeight="1" x14ac:dyDescent="0.25">
      <c r="A266" s="29" t="s">
        <v>1394</v>
      </c>
      <c r="B266" s="22" t="s">
        <v>1121</v>
      </c>
      <c r="C266" s="28" t="s">
        <v>1393</v>
      </c>
      <c r="D266" s="27">
        <v>0</v>
      </c>
      <c r="E266" s="27">
        <v>0</v>
      </c>
      <c r="F266" s="41">
        <v>0</v>
      </c>
      <c r="G266" s="41">
        <v>0</v>
      </c>
      <c r="H266" s="24"/>
      <c r="I266" s="26">
        <v>0</v>
      </c>
      <c r="J266" s="26">
        <v>1800</v>
      </c>
      <c r="K266" s="26">
        <v>1800</v>
      </c>
      <c r="L266" s="26">
        <v>1800</v>
      </c>
      <c r="M266" s="26">
        <v>1800</v>
      </c>
      <c r="N266" s="26">
        <v>0</v>
      </c>
      <c r="O266" s="26">
        <v>0</v>
      </c>
      <c r="P266" s="26">
        <v>0</v>
      </c>
      <c r="Q266" s="26">
        <v>0</v>
      </c>
      <c r="R266" s="26">
        <v>0</v>
      </c>
      <c r="S266" s="26">
        <v>0</v>
      </c>
      <c r="T266" s="26">
        <v>0</v>
      </c>
      <c r="U266" s="22"/>
      <c r="V266" s="22"/>
      <c r="W266" s="22"/>
      <c r="X266" s="22"/>
      <c r="Y266" s="25"/>
      <c r="Z266" s="22"/>
      <c r="AA266" s="24"/>
      <c r="AB266" s="22" t="s">
        <v>1181</v>
      </c>
      <c r="AC266" s="22"/>
      <c r="AD266" s="22" t="s">
        <v>1118</v>
      </c>
      <c r="AE266" s="22" t="s">
        <v>1118</v>
      </c>
      <c r="AF266" s="23">
        <v>0</v>
      </c>
      <c r="AG266" s="22" t="s">
        <v>1329</v>
      </c>
      <c r="AH266" s="22" t="s">
        <v>1123</v>
      </c>
    </row>
    <row r="267" spans="1:34" ht="19.899999999999999" customHeight="1" x14ac:dyDescent="0.25">
      <c r="A267" s="29" t="s">
        <v>1392</v>
      </c>
      <c r="B267" s="22" t="s">
        <v>1121</v>
      </c>
      <c r="C267" s="28" t="s">
        <v>1391</v>
      </c>
      <c r="D267" s="27">
        <v>0</v>
      </c>
      <c r="E267" s="27">
        <v>0</v>
      </c>
      <c r="F267" s="41">
        <v>0</v>
      </c>
      <c r="G267" s="41">
        <v>0</v>
      </c>
      <c r="H267" s="24"/>
      <c r="I267" s="26">
        <v>0</v>
      </c>
      <c r="J267" s="26">
        <v>1800</v>
      </c>
      <c r="K267" s="26">
        <v>0</v>
      </c>
      <c r="L267" s="26">
        <v>0</v>
      </c>
      <c r="M267" s="26">
        <v>0</v>
      </c>
      <c r="N267" s="26">
        <v>0</v>
      </c>
      <c r="O267" s="26">
        <v>0</v>
      </c>
      <c r="P267" s="26">
        <v>0</v>
      </c>
      <c r="Q267" s="26">
        <v>0</v>
      </c>
      <c r="R267" s="26">
        <v>0</v>
      </c>
      <c r="S267" s="26">
        <v>0</v>
      </c>
      <c r="T267" s="26">
        <v>0</v>
      </c>
      <c r="U267" s="22"/>
      <c r="V267" s="22"/>
      <c r="W267" s="22"/>
      <c r="X267" s="22"/>
      <c r="Y267" s="25"/>
      <c r="Z267" s="22"/>
      <c r="AA267" s="24"/>
      <c r="AB267" s="22" t="s">
        <v>1181</v>
      </c>
      <c r="AC267" s="22" t="s">
        <v>1169</v>
      </c>
      <c r="AD267" s="22" t="s">
        <v>1118</v>
      </c>
      <c r="AE267" s="22" t="s">
        <v>1118</v>
      </c>
      <c r="AF267" s="23">
        <v>0</v>
      </c>
      <c r="AG267" s="22" t="s">
        <v>1138</v>
      </c>
      <c r="AH267" s="22" t="s">
        <v>1123</v>
      </c>
    </row>
    <row r="268" spans="1:34" ht="19.899999999999999" customHeight="1" x14ac:dyDescent="0.25">
      <c r="A268" s="29" t="s">
        <v>1388</v>
      </c>
      <c r="B268" s="22" t="s">
        <v>1121</v>
      </c>
      <c r="C268" s="28" t="s">
        <v>1387</v>
      </c>
      <c r="D268" s="27">
        <v>0</v>
      </c>
      <c r="E268" s="27">
        <v>0</v>
      </c>
      <c r="F268" s="41">
        <v>0</v>
      </c>
      <c r="G268" s="41">
        <v>0</v>
      </c>
      <c r="H268" s="24"/>
      <c r="I268" s="26">
        <v>0</v>
      </c>
      <c r="J268" s="26">
        <v>1500</v>
      </c>
      <c r="K268" s="26">
        <v>2000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2"/>
      <c r="V268" s="22"/>
      <c r="W268" s="22"/>
      <c r="X268" s="22"/>
      <c r="Y268" s="25"/>
      <c r="Z268" s="22"/>
      <c r="AA268" s="24"/>
      <c r="AB268" s="22" t="s">
        <v>1181</v>
      </c>
      <c r="AC268" s="22" t="s">
        <v>1169</v>
      </c>
      <c r="AD268" s="22" t="s">
        <v>1118</v>
      </c>
      <c r="AE268" s="22" t="s">
        <v>1174</v>
      </c>
      <c r="AF268" s="23">
        <v>1.3999999999999999E-4</v>
      </c>
      <c r="AG268" s="22" t="s">
        <v>1217</v>
      </c>
      <c r="AH268" s="22" t="s">
        <v>1123</v>
      </c>
    </row>
    <row r="269" spans="1:34" ht="19.899999999999999" customHeight="1" x14ac:dyDescent="0.25">
      <c r="A269" s="29" t="s">
        <v>1380</v>
      </c>
      <c r="B269" s="22" t="s">
        <v>1121</v>
      </c>
      <c r="C269" s="28" t="s">
        <v>1379</v>
      </c>
      <c r="D269" s="27">
        <v>0</v>
      </c>
      <c r="E269" s="27">
        <v>0</v>
      </c>
      <c r="F269" s="41">
        <v>0</v>
      </c>
      <c r="G269" s="41">
        <v>0</v>
      </c>
      <c r="H269" s="24"/>
      <c r="I269" s="26">
        <v>0</v>
      </c>
      <c r="J269" s="26">
        <v>1300</v>
      </c>
      <c r="K269" s="26">
        <v>0</v>
      </c>
      <c r="L269" s="26">
        <v>0</v>
      </c>
      <c r="M269" s="26">
        <v>0</v>
      </c>
      <c r="N269" s="26">
        <v>0</v>
      </c>
      <c r="O269" s="26">
        <v>0</v>
      </c>
      <c r="P269" s="26">
        <v>0</v>
      </c>
      <c r="Q269" s="26">
        <v>0</v>
      </c>
      <c r="R269" s="26">
        <v>0</v>
      </c>
      <c r="S269" s="26">
        <v>0</v>
      </c>
      <c r="T269" s="26">
        <v>0</v>
      </c>
      <c r="U269" s="22"/>
      <c r="V269" s="22"/>
      <c r="W269" s="22"/>
      <c r="X269" s="22"/>
      <c r="Y269" s="25"/>
      <c r="Z269" s="22"/>
      <c r="AA269" s="24"/>
      <c r="AB269" s="22" t="s">
        <v>1170</v>
      </c>
      <c r="AC269" s="22"/>
      <c r="AD269" s="22" t="s">
        <v>1118</v>
      </c>
      <c r="AE269" s="22" t="s">
        <v>1118</v>
      </c>
      <c r="AF269" s="23">
        <v>0</v>
      </c>
      <c r="AG269" s="22" t="s">
        <v>1365</v>
      </c>
      <c r="AH269" s="22" t="s">
        <v>1365</v>
      </c>
    </row>
    <row r="270" spans="1:34" ht="19.899999999999999" customHeight="1" x14ac:dyDescent="0.25">
      <c r="A270" s="29" t="s">
        <v>1368</v>
      </c>
      <c r="B270" s="22" t="s">
        <v>1121</v>
      </c>
      <c r="C270" s="28" t="s">
        <v>1367</v>
      </c>
      <c r="D270" s="27">
        <v>0</v>
      </c>
      <c r="E270" s="27">
        <v>0</v>
      </c>
      <c r="F270" s="41">
        <v>0</v>
      </c>
      <c r="G270" s="41">
        <v>0</v>
      </c>
      <c r="H270" s="24"/>
      <c r="I270" s="26">
        <v>0</v>
      </c>
      <c r="J270" s="26">
        <v>863</v>
      </c>
      <c r="K270" s="26">
        <v>863</v>
      </c>
      <c r="L270" s="26">
        <v>0</v>
      </c>
      <c r="M270" s="26">
        <v>0</v>
      </c>
      <c r="N270" s="26">
        <v>0</v>
      </c>
      <c r="O270" s="26">
        <v>0</v>
      </c>
      <c r="P270" s="26">
        <v>0</v>
      </c>
      <c r="Q270" s="26">
        <v>0</v>
      </c>
      <c r="R270" s="26">
        <v>0</v>
      </c>
      <c r="S270" s="26">
        <v>0</v>
      </c>
      <c r="T270" s="26">
        <v>0</v>
      </c>
      <c r="U270" s="27">
        <v>3.7523980000000001E-3</v>
      </c>
      <c r="V270" s="27">
        <v>1.8972877999999999E-2</v>
      </c>
      <c r="W270" s="35">
        <v>431.49915879000002</v>
      </c>
      <c r="X270" s="34">
        <v>0</v>
      </c>
      <c r="Y270" s="38" t="s">
        <v>1366</v>
      </c>
      <c r="Z270" s="22"/>
      <c r="AA270" s="24"/>
      <c r="AB270" s="22" t="s">
        <v>1175</v>
      </c>
      <c r="AC270" s="22" t="s">
        <v>1176</v>
      </c>
      <c r="AD270" s="22" t="s">
        <v>1175</v>
      </c>
      <c r="AE270" s="22" t="s">
        <v>1168</v>
      </c>
      <c r="AF270" s="23">
        <v>0</v>
      </c>
      <c r="AG270" s="22" t="s">
        <v>1365</v>
      </c>
      <c r="AH270" s="22" t="s">
        <v>1365</v>
      </c>
    </row>
    <row r="271" spans="1:34" ht="19.899999999999999" customHeight="1" x14ac:dyDescent="0.25">
      <c r="A271" s="29" t="s">
        <v>1344</v>
      </c>
      <c r="B271" s="22" t="s">
        <v>1121</v>
      </c>
      <c r="C271" s="28" t="s">
        <v>1343</v>
      </c>
      <c r="D271" s="27">
        <v>0</v>
      </c>
      <c r="E271" s="27">
        <v>0</v>
      </c>
      <c r="F271" s="41">
        <v>0</v>
      </c>
      <c r="G271" s="41">
        <v>0</v>
      </c>
      <c r="H271" s="24"/>
      <c r="I271" s="26">
        <v>0</v>
      </c>
      <c r="J271" s="26">
        <v>414</v>
      </c>
      <c r="K271" s="26">
        <v>0</v>
      </c>
      <c r="L271" s="26">
        <v>0</v>
      </c>
      <c r="M271" s="26">
        <v>0</v>
      </c>
      <c r="N271" s="26">
        <v>0</v>
      </c>
      <c r="O271" s="26">
        <v>0</v>
      </c>
      <c r="P271" s="26">
        <v>0</v>
      </c>
      <c r="Q271" s="26">
        <v>0</v>
      </c>
      <c r="R271" s="26">
        <v>0</v>
      </c>
      <c r="S271" s="26">
        <v>0</v>
      </c>
      <c r="T271" s="26">
        <v>0</v>
      </c>
      <c r="U271" s="27">
        <v>8.6656010000000002E-3</v>
      </c>
      <c r="V271" s="27">
        <v>2.4710553999999999E-2</v>
      </c>
      <c r="W271" s="35">
        <v>561.99081995999995</v>
      </c>
      <c r="X271" s="34">
        <v>0</v>
      </c>
      <c r="Y271" s="33" t="s">
        <v>1196</v>
      </c>
      <c r="Z271" s="32">
        <v>-235</v>
      </c>
      <c r="AA271" s="24"/>
      <c r="AB271" s="22" t="s">
        <v>1177</v>
      </c>
      <c r="AC271" s="22" t="s">
        <v>1176</v>
      </c>
      <c r="AD271" s="22" t="s">
        <v>1342</v>
      </c>
      <c r="AE271" s="22" t="s">
        <v>1168</v>
      </c>
      <c r="AF271" s="23">
        <v>0</v>
      </c>
      <c r="AG271" s="22" t="s">
        <v>1138</v>
      </c>
      <c r="AH271" s="22" t="s">
        <v>1123</v>
      </c>
    </row>
    <row r="272" spans="1:34" ht="19.899999999999999" customHeight="1" x14ac:dyDescent="0.25">
      <c r="A272" s="29" t="s">
        <v>1289</v>
      </c>
      <c r="B272" s="22" t="s">
        <v>1121</v>
      </c>
      <c r="C272" s="28" t="s">
        <v>1288</v>
      </c>
      <c r="D272" s="27">
        <v>0</v>
      </c>
      <c r="E272" s="27">
        <v>0</v>
      </c>
      <c r="F272" s="41">
        <v>0</v>
      </c>
      <c r="G272" s="41">
        <v>0</v>
      </c>
      <c r="H272" s="24"/>
      <c r="I272" s="26">
        <v>0</v>
      </c>
      <c r="J272" s="26">
        <v>0</v>
      </c>
      <c r="K272" s="26">
        <v>7500</v>
      </c>
      <c r="L272" s="26">
        <v>0</v>
      </c>
      <c r="M272" s="26">
        <v>0</v>
      </c>
      <c r="N272" s="26">
        <v>10000</v>
      </c>
      <c r="O272" s="26">
        <v>0</v>
      </c>
      <c r="P272" s="26">
        <v>0</v>
      </c>
      <c r="Q272" s="26">
        <v>37502</v>
      </c>
      <c r="R272" s="26">
        <v>0</v>
      </c>
      <c r="S272" s="26">
        <v>8001</v>
      </c>
      <c r="T272" s="26">
        <v>23500</v>
      </c>
      <c r="U272" s="22"/>
      <c r="V272" s="22"/>
      <c r="W272" s="22"/>
      <c r="X272" s="22"/>
      <c r="Y272" s="25"/>
      <c r="Z272" s="22"/>
      <c r="AA272" s="24"/>
      <c r="AB272" s="22" t="s">
        <v>1181</v>
      </c>
      <c r="AC272" s="22"/>
      <c r="AD272" s="22" t="s">
        <v>1118</v>
      </c>
      <c r="AE272" s="22" t="s">
        <v>1118</v>
      </c>
      <c r="AF272" s="23">
        <v>0</v>
      </c>
      <c r="AG272" s="22" t="s">
        <v>1287</v>
      </c>
      <c r="AH272" s="22" t="s">
        <v>1116</v>
      </c>
    </row>
    <row r="273" spans="1:34" ht="19.899999999999999" customHeight="1" x14ac:dyDescent="0.25">
      <c r="A273" s="29" t="s">
        <v>1282</v>
      </c>
      <c r="B273" s="22" t="s">
        <v>1121</v>
      </c>
      <c r="C273" s="28" t="s">
        <v>1281</v>
      </c>
      <c r="D273" s="27">
        <v>0</v>
      </c>
      <c r="E273" s="27">
        <v>0</v>
      </c>
      <c r="F273" s="41">
        <v>0</v>
      </c>
      <c r="G273" s="41">
        <v>0</v>
      </c>
      <c r="H273" s="24"/>
      <c r="I273" s="26">
        <v>0</v>
      </c>
      <c r="J273" s="26">
        <v>0</v>
      </c>
      <c r="K273" s="26">
        <v>10</v>
      </c>
      <c r="L273" s="26">
        <v>10</v>
      </c>
      <c r="M273" s="26">
        <v>10</v>
      </c>
      <c r="N273" s="26">
        <v>0</v>
      </c>
      <c r="O273" s="26">
        <v>0</v>
      </c>
      <c r="P273" s="26">
        <v>0</v>
      </c>
      <c r="Q273" s="26">
        <v>0</v>
      </c>
      <c r="R273" s="26">
        <v>0</v>
      </c>
      <c r="S273" s="26">
        <v>0</v>
      </c>
      <c r="T273" s="26">
        <v>0</v>
      </c>
      <c r="U273" s="22"/>
      <c r="V273" s="22"/>
      <c r="W273" s="22"/>
      <c r="X273" s="22"/>
      <c r="Y273" s="25"/>
      <c r="Z273" s="22"/>
      <c r="AA273" s="24"/>
      <c r="AB273" s="22" t="s">
        <v>1222</v>
      </c>
      <c r="AC273" s="22" t="s">
        <v>1169</v>
      </c>
      <c r="AD273" s="22" t="s">
        <v>1238</v>
      </c>
      <c r="AE273" s="22" t="s">
        <v>1174</v>
      </c>
      <c r="AF273" s="23">
        <v>4.4720000000000003E-2</v>
      </c>
      <c r="AG273" s="22" t="s">
        <v>1185</v>
      </c>
      <c r="AH273" s="22" t="s">
        <v>1184</v>
      </c>
    </row>
    <row r="274" spans="1:34" ht="19.899999999999999" customHeight="1" x14ac:dyDescent="0.25">
      <c r="A274" s="29" t="s">
        <v>1262</v>
      </c>
      <c r="B274" s="22" t="s">
        <v>1121</v>
      </c>
      <c r="C274" s="28" t="s">
        <v>1261</v>
      </c>
      <c r="D274" s="27">
        <v>0</v>
      </c>
      <c r="E274" s="27">
        <v>0</v>
      </c>
      <c r="F274" s="41">
        <v>0</v>
      </c>
      <c r="G274" s="41">
        <v>0</v>
      </c>
      <c r="H274" s="24"/>
      <c r="I274" s="26">
        <v>0</v>
      </c>
      <c r="J274" s="26">
        <v>0</v>
      </c>
      <c r="K274" s="26">
        <v>0</v>
      </c>
      <c r="L274" s="26">
        <v>1120</v>
      </c>
      <c r="M274" s="26">
        <v>1120</v>
      </c>
      <c r="N274" s="26">
        <v>1120</v>
      </c>
      <c r="O274" s="26">
        <v>0</v>
      </c>
      <c r="P274" s="26">
        <v>0</v>
      </c>
      <c r="Q274" s="26">
        <v>0</v>
      </c>
      <c r="R274" s="26">
        <v>6207</v>
      </c>
      <c r="S274" s="26">
        <v>567</v>
      </c>
      <c r="T274" s="26">
        <v>567</v>
      </c>
      <c r="U274" s="27">
        <v>5.0737899999999997E-4</v>
      </c>
      <c r="V274" s="27">
        <v>8.7057300000000003E-4</v>
      </c>
      <c r="W274" s="35">
        <v>19.7993956</v>
      </c>
      <c r="X274" s="34">
        <v>0</v>
      </c>
      <c r="Y274" s="36" t="s">
        <v>1204</v>
      </c>
      <c r="Z274" s="22"/>
      <c r="AA274" s="24"/>
      <c r="AB274" s="22" t="s">
        <v>1186</v>
      </c>
      <c r="AC274" s="22" t="s">
        <v>1176</v>
      </c>
      <c r="AD274" s="22" t="s">
        <v>1118</v>
      </c>
      <c r="AE274" s="22" t="s">
        <v>1168</v>
      </c>
      <c r="AF274" s="23">
        <v>4.28972</v>
      </c>
      <c r="AG274" s="22" t="s">
        <v>1157</v>
      </c>
      <c r="AH274" s="22" t="s">
        <v>1141</v>
      </c>
    </row>
    <row r="275" spans="1:34" ht="19.899999999999999" customHeight="1" x14ac:dyDescent="0.25">
      <c r="A275" s="29" t="s">
        <v>1252</v>
      </c>
      <c r="B275" s="22" t="s">
        <v>1121</v>
      </c>
      <c r="C275" s="28" t="s">
        <v>1251</v>
      </c>
      <c r="D275" s="27">
        <v>0</v>
      </c>
      <c r="E275" s="27">
        <v>0</v>
      </c>
      <c r="F275" s="41">
        <v>0</v>
      </c>
      <c r="G275" s="41">
        <v>0</v>
      </c>
      <c r="H275" s="24"/>
      <c r="I275" s="26">
        <v>0</v>
      </c>
      <c r="J275" s="26">
        <v>0</v>
      </c>
      <c r="K275" s="26">
        <v>0</v>
      </c>
      <c r="L275" s="26">
        <v>0</v>
      </c>
      <c r="M275" s="26">
        <v>52238</v>
      </c>
      <c r="N275" s="26">
        <v>0</v>
      </c>
      <c r="O275" s="26">
        <v>0</v>
      </c>
      <c r="P275" s="26">
        <v>0</v>
      </c>
      <c r="Q275" s="26">
        <v>0</v>
      </c>
      <c r="R275" s="26">
        <v>0</v>
      </c>
      <c r="S275" s="26">
        <v>0</v>
      </c>
      <c r="T275" s="26">
        <v>0</v>
      </c>
      <c r="U275" s="22"/>
      <c r="V275" s="22"/>
      <c r="W275" s="22"/>
      <c r="X275" s="22"/>
      <c r="Y275" s="36" t="s">
        <v>1204</v>
      </c>
      <c r="Z275" s="31">
        <v>277</v>
      </c>
      <c r="AA275" s="24"/>
      <c r="AB275" s="22" t="s">
        <v>1186</v>
      </c>
      <c r="AC275" s="22" t="s">
        <v>1169</v>
      </c>
      <c r="AD275" s="22" t="s">
        <v>1118</v>
      </c>
      <c r="AE275" s="22" t="s">
        <v>1174</v>
      </c>
      <c r="AF275" s="23">
        <v>0.50246999999999997</v>
      </c>
      <c r="AG275" s="22" t="s">
        <v>1124</v>
      </c>
      <c r="AH275" s="22" t="s">
        <v>1123</v>
      </c>
    </row>
    <row r="276" spans="1:34" ht="19.899999999999999" customHeight="1" x14ac:dyDescent="0.25">
      <c r="A276" s="29" t="s">
        <v>1247</v>
      </c>
      <c r="B276" s="22" t="s">
        <v>1121</v>
      </c>
      <c r="C276" s="28" t="s">
        <v>1246</v>
      </c>
      <c r="D276" s="27">
        <v>0</v>
      </c>
      <c r="E276" s="27">
        <v>0</v>
      </c>
      <c r="F276" s="41">
        <v>0</v>
      </c>
      <c r="G276" s="41">
        <v>0</v>
      </c>
      <c r="H276" s="24"/>
      <c r="I276" s="26">
        <v>0</v>
      </c>
      <c r="J276" s="26">
        <v>0</v>
      </c>
      <c r="K276" s="26">
        <v>0</v>
      </c>
      <c r="L276" s="26">
        <v>0</v>
      </c>
      <c r="M276" s="26">
        <v>9786</v>
      </c>
      <c r="N276" s="26">
        <v>0</v>
      </c>
      <c r="O276" s="26">
        <v>0</v>
      </c>
      <c r="P276" s="26">
        <v>0</v>
      </c>
      <c r="Q276" s="26">
        <v>0</v>
      </c>
      <c r="R276" s="26">
        <v>0</v>
      </c>
      <c r="S276" s="26">
        <v>0</v>
      </c>
      <c r="T276" s="26">
        <v>0</v>
      </c>
      <c r="U276" s="22"/>
      <c r="V276" s="22"/>
      <c r="W276" s="22"/>
      <c r="X276" s="22"/>
      <c r="Y276" s="25"/>
      <c r="Z276" s="22"/>
      <c r="AA276" s="24"/>
      <c r="AB276" s="22" t="s">
        <v>1222</v>
      </c>
      <c r="AC276" s="22" t="s">
        <v>1169</v>
      </c>
      <c r="AD276" s="22" t="s">
        <v>1238</v>
      </c>
      <c r="AE276" s="22" t="s">
        <v>1168</v>
      </c>
      <c r="AF276" s="23">
        <v>63.807740000000003</v>
      </c>
      <c r="AG276" s="22" t="s">
        <v>1173</v>
      </c>
      <c r="AH276" s="22" t="s">
        <v>1141</v>
      </c>
    </row>
    <row r="277" spans="1:34" ht="19.899999999999999" customHeight="1" x14ac:dyDescent="0.25">
      <c r="A277" s="29" t="s">
        <v>1245</v>
      </c>
      <c r="B277" s="22" t="s">
        <v>1121</v>
      </c>
      <c r="C277" s="28" t="s">
        <v>1244</v>
      </c>
      <c r="D277" s="27">
        <v>0</v>
      </c>
      <c r="E277" s="27">
        <v>0</v>
      </c>
      <c r="F277" s="41">
        <v>0</v>
      </c>
      <c r="G277" s="41">
        <v>0</v>
      </c>
      <c r="H277" s="24"/>
      <c r="I277" s="26">
        <v>0</v>
      </c>
      <c r="J277" s="26">
        <v>0</v>
      </c>
      <c r="K277" s="26">
        <v>0</v>
      </c>
      <c r="L277" s="26">
        <v>0</v>
      </c>
      <c r="M277" s="26">
        <v>3933</v>
      </c>
      <c r="N277" s="26">
        <v>0</v>
      </c>
      <c r="O277" s="26">
        <v>0</v>
      </c>
      <c r="P277" s="26">
        <v>0</v>
      </c>
      <c r="Q277" s="26">
        <v>0</v>
      </c>
      <c r="R277" s="26">
        <v>0</v>
      </c>
      <c r="S277" s="26">
        <v>0</v>
      </c>
      <c r="T277" s="26">
        <v>0</v>
      </c>
      <c r="U277" s="22"/>
      <c r="V277" s="22"/>
      <c r="W277" s="22"/>
      <c r="X277" s="22"/>
      <c r="Y277" s="25"/>
      <c r="Z277" s="22"/>
      <c r="AA277" s="24"/>
      <c r="AB277" s="22" t="s">
        <v>1243</v>
      </c>
      <c r="AC277" s="22" t="s">
        <v>1176</v>
      </c>
      <c r="AD277" s="22" t="s">
        <v>1118</v>
      </c>
      <c r="AE277" s="22" t="s">
        <v>1174</v>
      </c>
      <c r="AF277" s="23">
        <v>0.34038000000000002</v>
      </c>
      <c r="AG277" s="22" t="s">
        <v>1117</v>
      </c>
      <c r="AH277" s="22" t="s">
        <v>1116</v>
      </c>
    </row>
    <row r="278" spans="1:34" ht="19.899999999999999" customHeight="1" x14ac:dyDescent="0.25">
      <c r="A278" s="29" t="s">
        <v>1242</v>
      </c>
      <c r="B278" s="22" t="s">
        <v>1121</v>
      </c>
      <c r="C278" s="28" t="s">
        <v>1241</v>
      </c>
      <c r="D278" s="27">
        <v>0</v>
      </c>
      <c r="E278" s="27">
        <v>0</v>
      </c>
      <c r="F278" s="41">
        <v>0</v>
      </c>
      <c r="G278" s="41">
        <v>0</v>
      </c>
      <c r="H278" s="24"/>
      <c r="I278" s="26">
        <v>0</v>
      </c>
      <c r="J278" s="26">
        <v>0</v>
      </c>
      <c r="K278" s="26">
        <v>0</v>
      </c>
      <c r="L278" s="26">
        <v>0</v>
      </c>
      <c r="M278" s="26">
        <v>2150</v>
      </c>
      <c r="N278" s="26">
        <v>2150</v>
      </c>
      <c r="O278" s="26">
        <v>2150</v>
      </c>
      <c r="P278" s="26">
        <v>0</v>
      </c>
      <c r="Q278" s="26">
        <v>0</v>
      </c>
      <c r="R278" s="26">
        <v>0</v>
      </c>
      <c r="S278" s="26">
        <v>0</v>
      </c>
      <c r="T278" s="26">
        <v>0</v>
      </c>
      <c r="U278" s="22"/>
      <c r="V278" s="22"/>
      <c r="W278" s="22"/>
      <c r="X278" s="22"/>
      <c r="Y278" s="30" t="s">
        <v>1178</v>
      </c>
      <c r="Z278" s="22"/>
      <c r="AA278" s="24"/>
      <c r="AB278" s="22" t="s">
        <v>1175</v>
      </c>
      <c r="AC278" s="22" t="s">
        <v>1176</v>
      </c>
      <c r="AD278" s="22" t="s">
        <v>1175</v>
      </c>
      <c r="AE278" s="22" t="s">
        <v>1118</v>
      </c>
      <c r="AF278" s="23">
        <v>0</v>
      </c>
      <c r="AG278" s="22" t="s">
        <v>1138</v>
      </c>
      <c r="AH278" s="22" t="s">
        <v>1123</v>
      </c>
    </row>
    <row r="279" spans="1:34" ht="19.899999999999999" customHeight="1" x14ac:dyDescent="0.25">
      <c r="A279" s="29" t="s">
        <v>1240</v>
      </c>
      <c r="B279" s="22" t="s">
        <v>1121</v>
      </c>
      <c r="C279" s="28" t="s">
        <v>1239</v>
      </c>
      <c r="D279" s="27">
        <v>0</v>
      </c>
      <c r="E279" s="27">
        <v>0</v>
      </c>
      <c r="F279" s="41">
        <v>0</v>
      </c>
      <c r="G279" s="41">
        <v>0</v>
      </c>
      <c r="H279" s="24"/>
      <c r="I279" s="26">
        <v>0</v>
      </c>
      <c r="J279" s="26">
        <v>0</v>
      </c>
      <c r="K279" s="26">
        <v>0</v>
      </c>
      <c r="L279" s="26">
        <v>0</v>
      </c>
      <c r="M279" s="26">
        <v>500</v>
      </c>
      <c r="N279" s="26">
        <v>0</v>
      </c>
      <c r="O279" s="26">
        <v>0</v>
      </c>
      <c r="P279" s="26">
        <v>0</v>
      </c>
      <c r="Q279" s="26">
        <v>12995</v>
      </c>
      <c r="R279" s="26">
        <v>0</v>
      </c>
      <c r="S279" s="26">
        <v>0</v>
      </c>
      <c r="T279" s="26">
        <v>997</v>
      </c>
      <c r="U279" s="22"/>
      <c r="V279" s="22"/>
      <c r="W279" s="22"/>
      <c r="X279" s="22"/>
      <c r="Y279" s="25"/>
      <c r="Z279" s="22"/>
      <c r="AA279" s="24"/>
      <c r="AB279" s="22" t="s">
        <v>1222</v>
      </c>
      <c r="AC279" s="22" t="s">
        <v>1169</v>
      </c>
      <c r="AD279" s="22" t="s">
        <v>1238</v>
      </c>
      <c r="AE279" s="22" t="s">
        <v>1237</v>
      </c>
      <c r="AF279" s="23">
        <v>52.234749999999998</v>
      </c>
      <c r="AG279" s="22" t="s">
        <v>1185</v>
      </c>
      <c r="AH279" s="22" t="s">
        <v>1184</v>
      </c>
    </row>
    <row r="280" spans="1:34" ht="19.899999999999999" customHeight="1" x14ac:dyDescent="0.25">
      <c r="A280" s="29" t="s">
        <v>1232</v>
      </c>
      <c r="B280" s="22" t="s">
        <v>1121</v>
      </c>
      <c r="C280" s="28" t="s">
        <v>1231</v>
      </c>
      <c r="D280" s="27">
        <v>0</v>
      </c>
      <c r="E280" s="27">
        <v>0</v>
      </c>
      <c r="F280" s="41">
        <v>0</v>
      </c>
      <c r="G280" s="41">
        <v>0</v>
      </c>
      <c r="H280" s="24"/>
      <c r="I280" s="26">
        <v>0</v>
      </c>
      <c r="J280" s="26">
        <v>0</v>
      </c>
      <c r="K280" s="26">
        <v>0</v>
      </c>
      <c r="L280" s="26">
        <v>0</v>
      </c>
      <c r="M280" s="26">
        <v>0</v>
      </c>
      <c r="N280" s="26">
        <v>30000</v>
      </c>
      <c r="O280" s="26">
        <v>0</v>
      </c>
      <c r="P280" s="26">
        <v>0</v>
      </c>
      <c r="Q280" s="26">
        <v>0</v>
      </c>
      <c r="R280" s="26">
        <v>0</v>
      </c>
      <c r="S280" s="26">
        <v>0</v>
      </c>
      <c r="T280" s="26">
        <v>0</v>
      </c>
      <c r="U280" s="22"/>
      <c r="V280" s="22"/>
      <c r="W280" s="22"/>
      <c r="X280" s="22"/>
      <c r="Y280" s="25"/>
      <c r="Z280" s="22"/>
      <c r="AA280" s="24"/>
      <c r="AB280" s="22" t="s">
        <v>1181</v>
      </c>
      <c r="AC280" s="22" t="s">
        <v>1169</v>
      </c>
      <c r="AD280" s="22" t="s">
        <v>1118</v>
      </c>
      <c r="AE280" s="22" t="s">
        <v>1118</v>
      </c>
      <c r="AF280" s="23">
        <v>0</v>
      </c>
      <c r="AG280" s="22" t="s">
        <v>1185</v>
      </c>
      <c r="AH280" s="22" t="s">
        <v>1184</v>
      </c>
    </row>
    <row r="281" spans="1:34" ht="19.899999999999999" customHeight="1" x14ac:dyDescent="0.25">
      <c r="A281" s="29" t="s">
        <v>1210</v>
      </c>
      <c r="B281" s="22" t="s">
        <v>1121</v>
      </c>
      <c r="C281" s="28" t="s">
        <v>1209</v>
      </c>
      <c r="D281" s="27">
        <v>0</v>
      </c>
      <c r="E281" s="27">
        <v>0</v>
      </c>
      <c r="F281" s="41">
        <v>0</v>
      </c>
      <c r="G281" s="41">
        <v>0</v>
      </c>
      <c r="H281" s="24"/>
      <c r="I281" s="26">
        <v>0</v>
      </c>
      <c r="J281" s="26">
        <v>0</v>
      </c>
      <c r="K281" s="26">
        <v>0</v>
      </c>
      <c r="L281" s="26">
        <v>0</v>
      </c>
      <c r="M281" s="26">
        <v>0</v>
      </c>
      <c r="N281" s="26">
        <v>0</v>
      </c>
      <c r="O281" s="26">
        <v>0</v>
      </c>
      <c r="P281" s="26">
        <v>0</v>
      </c>
      <c r="Q281" s="26">
        <v>216844</v>
      </c>
      <c r="R281" s="26">
        <v>216844</v>
      </c>
      <c r="S281" s="26">
        <v>85771</v>
      </c>
      <c r="T281" s="26">
        <v>0</v>
      </c>
      <c r="U281" s="22"/>
      <c r="V281" s="22"/>
      <c r="W281" s="22"/>
      <c r="X281" s="22"/>
      <c r="Y281" s="25"/>
      <c r="Z281" s="22"/>
      <c r="AA281" s="24"/>
      <c r="AB281" s="22" t="s">
        <v>1158</v>
      </c>
      <c r="AC281" s="22"/>
      <c r="AD281" s="22" t="s">
        <v>1118</v>
      </c>
      <c r="AE281" s="22" t="s">
        <v>1118</v>
      </c>
      <c r="AF281" s="23">
        <v>0</v>
      </c>
      <c r="AG281" s="22" t="s">
        <v>1173</v>
      </c>
      <c r="AH281" s="22" t="s">
        <v>1141</v>
      </c>
    </row>
    <row r="282" spans="1:34" ht="19.899999999999999" customHeight="1" x14ac:dyDescent="0.25">
      <c r="A282" s="29" t="s">
        <v>1208</v>
      </c>
      <c r="B282" s="22" t="s">
        <v>1121</v>
      </c>
      <c r="C282" s="28" t="s">
        <v>1207</v>
      </c>
      <c r="D282" s="27">
        <v>0</v>
      </c>
      <c r="E282" s="27">
        <v>0</v>
      </c>
      <c r="F282" s="41">
        <v>0</v>
      </c>
      <c r="G282" s="41">
        <v>0</v>
      </c>
      <c r="H282" s="24"/>
      <c r="I282" s="26">
        <v>0</v>
      </c>
      <c r="J282" s="26">
        <v>0</v>
      </c>
      <c r="K282" s="26">
        <v>0</v>
      </c>
      <c r="L282" s="26">
        <v>0</v>
      </c>
      <c r="M282" s="26">
        <v>0</v>
      </c>
      <c r="N282" s="26">
        <v>0</v>
      </c>
      <c r="O282" s="26">
        <v>0</v>
      </c>
      <c r="P282" s="26">
        <v>0</v>
      </c>
      <c r="Q282" s="26">
        <v>11400</v>
      </c>
      <c r="R282" s="26">
        <v>0</v>
      </c>
      <c r="S282" s="26">
        <v>0</v>
      </c>
      <c r="T282" s="26">
        <v>0</v>
      </c>
      <c r="U282" s="22"/>
      <c r="V282" s="22"/>
      <c r="W282" s="22"/>
      <c r="X282" s="22"/>
      <c r="Y282" s="25"/>
      <c r="Z282" s="22"/>
      <c r="AA282" s="24"/>
      <c r="AB282" s="22" t="s">
        <v>1170</v>
      </c>
      <c r="AC282" s="22"/>
      <c r="AD282" s="22" t="s">
        <v>1118</v>
      </c>
      <c r="AE282" s="22" t="s">
        <v>1118</v>
      </c>
      <c r="AF282" s="23">
        <v>0</v>
      </c>
      <c r="AG282" s="22" t="s">
        <v>1138</v>
      </c>
      <c r="AH282" s="22" t="s">
        <v>1123</v>
      </c>
    </row>
    <row r="283" spans="1:34" ht="19.899999999999999" customHeight="1" x14ac:dyDescent="0.25">
      <c r="A283" s="29" t="s">
        <v>1206</v>
      </c>
      <c r="B283" s="22" t="s">
        <v>1121</v>
      </c>
      <c r="C283" s="28" t="s">
        <v>1205</v>
      </c>
      <c r="D283" s="27">
        <v>0</v>
      </c>
      <c r="E283" s="27">
        <v>0</v>
      </c>
      <c r="F283" s="41">
        <v>0</v>
      </c>
      <c r="G283" s="41">
        <v>0</v>
      </c>
      <c r="H283" s="24"/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131</v>
      </c>
      <c r="R283" s="26">
        <v>0</v>
      </c>
      <c r="S283" s="26">
        <v>0</v>
      </c>
      <c r="T283" s="26">
        <v>287</v>
      </c>
      <c r="U283" s="27">
        <v>6.4003200000000001E-4</v>
      </c>
      <c r="V283" s="27">
        <v>4.9312469999999997E-3</v>
      </c>
      <c r="W283" s="35">
        <v>112.15108916</v>
      </c>
      <c r="X283" s="34">
        <v>0</v>
      </c>
      <c r="Y283" s="36" t="s">
        <v>1204</v>
      </c>
      <c r="Z283" s="22"/>
      <c r="AA283" s="24"/>
      <c r="AB283" s="22" t="s">
        <v>1175</v>
      </c>
      <c r="AC283" s="22" t="s">
        <v>1176</v>
      </c>
      <c r="AD283" s="22" t="s">
        <v>1175</v>
      </c>
      <c r="AE283" s="22" t="s">
        <v>1168</v>
      </c>
      <c r="AF283" s="23">
        <v>97.73724</v>
      </c>
      <c r="AG283" s="22" t="s">
        <v>1203</v>
      </c>
      <c r="AH283" s="22" t="s">
        <v>1141</v>
      </c>
    </row>
    <row r="284" spans="1:34" ht="19.899999999999999" customHeight="1" x14ac:dyDescent="0.25">
      <c r="A284" s="29" t="s">
        <v>1202</v>
      </c>
      <c r="B284" s="22" t="s">
        <v>1121</v>
      </c>
      <c r="C284" s="28" t="s">
        <v>1201</v>
      </c>
      <c r="D284" s="27">
        <v>0</v>
      </c>
      <c r="E284" s="27">
        <v>0</v>
      </c>
      <c r="F284" s="41">
        <v>0</v>
      </c>
      <c r="G284" s="41">
        <v>0</v>
      </c>
      <c r="H284" s="24"/>
      <c r="I284" s="26">
        <v>0</v>
      </c>
      <c r="J284" s="26">
        <v>0</v>
      </c>
      <c r="K284" s="26">
        <v>0</v>
      </c>
      <c r="L284" s="26">
        <v>0</v>
      </c>
      <c r="M284" s="26">
        <v>0</v>
      </c>
      <c r="N284" s="26">
        <v>0</v>
      </c>
      <c r="O284" s="26">
        <v>0</v>
      </c>
      <c r="P284" s="26">
        <v>0</v>
      </c>
      <c r="Q284" s="26">
        <v>15</v>
      </c>
      <c r="R284" s="26">
        <v>15</v>
      </c>
      <c r="S284" s="26">
        <v>14</v>
      </c>
      <c r="T284" s="26">
        <v>12</v>
      </c>
      <c r="U284" s="22"/>
      <c r="V284" s="22"/>
      <c r="W284" s="22"/>
      <c r="X284" s="22"/>
      <c r="Y284" s="25"/>
      <c r="Z284" s="22"/>
      <c r="AA284" s="24"/>
      <c r="AB284" s="22" t="s">
        <v>1170</v>
      </c>
      <c r="AC284" s="22"/>
      <c r="AD284" s="22" t="s">
        <v>1118</v>
      </c>
      <c r="AE284" s="22" t="s">
        <v>1118</v>
      </c>
      <c r="AF284" s="23">
        <v>0</v>
      </c>
      <c r="AG284" s="22" t="s">
        <v>1117</v>
      </c>
      <c r="AH284" s="22" t="s">
        <v>1116</v>
      </c>
    </row>
    <row r="285" spans="1:34" ht="19.899999999999999" customHeight="1" x14ac:dyDescent="0.25">
      <c r="A285" s="29" t="s">
        <v>1200</v>
      </c>
      <c r="B285" s="22" t="s">
        <v>1121</v>
      </c>
      <c r="C285" s="28" t="s">
        <v>1199</v>
      </c>
      <c r="D285" s="27">
        <v>0</v>
      </c>
      <c r="E285" s="27">
        <v>0</v>
      </c>
      <c r="F285" s="41">
        <v>0</v>
      </c>
      <c r="G285" s="41">
        <v>0</v>
      </c>
      <c r="H285" s="24"/>
      <c r="I285" s="26">
        <v>0</v>
      </c>
      <c r="J285" s="26">
        <v>0</v>
      </c>
      <c r="K285" s="26">
        <v>0</v>
      </c>
      <c r="L285" s="26">
        <v>0</v>
      </c>
      <c r="M285" s="26">
        <v>0</v>
      </c>
      <c r="N285" s="26">
        <v>0</v>
      </c>
      <c r="O285" s="26">
        <v>0</v>
      </c>
      <c r="P285" s="26">
        <v>0</v>
      </c>
      <c r="Q285" s="26">
        <v>0</v>
      </c>
      <c r="R285" s="26">
        <v>407739</v>
      </c>
      <c r="S285" s="26">
        <v>407740</v>
      </c>
      <c r="T285" s="26">
        <v>407739</v>
      </c>
      <c r="U285" s="22"/>
      <c r="V285" s="22"/>
      <c r="W285" s="22"/>
      <c r="X285" s="22"/>
      <c r="Y285" s="25"/>
      <c r="Z285" s="22"/>
      <c r="AA285" s="24"/>
      <c r="AB285" s="22" t="s">
        <v>1158</v>
      </c>
      <c r="AC285" s="22"/>
      <c r="AD285" s="22" t="s">
        <v>1118</v>
      </c>
      <c r="AE285" s="22" t="s">
        <v>1118</v>
      </c>
      <c r="AF285" s="23">
        <v>0</v>
      </c>
      <c r="AG285" s="22" t="s">
        <v>1142</v>
      </c>
      <c r="AH285" s="22" t="s">
        <v>1141</v>
      </c>
    </row>
    <row r="286" spans="1:34" ht="19.899999999999999" customHeight="1" x14ac:dyDescent="0.25">
      <c r="A286" s="29" t="s">
        <v>1198</v>
      </c>
      <c r="B286" s="22" t="s">
        <v>1121</v>
      </c>
      <c r="C286" s="28" t="s">
        <v>1197</v>
      </c>
      <c r="D286" s="27">
        <v>0</v>
      </c>
      <c r="E286" s="27">
        <v>0</v>
      </c>
      <c r="F286" s="41">
        <v>0</v>
      </c>
      <c r="G286" s="41">
        <v>0</v>
      </c>
      <c r="H286" s="24"/>
      <c r="I286" s="26">
        <v>0</v>
      </c>
      <c r="J286" s="26">
        <v>0</v>
      </c>
      <c r="K286" s="26">
        <v>0</v>
      </c>
      <c r="L286" s="26">
        <v>0</v>
      </c>
      <c r="M286" s="26">
        <v>0</v>
      </c>
      <c r="N286" s="26">
        <v>0</v>
      </c>
      <c r="O286" s="26">
        <v>0</v>
      </c>
      <c r="P286" s="26">
        <v>0</v>
      </c>
      <c r="Q286" s="26">
        <v>0</v>
      </c>
      <c r="R286" s="26">
        <v>0</v>
      </c>
      <c r="S286" s="26">
        <v>11708</v>
      </c>
      <c r="T286" s="26">
        <v>11708</v>
      </c>
      <c r="U286" s="27">
        <v>5.8666270000000001E-3</v>
      </c>
      <c r="V286" s="27">
        <v>1.487835E-2</v>
      </c>
      <c r="W286" s="35">
        <v>338.37752549999999</v>
      </c>
      <c r="X286" s="34">
        <v>0</v>
      </c>
      <c r="Y286" s="33" t="s">
        <v>1196</v>
      </c>
      <c r="Z286" s="32">
        <v>-45</v>
      </c>
      <c r="AA286" s="24"/>
      <c r="AB286" s="22" t="s">
        <v>1186</v>
      </c>
      <c r="AC286" s="22" t="s">
        <v>1176</v>
      </c>
      <c r="AD286" s="22" t="s">
        <v>1195</v>
      </c>
      <c r="AE286" s="22" t="s">
        <v>1174</v>
      </c>
      <c r="AF286" s="23">
        <v>0.12601999999999999</v>
      </c>
      <c r="AG286" s="22" t="s">
        <v>1124</v>
      </c>
      <c r="AH286" s="22" t="s">
        <v>1123</v>
      </c>
    </row>
    <row r="287" spans="1:34" ht="19.899999999999999" customHeight="1" x14ac:dyDescent="0.25">
      <c r="A287" s="29" t="s">
        <v>1194</v>
      </c>
      <c r="B287" s="22" t="s">
        <v>1121</v>
      </c>
      <c r="C287" s="28" t="s">
        <v>1193</v>
      </c>
      <c r="D287" s="27">
        <v>0</v>
      </c>
      <c r="E287" s="27">
        <v>0</v>
      </c>
      <c r="F287" s="41">
        <v>0</v>
      </c>
      <c r="G287" s="41">
        <v>0</v>
      </c>
      <c r="H287" s="24"/>
      <c r="I287" s="26">
        <v>0</v>
      </c>
      <c r="J287" s="26">
        <v>0</v>
      </c>
      <c r="K287" s="26">
        <v>0</v>
      </c>
      <c r="L287" s="26">
        <v>0</v>
      </c>
      <c r="M287" s="26">
        <v>0</v>
      </c>
      <c r="N287" s="26">
        <v>0</v>
      </c>
      <c r="O287" s="26">
        <v>0</v>
      </c>
      <c r="P287" s="26">
        <v>0</v>
      </c>
      <c r="Q287" s="26">
        <v>0</v>
      </c>
      <c r="R287" s="26">
        <v>0</v>
      </c>
      <c r="S287" s="26">
        <v>10000</v>
      </c>
      <c r="T287" s="26">
        <v>0</v>
      </c>
      <c r="U287" s="22"/>
      <c r="V287" s="22"/>
      <c r="W287" s="22"/>
      <c r="X287" s="22"/>
      <c r="Y287" s="30" t="s">
        <v>1178</v>
      </c>
      <c r="Z287" s="31">
        <v>5</v>
      </c>
      <c r="AA287" s="24"/>
      <c r="AB287" s="22" t="s">
        <v>1175</v>
      </c>
      <c r="AC287" s="22" t="s">
        <v>1176</v>
      </c>
      <c r="AD287" s="22" t="s">
        <v>1175</v>
      </c>
      <c r="AE287" s="22" t="s">
        <v>1174</v>
      </c>
      <c r="AF287" s="23">
        <v>7.6999999999999996E-4</v>
      </c>
      <c r="AG287" s="22" t="s">
        <v>1124</v>
      </c>
      <c r="AH287" s="22" t="s">
        <v>1123</v>
      </c>
    </row>
    <row r="288" spans="1:34" ht="19.899999999999999" customHeight="1" x14ac:dyDescent="0.25">
      <c r="A288" s="29" t="s">
        <v>1192</v>
      </c>
      <c r="B288" s="22" t="s">
        <v>1121</v>
      </c>
      <c r="C288" s="28" t="s">
        <v>1191</v>
      </c>
      <c r="D288" s="27">
        <v>0</v>
      </c>
      <c r="E288" s="27">
        <v>0</v>
      </c>
      <c r="F288" s="41">
        <v>0</v>
      </c>
      <c r="G288" s="41">
        <v>0</v>
      </c>
      <c r="H288" s="24"/>
      <c r="I288" s="26">
        <v>0</v>
      </c>
      <c r="J288" s="26">
        <v>0</v>
      </c>
      <c r="K288" s="26">
        <v>0</v>
      </c>
      <c r="L288" s="26">
        <v>0</v>
      </c>
      <c r="M288" s="26">
        <v>0</v>
      </c>
      <c r="N288" s="26">
        <v>0</v>
      </c>
      <c r="O288" s="26">
        <v>0</v>
      </c>
      <c r="P288" s="26">
        <v>0</v>
      </c>
      <c r="Q288" s="26">
        <v>0</v>
      </c>
      <c r="R288" s="26">
        <v>0</v>
      </c>
      <c r="S288" s="26">
        <v>5501</v>
      </c>
      <c r="T288" s="26">
        <v>0</v>
      </c>
      <c r="U288" s="22"/>
      <c r="V288" s="22"/>
      <c r="W288" s="22"/>
      <c r="X288" s="22"/>
      <c r="Y288" s="30" t="s">
        <v>1178</v>
      </c>
      <c r="Z288" s="22"/>
      <c r="AA288" s="24"/>
      <c r="AB288" s="22" t="s">
        <v>1186</v>
      </c>
      <c r="AC288" s="22"/>
      <c r="AD288" s="22" t="s">
        <v>1118</v>
      </c>
      <c r="AE288" s="22" t="s">
        <v>1118</v>
      </c>
      <c r="AF288" s="23">
        <v>0</v>
      </c>
      <c r="AG288" s="22" t="s">
        <v>1190</v>
      </c>
      <c r="AH288" s="22" t="s">
        <v>1189</v>
      </c>
    </row>
    <row r="289" spans="1:34" ht="19.899999999999999" customHeight="1" x14ac:dyDescent="0.25">
      <c r="A289" s="29" t="s">
        <v>1188</v>
      </c>
      <c r="B289" s="22" t="s">
        <v>1121</v>
      </c>
      <c r="C289" s="28" t="s">
        <v>1187</v>
      </c>
      <c r="D289" s="27">
        <v>0</v>
      </c>
      <c r="E289" s="27">
        <v>0</v>
      </c>
      <c r="F289" s="41">
        <v>0</v>
      </c>
      <c r="G289" s="41">
        <v>0</v>
      </c>
      <c r="H289" s="24"/>
      <c r="I289" s="26">
        <v>0</v>
      </c>
      <c r="J289" s="26">
        <v>0</v>
      </c>
      <c r="K289" s="26">
        <v>0</v>
      </c>
      <c r="L289" s="26">
        <v>0</v>
      </c>
      <c r="M289" s="26">
        <v>0</v>
      </c>
      <c r="N289" s="26">
        <v>0</v>
      </c>
      <c r="O289" s="26">
        <v>0</v>
      </c>
      <c r="P289" s="26">
        <v>0</v>
      </c>
      <c r="Q289" s="26">
        <v>0</v>
      </c>
      <c r="R289" s="26">
        <v>0</v>
      </c>
      <c r="S289" s="26">
        <v>859</v>
      </c>
      <c r="T289" s="26">
        <v>859</v>
      </c>
      <c r="U289" s="22"/>
      <c r="V289" s="22"/>
      <c r="W289" s="22"/>
      <c r="X289" s="22"/>
      <c r="Y289" s="30" t="s">
        <v>1178</v>
      </c>
      <c r="Z289" s="22"/>
      <c r="AA289" s="24"/>
      <c r="AB289" s="22" t="s">
        <v>1186</v>
      </c>
      <c r="AC289" s="22" t="s">
        <v>1176</v>
      </c>
      <c r="AD289" s="22" t="s">
        <v>1118</v>
      </c>
      <c r="AE289" s="22" t="s">
        <v>1168</v>
      </c>
      <c r="AF289" s="23">
        <v>0.15171999999999999</v>
      </c>
      <c r="AG289" s="22" t="s">
        <v>1185</v>
      </c>
      <c r="AH289" s="22" t="s">
        <v>1184</v>
      </c>
    </row>
    <row r="290" spans="1:34" ht="19.899999999999999" customHeight="1" x14ac:dyDescent="0.25">
      <c r="A290" s="29" t="s">
        <v>1183</v>
      </c>
      <c r="B290" s="22" t="s">
        <v>1121</v>
      </c>
      <c r="C290" s="28" t="s">
        <v>1182</v>
      </c>
      <c r="D290" s="27">
        <v>0</v>
      </c>
      <c r="E290" s="27">
        <v>0</v>
      </c>
      <c r="F290" s="41">
        <v>0</v>
      </c>
      <c r="G290" s="41">
        <v>0</v>
      </c>
      <c r="H290" s="24"/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400</v>
      </c>
      <c r="T290" s="26">
        <v>400</v>
      </c>
      <c r="U290" s="22"/>
      <c r="V290" s="22"/>
      <c r="W290" s="22"/>
      <c r="X290" s="22"/>
      <c r="Y290" s="25"/>
      <c r="Z290" s="22"/>
      <c r="AA290" s="24"/>
      <c r="AB290" s="22" t="s">
        <v>1181</v>
      </c>
      <c r="AC290" s="22"/>
      <c r="AD290" s="22" t="s">
        <v>1118</v>
      </c>
      <c r="AE290" s="22" t="s">
        <v>1118</v>
      </c>
      <c r="AF290" s="23">
        <v>0</v>
      </c>
      <c r="AG290" s="22" t="s">
        <v>1138</v>
      </c>
      <c r="AH290" s="22" t="s">
        <v>1123</v>
      </c>
    </row>
    <row r="291" spans="1:34" ht="19.899999999999999" customHeight="1" x14ac:dyDescent="0.25">
      <c r="A291" s="29" t="s">
        <v>1180</v>
      </c>
      <c r="B291" s="22" t="s">
        <v>1121</v>
      </c>
      <c r="C291" s="28" t="s">
        <v>1179</v>
      </c>
      <c r="D291" s="27">
        <v>0</v>
      </c>
      <c r="E291" s="27">
        <v>0</v>
      </c>
      <c r="F291" s="41">
        <v>0</v>
      </c>
      <c r="G291" s="41">
        <v>0</v>
      </c>
      <c r="H291" s="24"/>
      <c r="I291" s="26">
        <v>0</v>
      </c>
      <c r="J291" s="26">
        <v>0</v>
      </c>
      <c r="K291" s="26">
        <v>0</v>
      </c>
      <c r="L291" s="26">
        <v>0</v>
      </c>
      <c r="M291" s="26">
        <v>0</v>
      </c>
      <c r="N291" s="26">
        <v>0</v>
      </c>
      <c r="O291" s="26">
        <v>0</v>
      </c>
      <c r="P291" s="26">
        <v>0</v>
      </c>
      <c r="Q291" s="26">
        <v>0</v>
      </c>
      <c r="R291" s="26">
        <v>0</v>
      </c>
      <c r="S291" s="26">
        <v>0</v>
      </c>
      <c r="T291" s="26">
        <v>890992</v>
      </c>
      <c r="U291" s="22"/>
      <c r="V291" s="22"/>
      <c r="W291" s="22"/>
      <c r="X291" s="22"/>
      <c r="Y291" s="30" t="s">
        <v>1178</v>
      </c>
      <c r="Z291" s="22"/>
      <c r="AA291" s="24"/>
      <c r="AB291" s="22" t="s">
        <v>1177</v>
      </c>
      <c r="AC291" s="22" t="s">
        <v>1176</v>
      </c>
      <c r="AD291" s="22" t="s">
        <v>1175</v>
      </c>
      <c r="AE291" s="22" t="s">
        <v>1174</v>
      </c>
      <c r="AF291" s="23">
        <v>7.0139999999999994E-2</v>
      </c>
      <c r="AG291" s="22" t="s">
        <v>1173</v>
      </c>
      <c r="AH291" s="22" t="s">
        <v>1141</v>
      </c>
    </row>
    <row r="292" spans="1:34" ht="19.899999999999999" customHeight="1" x14ac:dyDescent="0.25">
      <c r="A292" s="29" t="s">
        <v>1172</v>
      </c>
      <c r="B292" s="22" t="s">
        <v>1121</v>
      </c>
      <c r="C292" s="28" t="s">
        <v>1171</v>
      </c>
      <c r="D292" s="27">
        <v>0</v>
      </c>
      <c r="E292" s="27">
        <v>0</v>
      </c>
      <c r="F292" s="41">
        <v>0</v>
      </c>
      <c r="G292" s="41">
        <v>0</v>
      </c>
      <c r="H292" s="24"/>
      <c r="I292" s="26">
        <v>0</v>
      </c>
      <c r="J292" s="26">
        <v>0</v>
      </c>
      <c r="K292" s="26">
        <v>0</v>
      </c>
      <c r="L292" s="26">
        <v>0</v>
      </c>
      <c r="M292" s="26">
        <v>0</v>
      </c>
      <c r="N292" s="26">
        <v>0</v>
      </c>
      <c r="O292" s="26">
        <v>0</v>
      </c>
      <c r="P292" s="26">
        <v>0</v>
      </c>
      <c r="Q292" s="26">
        <v>0</v>
      </c>
      <c r="R292" s="26">
        <v>0</v>
      </c>
      <c r="S292" s="26">
        <v>0</v>
      </c>
      <c r="T292" s="26">
        <v>121307</v>
      </c>
      <c r="U292" s="22"/>
      <c r="V292" s="22"/>
      <c r="W292" s="22"/>
      <c r="X292" s="22"/>
      <c r="Y292" s="25"/>
      <c r="Z292" s="22"/>
      <c r="AA292" s="24"/>
      <c r="AB292" s="22" t="s">
        <v>1170</v>
      </c>
      <c r="AC292" s="22" t="s">
        <v>1169</v>
      </c>
      <c r="AD292" s="22" t="s">
        <v>1118</v>
      </c>
      <c r="AE292" s="22" t="s">
        <v>1168</v>
      </c>
      <c r="AF292" s="23">
        <v>1.9599999999999999E-3</v>
      </c>
      <c r="AG292" s="22" t="s">
        <v>1167</v>
      </c>
      <c r="AH292" s="22" t="s">
        <v>1123</v>
      </c>
    </row>
    <row r="293" spans="1:34" ht="19.899999999999999" customHeight="1" x14ac:dyDescent="0.25">
      <c r="A293" s="29" t="s">
        <v>1166</v>
      </c>
      <c r="B293" s="22" t="s">
        <v>1121</v>
      </c>
      <c r="C293" s="28" t="s">
        <v>1165</v>
      </c>
      <c r="D293" s="27">
        <v>0</v>
      </c>
      <c r="E293" s="27">
        <v>0</v>
      </c>
      <c r="F293" s="41">
        <v>0</v>
      </c>
      <c r="G293" s="41">
        <v>0</v>
      </c>
      <c r="H293" s="24"/>
      <c r="I293" s="26">
        <v>0</v>
      </c>
      <c r="J293" s="26">
        <v>0</v>
      </c>
      <c r="K293" s="26">
        <v>0</v>
      </c>
      <c r="L293" s="26">
        <v>0</v>
      </c>
      <c r="M293" s="26">
        <v>0</v>
      </c>
      <c r="N293" s="26">
        <v>0</v>
      </c>
      <c r="O293" s="26">
        <v>0</v>
      </c>
      <c r="P293" s="26">
        <v>0</v>
      </c>
      <c r="Q293" s="26">
        <v>0</v>
      </c>
      <c r="R293" s="26">
        <v>0</v>
      </c>
      <c r="S293" s="26">
        <v>0</v>
      </c>
      <c r="T293" s="26">
        <v>44604</v>
      </c>
      <c r="U293" s="22"/>
      <c r="V293" s="22"/>
      <c r="W293" s="22"/>
      <c r="X293" s="22"/>
      <c r="Y293" s="25"/>
      <c r="Z293" s="22"/>
      <c r="AA293" s="24"/>
      <c r="AB293" s="22" t="s">
        <v>1158</v>
      </c>
      <c r="AC293" s="22"/>
      <c r="AD293" s="22" t="s">
        <v>1118</v>
      </c>
      <c r="AE293" s="22" t="s">
        <v>1118</v>
      </c>
      <c r="AF293" s="23">
        <v>0</v>
      </c>
      <c r="AG293" s="22" t="s">
        <v>1164</v>
      </c>
      <c r="AH293" s="22" t="s">
        <v>1164</v>
      </c>
    </row>
    <row r="294" spans="1:34" ht="19.899999999999999" customHeight="1" x14ac:dyDescent="0.25">
      <c r="A294" s="29" t="s">
        <v>1163</v>
      </c>
      <c r="B294" s="22" t="s">
        <v>1121</v>
      </c>
      <c r="C294" s="28" t="s">
        <v>1162</v>
      </c>
      <c r="D294" s="27">
        <v>0</v>
      </c>
      <c r="E294" s="27">
        <v>0</v>
      </c>
      <c r="F294" s="41">
        <v>0</v>
      </c>
      <c r="G294" s="41">
        <v>0</v>
      </c>
      <c r="H294" s="24"/>
      <c r="I294" s="26">
        <v>0</v>
      </c>
      <c r="J294" s="26">
        <v>0</v>
      </c>
      <c r="K294" s="26">
        <v>0</v>
      </c>
      <c r="L294" s="26">
        <v>0</v>
      </c>
      <c r="M294" s="26">
        <v>0</v>
      </c>
      <c r="N294" s="26">
        <v>0</v>
      </c>
      <c r="O294" s="26">
        <v>0</v>
      </c>
      <c r="P294" s="26">
        <v>0</v>
      </c>
      <c r="Q294" s="26">
        <v>0</v>
      </c>
      <c r="R294" s="26">
        <v>0</v>
      </c>
      <c r="S294" s="26">
        <v>0</v>
      </c>
      <c r="T294" s="26">
        <v>285</v>
      </c>
      <c r="U294" s="22"/>
      <c r="V294" s="22"/>
      <c r="W294" s="22"/>
      <c r="X294" s="22"/>
      <c r="Y294" s="25"/>
      <c r="Z294" s="22"/>
      <c r="AA294" s="24"/>
      <c r="AB294" s="22" t="s">
        <v>1161</v>
      </c>
      <c r="AC294" s="22"/>
      <c r="AD294" s="22" t="s">
        <v>1118</v>
      </c>
      <c r="AE294" s="22" t="s">
        <v>1118</v>
      </c>
      <c r="AF294" s="23">
        <v>0</v>
      </c>
      <c r="AG294" s="22" t="s">
        <v>1138</v>
      </c>
      <c r="AH294" s="22" t="s">
        <v>1123</v>
      </c>
    </row>
    <row r="295" spans="1:34" ht="19.899999999999999" customHeight="1" x14ac:dyDescent="0.25">
      <c r="A295" s="29" t="s">
        <v>1160</v>
      </c>
      <c r="B295" s="22" t="s">
        <v>1121</v>
      </c>
      <c r="C295" s="28" t="s">
        <v>1159</v>
      </c>
      <c r="D295" s="27">
        <v>0</v>
      </c>
      <c r="E295" s="27">
        <v>0</v>
      </c>
      <c r="F295" s="41">
        <v>0</v>
      </c>
      <c r="G295" s="41">
        <v>0</v>
      </c>
      <c r="H295" s="24"/>
      <c r="I295" s="26">
        <v>0</v>
      </c>
      <c r="J295" s="26">
        <v>0</v>
      </c>
      <c r="K295" s="26">
        <v>0</v>
      </c>
      <c r="L295" s="26">
        <v>0</v>
      </c>
      <c r="M295" s="26">
        <v>0</v>
      </c>
      <c r="N295" s="26">
        <v>0</v>
      </c>
      <c r="O295" s="26">
        <v>0</v>
      </c>
      <c r="P295" s="26">
        <v>0</v>
      </c>
      <c r="Q295" s="26">
        <v>0</v>
      </c>
      <c r="R295" s="26">
        <v>0</v>
      </c>
      <c r="S295" s="26">
        <v>0</v>
      </c>
      <c r="T295" s="26">
        <v>100</v>
      </c>
      <c r="U295" s="22"/>
      <c r="V295" s="22"/>
      <c r="W295" s="22"/>
      <c r="X295" s="22"/>
      <c r="Y295" s="25"/>
      <c r="Z295" s="22"/>
      <c r="AA295" s="24"/>
      <c r="AB295" s="22" t="s">
        <v>1158</v>
      </c>
      <c r="AC295" s="22"/>
      <c r="AD295" s="22" t="s">
        <v>1118</v>
      </c>
      <c r="AE295" s="22" t="s">
        <v>1118</v>
      </c>
      <c r="AF295" s="23">
        <v>0</v>
      </c>
      <c r="AG295" s="22" t="s">
        <v>1157</v>
      </c>
      <c r="AH295" s="22" t="s">
        <v>1141</v>
      </c>
    </row>
    <row r="296" spans="1:34" ht="19.899999999999999" customHeight="1" x14ac:dyDescent="0.25">
      <c r="A296" s="29" t="s">
        <v>1152</v>
      </c>
      <c r="B296" s="22" t="s">
        <v>1121</v>
      </c>
      <c r="C296" s="28" t="s">
        <v>1151</v>
      </c>
      <c r="D296" s="27">
        <v>1.1489000000000001E-4</v>
      </c>
      <c r="E296" s="27">
        <v>0</v>
      </c>
      <c r="F296" s="41">
        <v>2926</v>
      </c>
      <c r="G296" s="43">
        <v>2926</v>
      </c>
      <c r="H296" s="24"/>
      <c r="I296" s="26">
        <v>0</v>
      </c>
      <c r="J296" s="26">
        <v>0</v>
      </c>
      <c r="K296" s="26">
        <v>0</v>
      </c>
      <c r="L296" s="26">
        <v>0</v>
      </c>
      <c r="M296" s="26">
        <v>0</v>
      </c>
      <c r="N296" s="26">
        <v>0</v>
      </c>
      <c r="O296" s="26">
        <v>0</v>
      </c>
      <c r="P296" s="26">
        <v>0</v>
      </c>
      <c r="Q296" s="26">
        <v>0</v>
      </c>
      <c r="R296" s="26">
        <v>0</v>
      </c>
      <c r="S296" s="26">
        <v>0</v>
      </c>
      <c r="T296" s="26">
        <v>0</v>
      </c>
      <c r="U296" s="22"/>
      <c r="V296" s="22"/>
      <c r="W296" s="22"/>
      <c r="X296" s="22"/>
      <c r="Y296" s="25"/>
      <c r="Z296" s="22"/>
      <c r="AA296" s="24"/>
      <c r="AB296" s="22" t="s">
        <v>1119</v>
      </c>
      <c r="AC296" s="22"/>
      <c r="AD296" s="22" t="s">
        <v>1118</v>
      </c>
      <c r="AE296" s="22" t="s">
        <v>1118</v>
      </c>
      <c r="AF296" s="23">
        <v>0</v>
      </c>
      <c r="AG296" s="22" t="s">
        <v>1124</v>
      </c>
      <c r="AH296" s="22" t="s">
        <v>1123</v>
      </c>
    </row>
    <row r="297" spans="1:34" ht="19.899999999999999" customHeight="1" x14ac:dyDescent="0.25">
      <c r="A297" s="29" t="s">
        <v>1146</v>
      </c>
      <c r="B297" s="22" t="s">
        <v>1121</v>
      </c>
      <c r="C297" s="28" t="s">
        <v>1145</v>
      </c>
      <c r="D297" s="27">
        <v>6.5969999999999993E-5</v>
      </c>
      <c r="E297" s="27">
        <v>0</v>
      </c>
      <c r="F297" s="41">
        <v>1680</v>
      </c>
      <c r="G297" s="43">
        <v>1680</v>
      </c>
      <c r="H297" s="24"/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2"/>
      <c r="V297" s="22"/>
      <c r="W297" s="22"/>
      <c r="X297" s="22"/>
      <c r="Y297" s="25"/>
      <c r="Z297" s="22"/>
      <c r="AA297" s="24"/>
      <c r="AB297" s="22" t="s">
        <v>1119</v>
      </c>
      <c r="AC297" s="22"/>
      <c r="AD297" s="22" t="s">
        <v>1118</v>
      </c>
      <c r="AE297" s="22" t="s">
        <v>1118</v>
      </c>
      <c r="AF297" s="23">
        <v>0</v>
      </c>
      <c r="AG297" s="22" t="s">
        <v>1132</v>
      </c>
      <c r="AH297" s="22" t="s">
        <v>1116</v>
      </c>
    </row>
    <row r="298" spans="1:34" ht="19.899999999999999" customHeight="1" x14ac:dyDescent="0.25">
      <c r="A298" s="29" t="s">
        <v>1140</v>
      </c>
      <c r="B298" s="22" t="s">
        <v>1121</v>
      </c>
      <c r="C298" s="28" t="s">
        <v>1139</v>
      </c>
      <c r="D298" s="27">
        <v>1.963E-5</v>
      </c>
      <c r="E298" s="27">
        <v>0</v>
      </c>
      <c r="F298" s="41">
        <v>500</v>
      </c>
      <c r="G298" s="43">
        <v>300</v>
      </c>
      <c r="H298" s="24"/>
      <c r="I298" s="26">
        <v>200</v>
      </c>
      <c r="J298" s="26">
        <v>200</v>
      </c>
      <c r="K298" s="26">
        <v>168</v>
      </c>
      <c r="L298" s="26">
        <v>68</v>
      </c>
      <c r="M298" s="26">
        <v>68</v>
      </c>
      <c r="N298" s="26">
        <v>0</v>
      </c>
      <c r="O298" s="26">
        <v>0</v>
      </c>
      <c r="P298" s="26">
        <v>0</v>
      </c>
      <c r="Q298" s="26">
        <v>0</v>
      </c>
      <c r="R298" s="26">
        <v>0</v>
      </c>
      <c r="S298" s="26">
        <v>0</v>
      </c>
      <c r="T298" s="26">
        <v>0</v>
      </c>
      <c r="U298" s="22"/>
      <c r="V298" s="22"/>
      <c r="W298" s="22"/>
      <c r="X298" s="22"/>
      <c r="Y298" s="25"/>
      <c r="Z298" s="22"/>
      <c r="AA298" s="24"/>
      <c r="AB298" s="22" t="s">
        <v>1119</v>
      </c>
      <c r="AC298" s="22"/>
      <c r="AD298" s="22" t="s">
        <v>1118</v>
      </c>
      <c r="AE298" s="22" t="s">
        <v>1118</v>
      </c>
      <c r="AF298" s="23">
        <v>0</v>
      </c>
      <c r="AG298" s="22" t="s">
        <v>1138</v>
      </c>
      <c r="AH298" s="22" t="s">
        <v>1123</v>
      </c>
    </row>
    <row r="299" spans="1:34" x14ac:dyDescent="0.25">
      <c r="A299" s="29" t="s">
        <v>1134</v>
      </c>
      <c r="B299" s="47" t="s">
        <v>1121</v>
      </c>
      <c r="C299" s="49" t="s">
        <v>1133</v>
      </c>
      <c r="D299" s="51">
        <v>7.9300000000000003E-6</v>
      </c>
      <c r="E299" s="51">
        <v>0</v>
      </c>
      <c r="F299" s="53">
        <v>202</v>
      </c>
      <c r="G299" s="55">
        <v>-278</v>
      </c>
      <c r="H299" s="56"/>
      <c r="I299" s="58">
        <v>480</v>
      </c>
      <c r="J299" s="58">
        <v>438</v>
      </c>
      <c r="K299" s="58">
        <v>163513</v>
      </c>
      <c r="L299" s="58">
        <v>184</v>
      </c>
      <c r="M299" s="58">
        <v>95</v>
      </c>
      <c r="N299" s="58">
        <v>0</v>
      </c>
      <c r="O299" s="58">
        <v>0</v>
      </c>
      <c r="P299" s="58">
        <v>0</v>
      </c>
      <c r="Q299" s="58">
        <v>0</v>
      </c>
      <c r="R299" s="58">
        <v>0</v>
      </c>
      <c r="S299" s="58">
        <v>0</v>
      </c>
      <c r="T299" s="58">
        <v>0</v>
      </c>
      <c r="U299" s="47"/>
      <c r="V299" s="47"/>
      <c r="W299" s="47"/>
      <c r="X299" s="47"/>
      <c r="Y299" s="21"/>
      <c r="Z299" s="47"/>
      <c r="AA299" s="56"/>
      <c r="AB299" s="47" t="s">
        <v>1119</v>
      </c>
      <c r="AC299" s="47"/>
      <c r="AD299" s="47" t="s">
        <v>1118</v>
      </c>
      <c r="AE299" s="47" t="s">
        <v>1118</v>
      </c>
      <c r="AF299" s="59">
        <v>0</v>
      </c>
      <c r="AG299" s="47" t="s">
        <v>1132</v>
      </c>
      <c r="AH299" s="47" t="s">
        <v>1123</v>
      </c>
    </row>
  </sheetData>
  <autoFilter ref="A1:AH1" xr:uid="{85B3DFF5-E8C0-4130-B1FC-D0A0C1169D40}">
    <sortState xmlns:xlrd2="http://schemas.microsoft.com/office/spreadsheetml/2017/richdata2" ref="A2:AH299">
      <sortCondition descending="1" ref="P1"/>
    </sortState>
  </autoFilter>
  <conditionalFormatting sqref="X2:X299">
    <cfRule type="dataBar" priority="1">
      <dataBar>
        <cfvo type="percent" val="0"/>
        <cfvo type="percent" val="100"/>
        <color rgb="FFC0C0C0"/>
      </dataBar>
      <extLst>
        <ext xmlns:x14="http://schemas.microsoft.com/office/spreadsheetml/2009/9/main" uri="{B025F937-C7B1-47D3-B67F-A62EFF666E3E}">
          <x14:id>{F399E535-C7C9-43C8-9BA3-C1774DF67B14}</x14:id>
        </ext>
      </extLst>
    </cfRule>
  </conditionalFormatting>
  <printOptions horizontalCentered="1"/>
  <pageMargins left="0.125" right="0.125" top="0.6" bottom="0.5" header="0.25" footer="0.25"/>
  <pageSetup fitToHeight="0" orientation="landscape" horizontalDpi="300" verticalDpi="300"/>
  <headerFooter alignWithMargins="0">
    <oddHeader xml:space="preserve">&amp;L&amp;"Calibri,Regular"&amp;11 Light &amp;&amp; Wonder Inc - combined 
&amp;"-,Bold"&amp;uBy Size
October 2024 </oddHeader>
    <oddFooter xml:space="preserve">&amp;L&amp;"Calibri,Regular"&amp;11 CONFIDENTIAL &amp;C&amp;"Calibri,Regular"&amp;11Page &amp;P of &amp;N _x000D_&amp;1#&amp;"Calibri"&amp;12&amp;K000000 Nasdaq - Internal Use: Distribution limited to Nasdaq personnel and authorized third parties subject to confidentiality obli&amp;R&amp;"Calibri,Regular"&amp;11 NASDAQ 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99E535-C7C9-43C8-9BA3-C1774DF67B14}">
            <x14:dataBar border="1" gradient="0" negativeBarColorSameAsPositive="1">
              <x14:cfvo type="percent">
                <xm:f>0</xm:f>
              </x14:cfvo>
              <x14:cfvo type="percent">
                <xm:f>100</xm:f>
              </x14:cfvo>
              <x14:borderColor rgb="FFFFFFFF"/>
              <x14:axisColor rgb="FF000000"/>
            </x14:dataBar>
          </x14:cfRule>
          <xm:sqref>X2:X299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EMAIL LIST</vt:lpstr>
      <vt:lpstr>Inactive</vt:lpstr>
      <vt:lpstr>CALL ROUND</vt:lpstr>
      <vt:lpstr>Corporates</vt:lpstr>
      <vt:lpstr>ACC TIERS</vt:lpstr>
      <vt:lpstr>LNW Oct-24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Bradshaw</dc:creator>
  <cp:lastModifiedBy>Sam Bradshaw</cp:lastModifiedBy>
  <dcterms:created xsi:type="dcterms:W3CDTF">2024-12-18T04:16:19Z</dcterms:created>
  <dcterms:modified xsi:type="dcterms:W3CDTF">2026-09-15T03:38:34Z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62aa29-677a-4cd5-98db-9c70c8e77e69_Enabled">
    <vt:lpwstr>true</vt:lpwstr>
  </property>
  <property fmtid="{D5CDD505-2E9C-101B-9397-08002B2CF9AE}" pid="3" name="MSIP_Label_8e62aa29-677a-4cd5-98db-9c70c8e77e69_SetDate">
    <vt:lpwstr>2026-10-13T20:13:38Z</vt:lpwstr>
  </property>
  <property fmtid="{D5CDD505-2E9C-101B-9397-08002B2CF9AE}" pid="4" name="MSIP_Label_8e62aa29-677a-4cd5-98db-9c70c8e77e69_Method">
    <vt:lpwstr>Privileged</vt:lpwstr>
  </property>
  <property fmtid="{D5CDD505-2E9C-101B-9397-08002B2CF9AE}" pid="5" name="MSIP_Label_8e62aa29-677a-4cd5-98db-9c70c8e77e69_Name">
    <vt:lpwstr>Restricted - PII</vt:lpwstr>
  </property>
  <property fmtid="{D5CDD505-2E9C-101B-9397-08002B2CF9AE}" pid="6" name="MSIP_Label_8e62aa29-677a-4cd5-98db-9c70c8e77e69_SiteId">
    <vt:lpwstr>6d13d3d5-8b13-4ab4-a345-350f909f5f65</vt:lpwstr>
  </property>
  <property fmtid="{D5CDD505-2E9C-101B-9397-08002B2CF9AE}" pid="7" name="MSIP_Label_8e62aa29-677a-4cd5-98db-9c70c8e77e69_ActionId">
    <vt:lpwstr>8c0230dd-3468-46a8-82ec-80decc90a09c</vt:lpwstr>
  </property>
  <property fmtid="{D5CDD505-2E9C-101B-9397-08002B2CF9AE}" pid="8" name="MSIP_Label_8e62aa29-677a-4cd5-98db-9c70c8e77e69_ContentBits">
    <vt:lpwstr>0</vt:lpwstr>
  </property>
</Properties>
</file>